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develop\etp\etc\doc\"/>
    </mc:Choice>
  </mc:AlternateContent>
  <bookViews>
    <workbookView xWindow="0" yWindow="0" windowWidth="21075" windowHeight="12030" firstSheet="3" activeTab="9"/>
  </bookViews>
  <sheets>
    <sheet name="지수산출플로우" sheetId="24" r:id="rId1"/>
    <sheet name="CASE2_1_조건설정" sheetId="13" r:id="rId2"/>
    <sheet name="CASE2_1_BACKTEST" sheetId="25" r:id="rId3"/>
    <sheet name="CASE2_2_조건설정" sheetId="28" r:id="rId4"/>
    <sheet name="CASE2_2_BACKTEST" sheetId="29" r:id="rId5"/>
    <sheet name="CASE2_3_조건설정" sheetId="30" r:id="rId6"/>
    <sheet name="CASE2_3_BACKTEST" sheetId="31" r:id="rId7"/>
    <sheet name="CASE2_3_검증" sheetId="32" r:id="rId8"/>
    <sheet name="CASE3_1_조건설정" sheetId="34" r:id="rId9"/>
    <sheet name="CASE3_1_BACTEST" sheetId="33" r:id="rId10"/>
    <sheet name="삼성전자" sheetId="5" r:id="rId11"/>
    <sheet name="셀트리온" sheetId="2" r:id="rId12"/>
    <sheet name="헬릭스미스" sheetId="4" r:id="rId13"/>
    <sheet name="TIGER" sheetId="3" r:id="rId14"/>
    <sheet name="엘앤씨바이오" sheetId="11" r:id="rId15"/>
  </sheets>
  <definedNames>
    <definedName name="_xlnm._FilterDatabase" localSheetId="10" hidden="1">삼성전자!$A$1:$J$1137</definedName>
    <definedName name="_xlnm._FilterDatabase" localSheetId="11" hidden="1">셀트리온!$A$1:$I$1137</definedName>
    <definedName name="_xlnm._FilterDatabase" localSheetId="12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7" i="34" l="1"/>
  <c r="H36" i="34"/>
  <c r="I36" i="34" s="1"/>
  <c r="H35" i="34"/>
  <c r="I35" i="34" s="1"/>
  <c r="H33" i="34"/>
  <c r="H32" i="34"/>
  <c r="H31" i="34"/>
  <c r="I31" i="34" s="1"/>
  <c r="H29" i="34"/>
  <c r="H28" i="34"/>
  <c r="H27" i="34"/>
  <c r="H25" i="34"/>
  <c r="I25" i="34" s="1"/>
  <c r="H24" i="34"/>
  <c r="H23" i="34"/>
  <c r="I24" i="34" s="1"/>
  <c r="R5" i="33"/>
  <c r="R6" i="33"/>
  <c r="R7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27" i="33"/>
  <c r="R28" i="33"/>
  <c r="R29" i="33"/>
  <c r="R30" i="33"/>
  <c r="R31" i="33"/>
  <c r="R32" i="33"/>
  <c r="R33" i="33"/>
  <c r="R34" i="33"/>
  <c r="R35" i="33"/>
  <c r="R36" i="33"/>
  <c r="R37" i="33"/>
  <c r="R38" i="33"/>
  <c r="R39" i="33"/>
  <c r="R40" i="33"/>
  <c r="R41" i="33"/>
  <c r="R42" i="33"/>
  <c r="R43" i="33"/>
  <c r="R44" i="33"/>
  <c r="R45" i="33"/>
  <c r="R46" i="33"/>
  <c r="R47" i="33"/>
  <c r="R48" i="33"/>
  <c r="R49" i="33"/>
  <c r="R50" i="33"/>
  <c r="R51" i="33"/>
  <c r="R52" i="33"/>
  <c r="R53" i="33"/>
  <c r="R54" i="33"/>
  <c r="R55" i="33"/>
  <c r="R56" i="33"/>
  <c r="R57" i="33"/>
  <c r="R58" i="33"/>
  <c r="R59" i="33"/>
  <c r="R60" i="33"/>
  <c r="R61" i="33"/>
  <c r="R62" i="33"/>
  <c r="R63" i="33"/>
  <c r="R64" i="33"/>
  <c r="R65" i="33"/>
  <c r="R66" i="33"/>
  <c r="R67" i="33"/>
  <c r="R68" i="33"/>
  <c r="R69" i="33"/>
  <c r="R70" i="33"/>
  <c r="R71" i="33"/>
  <c r="R72" i="33"/>
  <c r="R73" i="33"/>
  <c r="R74" i="33"/>
  <c r="R75" i="33"/>
  <c r="R76" i="33"/>
  <c r="R77" i="33"/>
  <c r="R78" i="33"/>
  <c r="R79" i="33"/>
  <c r="R80" i="33"/>
  <c r="R81" i="33"/>
  <c r="R82" i="33"/>
  <c r="R83" i="33"/>
  <c r="R84" i="33"/>
  <c r="R85" i="33"/>
  <c r="R86" i="33"/>
  <c r="R87" i="33"/>
  <c r="R88" i="33"/>
  <c r="R89" i="33"/>
  <c r="R90" i="33"/>
  <c r="R91" i="33"/>
  <c r="R92" i="33"/>
  <c r="R93" i="33"/>
  <c r="R94" i="33"/>
  <c r="R95" i="33"/>
  <c r="R96" i="33"/>
  <c r="R97" i="33"/>
  <c r="R98" i="33"/>
  <c r="R99" i="33"/>
  <c r="R100" i="33"/>
  <c r="R101" i="33"/>
  <c r="R102" i="33"/>
  <c r="R103" i="33"/>
  <c r="R104" i="33"/>
  <c r="R105" i="33"/>
  <c r="R106" i="33"/>
  <c r="R107" i="33"/>
  <c r="R108" i="33"/>
  <c r="R109" i="33"/>
  <c r="R110" i="33"/>
  <c r="R111" i="33"/>
  <c r="R112" i="33"/>
  <c r="R113" i="33"/>
  <c r="R114" i="33"/>
  <c r="R115" i="33"/>
  <c r="R116" i="33"/>
  <c r="R117" i="33"/>
  <c r="R118" i="33"/>
  <c r="R119" i="33"/>
  <c r="R120" i="33"/>
  <c r="R121" i="33"/>
  <c r="R122" i="33"/>
  <c r="R123" i="33"/>
  <c r="R124" i="33"/>
  <c r="R125" i="33"/>
  <c r="R126" i="33"/>
  <c r="R127" i="33"/>
  <c r="R128" i="33"/>
  <c r="R129" i="33"/>
  <c r="R130" i="33"/>
  <c r="R131" i="33"/>
  <c r="R132" i="33"/>
  <c r="R133" i="33"/>
  <c r="R134" i="33"/>
  <c r="R135" i="33"/>
  <c r="R136" i="33"/>
  <c r="R137" i="33"/>
  <c r="R138" i="33"/>
  <c r="R139" i="33"/>
  <c r="R140" i="33"/>
  <c r="R141" i="33"/>
  <c r="R142" i="33"/>
  <c r="R143" i="33"/>
  <c r="R144" i="33"/>
  <c r="R145" i="33"/>
  <c r="R146" i="33"/>
  <c r="R147" i="33"/>
  <c r="R148" i="33"/>
  <c r="R149" i="33"/>
  <c r="R150" i="33"/>
  <c r="R151" i="33"/>
  <c r="R152" i="33"/>
  <c r="R153" i="33"/>
  <c r="R154" i="33"/>
  <c r="R155" i="33"/>
  <c r="R156" i="33"/>
  <c r="R157" i="33"/>
  <c r="R158" i="33"/>
  <c r="R159" i="33"/>
  <c r="R160" i="33"/>
  <c r="R161" i="33"/>
  <c r="R162" i="33"/>
  <c r="R163" i="33"/>
  <c r="R164" i="33"/>
  <c r="R165" i="33"/>
  <c r="R166" i="33"/>
  <c r="R167" i="33"/>
  <c r="R168" i="33"/>
  <c r="R169" i="33"/>
  <c r="R170" i="33"/>
  <c r="R171" i="33"/>
  <c r="R172" i="33"/>
  <c r="R173" i="33"/>
  <c r="R174" i="33"/>
  <c r="R175" i="33"/>
  <c r="R176" i="33"/>
  <c r="R177" i="33"/>
  <c r="R178" i="33"/>
  <c r="R179" i="33"/>
  <c r="R180" i="33"/>
  <c r="R181" i="33"/>
  <c r="R182" i="33"/>
  <c r="R183" i="33"/>
  <c r="R184" i="33"/>
  <c r="R185" i="33"/>
  <c r="R186" i="33"/>
  <c r="R187" i="33"/>
  <c r="R188" i="33"/>
  <c r="R189" i="33"/>
  <c r="R190" i="33"/>
  <c r="R191" i="33"/>
  <c r="R192" i="33"/>
  <c r="R193" i="33"/>
  <c r="R194" i="33"/>
  <c r="R195" i="33"/>
  <c r="R196" i="33"/>
  <c r="R197" i="33"/>
  <c r="R198" i="33"/>
  <c r="R199" i="33"/>
  <c r="R200" i="33"/>
  <c r="R201" i="33"/>
  <c r="R202" i="33"/>
  <c r="R203" i="33"/>
  <c r="R204" i="33"/>
  <c r="R205" i="33"/>
  <c r="R206" i="33"/>
  <c r="R207" i="33"/>
  <c r="R208" i="33"/>
  <c r="R209" i="33"/>
  <c r="R210" i="33"/>
  <c r="R211" i="33"/>
  <c r="R212" i="33"/>
  <c r="R213" i="33"/>
  <c r="R214" i="33"/>
  <c r="R215" i="33"/>
  <c r="R216" i="33"/>
  <c r="R217" i="33"/>
  <c r="R218" i="33"/>
  <c r="R219" i="33"/>
  <c r="R220" i="33"/>
  <c r="R221" i="33"/>
  <c r="R222" i="33"/>
  <c r="R223" i="33"/>
  <c r="R224" i="33"/>
  <c r="R225" i="33"/>
  <c r="R226" i="33"/>
  <c r="R227" i="33"/>
  <c r="R228" i="33"/>
  <c r="R229" i="33"/>
  <c r="R230" i="33"/>
  <c r="R231" i="33"/>
  <c r="R232" i="33"/>
  <c r="R233" i="33"/>
  <c r="R234" i="33"/>
  <c r="R235" i="33"/>
  <c r="R236" i="33"/>
  <c r="R237" i="33"/>
  <c r="R238" i="33"/>
  <c r="R239" i="33"/>
  <c r="R240" i="33"/>
  <c r="R241" i="33"/>
  <c r="R242" i="33"/>
  <c r="R243" i="33"/>
  <c r="R244" i="33"/>
  <c r="R245" i="33"/>
  <c r="R246" i="33"/>
  <c r="R247" i="33"/>
  <c r="R248" i="33"/>
  <c r="R249" i="33"/>
  <c r="R250" i="33"/>
  <c r="R251" i="33"/>
  <c r="R252" i="33"/>
  <c r="R253" i="33"/>
  <c r="R254" i="33"/>
  <c r="R255" i="33"/>
  <c r="R256" i="33"/>
  <c r="R257" i="33"/>
  <c r="R258" i="33"/>
  <c r="R259" i="33"/>
  <c r="R260" i="33"/>
  <c r="R261" i="33"/>
  <c r="R262" i="33"/>
  <c r="R263" i="33"/>
  <c r="R264" i="33"/>
  <c r="R265" i="33"/>
  <c r="R266" i="33"/>
  <c r="R267" i="33"/>
  <c r="R268" i="33"/>
  <c r="R269" i="33"/>
  <c r="R270" i="33"/>
  <c r="R271" i="33"/>
  <c r="R272" i="33"/>
  <c r="R273" i="33"/>
  <c r="R274" i="33"/>
  <c r="R275" i="33"/>
  <c r="R276" i="33"/>
  <c r="R277" i="33"/>
  <c r="R278" i="33"/>
  <c r="R279" i="33"/>
  <c r="R280" i="33"/>
  <c r="R281" i="33"/>
  <c r="R282" i="33"/>
  <c r="R283" i="33"/>
  <c r="R284" i="33"/>
  <c r="R285" i="33"/>
  <c r="R286" i="33"/>
  <c r="R287" i="33"/>
  <c r="R288" i="33"/>
  <c r="R289" i="33"/>
  <c r="R290" i="33"/>
  <c r="R291" i="33"/>
  <c r="R292" i="33"/>
  <c r="R293" i="33"/>
  <c r="R294" i="33"/>
  <c r="R295" i="33"/>
  <c r="R296" i="33"/>
  <c r="R297" i="33"/>
  <c r="R298" i="33"/>
  <c r="R299" i="33"/>
  <c r="R300" i="33"/>
  <c r="R301" i="33"/>
  <c r="R302" i="33"/>
  <c r="R303" i="33"/>
  <c r="R304" i="33"/>
  <c r="R305" i="33"/>
  <c r="R306" i="33"/>
  <c r="R307" i="33"/>
  <c r="R308" i="33"/>
  <c r="R309" i="33"/>
  <c r="R310" i="33"/>
  <c r="R311" i="33"/>
  <c r="R312" i="33"/>
  <c r="R313" i="33"/>
  <c r="R314" i="33"/>
  <c r="R315" i="33"/>
  <c r="R316" i="33"/>
  <c r="R317" i="33"/>
  <c r="R318" i="33"/>
  <c r="R319" i="33"/>
  <c r="R320" i="33"/>
  <c r="R321" i="33"/>
  <c r="R322" i="33"/>
  <c r="R323" i="33"/>
  <c r="R324" i="33"/>
  <c r="R325" i="33"/>
  <c r="R326" i="33"/>
  <c r="R327" i="33"/>
  <c r="R328" i="33"/>
  <c r="R329" i="33"/>
  <c r="R330" i="33"/>
  <c r="R331" i="33"/>
  <c r="R332" i="33"/>
  <c r="R333" i="33"/>
  <c r="R334" i="33"/>
  <c r="R335" i="33"/>
  <c r="R336" i="33"/>
  <c r="R337" i="33"/>
  <c r="R338" i="33"/>
  <c r="R339" i="33"/>
  <c r="R340" i="33"/>
  <c r="R341" i="33"/>
  <c r="R342" i="33"/>
  <c r="R343" i="33"/>
  <c r="R344" i="33"/>
  <c r="R345" i="33"/>
  <c r="R346" i="33"/>
  <c r="R347" i="33"/>
  <c r="R348" i="33"/>
  <c r="R349" i="33"/>
  <c r="R350" i="33"/>
  <c r="R351" i="33"/>
  <c r="R352" i="33"/>
  <c r="R353" i="33"/>
  <c r="R354" i="33"/>
  <c r="R355" i="33"/>
  <c r="R356" i="33"/>
  <c r="R357" i="33"/>
  <c r="R358" i="33"/>
  <c r="R359" i="33"/>
  <c r="R360" i="33"/>
  <c r="R361" i="33"/>
  <c r="R362" i="33"/>
  <c r="R363" i="33"/>
  <c r="R364" i="33"/>
  <c r="R365" i="33"/>
  <c r="R366" i="33"/>
  <c r="R367" i="33"/>
  <c r="R368" i="33"/>
  <c r="R369" i="33"/>
  <c r="R370" i="33"/>
  <c r="R371" i="33"/>
  <c r="R372" i="33"/>
  <c r="R373" i="33"/>
  <c r="R374" i="33"/>
  <c r="R375" i="33"/>
  <c r="R376" i="33"/>
  <c r="R377" i="33"/>
  <c r="R378" i="33"/>
  <c r="R379" i="33"/>
  <c r="R380" i="33"/>
  <c r="R4" i="33"/>
  <c r="Z380" i="33"/>
  <c r="Y380" i="33"/>
  <c r="X380" i="33"/>
  <c r="W380" i="33"/>
  <c r="Z379" i="33"/>
  <c r="Y379" i="33"/>
  <c r="X379" i="33"/>
  <c r="W379" i="33"/>
  <c r="Z378" i="33"/>
  <c r="Y378" i="33"/>
  <c r="X378" i="33"/>
  <c r="W378" i="33"/>
  <c r="Z377" i="33"/>
  <c r="Y377" i="33"/>
  <c r="X377" i="33"/>
  <c r="W377" i="33"/>
  <c r="Z376" i="33"/>
  <c r="Y376" i="33"/>
  <c r="X376" i="33"/>
  <c r="W376" i="33"/>
  <c r="Z375" i="33"/>
  <c r="Y375" i="33"/>
  <c r="X375" i="33"/>
  <c r="W375" i="33"/>
  <c r="Z374" i="33"/>
  <c r="Y374" i="33"/>
  <c r="X374" i="33"/>
  <c r="W374" i="33"/>
  <c r="Z373" i="33"/>
  <c r="Y373" i="33"/>
  <c r="X373" i="33"/>
  <c r="W373" i="33"/>
  <c r="Z372" i="33"/>
  <c r="Y372" i="33"/>
  <c r="X372" i="33"/>
  <c r="W372" i="33"/>
  <c r="Z371" i="33"/>
  <c r="Y371" i="33"/>
  <c r="X371" i="33"/>
  <c r="W371" i="33"/>
  <c r="Z370" i="33"/>
  <c r="Y370" i="33"/>
  <c r="X370" i="33"/>
  <c r="W370" i="33"/>
  <c r="Z369" i="33"/>
  <c r="Y369" i="33"/>
  <c r="X369" i="33"/>
  <c r="W369" i="33"/>
  <c r="Z368" i="33"/>
  <c r="Y368" i="33"/>
  <c r="X368" i="33"/>
  <c r="W368" i="33"/>
  <c r="Z367" i="33"/>
  <c r="Y367" i="33"/>
  <c r="X367" i="33"/>
  <c r="W367" i="33"/>
  <c r="Z366" i="33"/>
  <c r="Y366" i="33"/>
  <c r="X366" i="33"/>
  <c r="W366" i="33"/>
  <c r="Z365" i="33"/>
  <c r="Y365" i="33"/>
  <c r="X365" i="33"/>
  <c r="W365" i="33"/>
  <c r="Z364" i="33"/>
  <c r="Y364" i="33"/>
  <c r="X364" i="33"/>
  <c r="W364" i="33"/>
  <c r="Z363" i="33"/>
  <c r="Y363" i="33"/>
  <c r="X363" i="33"/>
  <c r="W363" i="33"/>
  <c r="Z362" i="33"/>
  <c r="Y362" i="33"/>
  <c r="X362" i="33"/>
  <c r="W362" i="33"/>
  <c r="Z361" i="33"/>
  <c r="Y361" i="33"/>
  <c r="X361" i="33"/>
  <c r="W361" i="33"/>
  <c r="Z360" i="33"/>
  <c r="Y360" i="33"/>
  <c r="X360" i="33"/>
  <c r="W360" i="33"/>
  <c r="Z359" i="33"/>
  <c r="Y359" i="33"/>
  <c r="X359" i="33"/>
  <c r="W359" i="33"/>
  <c r="Z358" i="33"/>
  <c r="Y358" i="33"/>
  <c r="X358" i="33"/>
  <c r="W358" i="33"/>
  <c r="Z357" i="33"/>
  <c r="Y357" i="33"/>
  <c r="X357" i="33"/>
  <c r="W357" i="33"/>
  <c r="Z356" i="33"/>
  <c r="Y356" i="33"/>
  <c r="X356" i="33"/>
  <c r="W356" i="33"/>
  <c r="Z355" i="33"/>
  <c r="Y355" i="33"/>
  <c r="X355" i="33"/>
  <c r="W355" i="33"/>
  <c r="Z354" i="33"/>
  <c r="Y354" i="33"/>
  <c r="X354" i="33"/>
  <c r="W354" i="33"/>
  <c r="Z353" i="33"/>
  <c r="Y353" i="33"/>
  <c r="X353" i="33"/>
  <c r="W353" i="33"/>
  <c r="Z352" i="33"/>
  <c r="Y352" i="33"/>
  <c r="X352" i="33"/>
  <c r="W352" i="33"/>
  <c r="Z351" i="33"/>
  <c r="Y351" i="33"/>
  <c r="X351" i="33"/>
  <c r="W351" i="33"/>
  <c r="Z350" i="33"/>
  <c r="Y350" i="33"/>
  <c r="X350" i="33"/>
  <c r="W350" i="33"/>
  <c r="Z349" i="33"/>
  <c r="Y349" i="33"/>
  <c r="X349" i="33"/>
  <c r="W349" i="33"/>
  <c r="Z348" i="33"/>
  <c r="Y348" i="33"/>
  <c r="X348" i="33"/>
  <c r="W348" i="33"/>
  <c r="Z347" i="33"/>
  <c r="Y347" i="33"/>
  <c r="X347" i="33"/>
  <c r="W347" i="33"/>
  <c r="Z346" i="33"/>
  <c r="Y346" i="33"/>
  <c r="X346" i="33"/>
  <c r="W346" i="33"/>
  <c r="Z345" i="33"/>
  <c r="Y345" i="33"/>
  <c r="X345" i="33"/>
  <c r="W345" i="33"/>
  <c r="Z344" i="33"/>
  <c r="Y344" i="33"/>
  <c r="X344" i="33"/>
  <c r="W344" i="33"/>
  <c r="Z343" i="33"/>
  <c r="Y343" i="33"/>
  <c r="X343" i="33"/>
  <c r="W343" i="33"/>
  <c r="Z342" i="33"/>
  <c r="Y342" i="33"/>
  <c r="X342" i="33"/>
  <c r="W342" i="33"/>
  <c r="Z341" i="33"/>
  <c r="Y341" i="33"/>
  <c r="X341" i="33"/>
  <c r="W341" i="33"/>
  <c r="Z340" i="33"/>
  <c r="Y340" i="33"/>
  <c r="X340" i="33"/>
  <c r="W340" i="33"/>
  <c r="Z339" i="33"/>
  <c r="Y339" i="33"/>
  <c r="X339" i="33"/>
  <c r="W339" i="33"/>
  <c r="Z338" i="33"/>
  <c r="Y338" i="33"/>
  <c r="X338" i="33"/>
  <c r="W338" i="33"/>
  <c r="Z337" i="33"/>
  <c r="Y337" i="33"/>
  <c r="X337" i="33"/>
  <c r="W337" i="33"/>
  <c r="Z336" i="33"/>
  <c r="Y336" i="33"/>
  <c r="X336" i="33"/>
  <c r="W336" i="33"/>
  <c r="Z335" i="33"/>
  <c r="Y335" i="33"/>
  <c r="X335" i="33"/>
  <c r="W335" i="33"/>
  <c r="Z334" i="33"/>
  <c r="Y334" i="33"/>
  <c r="X334" i="33"/>
  <c r="W334" i="33"/>
  <c r="Z333" i="33"/>
  <c r="Y333" i="33"/>
  <c r="X333" i="33"/>
  <c r="W333" i="33"/>
  <c r="Z332" i="33"/>
  <c r="Y332" i="33"/>
  <c r="X332" i="33"/>
  <c r="W332" i="33"/>
  <c r="Z331" i="33"/>
  <c r="Y331" i="33"/>
  <c r="X331" i="33"/>
  <c r="W331" i="33"/>
  <c r="Z330" i="33"/>
  <c r="Y330" i="33"/>
  <c r="X330" i="33"/>
  <c r="W330" i="33"/>
  <c r="Z329" i="33"/>
  <c r="Y329" i="33"/>
  <c r="X329" i="33"/>
  <c r="W329" i="33"/>
  <c r="Z328" i="33"/>
  <c r="Y328" i="33"/>
  <c r="X328" i="33"/>
  <c r="W328" i="33"/>
  <c r="Z327" i="33"/>
  <c r="Y327" i="33"/>
  <c r="X327" i="33"/>
  <c r="W327" i="33"/>
  <c r="Z326" i="33"/>
  <c r="Y326" i="33"/>
  <c r="X326" i="33"/>
  <c r="W326" i="33"/>
  <c r="Z325" i="33"/>
  <c r="Y325" i="33"/>
  <c r="X325" i="33"/>
  <c r="W325" i="33"/>
  <c r="Z324" i="33"/>
  <c r="Y324" i="33"/>
  <c r="X324" i="33"/>
  <c r="W324" i="33"/>
  <c r="Z323" i="33"/>
  <c r="Y323" i="33"/>
  <c r="X323" i="33"/>
  <c r="W323" i="33"/>
  <c r="Z322" i="33"/>
  <c r="Y322" i="33"/>
  <c r="X322" i="33"/>
  <c r="W322" i="33"/>
  <c r="Z321" i="33"/>
  <c r="Y321" i="33"/>
  <c r="X321" i="33"/>
  <c r="W321" i="33"/>
  <c r="Z320" i="33"/>
  <c r="Y320" i="33"/>
  <c r="X320" i="33"/>
  <c r="W320" i="33"/>
  <c r="Z319" i="33"/>
  <c r="Y319" i="33"/>
  <c r="X319" i="33"/>
  <c r="W319" i="33"/>
  <c r="Z318" i="33"/>
  <c r="Y318" i="33"/>
  <c r="X318" i="33"/>
  <c r="W318" i="33"/>
  <c r="Z317" i="33"/>
  <c r="Y317" i="33"/>
  <c r="X317" i="33"/>
  <c r="W317" i="33"/>
  <c r="Z316" i="33"/>
  <c r="Y316" i="33"/>
  <c r="X316" i="33"/>
  <c r="W316" i="33"/>
  <c r="Z315" i="33"/>
  <c r="Y315" i="33"/>
  <c r="X315" i="33"/>
  <c r="W315" i="33"/>
  <c r="Z314" i="33"/>
  <c r="Y314" i="33"/>
  <c r="X314" i="33"/>
  <c r="W314" i="33"/>
  <c r="Z313" i="33"/>
  <c r="Y313" i="33"/>
  <c r="X313" i="33"/>
  <c r="W313" i="33"/>
  <c r="Z312" i="33"/>
  <c r="Y312" i="33"/>
  <c r="X312" i="33"/>
  <c r="W312" i="33"/>
  <c r="Z311" i="33"/>
  <c r="Y311" i="33"/>
  <c r="X311" i="33"/>
  <c r="W311" i="33"/>
  <c r="Z310" i="33"/>
  <c r="Y310" i="33"/>
  <c r="X310" i="33"/>
  <c r="W310" i="33"/>
  <c r="Z309" i="33"/>
  <c r="Y309" i="33"/>
  <c r="X309" i="33"/>
  <c r="W309" i="33"/>
  <c r="Z308" i="33"/>
  <c r="Y308" i="33"/>
  <c r="X308" i="33"/>
  <c r="W308" i="33"/>
  <c r="Z307" i="33"/>
  <c r="Y307" i="33"/>
  <c r="X307" i="33"/>
  <c r="W307" i="33"/>
  <c r="Z306" i="33"/>
  <c r="Y306" i="33"/>
  <c r="X306" i="33"/>
  <c r="W306" i="33"/>
  <c r="Z305" i="33"/>
  <c r="Y305" i="33"/>
  <c r="X305" i="33"/>
  <c r="W305" i="33"/>
  <c r="Z304" i="33"/>
  <c r="Y304" i="33"/>
  <c r="X304" i="33"/>
  <c r="W304" i="33"/>
  <c r="Z303" i="33"/>
  <c r="Y303" i="33"/>
  <c r="X303" i="33"/>
  <c r="W303" i="33"/>
  <c r="Z302" i="33"/>
  <c r="Y302" i="33"/>
  <c r="X302" i="33"/>
  <c r="W302" i="33"/>
  <c r="Z301" i="33"/>
  <c r="Y301" i="33"/>
  <c r="X301" i="33"/>
  <c r="W301" i="33"/>
  <c r="Z300" i="33"/>
  <c r="Y300" i="33"/>
  <c r="X300" i="33"/>
  <c r="W300" i="33"/>
  <c r="Z299" i="33"/>
  <c r="Y299" i="33"/>
  <c r="X299" i="33"/>
  <c r="W299" i="33"/>
  <c r="Z298" i="33"/>
  <c r="Y298" i="33"/>
  <c r="X298" i="33"/>
  <c r="W298" i="33"/>
  <c r="Z297" i="33"/>
  <c r="Y297" i="33"/>
  <c r="X297" i="33"/>
  <c r="W297" i="33"/>
  <c r="Z296" i="33"/>
  <c r="Y296" i="33"/>
  <c r="X296" i="33"/>
  <c r="W296" i="33"/>
  <c r="Z295" i="33"/>
  <c r="Y295" i="33"/>
  <c r="X295" i="33"/>
  <c r="W295" i="33"/>
  <c r="Z294" i="33"/>
  <c r="Y294" i="33"/>
  <c r="X294" i="33"/>
  <c r="W294" i="33"/>
  <c r="Z293" i="33"/>
  <c r="Y293" i="33"/>
  <c r="X293" i="33"/>
  <c r="W293" i="33"/>
  <c r="Z292" i="33"/>
  <c r="Y292" i="33"/>
  <c r="X292" i="33"/>
  <c r="W292" i="33"/>
  <c r="Z291" i="33"/>
  <c r="Y291" i="33"/>
  <c r="X291" i="33"/>
  <c r="W291" i="33"/>
  <c r="Z290" i="33"/>
  <c r="Y290" i="33"/>
  <c r="X290" i="33"/>
  <c r="W290" i="33"/>
  <c r="Z289" i="33"/>
  <c r="Y289" i="33"/>
  <c r="X289" i="33"/>
  <c r="W289" i="33"/>
  <c r="Z288" i="33"/>
  <c r="Y288" i="33"/>
  <c r="X288" i="33"/>
  <c r="W288" i="33"/>
  <c r="Z287" i="33"/>
  <c r="Y287" i="33"/>
  <c r="X287" i="33"/>
  <c r="W287" i="33"/>
  <c r="Z286" i="33"/>
  <c r="Y286" i="33"/>
  <c r="X286" i="33"/>
  <c r="W286" i="33"/>
  <c r="Z285" i="33"/>
  <c r="Y285" i="33"/>
  <c r="X285" i="33"/>
  <c r="W285" i="33"/>
  <c r="Z284" i="33"/>
  <c r="Y284" i="33"/>
  <c r="X284" i="33"/>
  <c r="W284" i="33"/>
  <c r="Z283" i="33"/>
  <c r="Y283" i="33"/>
  <c r="X283" i="33"/>
  <c r="W283" i="33"/>
  <c r="Z282" i="33"/>
  <c r="Y282" i="33"/>
  <c r="X282" i="33"/>
  <c r="W282" i="33"/>
  <c r="Z281" i="33"/>
  <c r="Y281" i="33"/>
  <c r="X281" i="33"/>
  <c r="W281" i="33"/>
  <c r="Z280" i="33"/>
  <c r="Y280" i="33"/>
  <c r="X280" i="33"/>
  <c r="W280" i="33"/>
  <c r="Z279" i="33"/>
  <c r="Y279" i="33"/>
  <c r="X279" i="33"/>
  <c r="W279" i="33"/>
  <c r="Z278" i="33"/>
  <c r="Y278" i="33"/>
  <c r="X278" i="33"/>
  <c r="W278" i="33"/>
  <c r="Z277" i="33"/>
  <c r="Y277" i="33"/>
  <c r="X277" i="33"/>
  <c r="W277" i="33"/>
  <c r="Z276" i="33"/>
  <c r="Y276" i="33"/>
  <c r="X276" i="33"/>
  <c r="W276" i="33"/>
  <c r="Z275" i="33"/>
  <c r="Y275" i="33"/>
  <c r="X275" i="33"/>
  <c r="W275" i="33"/>
  <c r="Z274" i="33"/>
  <c r="Y274" i="33"/>
  <c r="X274" i="33"/>
  <c r="W274" i="33"/>
  <c r="Z273" i="33"/>
  <c r="Y273" i="33"/>
  <c r="X273" i="33"/>
  <c r="W273" i="33"/>
  <c r="Z272" i="33"/>
  <c r="Y272" i="33"/>
  <c r="X272" i="33"/>
  <c r="W272" i="33"/>
  <c r="Z271" i="33"/>
  <c r="Y271" i="33"/>
  <c r="X271" i="33"/>
  <c r="W271" i="33"/>
  <c r="Z270" i="33"/>
  <c r="Y270" i="33"/>
  <c r="X270" i="33"/>
  <c r="W270" i="33"/>
  <c r="Z269" i="33"/>
  <c r="Y269" i="33"/>
  <c r="X269" i="33"/>
  <c r="W269" i="33"/>
  <c r="Z268" i="33"/>
  <c r="Y268" i="33"/>
  <c r="X268" i="33"/>
  <c r="W268" i="33"/>
  <c r="Z267" i="33"/>
  <c r="Y267" i="33"/>
  <c r="X267" i="33"/>
  <c r="W267" i="33"/>
  <c r="Z266" i="33"/>
  <c r="Y266" i="33"/>
  <c r="X266" i="33"/>
  <c r="W266" i="33"/>
  <c r="Z265" i="33"/>
  <c r="Y265" i="33"/>
  <c r="X265" i="33"/>
  <c r="W265" i="33"/>
  <c r="Z264" i="33"/>
  <c r="Y264" i="33"/>
  <c r="X264" i="33"/>
  <c r="W264" i="33"/>
  <c r="Z263" i="33"/>
  <c r="Y263" i="33"/>
  <c r="X263" i="33"/>
  <c r="W263" i="33"/>
  <c r="Z262" i="33"/>
  <c r="Y262" i="33"/>
  <c r="X262" i="33"/>
  <c r="W262" i="33"/>
  <c r="Z261" i="33"/>
  <c r="Y261" i="33"/>
  <c r="X261" i="33"/>
  <c r="W261" i="33"/>
  <c r="Z260" i="33"/>
  <c r="Y260" i="33"/>
  <c r="X260" i="33"/>
  <c r="W260" i="33"/>
  <c r="Z259" i="33"/>
  <c r="Y259" i="33"/>
  <c r="X259" i="33"/>
  <c r="W259" i="33"/>
  <c r="Z258" i="33"/>
  <c r="Y258" i="33"/>
  <c r="X258" i="33"/>
  <c r="W258" i="33"/>
  <c r="Z257" i="33"/>
  <c r="Y257" i="33"/>
  <c r="X257" i="33"/>
  <c r="W257" i="33"/>
  <c r="Z256" i="33"/>
  <c r="Y256" i="33"/>
  <c r="X256" i="33"/>
  <c r="W256" i="33"/>
  <c r="Z255" i="33"/>
  <c r="Y255" i="33"/>
  <c r="X255" i="33"/>
  <c r="W255" i="33"/>
  <c r="Z254" i="33"/>
  <c r="Y254" i="33"/>
  <c r="X254" i="33"/>
  <c r="W254" i="33"/>
  <c r="Z253" i="33"/>
  <c r="Y253" i="33"/>
  <c r="X253" i="33"/>
  <c r="W253" i="33"/>
  <c r="Z252" i="33"/>
  <c r="Y252" i="33"/>
  <c r="X252" i="33"/>
  <c r="W252" i="33"/>
  <c r="Z251" i="33"/>
  <c r="Y251" i="33"/>
  <c r="X251" i="33"/>
  <c r="W251" i="33"/>
  <c r="Z250" i="33"/>
  <c r="Y250" i="33"/>
  <c r="X250" i="33"/>
  <c r="W250" i="33"/>
  <c r="Z249" i="33"/>
  <c r="Y249" i="33"/>
  <c r="X249" i="33"/>
  <c r="W249" i="33"/>
  <c r="Z248" i="33"/>
  <c r="Y248" i="33"/>
  <c r="X248" i="33"/>
  <c r="W248" i="33"/>
  <c r="Z247" i="33"/>
  <c r="Y247" i="33"/>
  <c r="X247" i="33"/>
  <c r="W247" i="33"/>
  <c r="Z246" i="33"/>
  <c r="Y246" i="33"/>
  <c r="X246" i="33"/>
  <c r="W246" i="33"/>
  <c r="Z245" i="33"/>
  <c r="Y245" i="33"/>
  <c r="X245" i="33"/>
  <c r="W245" i="33"/>
  <c r="Z244" i="33"/>
  <c r="Y244" i="33"/>
  <c r="X244" i="33"/>
  <c r="W244" i="33"/>
  <c r="Z243" i="33"/>
  <c r="Y243" i="33"/>
  <c r="X243" i="33"/>
  <c r="W243" i="33"/>
  <c r="Z242" i="33"/>
  <c r="Y242" i="33"/>
  <c r="X242" i="33"/>
  <c r="W242" i="33"/>
  <c r="Z241" i="33"/>
  <c r="Y241" i="33"/>
  <c r="X241" i="33"/>
  <c r="W241" i="33"/>
  <c r="Z240" i="33"/>
  <c r="Y240" i="33"/>
  <c r="X240" i="33"/>
  <c r="W240" i="33"/>
  <c r="Z239" i="33"/>
  <c r="Y239" i="33"/>
  <c r="X239" i="33"/>
  <c r="W239" i="33"/>
  <c r="Z238" i="33"/>
  <c r="Y238" i="33"/>
  <c r="X238" i="33"/>
  <c r="W238" i="33"/>
  <c r="Z237" i="33"/>
  <c r="Y237" i="33"/>
  <c r="X237" i="33"/>
  <c r="W237" i="33"/>
  <c r="Z236" i="33"/>
  <c r="Y236" i="33"/>
  <c r="X236" i="33"/>
  <c r="W236" i="33"/>
  <c r="Z235" i="33"/>
  <c r="Y235" i="33"/>
  <c r="X235" i="33"/>
  <c r="W235" i="33"/>
  <c r="Z234" i="33"/>
  <c r="Y234" i="33"/>
  <c r="X234" i="33"/>
  <c r="W234" i="33"/>
  <c r="Z233" i="33"/>
  <c r="Y233" i="33"/>
  <c r="X233" i="33"/>
  <c r="W233" i="33"/>
  <c r="Z232" i="33"/>
  <c r="Y232" i="33"/>
  <c r="X232" i="33"/>
  <c r="W232" i="33"/>
  <c r="Z231" i="33"/>
  <c r="Y231" i="33"/>
  <c r="X231" i="33"/>
  <c r="W231" i="33"/>
  <c r="Z230" i="33"/>
  <c r="Y230" i="33"/>
  <c r="X230" i="33"/>
  <c r="W230" i="33"/>
  <c r="Z229" i="33"/>
  <c r="Y229" i="33"/>
  <c r="X229" i="33"/>
  <c r="W229" i="33"/>
  <c r="Z228" i="33"/>
  <c r="Y228" i="33"/>
  <c r="X228" i="33"/>
  <c r="W228" i="33"/>
  <c r="Z227" i="33"/>
  <c r="Y227" i="33"/>
  <c r="X227" i="33"/>
  <c r="W227" i="33"/>
  <c r="Z226" i="33"/>
  <c r="Y226" i="33"/>
  <c r="X226" i="33"/>
  <c r="W226" i="33"/>
  <c r="Z225" i="33"/>
  <c r="Y225" i="33"/>
  <c r="X225" i="33"/>
  <c r="W225" i="33"/>
  <c r="Z224" i="33"/>
  <c r="Y224" i="33"/>
  <c r="X224" i="33"/>
  <c r="W224" i="33"/>
  <c r="Z223" i="33"/>
  <c r="Y223" i="33"/>
  <c r="X223" i="33"/>
  <c r="W223" i="33"/>
  <c r="Z222" i="33"/>
  <c r="Y222" i="33"/>
  <c r="X222" i="33"/>
  <c r="W222" i="33"/>
  <c r="Z221" i="33"/>
  <c r="Y221" i="33"/>
  <c r="X221" i="33"/>
  <c r="W221" i="33"/>
  <c r="Z220" i="33"/>
  <c r="Y220" i="33"/>
  <c r="X220" i="33"/>
  <c r="W220" i="33"/>
  <c r="Z219" i="33"/>
  <c r="Y219" i="33"/>
  <c r="X219" i="33"/>
  <c r="W219" i="33"/>
  <c r="Z218" i="33"/>
  <c r="Y218" i="33"/>
  <c r="X218" i="33"/>
  <c r="W218" i="33"/>
  <c r="Z217" i="33"/>
  <c r="Y217" i="33"/>
  <c r="X217" i="33"/>
  <c r="W217" i="33"/>
  <c r="Z216" i="33"/>
  <c r="Y216" i="33"/>
  <c r="X216" i="33"/>
  <c r="W216" i="33"/>
  <c r="Z215" i="33"/>
  <c r="Y215" i="33"/>
  <c r="X215" i="33"/>
  <c r="W215" i="33"/>
  <c r="Z214" i="33"/>
  <c r="Y214" i="33"/>
  <c r="X214" i="33"/>
  <c r="W214" i="33"/>
  <c r="Z213" i="33"/>
  <c r="Y213" i="33"/>
  <c r="X213" i="33"/>
  <c r="W213" i="33"/>
  <c r="Z212" i="33"/>
  <c r="Y212" i="33"/>
  <c r="X212" i="33"/>
  <c r="W212" i="33"/>
  <c r="Z211" i="33"/>
  <c r="Y211" i="33"/>
  <c r="X211" i="33"/>
  <c r="W211" i="33"/>
  <c r="Z210" i="33"/>
  <c r="Y210" i="33"/>
  <c r="X210" i="33"/>
  <c r="W210" i="33"/>
  <c r="Z209" i="33"/>
  <c r="Y209" i="33"/>
  <c r="X209" i="33"/>
  <c r="W209" i="33"/>
  <c r="Z208" i="33"/>
  <c r="Y208" i="33"/>
  <c r="X208" i="33"/>
  <c r="W208" i="33"/>
  <c r="Z207" i="33"/>
  <c r="Y207" i="33"/>
  <c r="X207" i="33"/>
  <c r="W207" i="33"/>
  <c r="Z206" i="33"/>
  <c r="Y206" i="33"/>
  <c r="X206" i="33"/>
  <c r="W206" i="33"/>
  <c r="Z205" i="33"/>
  <c r="Y205" i="33"/>
  <c r="X205" i="33"/>
  <c r="W205" i="33"/>
  <c r="Z204" i="33"/>
  <c r="Y204" i="33"/>
  <c r="X204" i="33"/>
  <c r="W204" i="33"/>
  <c r="Z203" i="33"/>
  <c r="Y203" i="33"/>
  <c r="X203" i="33"/>
  <c r="W203" i="33"/>
  <c r="Z202" i="33"/>
  <c r="Y202" i="33"/>
  <c r="X202" i="33"/>
  <c r="W202" i="33"/>
  <c r="Z201" i="33"/>
  <c r="Y201" i="33"/>
  <c r="X201" i="33"/>
  <c r="W201" i="33"/>
  <c r="Z200" i="33"/>
  <c r="Y200" i="33"/>
  <c r="X200" i="33"/>
  <c r="W200" i="33"/>
  <c r="Z199" i="33"/>
  <c r="Y199" i="33"/>
  <c r="X199" i="33"/>
  <c r="W199" i="33"/>
  <c r="Z198" i="33"/>
  <c r="Y198" i="33"/>
  <c r="X198" i="33"/>
  <c r="W198" i="33"/>
  <c r="Z197" i="33"/>
  <c r="Y197" i="33"/>
  <c r="X197" i="33"/>
  <c r="W197" i="33"/>
  <c r="Z196" i="33"/>
  <c r="Y196" i="33"/>
  <c r="X196" i="33"/>
  <c r="W196" i="33"/>
  <c r="Z195" i="33"/>
  <c r="Y195" i="33"/>
  <c r="X195" i="33"/>
  <c r="W195" i="33"/>
  <c r="Z194" i="33"/>
  <c r="Y194" i="33"/>
  <c r="X194" i="33"/>
  <c r="W194" i="33"/>
  <c r="Z193" i="33"/>
  <c r="Y193" i="33"/>
  <c r="X193" i="33"/>
  <c r="W193" i="33"/>
  <c r="Z192" i="33"/>
  <c r="Y192" i="33"/>
  <c r="X192" i="33"/>
  <c r="W192" i="33"/>
  <c r="Z191" i="33"/>
  <c r="Y191" i="33"/>
  <c r="X191" i="33"/>
  <c r="W191" i="33"/>
  <c r="Z190" i="33"/>
  <c r="Y190" i="33"/>
  <c r="X190" i="33"/>
  <c r="W190" i="33"/>
  <c r="Z189" i="33"/>
  <c r="Y189" i="33"/>
  <c r="X189" i="33"/>
  <c r="W189" i="33"/>
  <c r="Z188" i="33"/>
  <c r="Y188" i="33"/>
  <c r="X188" i="33"/>
  <c r="W188" i="33"/>
  <c r="Z187" i="33"/>
  <c r="Y187" i="33"/>
  <c r="X187" i="33"/>
  <c r="W187" i="33"/>
  <c r="Z186" i="33"/>
  <c r="Y186" i="33"/>
  <c r="X186" i="33"/>
  <c r="W186" i="33"/>
  <c r="Z185" i="33"/>
  <c r="Y185" i="33"/>
  <c r="X185" i="33"/>
  <c r="W185" i="33"/>
  <c r="Z184" i="33"/>
  <c r="Y184" i="33"/>
  <c r="X184" i="33"/>
  <c r="W184" i="33"/>
  <c r="Z183" i="33"/>
  <c r="Y183" i="33"/>
  <c r="X183" i="33"/>
  <c r="W183" i="33"/>
  <c r="Z182" i="33"/>
  <c r="Y182" i="33"/>
  <c r="X182" i="33"/>
  <c r="W182" i="33"/>
  <c r="Z181" i="33"/>
  <c r="Y181" i="33"/>
  <c r="X181" i="33"/>
  <c r="W181" i="33"/>
  <c r="Z180" i="33"/>
  <c r="Y180" i="33"/>
  <c r="X180" i="33"/>
  <c r="W180" i="33"/>
  <c r="Z179" i="33"/>
  <c r="Y179" i="33"/>
  <c r="X179" i="33"/>
  <c r="W179" i="33"/>
  <c r="Z178" i="33"/>
  <c r="Y178" i="33"/>
  <c r="X178" i="33"/>
  <c r="W178" i="33"/>
  <c r="Z177" i="33"/>
  <c r="Y177" i="33"/>
  <c r="X177" i="33"/>
  <c r="W177" i="33"/>
  <c r="Z176" i="33"/>
  <c r="Y176" i="33"/>
  <c r="X176" i="33"/>
  <c r="W176" i="33"/>
  <c r="Z175" i="33"/>
  <c r="Y175" i="33"/>
  <c r="X175" i="33"/>
  <c r="W175" i="33"/>
  <c r="Z174" i="33"/>
  <c r="Y174" i="33"/>
  <c r="X174" i="33"/>
  <c r="W174" i="33"/>
  <c r="Z173" i="33"/>
  <c r="Y173" i="33"/>
  <c r="X173" i="33"/>
  <c r="W173" i="33"/>
  <c r="Z172" i="33"/>
  <c r="Y172" i="33"/>
  <c r="X172" i="33"/>
  <c r="W172" i="33"/>
  <c r="Z171" i="33"/>
  <c r="Y171" i="33"/>
  <c r="X171" i="33"/>
  <c r="W171" i="33"/>
  <c r="Z170" i="33"/>
  <c r="Y170" i="33"/>
  <c r="X170" i="33"/>
  <c r="W170" i="33"/>
  <c r="Z169" i="33"/>
  <c r="Y169" i="33"/>
  <c r="X169" i="33"/>
  <c r="W169" i="33"/>
  <c r="Z168" i="33"/>
  <c r="Y168" i="33"/>
  <c r="X168" i="33"/>
  <c r="W168" i="33"/>
  <c r="Z167" i="33"/>
  <c r="Y167" i="33"/>
  <c r="X167" i="33"/>
  <c r="W167" i="33"/>
  <c r="Z166" i="33"/>
  <c r="Y166" i="33"/>
  <c r="X166" i="33"/>
  <c r="W166" i="33"/>
  <c r="Z165" i="33"/>
  <c r="Y165" i="33"/>
  <c r="X165" i="33"/>
  <c r="W165" i="33"/>
  <c r="Z164" i="33"/>
  <c r="Y164" i="33"/>
  <c r="X164" i="33"/>
  <c r="W164" i="33"/>
  <c r="Z163" i="33"/>
  <c r="Y163" i="33"/>
  <c r="X163" i="33"/>
  <c r="W163" i="33"/>
  <c r="Z162" i="33"/>
  <c r="Y162" i="33"/>
  <c r="X162" i="33"/>
  <c r="W162" i="33"/>
  <c r="Z161" i="33"/>
  <c r="Y161" i="33"/>
  <c r="X161" i="33"/>
  <c r="W161" i="33"/>
  <c r="Z160" i="33"/>
  <c r="Y160" i="33"/>
  <c r="X160" i="33"/>
  <c r="W160" i="33"/>
  <c r="Z159" i="33"/>
  <c r="Y159" i="33"/>
  <c r="X159" i="33"/>
  <c r="W159" i="33"/>
  <c r="Z158" i="33"/>
  <c r="Y158" i="33"/>
  <c r="X158" i="33"/>
  <c r="W158" i="33"/>
  <c r="Z157" i="33"/>
  <c r="Y157" i="33"/>
  <c r="X157" i="33"/>
  <c r="W157" i="33"/>
  <c r="Z156" i="33"/>
  <c r="Y156" i="33"/>
  <c r="X156" i="33"/>
  <c r="W156" i="33"/>
  <c r="Z155" i="33"/>
  <c r="Y155" i="33"/>
  <c r="X155" i="33"/>
  <c r="W155" i="33"/>
  <c r="Z154" i="33"/>
  <c r="Y154" i="33"/>
  <c r="X154" i="33"/>
  <c r="W154" i="33"/>
  <c r="Z153" i="33"/>
  <c r="Y153" i="33"/>
  <c r="X153" i="33"/>
  <c r="W153" i="33"/>
  <c r="Z152" i="33"/>
  <c r="Y152" i="33"/>
  <c r="X152" i="33"/>
  <c r="W152" i="33"/>
  <c r="Z151" i="33"/>
  <c r="Y151" i="33"/>
  <c r="X151" i="33"/>
  <c r="W151" i="33"/>
  <c r="Z150" i="33"/>
  <c r="Y150" i="33"/>
  <c r="X150" i="33"/>
  <c r="W150" i="33"/>
  <c r="Z149" i="33"/>
  <c r="Y149" i="33"/>
  <c r="X149" i="33"/>
  <c r="W149" i="33"/>
  <c r="Z148" i="33"/>
  <c r="Y148" i="33"/>
  <c r="X148" i="33"/>
  <c r="W148" i="33"/>
  <c r="Z147" i="33"/>
  <c r="Y147" i="33"/>
  <c r="X147" i="33"/>
  <c r="W147" i="33"/>
  <c r="Z146" i="33"/>
  <c r="Y146" i="33"/>
  <c r="X146" i="33"/>
  <c r="W146" i="33"/>
  <c r="Z145" i="33"/>
  <c r="Y145" i="33"/>
  <c r="X145" i="33"/>
  <c r="W145" i="33"/>
  <c r="Z144" i="33"/>
  <c r="Y144" i="33"/>
  <c r="X144" i="33"/>
  <c r="W144" i="33"/>
  <c r="Z143" i="33"/>
  <c r="Y143" i="33"/>
  <c r="X143" i="33"/>
  <c r="W143" i="33"/>
  <c r="Z142" i="33"/>
  <c r="Y142" i="33"/>
  <c r="X142" i="33"/>
  <c r="W142" i="33"/>
  <c r="Z141" i="33"/>
  <c r="Y141" i="33"/>
  <c r="X141" i="33"/>
  <c r="W141" i="33"/>
  <c r="Z140" i="33"/>
  <c r="Y140" i="33"/>
  <c r="X140" i="33"/>
  <c r="W140" i="33"/>
  <c r="Z139" i="33"/>
  <c r="Y139" i="33"/>
  <c r="X139" i="33"/>
  <c r="W139" i="33"/>
  <c r="Z138" i="33"/>
  <c r="Y138" i="33"/>
  <c r="X138" i="33"/>
  <c r="W138" i="33"/>
  <c r="Z137" i="33"/>
  <c r="Y137" i="33"/>
  <c r="X137" i="33"/>
  <c r="W137" i="33"/>
  <c r="Z136" i="33"/>
  <c r="Y136" i="33"/>
  <c r="X136" i="33"/>
  <c r="W136" i="33"/>
  <c r="Z135" i="33"/>
  <c r="Y135" i="33"/>
  <c r="X135" i="33"/>
  <c r="W135" i="33"/>
  <c r="Z134" i="33"/>
  <c r="Y134" i="33"/>
  <c r="X134" i="33"/>
  <c r="W134" i="33"/>
  <c r="Z133" i="33"/>
  <c r="Y133" i="33"/>
  <c r="X133" i="33"/>
  <c r="W133" i="33"/>
  <c r="Z132" i="33"/>
  <c r="Y132" i="33"/>
  <c r="X132" i="33"/>
  <c r="W132" i="33"/>
  <c r="Z131" i="33"/>
  <c r="Y131" i="33"/>
  <c r="X131" i="33"/>
  <c r="W131" i="33"/>
  <c r="Z130" i="33"/>
  <c r="Y130" i="33"/>
  <c r="X130" i="33"/>
  <c r="W130" i="33"/>
  <c r="Z129" i="33"/>
  <c r="Y129" i="33"/>
  <c r="X129" i="33"/>
  <c r="W129" i="33"/>
  <c r="Z128" i="33"/>
  <c r="Y128" i="33"/>
  <c r="X128" i="33"/>
  <c r="W128" i="33"/>
  <c r="Z127" i="33"/>
  <c r="Y127" i="33"/>
  <c r="X127" i="33"/>
  <c r="W127" i="33"/>
  <c r="Z126" i="33"/>
  <c r="Y126" i="33"/>
  <c r="X126" i="33"/>
  <c r="W126" i="33"/>
  <c r="Z125" i="33"/>
  <c r="Y125" i="33"/>
  <c r="X125" i="33"/>
  <c r="W125" i="33"/>
  <c r="Z124" i="33"/>
  <c r="Y124" i="33"/>
  <c r="X124" i="33"/>
  <c r="W124" i="33"/>
  <c r="Z123" i="33"/>
  <c r="Y123" i="33"/>
  <c r="X123" i="33"/>
  <c r="W123" i="33"/>
  <c r="Z122" i="33"/>
  <c r="Y122" i="33"/>
  <c r="X122" i="33"/>
  <c r="W122" i="33"/>
  <c r="Z121" i="33"/>
  <c r="Y121" i="33"/>
  <c r="X121" i="33"/>
  <c r="W121" i="33"/>
  <c r="Z120" i="33"/>
  <c r="Y120" i="33"/>
  <c r="X120" i="33"/>
  <c r="W120" i="33"/>
  <c r="Z119" i="33"/>
  <c r="Y119" i="33"/>
  <c r="X119" i="33"/>
  <c r="W119" i="33"/>
  <c r="Z118" i="33"/>
  <c r="Y118" i="33"/>
  <c r="X118" i="33"/>
  <c r="W118" i="33"/>
  <c r="Z117" i="33"/>
  <c r="Y117" i="33"/>
  <c r="X117" i="33"/>
  <c r="W117" i="33"/>
  <c r="Z116" i="33"/>
  <c r="Y116" i="33"/>
  <c r="X116" i="33"/>
  <c r="W116" i="33"/>
  <c r="Z115" i="33"/>
  <c r="Y115" i="33"/>
  <c r="X115" i="33"/>
  <c r="W115" i="33"/>
  <c r="Z114" i="33"/>
  <c r="Y114" i="33"/>
  <c r="X114" i="33"/>
  <c r="W114" i="33"/>
  <c r="Z113" i="33"/>
  <c r="Y113" i="33"/>
  <c r="X113" i="33"/>
  <c r="W113" i="33"/>
  <c r="Z112" i="33"/>
  <c r="Y112" i="33"/>
  <c r="X112" i="33"/>
  <c r="W112" i="33"/>
  <c r="Z111" i="33"/>
  <c r="Y111" i="33"/>
  <c r="X111" i="33"/>
  <c r="W111" i="33"/>
  <c r="Z110" i="33"/>
  <c r="Y110" i="33"/>
  <c r="X110" i="33"/>
  <c r="W110" i="33"/>
  <c r="Z109" i="33"/>
  <c r="Y109" i="33"/>
  <c r="X109" i="33"/>
  <c r="W109" i="33"/>
  <c r="Z108" i="33"/>
  <c r="Y108" i="33"/>
  <c r="X108" i="33"/>
  <c r="W108" i="33"/>
  <c r="Z107" i="33"/>
  <c r="Y107" i="33"/>
  <c r="X107" i="33"/>
  <c r="W107" i="33"/>
  <c r="Z106" i="33"/>
  <c r="Y106" i="33"/>
  <c r="X106" i="33"/>
  <c r="W106" i="33"/>
  <c r="Z105" i="33"/>
  <c r="Y105" i="33"/>
  <c r="X105" i="33"/>
  <c r="W105" i="33"/>
  <c r="Z104" i="33"/>
  <c r="Y104" i="33"/>
  <c r="X104" i="33"/>
  <c r="W104" i="33"/>
  <c r="Z103" i="33"/>
  <c r="Y103" i="33"/>
  <c r="X103" i="33"/>
  <c r="W103" i="33"/>
  <c r="Z102" i="33"/>
  <c r="Y102" i="33"/>
  <c r="X102" i="33"/>
  <c r="W102" i="33"/>
  <c r="Z101" i="33"/>
  <c r="Y101" i="33"/>
  <c r="X101" i="33"/>
  <c r="W101" i="33"/>
  <c r="Z100" i="33"/>
  <c r="Y100" i="33"/>
  <c r="X100" i="33"/>
  <c r="W100" i="33"/>
  <c r="Z99" i="33"/>
  <c r="Y99" i="33"/>
  <c r="X99" i="33"/>
  <c r="W99" i="33"/>
  <c r="Z98" i="33"/>
  <c r="Y98" i="33"/>
  <c r="X98" i="33"/>
  <c r="W98" i="33"/>
  <c r="Z97" i="33"/>
  <c r="Y97" i="33"/>
  <c r="X97" i="33"/>
  <c r="W97" i="33"/>
  <c r="Z96" i="33"/>
  <c r="Y96" i="33"/>
  <c r="X96" i="33"/>
  <c r="W96" i="33"/>
  <c r="Z95" i="33"/>
  <c r="Y95" i="33"/>
  <c r="X95" i="33"/>
  <c r="W95" i="33"/>
  <c r="Z94" i="33"/>
  <c r="Y94" i="33"/>
  <c r="X94" i="33"/>
  <c r="W94" i="33"/>
  <c r="Z93" i="33"/>
  <c r="Y93" i="33"/>
  <c r="X93" i="33"/>
  <c r="W93" i="33"/>
  <c r="Z92" i="33"/>
  <c r="Y92" i="33"/>
  <c r="X92" i="33"/>
  <c r="W92" i="33"/>
  <c r="Z91" i="33"/>
  <c r="Y91" i="33"/>
  <c r="X91" i="33"/>
  <c r="W91" i="33"/>
  <c r="Z90" i="33"/>
  <c r="Y90" i="33"/>
  <c r="X90" i="33"/>
  <c r="W90" i="33"/>
  <c r="Z89" i="33"/>
  <c r="Y89" i="33"/>
  <c r="X89" i="33"/>
  <c r="W89" i="33"/>
  <c r="Z88" i="33"/>
  <c r="Y88" i="33"/>
  <c r="X88" i="33"/>
  <c r="W88" i="33"/>
  <c r="Z87" i="33"/>
  <c r="Y87" i="33"/>
  <c r="X87" i="33"/>
  <c r="W87" i="33"/>
  <c r="Z86" i="33"/>
  <c r="Y86" i="33"/>
  <c r="X86" i="33"/>
  <c r="W86" i="33"/>
  <c r="Z85" i="33"/>
  <c r="Y85" i="33"/>
  <c r="X85" i="33"/>
  <c r="W85" i="33"/>
  <c r="Z84" i="33"/>
  <c r="Y84" i="33"/>
  <c r="X84" i="33"/>
  <c r="W84" i="33"/>
  <c r="Z83" i="33"/>
  <c r="Y83" i="33"/>
  <c r="X83" i="33"/>
  <c r="W83" i="33"/>
  <c r="Z82" i="33"/>
  <c r="Y82" i="33"/>
  <c r="X82" i="33"/>
  <c r="W82" i="33"/>
  <c r="Z81" i="33"/>
  <c r="Y81" i="33"/>
  <c r="X81" i="33"/>
  <c r="W81" i="33"/>
  <c r="Z80" i="33"/>
  <c r="Y80" i="33"/>
  <c r="X80" i="33"/>
  <c r="W80" i="33"/>
  <c r="Z79" i="33"/>
  <c r="Y79" i="33"/>
  <c r="X79" i="33"/>
  <c r="W79" i="33"/>
  <c r="Z78" i="33"/>
  <c r="Y78" i="33"/>
  <c r="X78" i="33"/>
  <c r="W78" i="33"/>
  <c r="Z77" i="33"/>
  <c r="Y77" i="33"/>
  <c r="X77" i="33"/>
  <c r="W77" i="33"/>
  <c r="Z76" i="33"/>
  <c r="Y76" i="33"/>
  <c r="X76" i="33"/>
  <c r="W76" i="33"/>
  <c r="Z75" i="33"/>
  <c r="Y75" i="33"/>
  <c r="X75" i="33"/>
  <c r="W75" i="33"/>
  <c r="Z74" i="33"/>
  <c r="Y74" i="33"/>
  <c r="X74" i="33"/>
  <c r="W74" i="33"/>
  <c r="Z73" i="33"/>
  <c r="Y73" i="33"/>
  <c r="X73" i="33"/>
  <c r="W73" i="33"/>
  <c r="Z72" i="33"/>
  <c r="Y72" i="33"/>
  <c r="X72" i="33"/>
  <c r="W72" i="33"/>
  <c r="Z71" i="33"/>
  <c r="Y71" i="33"/>
  <c r="X71" i="33"/>
  <c r="W71" i="33"/>
  <c r="Z70" i="33"/>
  <c r="Y70" i="33"/>
  <c r="X70" i="33"/>
  <c r="W70" i="33"/>
  <c r="Z69" i="33"/>
  <c r="Y69" i="33"/>
  <c r="X69" i="33"/>
  <c r="W69" i="33"/>
  <c r="Z68" i="33"/>
  <c r="Y68" i="33"/>
  <c r="X68" i="33"/>
  <c r="W68" i="33"/>
  <c r="Z67" i="33"/>
  <c r="Y67" i="33"/>
  <c r="X67" i="33"/>
  <c r="W67" i="33"/>
  <c r="Z66" i="33"/>
  <c r="Y66" i="33"/>
  <c r="X66" i="33"/>
  <c r="W66" i="33"/>
  <c r="Z65" i="33"/>
  <c r="Y65" i="33"/>
  <c r="X65" i="33"/>
  <c r="W65" i="33"/>
  <c r="Z64" i="33"/>
  <c r="Y64" i="33"/>
  <c r="X64" i="33"/>
  <c r="W64" i="33"/>
  <c r="Z63" i="33"/>
  <c r="Y63" i="33"/>
  <c r="X63" i="33"/>
  <c r="W63" i="33"/>
  <c r="Z62" i="33"/>
  <c r="Y62" i="33"/>
  <c r="X62" i="33"/>
  <c r="W62" i="33"/>
  <c r="Z61" i="33"/>
  <c r="Y61" i="33"/>
  <c r="X61" i="33"/>
  <c r="W61" i="33"/>
  <c r="Z60" i="33"/>
  <c r="Y60" i="33"/>
  <c r="X60" i="33"/>
  <c r="W60" i="33"/>
  <c r="Z59" i="33"/>
  <c r="Y59" i="33"/>
  <c r="X59" i="33"/>
  <c r="W59" i="33"/>
  <c r="Z58" i="33"/>
  <c r="Y58" i="33"/>
  <c r="X58" i="33"/>
  <c r="W58" i="33"/>
  <c r="Z57" i="33"/>
  <c r="Y57" i="33"/>
  <c r="X57" i="33"/>
  <c r="W57" i="33"/>
  <c r="Z56" i="33"/>
  <c r="Y56" i="33"/>
  <c r="X56" i="33"/>
  <c r="W56" i="33"/>
  <c r="Z55" i="33"/>
  <c r="Y55" i="33"/>
  <c r="X55" i="33"/>
  <c r="W55" i="33"/>
  <c r="Z54" i="33"/>
  <c r="Y54" i="33"/>
  <c r="X54" i="33"/>
  <c r="W54" i="33"/>
  <c r="Z53" i="33"/>
  <c r="Y53" i="33"/>
  <c r="X53" i="33"/>
  <c r="W53" i="33"/>
  <c r="Z52" i="33"/>
  <c r="Y52" i="33"/>
  <c r="X52" i="33"/>
  <c r="W52" i="33"/>
  <c r="Z51" i="33"/>
  <c r="Y51" i="33"/>
  <c r="X51" i="33"/>
  <c r="W51" i="33"/>
  <c r="Z50" i="33"/>
  <c r="Y50" i="33"/>
  <c r="X50" i="33"/>
  <c r="W50" i="33"/>
  <c r="Z49" i="33"/>
  <c r="Y49" i="33"/>
  <c r="X49" i="33"/>
  <c r="W49" i="33"/>
  <c r="Z48" i="33"/>
  <c r="Y48" i="33"/>
  <c r="X48" i="33"/>
  <c r="W48" i="33"/>
  <c r="Z47" i="33"/>
  <c r="Y47" i="33"/>
  <c r="X47" i="33"/>
  <c r="W47" i="33"/>
  <c r="Z46" i="33"/>
  <c r="Y46" i="33"/>
  <c r="X46" i="33"/>
  <c r="W46" i="33"/>
  <c r="Z45" i="33"/>
  <c r="Y45" i="33"/>
  <c r="X45" i="33"/>
  <c r="W45" i="33"/>
  <c r="Z44" i="33"/>
  <c r="Y44" i="33"/>
  <c r="X44" i="33"/>
  <c r="W44" i="33"/>
  <c r="Z43" i="33"/>
  <c r="Y43" i="33"/>
  <c r="X43" i="33"/>
  <c r="W43" i="33"/>
  <c r="Z42" i="33"/>
  <c r="Y42" i="33"/>
  <c r="X42" i="33"/>
  <c r="W42" i="33"/>
  <c r="Z41" i="33"/>
  <c r="Y41" i="33"/>
  <c r="X41" i="33"/>
  <c r="W41" i="33"/>
  <c r="Z40" i="33"/>
  <c r="Y40" i="33"/>
  <c r="X40" i="33"/>
  <c r="W40" i="33"/>
  <c r="Z39" i="33"/>
  <c r="Y39" i="33"/>
  <c r="X39" i="33"/>
  <c r="W39" i="33"/>
  <c r="Z38" i="33"/>
  <c r="Y38" i="33"/>
  <c r="X38" i="33"/>
  <c r="W38" i="33"/>
  <c r="Z37" i="33"/>
  <c r="Y37" i="33"/>
  <c r="X37" i="33"/>
  <c r="W37" i="33"/>
  <c r="Z36" i="33"/>
  <c r="Y36" i="33"/>
  <c r="X36" i="33"/>
  <c r="W36" i="33"/>
  <c r="Z35" i="33"/>
  <c r="Y35" i="33"/>
  <c r="X35" i="33"/>
  <c r="W35" i="33"/>
  <c r="Z34" i="33"/>
  <c r="Y34" i="33"/>
  <c r="X34" i="33"/>
  <c r="W34" i="33"/>
  <c r="Z33" i="33"/>
  <c r="Y33" i="33"/>
  <c r="X33" i="33"/>
  <c r="W33" i="33"/>
  <c r="Z32" i="33"/>
  <c r="Y32" i="33"/>
  <c r="X32" i="33"/>
  <c r="W32" i="33"/>
  <c r="Z31" i="33"/>
  <c r="Y31" i="33"/>
  <c r="X31" i="33"/>
  <c r="W31" i="33"/>
  <c r="Z30" i="33"/>
  <c r="Y30" i="33"/>
  <c r="X30" i="33"/>
  <c r="W30" i="33"/>
  <c r="Z29" i="33"/>
  <c r="Y29" i="33"/>
  <c r="X29" i="33"/>
  <c r="W29" i="33"/>
  <c r="Z28" i="33"/>
  <c r="Y28" i="33"/>
  <c r="X28" i="33"/>
  <c r="W28" i="33"/>
  <c r="Z27" i="33"/>
  <c r="Y27" i="33"/>
  <c r="X27" i="33"/>
  <c r="W27" i="33"/>
  <c r="Z26" i="33"/>
  <c r="Y26" i="33"/>
  <c r="X26" i="33"/>
  <c r="W26" i="33"/>
  <c r="Z25" i="33"/>
  <c r="Y25" i="33"/>
  <c r="X25" i="33"/>
  <c r="W25" i="33"/>
  <c r="Z24" i="33"/>
  <c r="Y24" i="33"/>
  <c r="X24" i="33"/>
  <c r="W24" i="33"/>
  <c r="Z23" i="33"/>
  <c r="Y23" i="33"/>
  <c r="X23" i="33"/>
  <c r="W23" i="33"/>
  <c r="Z22" i="33"/>
  <c r="Y22" i="33"/>
  <c r="X22" i="33"/>
  <c r="W22" i="33"/>
  <c r="Z21" i="33"/>
  <c r="Y21" i="33"/>
  <c r="X21" i="33"/>
  <c r="W21" i="33"/>
  <c r="Z20" i="33"/>
  <c r="Y20" i="33"/>
  <c r="X20" i="33"/>
  <c r="W20" i="33"/>
  <c r="Z19" i="33"/>
  <c r="Y19" i="33"/>
  <c r="X19" i="33"/>
  <c r="W19" i="33"/>
  <c r="Z18" i="33"/>
  <c r="Y18" i="33"/>
  <c r="X18" i="33"/>
  <c r="W18" i="33"/>
  <c r="Z17" i="33"/>
  <c r="Y17" i="33"/>
  <c r="X17" i="33"/>
  <c r="W17" i="33"/>
  <c r="Z16" i="33"/>
  <c r="Y16" i="33"/>
  <c r="X16" i="33"/>
  <c r="W16" i="33"/>
  <c r="Z15" i="33"/>
  <c r="Y15" i="33"/>
  <c r="X15" i="33"/>
  <c r="W15" i="33"/>
  <c r="Z14" i="33"/>
  <c r="Y14" i="33"/>
  <c r="X14" i="33"/>
  <c r="W14" i="33"/>
  <c r="Z13" i="33"/>
  <c r="Y13" i="33"/>
  <c r="X13" i="33"/>
  <c r="W13" i="33"/>
  <c r="Z12" i="33"/>
  <c r="Y12" i="33"/>
  <c r="X12" i="33"/>
  <c r="W12" i="33"/>
  <c r="Z11" i="33"/>
  <c r="Y11" i="33"/>
  <c r="X11" i="33"/>
  <c r="W11" i="33"/>
  <c r="Z10" i="33"/>
  <c r="Y10" i="33"/>
  <c r="X10" i="33"/>
  <c r="W10" i="33"/>
  <c r="Z9" i="33"/>
  <c r="Y9" i="33"/>
  <c r="X9" i="33"/>
  <c r="W9" i="33"/>
  <c r="Z8" i="33"/>
  <c r="Y8" i="33"/>
  <c r="X8" i="33"/>
  <c r="W8" i="33"/>
  <c r="Z7" i="33"/>
  <c r="Y7" i="33"/>
  <c r="X7" i="33"/>
  <c r="W7" i="33"/>
  <c r="Z6" i="33"/>
  <c r="Y6" i="33"/>
  <c r="X6" i="33"/>
  <c r="W6" i="33"/>
  <c r="Z5" i="33"/>
  <c r="Y5" i="33"/>
  <c r="X5" i="33"/>
  <c r="W5" i="33"/>
  <c r="Z4" i="33"/>
  <c r="Y4" i="33"/>
  <c r="X4" i="33"/>
  <c r="W4" i="33"/>
  <c r="Z3" i="33"/>
  <c r="Y3" i="33"/>
  <c r="X3" i="33"/>
  <c r="W3" i="33"/>
  <c r="R3" i="33"/>
  <c r="I32" i="34" l="1"/>
  <c r="I33" i="34"/>
  <c r="I27" i="34"/>
  <c r="I29" i="34"/>
  <c r="I37" i="34"/>
  <c r="I23" i="34"/>
  <c r="I28" i="34"/>
  <c r="T368" i="33"/>
  <c r="H368" i="33" s="1"/>
  <c r="S3" i="33"/>
  <c r="T3" i="33"/>
  <c r="M3" i="33" s="1"/>
  <c r="T124" i="33"/>
  <c r="T247" i="33"/>
  <c r="AC5" i="25"/>
  <c r="R371" i="32"/>
  <c r="S371" i="32"/>
  <c r="R372" i="32"/>
  <c r="S372" i="32"/>
  <c r="R373" i="32"/>
  <c r="S373" i="32"/>
  <c r="C373" i="32" s="1"/>
  <c r="R374" i="32"/>
  <c r="S374" i="32"/>
  <c r="R375" i="32"/>
  <c r="S375" i="32"/>
  <c r="R376" i="32"/>
  <c r="S376" i="32"/>
  <c r="R377" i="32"/>
  <c r="S377" i="32"/>
  <c r="C377" i="32" s="1"/>
  <c r="R378" i="32"/>
  <c r="S378" i="32"/>
  <c r="R379" i="32"/>
  <c r="S379" i="32"/>
  <c r="R380" i="32"/>
  <c r="S380" i="32"/>
  <c r="R381" i="32"/>
  <c r="S381" i="32"/>
  <c r="O371" i="32"/>
  <c r="P371" i="32"/>
  <c r="O372" i="32"/>
  <c r="P372" i="32"/>
  <c r="O373" i="32"/>
  <c r="P373" i="32"/>
  <c r="O374" i="32"/>
  <c r="P374" i="32"/>
  <c r="O375" i="32"/>
  <c r="P375" i="32"/>
  <c r="O376" i="32"/>
  <c r="P376" i="32"/>
  <c r="O377" i="32"/>
  <c r="P377" i="32"/>
  <c r="O378" i="32"/>
  <c r="P378" i="32"/>
  <c r="O379" i="32"/>
  <c r="P379" i="32"/>
  <c r="O380" i="32"/>
  <c r="P380" i="32"/>
  <c r="O381" i="32"/>
  <c r="P381" i="32"/>
  <c r="L371" i="32"/>
  <c r="M371" i="32"/>
  <c r="L372" i="32"/>
  <c r="M372" i="32"/>
  <c r="L373" i="32"/>
  <c r="M373" i="32"/>
  <c r="L374" i="32"/>
  <c r="M374" i="32"/>
  <c r="L375" i="32"/>
  <c r="M375" i="32"/>
  <c r="L376" i="32"/>
  <c r="M376" i="32"/>
  <c r="L377" i="32"/>
  <c r="M377" i="32"/>
  <c r="L378" i="32"/>
  <c r="M378" i="32"/>
  <c r="L379" i="32"/>
  <c r="M379" i="32"/>
  <c r="L380" i="32"/>
  <c r="M380" i="32"/>
  <c r="L381" i="32"/>
  <c r="M381" i="32"/>
  <c r="I371" i="32"/>
  <c r="J371" i="32"/>
  <c r="I372" i="32"/>
  <c r="J372" i="32"/>
  <c r="I373" i="32"/>
  <c r="J373" i="32"/>
  <c r="I374" i="32"/>
  <c r="J374" i="32"/>
  <c r="I375" i="32"/>
  <c r="J375" i="32"/>
  <c r="I376" i="32"/>
  <c r="J376" i="32"/>
  <c r="I377" i="32"/>
  <c r="J377" i="32"/>
  <c r="I378" i="32"/>
  <c r="J378" i="32"/>
  <c r="I379" i="32"/>
  <c r="J379" i="32"/>
  <c r="I380" i="32"/>
  <c r="J380" i="32"/>
  <c r="I381" i="32"/>
  <c r="J381" i="32"/>
  <c r="S370" i="32"/>
  <c r="R370" i="32"/>
  <c r="P370" i="32"/>
  <c r="O370" i="32"/>
  <c r="M370" i="32"/>
  <c r="L370" i="32"/>
  <c r="J370" i="32"/>
  <c r="I370" i="32"/>
  <c r="F371" i="32"/>
  <c r="G371" i="32"/>
  <c r="F372" i="32"/>
  <c r="G372" i="32"/>
  <c r="F373" i="32"/>
  <c r="G373" i="32"/>
  <c r="F374" i="32"/>
  <c r="G374" i="32"/>
  <c r="F375" i="32"/>
  <c r="G375" i="32"/>
  <c r="F376" i="32"/>
  <c r="G376" i="32"/>
  <c r="F377" i="32"/>
  <c r="G377" i="32"/>
  <c r="F378" i="32"/>
  <c r="G378" i="32"/>
  <c r="F379" i="32"/>
  <c r="G379" i="32"/>
  <c r="F380" i="32"/>
  <c r="G380" i="32"/>
  <c r="F381" i="32"/>
  <c r="G381" i="32"/>
  <c r="G370" i="32"/>
  <c r="F370" i="32"/>
  <c r="S369" i="32"/>
  <c r="P369" i="32"/>
  <c r="M369" i="32"/>
  <c r="J369" i="32"/>
  <c r="G369" i="32"/>
  <c r="R250" i="32"/>
  <c r="S250" i="32"/>
  <c r="R251" i="32"/>
  <c r="S251" i="32"/>
  <c r="R252" i="32"/>
  <c r="S252" i="32"/>
  <c r="R253" i="32"/>
  <c r="S253" i="32"/>
  <c r="R254" i="32"/>
  <c r="S254" i="32"/>
  <c r="R255" i="32"/>
  <c r="S255" i="32"/>
  <c r="R256" i="32"/>
  <c r="S256" i="32"/>
  <c r="R257" i="32"/>
  <c r="S257" i="32"/>
  <c r="R258" i="32"/>
  <c r="S258" i="32"/>
  <c r="R259" i="32"/>
  <c r="S259" i="32"/>
  <c r="R260" i="32"/>
  <c r="S260" i="32"/>
  <c r="R261" i="32"/>
  <c r="S261" i="32"/>
  <c r="R262" i="32"/>
  <c r="S262" i="32"/>
  <c r="R263" i="32"/>
  <c r="S263" i="32"/>
  <c r="R264" i="32"/>
  <c r="S264" i="32"/>
  <c r="R265" i="32"/>
  <c r="S265" i="32"/>
  <c r="R266" i="32"/>
  <c r="S266" i="32"/>
  <c r="R267" i="32"/>
  <c r="S267" i="32"/>
  <c r="R268" i="32"/>
  <c r="S268" i="32"/>
  <c r="R269" i="32"/>
  <c r="S269" i="32"/>
  <c r="R270" i="32"/>
  <c r="S270" i="32"/>
  <c r="R271" i="32"/>
  <c r="S271" i="32"/>
  <c r="R272" i="32"/>
  <c r="S272" i="32"/>
  <c r="R273" i="32"/>
  <c r="S273" i="32"/>
  <c r="R274" i="32"/>
  <c r="S274" i="32"/>
  <c r="R275" i="32"/>
  <c r="S275" i="32"/>
  <c r="R276" i="32"/>
  <c r="S276" i="32"/>
  <c r="R277" i="32"/>
  <c r="S277" i="32"/>
  <c r="R278" i="32"/>
  <c r="S278" i="32"/>
  <c r="R279" i="32"/>
  <c r="S279" i="32"/>
  <c r="R280" i="32"/>
  <c r="S280" i="32"/>
  <c r="R281" i="32"/>
  <c r="S281" i="32"/>
  <c r="R282" i="32"/>
  <c r="S282" i="32"/>
  <c r="R283" i="32"/>
  <c r="S283" i="32"/>
  <c r="R284" i="32"/>
  <c r="S284" i="32"/>
  <c r="R285" i="32"/>
  <c r="S285" i="32"/>
  <c r="R286" i="32"/>
  <c r="S286" i="32"/>
  <c r="R287" i="32"/>
  <c r="S287" i="32"/>
  <c r="R288" i="32"/>
  <c r="S288" i="32"/>
  <c r="R289" i="32"/>
  <c r="S289" i="32"/>
  <c r="R290" i="32"/>
  <c r="S290" i="32"/>
  <c r="R291" i="32"/>
  <c r="S291" i="32"/>
  <c r="R292" i="32"/>
  <c r="S292" i="32"/>
  <c r="R293" i="32"/>
  <c r="S293" i="32"/>
  <c r="R294" i="32"/>
  <c r="S294" i="32"/>
  <c r="R295" i="32"/>
  <c r="S295" i="32"/>
  <c r="R296" i="32"/>
  <c r="S296" i="32"/>
  <c r="R297" i="32"/>
  <c r="S297" i="32"/>
  <c r="R298" i="32"/>
  <c r="S298" i="32"/>
  <c r="R299" i="32"/>
  <c r="S299" i="32"/>
  <c r="R300" i="32"/>
  <c r="S300" i="32"/>
  <c r="R301" i="32"/>
  <c r="S301" i="32"/>
  <c r="R302" i="32"/>
  <c r="S302" i="32"/>
  <c r="R303" i="32"/>
  <c r="S303" i="32"/>
  <c r="R304" i="32"/>
  <c r="S304" i="32"/>
  <c r="R305" i="32"/>
  <c r="S305" i="32"/>
  <c r="R306" i="32"/>
  <c r="S306" i="32"/>
  <c r="R307" i="32"/>
  <c r="S307" i="32"/>
  <c r="R308" i="32"/>
  <c r="S308" i="32"/>
  <c r="R309" i="32"/>
  <c r="S309" i="32"/>
  <c r="R310" i="32"/>
  <c r="S310" i="32"/>
  <c r="R311" i="32"/>
  <c r="S311" i="32"/>
  <c r="R312" i="32"/>
  <c r="S312" i="32"/>
  <c r="R313" i="32"/>
  <c r="S313" i="32"/>
  <c r="R314" i="32"/>
  <c r="S314" i="32"/>
  <c r="R315" i="32"/>
  <c r="S315" i="32"/>
  <c r="R316" i="32"/>
  <c r="S316" i="32"/>
  <c r="R317" i="32"/>
  <c r="S317" i="32"/>
  <c r="R318" i="32"/>
  <c r="S318" i="32"/>
  <c r="R319" i="32"/>
  <c r="S319" i="32"/>
  <c r="R320" i="32"/>
  <c r="S320" i="32"/>
  <c r="R321" i="32"/>
  <c r="S321" i="32"/>
  <c r="R322" i="32"/>
  <c r="S322" i="32"/>
  <c r="R323" i="32"/>
  <c r="S323" i="32"/>
  <c r="R324" i="32"/>
  <c r="S324" i="32"/>
  <c r="R325" i="32"/>
  <c r="S325" i="32"/>
  <c r="R326" i="32"/>
  <c r="S326" i="32"/>
  <c r="R327" i="32"/>
  <c r="S327" i="32"/>
  <c r="R328" i="32"/>
  <c r="S328" i="32"/>
  <c r="R329" i="32"/>
  <c r="S329" i="32"/>
  <c r="R330" i="32"/>
  <c r="S330" i="32"/>
  <c r="R331" i="32"/>
  <c r="S331" i="32"/>
  <c r="R332" i="32"/>
  <c r="S332" i="32"/>
  <c r="R333" i="32"/>
  <c r="S333" i="32"/>
  <c r="R334" i="32"/>
  <c r="S334" i="32"/>
  <c r="R335" i="32"/>
  <c r="S335" i="32"/>
  <c r="R336" i="32"/>
  <c r="S336" i="32"/>
  <c r="R337" i="32"/>
  <c r="S337" i="32"/>
  <c r="R338" i="32"/>
  <c r="S338" i="32"/>
  <c r="R339" i="32"/>
  <c r="S339" i="32"/>
  <c r="R340" i="32"/>
  <c r="S340" i="32"/>
  <c r="R341" i="32"/>
  <c r="S341" i="32"/>
  <c r="R342" i="32"/>
  <c r="S342" i="32"/>
  <c r="R343" i="32"/>
  <c r="S343" i="32"/>
  <c r="R344" i="32"/>
  <c r="S344" i="32"/>
  <c r="R345" i="32"/>
  <c r="S345" i="32"/>
  <c r="R346" i="32"/>
  <c r="S346" i="32"/>
  <c r="R347" i="32"/>
  <c r="S347" i="32"/>
  <c r="R348" i="32"/>
  <c r="S348" i="32"/>
  <c r="R349" i="32"/>
  <c r="S349" i="32"/>
  <c r="R350" i="32"/>
  <c r="S350" i="32"/>
  <c r="R351" i="32"/>
  <c r="S351" i="32"/>
  <c r="R352" i="32"/>
  <c r="S352" i="32"/>
  <c r="R353" i="32"/>
  <c r="S353" i="32"/>
  <c r="R354" i="32"/>
  <c r="S354" i="32"/>
  <c r="R355" i="32"/>
  <c r="S355" i="32"/>
  <c r="R356" i="32"/>
  <c r="S356" i="32"/>
  <c r="R357" i="32"/>
  <c r="S357" i="32"/>
  <c r="R358" i="32"/>
  <c r="S358" i="32"/>
  <c r="R359" i="32"/>
  <c r="S359" i="32"/>
  <c r="R360" i="32"/>
  <c r="S360" i="32"/>
  <c r="R361" i="32"/>
  <c r="S361" i="32"/>
  <c r="R362" i="32"/>
  <c r="S362" i="32"/>
  <c r="R363" i="32"/>
  <c r="S363" i="32"/>
  <c r="R364" i="32"/>
  <c r="S364" i="32"/>
  <c r="R365" i="32"/>
  <c r="S365" i="32"/>
  <c r="R366" i="32"/>
  <c r="S366" i="32"/>
  <c r="R367" i="32"/>
  <c r="S367" i="32"/>
  <c r="R368" i="32"/>
  <c r="S368" i="32"/>
  <c r="S249" i="32"/>
  <c r="R249" i="32"/>
  <c r="O250" i="32"/>
  <c r="P250" i="32"/>
  <c r="P251" i="32" s="1"/>
  <c r="O251" i="32"/>
  <c r="O252" i="32"/>
  <c r="O253" i="32"/>
  <c r="O254" i="32"/>
  <c r="O255" i="32"/>
  <c r="O256" i="32"/>
  <c r="O257" i="32"/>
  <c r="O258" i="32"/>
  <c r="O259" i="32"/>
  <c r="O260" i="32"/>
  <c r="O261" i="32"/>
  <c r="O262" i="32"/>
  <c r="O263" i="32"/>
  <c r="O264" i="32"/>
  <c r="O265" i="32"/>
  <c r="O266" i="32"/>
  <c r="O267" i="32"/>
  <c r="O268" i="32"/>
  <c r="O269" i="32"/>
  <c r="O270" i="32"/>
  <c r="O271" i="32"/>
  <c r="O272" i="32"/>
  <c r="O273" i="32"/>
  <c r="O274" i="32"/>
  <c r="O275" i="32"/>
  <c r="O276" i="32"/>
  <c r="O277" i="32"/>
  <c r="O278" i="32"/>
  <c r="O279" i="32"/>
  <c r="O280" i="32"/>
  <c r="O281" i="32"/>
  <c r="O282" i="32"/>
  <c r="O283" i="32"/>
  <c r="O284" i="32"/>
  <c r="O285" i="32"/>
  <c r="O286" i="32"/>
  <c r="O287" i="32"/>
  <c r="O288" i="32"/>
  <c r="O289" i="32"/>
  <c r="O290" i="32"/>
  <c r="O291" i="32"/>
  <c r="O292" i="32"/>
  <c r="O293" i="32"/>
  <c r="O294" i="32"/>
  <c r="O295" i="32"/>
  <c r="O296" i="32"/>
  <c r="O297" i="32"/>
  <c r="O298" i="32"/>
  <c r="O299" i="32"/>
  <c r="O300" i="32"/>
  <c r="O301" i="32"/>
  <c r="O302" i="32"/>
  <c r="O303" i="32"/>
  <c r="O304" i="32"/>
  <c r="O305" i="32"/>
  <c r="O306" i="32"/>
  <c r="O307" i="32"/>
  <c r="O308" i="32"/>
  <c r="O309" i="32"/>
  <c r="O310" i="32"/>
  <c r="O311" i="32"/>
  <c r="O312" i="32"/>
  <c r="O313" i="32"/>
  <c r="O314" i="32"/>
  <c r="O315" i="32"/>
  <c r="O316" i="32"/>
  <c r="O317" i="32"/>
  <c r="O318" i="32"/>
  <c r="O319" i="32"/>
  <c r="O320" i="32"/>
  <c r="O321" i="32"/>
  <c r="O322" i="32"/>
  <c r="O323" i="32"/>
  <c r="O324" i="32"/>
  <c r="O325" i="32"/>
  <c r="O326" i="32"/>
  <c r="O327" i="32"/>
  <c r="O328" i="32"/>
  <c r="O329" i="32"/>
  <c r="O330" i="32"/>
  <c r="O331" i="32"/>
  <c r="O332" i="32"/>
  <c r="O333" i="32"/>
  <c r="O334" i="32"/>
  <c r="O335" i="32"/>
  <c r="O336" i="32"/>
  <c r="O337" i="32"/>
  <c r="O338" i="32"/>
  <c r="O339" i="32"/>
  <c r="O340" i="32"/>
  <c r="O341" i="32"/>
  <c r="O342" i="32"/>
  <c r="O343" i="32"/>
  <c r="O344" i="32"/>
  <c r="O345" i="32"/>
  <c r="O346" i="32"/>
  <c r="O347" i="32"/>
  <c r="O348" i="32"/>
  <c r="O349" i="32"/>
  <c r="O350" i="32"/>
  <c r="O351" i="32"/>
  <c r="O352" i="32"/>
  <c r="O353" i="32"/>
  <c r="O354" i="32"/>
  <c r="O355" i="32"/>
  <c r="O356" i="32"/>
  <c r="O357" i="32"/>
  <c r="O358" i="32"/>
  <c r="O359" i="32"/>
  <c r="O360" i="32"/>
  <c r="O361" i="32"/>
  <c r="O362" i="32"/>
  <c r="O363" i="32"/>
  <c r="O364" i="32"/>
  <c r="O365" i="32"/>
  <c r="O366" i="32"/>
  <c r="O367" i="32"/>
  <c r="O368" i="32"/>
  <c r="P249" i="32"/>
  <c r="O249" i="32"/>
  <c r="L250" i="32"/>
  <c r="M250" i="32"/>
  <c r="L251" i="32"/>
  <c r="M251" i="32"/>
  <c r="L252" i="32"/>
  <c r="M252" i="32"/>
  <c r="L253" i="32"/>
  <c r="M253" i="32"/>
  <c r="L254" i="32"/>
  <c r="M254" i="32"/>
  <c r="L255" i="32"/>
  <c r="M255" i="32"/>
  <c r="L256" i="32"/>
  <c r="M256" i="32"/>
  <c r="L257" i="32"/>
  <c r="M257" i="32"/>
  <c r="L258" i="32"/>
  <c r="M258" i="32"/>
  <c r="L259" i="32"/>
  <c r="M259" i="32"/>
  <c r="L260" i="32"/>
  <c r="M260" i="32"/>
  <c r="L261" i="32"/>
  <c r="M261" i="32"/>
  <c r="L262" i="32"/>
  <c r="M262" i="32"/>
  <c r="L263" i="32"/>
  <c r="M263" i="32"/>
  <c r="L264" i="32"/>
  <c r="M264" i="32"/>
  <c r="L265" i="32"/>
  <c r="M265" i="32"/>
  <c r="L266" i="32"/>
  <c r="M266" i="32"/>
  <c r="L267" i="32"/>
  <c r="M267" i="32"/>
  <c r="L268" i="32"/>
  <c r="M268" i="32"/>
  <c r="L269" i="32"/>
  <c r="M269" i="32"/>
  <c r="L270" i="32"/>
  <c r="M270" i="32"/>
  <c r="L271" i="32"/>
  <c r="M271" i="32"/>
  <c r="L272" i="32"/>
  <c r="M272" i="32"/>
  <c r="L273" i="32"/>
  <c r="M273" i="32"/>
  <c r="L274" i="32"/>
  <c r="M274" i="32"/>
  <c r="L275" i="32"/>
  <c r="M275" i="32"/>
  <c r="L276" i="32"/>
  <c r="M276" i="32"/>
  <c r="L277" i="32"/>
  <c r="M277" i="32"/>
  <c r="L278" i="32"/>
  <c r="M278" i="32"/>
  <c r="L279" i="32"/>
  <c r="M279" i="32"/>
  <c r="L280" i="32"/>
  <c r="M280" i="32"/>
  <c r="L281" i="32"/>
  <c r="M281" i="32"/>
  <c r="L282" i="32"/>
  <c r="M282" i="32"/>
  <c r="L283" i="32"/>
  <c r="M283" i="32"/>
  <c r="L284" i="32"/>
  <c r="M284" i="32"/>
  <c r="L285" i="32"/>
  <c r="M285" i="32"/>
  <c r="L286" i="32"/>
  <c r="M286" i="32"/>
  <c r="L287" i="32"/>
  <c r="M287" i="32"/>
  <c r="L288" i="32"/>
  <c r="M288" i="32"/>
  <c r="L289" i="32"/>
  <c r="M289" i="32"/>
  <c r="L290" i="32"/>
  <c r="M290" i="32"/>
  <c r="L291" i="32"/>
  <c r="M291" i="32"/>
  <c r="L292" i="32"/>
  <c r="M292" i="32"/>
  <c r="L293" i="32"/>
  <c r="M293" i="32"/>
  <c r="L294" i="32"/>
  <c r="M294" i="32"/>
  <c r="L295" i="32"/>
  <c r="M295" i="32"/>
  <c r="L296" i="32"/>
  <c r="M296" i="32"/>
  <c r="L297" i="32"/>
  <c r="M297" i="32"/>
  <c r="L298" i="32"/>
  <c r="M298" i="32"/>
  <c r="L299" i="32"/>
  <c r="M299" i="32"/>
  <c r="L300" i="32"/>
  <c r="M300" i="32"/>
  <c r="L301" i="32"/>
  <c r="M301" i="32"/>
  <c r="L302" i="32"/>
  <c r="M302" i="32"/>
  <c r="L303" i="32"/>
  <c r="M303" i="32"/>
  <c r="L304" i="32"/>
  <c r="M304" i="32"/>
  <c r="L305" i="32"/>
  <c r="M305" i="32"/>
  <c r="L306" i="32"/>
  <c r="M306" i="32"/>
  <c r="L307" i="32"/>
  <c r="M307" i="32"/>
  <c r="L308" i="32"/>
  <c r="M308" i="32"/>
  <c r="L309" i="32"/>
  <c r="M309" i="32"/>
  <c r="L310" i="32"/>
  <c r="M310" i="32"/>
  <c r="L311" i="32"/>
  <c r="M311" i="32"/>
  <c r="L312" i="32"/>
  <c r="M312" i="32"/>
  <c r="L313" i="32"/>
  <c r="M313" i="32"/>
  <c r="L314" i="32"/>
  <c r="M314" i="32"/>
  <c r="L315" i="32"/>
  <c r="M315" i="32"/>
  <c r="L316" i="32"/>
  <c r="M316" i="32"/>
  <c r="L317" i="32"/>
  <c r="M317" i="32"/>
  <c r="L318" i="32"/>
  <c r="M318" i="32"/>
  <c r="L319" i="32"/>
  <c r="M319" i="32"/>
  <c r="L320" i="32"/>
  <c r="M320" i="32"/>
  <c r="L321" i="32"/>
  <c r="M321" i="32"/>
  <c r="L322" i="32"/>
  <c r="M322" i="32"/>
  <c r="L323" i="32"/>
  <c r="M323" i="32"/>
  <c r="L324" i="32"/>
  <c r="M324" i="32"/>
  <c r="L325" i="32"/>
  <c r="M325" i="32"/>
  <c r="L326" i="32"/>
  <c r="M326" i="32"/>
  <c r="L327" i="32"/>
  <c r="M327" i="32"/>
  <c r="L328" i="32"/>
  <c r="M328" i="32"/>
  <c r="L329" i="32"/>
  <c r="M329" i="32"/>
  <c r="L330" i="32"/>
  <c r="M330" i="32"/>
  <c r="L331" i="32"/>
  <c r="M331" i="32"/>
  <c r="L332" i="32"/>
  <c r="M332" i="32"/>
  <c r="L333" i="32"/>
  <c r="M333" i="32"/>
  <c r="L334" i="32"/>
  <c r="M334" i="32"/>
  <c r="L335" i="32"/>
  <c r="M335" i="32"/>
  <c r="L336" i="32"/>
  <c r="M336" i="32"/>
  <c r="L337" i="32"/>
  <c r="M337" i="32"/>
  <c r="L338" i="32"/>
  <c r="M338" i="32"/>
  <c r="L339" i="32"/>
  <c r="M339" i="32"/>
  <c r="L340" i="32"/>
  <c r="M340" i="32"/>
  <c r="L341" i="32"/>
  <c r="M341" i="32"/>
  <c r="L342" i="32"/>
  <c r="M342" i="32"/>
  <c r="L343" i="32"/>
  <c r="M343" i="32"/>
  <c r="L344" i="32"/>
  <c r="M344" i="32"/>
  <c r="L345" i="32"/>
  <c r="M345" i="32"/>
  <c r="L346" i="32"/>
  <c r="M346" i="32"/>
  <c r="L347" i="32"/>
  <c r="M347" i="32"/>
  <c r="L348" i="32"/>
  <c r="M348" i="32"/>
  <c r="L349" i="32"/>
  <c r="M349" i="32"/>
  <c r="L350" i="32"/>
  <c r="M350" i="32"/>
  <c r="L351" i="32"/>
  <c r="M351" i="32"/>
  <c r="L352" i="32"/>
  <c r="M352" i="32"/>
  <c r="L353" i="32"/>
  <c r="M353" i="32"/>
  <c r="L354" i="32"/>
  <c r="M354" i="32"/>
  <c r="L355" i="32"/>
  <c r="M355" i="32"/>
  <c r="L356" i="32"/>
  <c r="M356" i="32"/>
  <c r="L357" i="32"/>
  <c r="M357" i="32"/>
  <c r="L358" i="32"/>
  <c r="M358" i="32"/>
  <c r="L359" i="32"/>
  <c r="M359" i="32"/>
  <c r="L360" i="32"/>
  <c r="M360" i="32"/>
  <c r="L361" i="32"/>
  <c r="M361" i="32"/>
  <c r="L362" i="32"/>
  <c r="M362" i="32"/>
  <c r="L363" i="32"/>
  <c r="M363" i="32"/>
  <c r="L364" i="32"/>
  <c r="M364" i="32"/>
  <c r="L365" i="32"/>
  <c r="M365" i="32"/>
  <c r="L366" i="32"/>
  <c r="M366" i="32"/>
  <c r="L367" i="32"/>
  <c r="M367" i="32"/>
  <c r="L368" i="32"/>
  <c r="M368" i="32"/>
  <c r="M249" i="32"/>
  <c r="L249" i="32"/>
  <c r="I250" i="32"/>
  <c r="J250" i="32"/>
  <c r="I251" i="32"/>
  <c r="J251" i="32"/>
  <c r="I252" i="32"/>
  <c r="J252" i="32"/>
  <c r="I253" i="32"/>
  <c r="J253" i="32"/>
  <c r="I254" i="32"/>
  <c r="J254" i="32"/>
  <c r="I255" i="32"/>
  <c r="J255" i="32"/>
  <c r="I256" i="32"/>
  <c r="J256" i="32"/>
  <c r="I257" i="32"/>
  <c r="J257" i="32"/>
  <c r="I258" i="32"/>
  <c r="J258" i="32"/>
  <c r="I259" i="32"/>
  <c r="J259" i="32"/>
  <c r="I260" i="32"/>
  <c r="J260" i="32"/>
  <c r="I261" i="32"/>
  <c r="J261" i="32"/>
  <c r="I262" i="32"/>
  <c r="J262" i="32"/>
  <c r="I263" i="32"/>
  <c r="J263" i="32"/>
  <c r="I264" i="32"/>
  <c r="J264" i="32"/>
  <c r="I265" i="32"/>
  <c r="J265" i="32"/>
  <c r="I266" i="32"/>
  <c r="J266" i="32"/>
  <c r="I267" i="32"/>
  <c r="J267" i="32"/>
  <c r="I268" i="32"/>
  <c r="J268" i="32"/>
  <c r="I269" i="32"/>
  <c r="J269" i="32"/>
  <c r="I270" i="32"/>
  <c r="J270" i="32"/>
  <c r="I271" i="32"/>
  <c r="J271" i="32"/>
  <c r="I272" i="32"/>
  <c r="J272" i="32"/>
  <c r="I273" i="32"/>
  <c r="J273" i="32"/>
  <c r="I274" i="32"/>
  <c r="J274" i="32"/>
  <c r="I275" i="32"/>
  <c r="J275" i="32"/>
  <c r="I276" i="32"/>
  <c r="J276" i="32"/>
  <c r="I277" i="32"/>
  <c r="J277" i="32"/>
  <c r="I278" i="32"/>
  <c r="J278" i="32"/>
  <c r="I279" i="32"/>
  <c r="J279" i="32"/>
  <c r="I280" i="32"/>
  <c r="J280" i="32"/>
  <c r="I281" i="32"/>
  <c r="J281" i="32"/>
  <c r="I282" i="32"/>
  <c r="J282" i="32"/>
  <c r="I283" i="32"/>
  <c r="J283" i="32"/>
  <c r="I284" i="32"/>
  <c r="J284" i="32"/>
  <c r="I285" i="32"/>
  <c r="J285" i="32"/>
  <c r="I286" i="32"/>
  <c r="J286" i="32"/>
  <c r="I287" i="32"/>
  <c r="J287" i="32"/>
  <c r="I288" i="32"/>
  <c r="J288" i="32"/>
  <c r="I289" i="32"/>
  <c r="J289" i="32"/>
  <c r="I290" i="32"/>
  <c r="J290" i="32"/>
  <c r="I291" i="32"/>
  <c r="J291" i="32"/>
  <c r="I292" i="32"/>
  <c r="J292" i="32"/>
  <c r="I293" i="32"/>
  <c r="J293" i="32"/>
  <c r="I294" i="32"/>
  <c r="J294" i="32"/>
  <c r="I295" i="32"/>
  <c r="J295" i="32"/>
  <c r="I296" i="32"/>
  <c r="J296" i="32"/>
  <c r="I297" i="32"/>
  <c r="J297" i="32"/>
  <c r="I298" i="32"/>
  <c r="J298" i="32"/>
  <c r="I299" i="32"/>
  <c r="J299" i="32"/>
  <c r="I300" i="32"/>
  <c r="J300" i="32"/>
  <c r="I301" i="32"/>
  <c r="J301" i="32"/>
  <c r="I302" i="32"/>
  <c r="J302" i="32"/>
  <c r="I303" i="32"/>
  <c r="J303" i="32"/>
  <c r="I304" i="32"/>
  <c r="J304" i="32"/>
  <c r="I305" i="32"/>
  <c r="J305" i="32"/>
  <c r="I306" i="32"/>
  <c r="J306" i="32"/>
  <c r="I307" i="32"/>
  <c r="J307" i="32"/>
  <c r="I308" i="32"/>
  <c r="J308" i="32"/>
  <c r="I309" i="32"/>
  <c r="J309" i="32"/>
  <c r="I310" i="32"/>
  <c r="J310" i="32"/>
  <c r="I311" i="32"/>
  <c r="J311" i="32"/>
  <c r="I312" i="32"/>
  <c r="J312" i="32"/>
  <c r="I313" i="32"/>
  <c r="J313" i="32"/>
  <c r="I314" i="32"/>
  <c r="J314" i="32"/>
  <c r="I315" i="32"/>
  <c r="J315" i="32"/>
  <c r="I316" i="32"/>
  <c r="J316" i="32"/>
  <c r="I317" i="32"/>
  <c r="J317" i="32"/>
  <c r="I318" i="32"/>
  <c r="J318" i="32"/>
  <c r="I319" i="32"/>
  <c r="J319" i="32"/>
  <c r="I320" i="32"/>
  <c r="J320" i="32"/>
  <c r="I321" i="32"/>
  <c r="J321" i="32"/>
  <c r="I322" i="32"/>
  <c r="J322" i="32"/>
  <c r="I323" i="32"/>
  <c r="J323" i="32"/>
  <c r="I324" i="32"/>
  <c r="J324" i="32"/>
  <c r="I325" i="32"/>
  <c r="J325" i="32"/>
  <c r="I326" i="32"/>
  <c r="J326" i="32"/>
  <c r="I327" i="32"/>
  <c r="J327" i="32"/>
  <c r="I328" i="32"/>
  <c r="J328" i="32"/>
  <c r="I329" i="32"/>
  <c r="J329" i="32"/>
  <c r="I330" i="32"/>
  <c r="J330" i="32"/>
  <c r="I331" i="32"/>
  <c r="J331" i="32"/>
  <c r="I332" i="32"/>
  <c r="J332" i="32"/>
  <c r="I333" i="32"/>
  <c r="J333" i="32"/>
  <c r="I334" i="32"/>
  <c r="J334" i="32"/>
  <c r="I335" i="32"/>
  <c r="J335" i="32"/>
  <c r="I336" i="32"/>
  <c r="J336" i="32"/>
  <c r="I337" i="32"/>
  <c r="J337" i="32"/>
  <c r="I338" i="32"/>
  <c r="J338" i="32"/>
  <c r="I339" i="32"/>
  <c r="J339" i="32"/>
  <c r="I340" i="32"/>
  <c r="J340" i="32"/>
  <c r="I341" i="32"/>
  <c r="J341" i="32"/>
  <c r="I342" i="32"/>
  <c r="J342" i="32"/>
  <c r="I343" i="32"/>
  <c r="J343" i="32"/>
  <c r="I344" i="32"/>
  <c r="J344" i="32"/>
  <c r="I345" i="32"/>
  <c r="J345" i="32"/>
  <c r="I346" i="32"/>
  <c r="J346" i="32"/>
  <c r="I347" i="32"/>
  <c r="J347" i="32"/>
  <c r="I348" i="32"/>
  <c r="J348" i="32"/>
  <c r="I349" i="32"/>
  <c r="J349" i="32"/>
  <c r="I350" i="32"/>
  <c r="J350" i="32"/>
  <c r="I351" i="32"/>
  <c r="J351" i="32"/>
  <c r="I352" i="32"/>
  <c r="J352" i="32"/>
  <c r="I353" i="32"/>
  <c r="J353" i="32"/>
  <c r="I354" i="32"/>
  <c r="J354" i="32"/>
  <c r="I355" i="32"/>
  <c r="J355" i="32"/>
  <c r="I356" i="32"/>
  <c r="J356" i="32"/>
  <c r="I357" i="32"/>
  <c r="J357" i="32"/>
  <c r="I358" i="32"/>
  <c r="J358" i="32"/>
  <c r="I359" i="32"/>
  <c r="J359" i="32"/>
  <c r="I360" i="32"/>
  <c r="J360" i="32"/>
  <c r="I361" i="32"/>
  <c r="J361" i="32"/>
  <c r="I362" i="32"/>
  <c r="J362" i="32"/>
  <c r="I363" i="32"/>
  <c r="J363" i="32"/>
  <c r="I364" i="32"/>
  <c r="J364" i="32"/>
  <c r="I365" i="32"/>
  <c r="J365" i="32"/>
  <c r="I366" i="32"/>
  <c r="J366" i="32"/>
  <c r="I367" i="32"/>
  <c r="J367" i="32"/>
  <c r="I368" i="32"/>
  <c r="J368" i="32"/>
  <c r="J249" i="32"/>
  <c r="I249" i="32"/>
  <c r="F250" i="32"/>
  <c r="G250" i="32"/>
  <c r="F251" i="32"/>
  <c r="G251" i="32"/>
  <c r="F252" i="32"/>
  <c r="G252" i="32"/>
  <c r="F253" i="32"/>
  <c r="G253" i="32"/>
  <c r="F254" i="32"/>
  <c r="G254" i="32"/>
  <c r="F255" i="32"/>
  <c r="G255" i="32"/>
  <c r="F256" i="32"/>
  <c r="G256" i="32"/>
  <c r="F257" i="32"/>
  <c r="G257" i="32"/>
  <c r="F258" i="32"/>
  <c r="G258" i="32"/>
  <c r="F259" i="32"/>
  <c r="G259" i="32"/>
  <c r="F260" i="32"/>
  <c r="G260" i="32"/>
  <c r="F261" i="32"/>
  <c r="G261" i="32"/>
  <c r="F262" i="32"/>
  <c r="G262" i="32"/>
  <c r="F263" i="32"/>
  <c r="G263" i="32"/>
  <c r="F264" i="32"/>
  <c r="G264" i="32"/>
  <c r="F265" i="32"/>
  <c r="G265" i="32"/>
  <c r="F266" i="32"/>
  <c r="G266" i="32"/>
  <c r="F267" i="32"/>
  <c r="G267" i="32"/>
  <c r="F268" i="32"/>
  <c r="G268" i="32"/>
  <c r="F269" i="32"/>
  <c r="G269" i="32"/>
  <c r="F270" i="32"/>
  <c r="G270" i="32"/>
  <c r="F271" i="32"/>
  <c r="G271" i="32"/>
  <c r="F272" i="32"/>
  <c r="G272" i="32"/>
  <c r="F273" i="32"/>
  <c r="G273" i="32"/>
  <c r="F274" i="32"/>
  <c r="G274" i="32"/>
  <c r="F275" i="32"/>
  <c r="G275" i="32"/>
  <c r="F276" i="32"/>
  <c r="G276" i="32"/>
  <c r="F277" i="32"/>
  <c r="G277" i="32"/>
  <c r="F278" i="32"/>
  <c r="G278" i="32"/>
  <c r="F279" i="32"/>
  <c r="G279" i="32"/>
  <c r="F280" i="32"/>
  <c r="G280" i="32"/>
  <c r="F281" i="32"/>
  <c r="G281" i="32"/>
  <c r="F282" i="32"/>
  <c r="G282" i="32"/>
  <c r="F283" i="32"/>
  <c r="G283" i="32"/>
  <c r="F284" i="32"/>
  <c r="G284" i="32"/>
  <c r="F285" i="32"/>
  <c r="G285" i="32"/>
  <c r="F286" i="32"/>
  <c r="G286" i="32"/>
  <c r="F287" i="32"/>
  <c r="G287" i="32"/>
  <c r="F288" i="32"/>
  <c r="G288" i="32"/>
  <c r="F289" i="32"/>
  <c r="G289" i="32"/>
  <c r="F290" i="32"/>
  <c r="G290" i="32"/>
  <c r="F291" i="32"/>
  <c r="G291" i="32"/>
  <c r="F292" i="32"/>
  <c r="G292" i="32"/>
  <c r="F293" i="32"/>
  <c r="G293" i="32"/>
  <c r="F294" i="32"/>
  <c r="G294" i="32"/>
  <c r="F295" i="32"/>
  <c r="G295" i="32"/>
  <c r="F296" i="32"/>
  <c r="G296" i="32"/>
  <c r="F297" i="32"/>
  <c r="G297" i="32"/>
  <c r="F298" i="32"/>
  <c r="G298" i="32"/>
  <c r="F299" i="32"/>
  <c r="G299" i="32"/>
  <c r="F300" i="32"/>
  <c r="G300" i="32"/>
  <c r="F301" i="32"/>
  <c r="G301" i="32"/>
  <c r="F302" i="32"/>
  <c r="G302" i="32"/>
  <c r="F303" i="32"/>
  <c r="G303" i="32"/>
  <c r="F304" i="32"/>
  <c r="G304" i="32"/>
  <c r="F305" i="32"/>
  <c r="G305" i="32"/>
  <c r="F306" i="32"/>
  <c r="G306" i="32"/>
  <c r="F307" i="32"/>
  <c r="G307" i="32"/>
  <c r="F308" i="32"/>
  <c r="G308" i="32"/>
  <c r="F309" i="32"/>
  <c r="G309" i="32"/>
  <c r="F310" i="32"/>
  <c r="G310" i="32"/>
  <c r="F311" i="32"/>
  <c r="G311" i="32"/>
  <c r="F312" i="32"/>
  <c r="G312" i="32"/>
  <c r="F313" i="32"/>
  <c r="G313" i="32"/>
  <c r="F314" i="32"/>
  <c r="G314" i="32"/>
  <c r="F315" i="32"/>
  <c r="G315" i="32"/>
  <c r="F316" i="32"/>
  <c r="G316" i="32"/>
  <c r="F317" i="32"/>
  <c r="G317" i="32"/>
  <c r="F318" i="32"/>
  <c r="G318" i="32"/>
  <c r="F319" i="32"/>
  <c r="G319" i="32"/>
  <c r="F320" i="32"/>
  <c r="G320" i="32"/>
  <c r="F321" i="32"/>
  <c r="G321" i="32"/>
  <c r="F322" i="32"/>
  <c r="G322" i="32"/>
  <c r="F323" i="32"/>
  <c r="G323" i="32"/>
  <c r="F324" i="32"/>
  <c r="G324" i="32"/>
  <c r="F325" i="32"/>
  <c r="G325" i="32"/>
  <c r="F326" i="32"/>
  <c r="G326" i="32"/>
  <c r="F327" i="32"/>
  <c r="G327" i="32"/>
  <c r="F328" i="32"/>
  <c r="G328" i="32"/>
  <c r="F329" i="32"/>
  <c r="G329" i="32"/>
  <c r="F330" i="32"/>
  <c r="G330" i="32"/>
  <c r="F331" i="32"/>
  <c r="G331" i="32"/>
  <c r="F332" i="32"/>
  <c r="G332" i="32"/>
  <c r="F333" i="32"/>
  <c r="G333" i="32"/>
  <c r="F334" i="32"/>
  <c r="G334" i="32"/>
  <c r="F335" i="32"/>
  <c r="G335" i="32"/>
  <c r="F336" i="32"/>
  <c r="G336" i="32"/>
  <c r="F337" i="32"/>
  <c r="G337" i="32"/>
  <c r="F338" i="32"/>
  <c r="G338" i="32"/>
  <c r="F339" i="32"/>
  <c r="G339" i="32"/>
  <c r="F340" i="32"/>
  <c r="G340" i="32"/>
  <c r="F341" i="32"/>
  <c r="G341" i="32"/>
  <c r="F342" i="32"/>
  <c r="G342" i="32"/>
  <c r="F343" i="32"/>
  <c r="G343" i="32"/>
  <c r="F344" i="32"/>
  <c r="G344" i="32"/>
  <c r="F345" i="32"/>
  <c r="G345" i="32"/>
  <c r="F346" i="32"/>
  <c r="G346" i="32"/>
  <c r="F347" i="32"/>
  <c r="G347" i="32"/>
  <c r="F348" i="32"/>
  <c r="G348" i="32"/>
  <c r="F349" i="32"/>
  <c r="G349" i="32"/>
  <c r="F350" i="32"/>
  <c r="G350" i="32"/>
  <c r="F351" i="32"/>
  <c r="G351" i="32"/>
  <c r="F352" i="32"/>
  <c r="G352" i="32"/>
  <c r="F353" i="32"/>
  <c r="G353" i="32"/>
  <c r="F354" i="32"/>
  <c r="G354" i="32"/>
  <c r="F355" i="32"/>
  <c r="G355" i="32"/>
  <c r="F356" i="32"/>
  <c r="G356" i="32"/>
  <c r="F357" i="32"/>
  <c r="G357" i="32"/>
  <c r="F358" i="32"/>
  <c r="G358" i="32"/>
  <c r="F359" i="32"/>
  <c r="G359" i="32"/>
  <c r="F360" i="32"/>
  <c r="G360" i="32"/>
  <c r="F361" i="32"/>
  <c r="G361" i="32"/>
  <c r="F362" i="32"/>
  <c r="G362" i="32"/>
  <c r="F363" i="32"/>
  <c r="G363" i="32"/>
  <c r="F364" i="32"/>
  <c r="G364" i="32"/>
  <c r="F365" i="32"/>
  <c r="G365" i="32"/>
  <c r="F366" i="32"/>
  <c r="G366" i="32"/>
  <c r="F367" i="32"/>
  <c r="G367" i="32"/>
  <c r="F368" i="32"/>
  <c r="G368" i="32"/>
  <c r="G249" i="32"/>
  <c r="F249" i="32"/>
  <c r="S248" i="32"/>
  <c r="P248" i="32"/>
  <c r="M248" i="32"/>
  <c r="J248" i="32"/>
  <c r="G248" i="32"/>
  <c r="R127" i="32"/>
  <c r="S127" i="32"/>
  <c r="R128" i="32"/>
  <c r="S128" i="32"/>
  <c r="R129" i="32"/>
  <c r="S129" i="32"/>
  <c r="R130" i="32"/>
  <c r="S130" i="32"/>
  <c r="R131" i="32"/>
  <c r="S131" i="32"/>
  <c r="R132" i="32"/>
  <c r="S132" i="32"/>
  <c r="R133" i="32"/>
  <c r="S133" i="32"/>
  <c r="R134" i="32"/>
  <c r="S134" i="32"/>
  <c r="R135" i="32"/>
  <c r="S135" i="32"/>
  <c r="R136" i="32"/>
  <c r="S136" i="32"/>
  <c r="R137" i="32"/>
  <c r="S137" i="32"/>
  <c r="R138" i="32"/>
  <c r="S138" i="32"/>
  <c r="R139" i="32"/>
  <c r="S139" i="32"/>
  <c r="R140" i="32"/>
  <c r="S140" i="32"/>
  <c r="R141" i="32"/>
  <c r="S141" i="32"/>
  <c r="R142" i="32"/>
  <c r="S142" i="32"/>
  <c r="R143" i="32"/>
  <c r="S143" i="32"/>
  <c r="R144" i="32"/>
  <c r="S144" i="32"/>
  <c r="R145" i="32"/>
  <c r="S145" i="32"/>
  <c r="C145" i="32" s="1"/>
  <c r="D145" i="32" s="1"/>
  <c r="R146" i="32"/>
  <c r="S146" i="32"/>
  <c r="R147" i="32"/>
  <c r="S147" i="32"/>
  <c r="R148" i="32"/>
  <c r="S148" i="32"/>
  <c r="R149" i="32"/>
  <c r="S149" i="32"/>
  <c r="R150" i="32"/>
  <c r="S150" i="32"/>
  <c r="R151" i="32"/>
  <c r="S151" i="32"/>
  <c r="R152" i="32"/>
  <c r="S152" i="32"/>
  <c r="R153" i="32"/>
  <c r="S153" i="32"/>
  <c r="R154" i="32"/>
  <c r="S154" i="32"/>
  <c r="R155" i="32"/>
  <c r="S155" i="32"/>
  <c r="R156" i="32"/>
  <c r="S156" i="32"/>
  <c r="R157" i="32"/>
  <c r="S157" i="32"/>
  <c r="R158" i="32"/>
  <c r="S158" i="32"/>
  <c r="R159" i="32"/>
  <c r="S159" i="32"/>
  <c r="R160" i="32"/>
  <c r="S160" i="32"/>
  <c r="R161" i="32"/>
  <c r="S161" i="32"/>
  <c r="R162" i="32"/>
  <c r="S162" i="32"/>
  <c r="R163" i="32"/>
  <c r="S163" i="32"/>
  <c r="R164" i="32"/>
  <c r="S164" i="32"/>
  <c r="R165" i="32"/>
  <c r="S165" i="32"/>
  <c r="R166" i="32"/>
  <c r="S166" i="32"/>
  <c r="R167" i="32"/>
  <c r="S167" i="32"/>
  <c r="R168" i="32"/>
  <c r="S168" i="32"/>
  <c r="R169" i="32"/>
  <c r="S169" i="32"/>
  <c r="R170" i="32"/>
  <c r="S170" i="32"/>
  <c r="R171" i="32"/>
  <c r="S171" i="32"/>
  <c r="R172" i="32"/>
  <c r="S172" i="32"/>
  <c r="R173" i="32"/>
  <c r="S173" i="32"/>
  <c r="C173" i="32" s="1"/>
  <c r="R174" i="32"/>
  <c r="S174" i="32"/>
  <c r="R175" i="32"/>
  <c r="S175" i="32"/>
  <c r="R176" i="32"/>
  <c r="S176" i="32"/>
  <c r="R177" i="32"/>
  <c r="S177" i="32"/>
  <c r="R178" i="32"/>
  <c r="S178" i="32"/>
  <c r="R179" i="32"/>
  <c r="S179" i="32"/>
  <c r="R180" i="32"/>
  <c r="S180" i="32"/>
  <c r="R181" i="32"/>
  <c r="S181" i="32"/>
  <c r="R182" i="32"/>
  <c r="S182" i="32"/>
  <c r="R183" i="32"/>
  <c r="S183" i="32"/>
  <c r="R184" i="32"/>
  <c r="S184" i="32"/>
  <c r="R185" i="32"/>
  <c r="S185" i="32"/>
  <c r="R186" i="32"/>
  <c r="S186" i="32"/>
  <c r="R187" i="32"/>
  <c r="S187" i="32"/>
  <c r="R188" i="32"/>
  <c r="S188" i="32"/>
  <c r="R189" i="32"/>
  <c r="S189" i="32"/>
  <c r="R190" i="32"/>
  <c r="S190" i="32"/>
  <c r="R191" i="32"/>
  <c r="S191" i="32"/>
  <c r="R192" i="32"/>
  <c r="S192" i="32"/>
  <c r="R193" i="32"/>
  <c r="S193" i="32"/>
  <c r="R194" i="32"/>
  <c r="S194" i="32"/>
  <c r="R195" i="32"/>
  <c r="S195" i="32"/>
  <c r="R196" i="32"/>
  <c r="S196" i="32"/>
  <c r="R197" i="32"/>
  <c r="S197" i="32"/>
  <c r="R198" i="32"/>
  <c r="S198" i="32"/>
  <c r="R199" i="32"/>
  <c r="S199" i="32"/>
  <c r="R200" i="32"/>
  <c r="S200" i="32"/>
  <c r="R201" i="32"/>
  <c r="S201" i="32"/>
  <c r="R202" i="32"/>
  <c r="S202" i="32"/>
  <c r="R203" i="32"/>
  <c r="S203" i="32"/>
  <c r="R204" i="32"/>
  <c r="S204" i="32"/>
  <c r="R205" i="32"/>
  <c r="S205" i="32"/>
  <c r="R206" i="32"/>
  <c r="S206" i="32"/>
  <c r="R207" i="32"/>
  <c r="S207" i="32"/>
  <c r="R208" i="32"/>
  <c r="S208" i="32"/>
  <c r="R209" i="32"/>
  <c r="S209" i="32"/>
  <c r="R210" i="32"/>
  <c r="S210" i="32"/>
  <c r="R211" i="32"/>
  <c r="S211" i="32"/>
  <c r="R212" i="32"/>
  <c r="S212" i="32"/>
  <c r="R213" i="32"/>
  <c r="S213" i="32"/>
  <c r="C213" i="32" s="1"/>
  <c r="R214" i="32"/>
  <c r="S214" i="32"/>
  <c r="R215" i="32"/>
  <c r="S215" i="32"/>
  <c r="R216" i="32"/>
  <c r="S216" i="32"/>
  <c r="R217" i="32"/>
  <c r="S217" i="32"/>
  <c r="R218" i="32"/>
  <c r="S218" i="32"/>
  <c r="R219" i="32"/>
  <c r="S219" i="32"/>
  <c r="R220" i="32"/>
  <c r="S220" i="32"/>
  <c r="R221" i="32"/>
  <c r="S221" i="32"/>
  <c r="R222" i="32"/>
  <c r="S222" i="32"/>
  <c r="R223" i="32"/>
  <c r="S223" i="32"/>
  <c r="R224" i="32"/>
  <c r="S224" i="32"/>
  <c r="R225" i="32"/>
  <c r="S225" i="32"/>
  <c r="R226" i="32"/>
  <c r="S226" i="32"/>
  <c r="R227" i="32"/>
  <c r="S227" i="32"/>
  <c r="R228" i="32"/>
  <c r="S228" i="32"/>
  <c r="R229" i="32"/>
  <c r="S229" i="32"/>
  <c r="R230" i="32"/>
  <c r="S230" i="32"/>
  <c r="R231" i="32"/>
  <c r="S231" i="32"/>
  <c r="R232" i="32"/>
  <c r="S232" i="32"/>
  <c r="R233" i="32"/>
  <c r="S233" i="32"/>
  <c r="R234" i="32"/>
  <c r="S234" i="32"/>
  <c r="R235" i="32"/>
  <c r="S235" i="32"/>
  <c r="R236" i="32"/>
  <c r="S236" i="32"/>
  <c r="R237" i="32"/>
  <c r="S237" i="32"/>
  <c r="R238" i="32"/>
  <c r="S238" i="32"/>
  <c r="R239" i="32"/>
  <c r="S239" i="32"/>
  <c r="R240" i="32"/>
  <c r="S240" i="32"/>
  <c r="R241" i="32"/>
  <c r="S241" i="32"/>
  <c r="R242" i="32"/>
  <c r="S242" i="32"/>
  <c r="R243" i="32"/>
  <c r="S243" i="32"/>
  <c r="R244" i="32"/>
  <c r="S244" i="32"/>
  <c r="R245" i="32"/>
  <c r="S245" i="32"/>
  <c r="R246" i="32"/>
  <c r="S246" i="32"/>
  <c r="R247" i="32"/>
  <c r="S247" i="32"/>
  <c r="S126" i="32"/>
  <c r="R126" i="32"/>
  <c r="O127" i="32"/>
  <c r="P127" i="32"/>
  <c r="O128" i="32"/>
  <c r="P128" i="32"/>
  <c r="O129" i="32"/>
  <c r="P129" i="32"/>
  <c r="O130" i="32"/>
  <c r="P130" i="32"/>
  <c r="O131" i="32"/>
  <c r="P131" i="32"/>
  <c r="O132" i="32"/>
  <c r="P132" i="32"/>
  <c r="O133" i="32"/>
  <c r="P133" i="32"/>
  <c r="O134" i="32"/>
  <c r="P134" i="32"/>
  <c r="O135" i="32"/>
  <c r="P135" i="32"/>
  <c r="O136" i="32"/>
  <c r="P136" i="32"/>
  <c r="O137" i="32"/>
  <c r="P137" i="32"/>
  <c r="O138" i="32"/>
  <c r="P138" i="32"/>
  <c r="O139" i="32"/>
  <c r="P139" i="32"/>
  <c r="O140" i="32"/>
  <c r="P140" i="32"/>
  <c r="O141" i="32"/>
  <c r="P141" i="32"/>
  <c r="O142" i="32"/>
  <c r="P142" i="32"/>
  <c r="O143" i="32"/>
  <c r="P143" i="32"/>
  <c r="O144" i="32"/>
  <c r="P144" i="32"/>
  <c r="O145" i="32"/>
  <c r="P145" i="32"/>
  <c r="O146" i="32"/>
  <c r="P146" i="32"/>
  <c r="O147" i="32"/>
  <c r="P147" i="32"/>
  <c r="O148" i="32"/>
  <c r="P148" i="32"/>
  <c r="O149" i="32"/>
  <c r="P149" i="32"/>
  <c r="O150" i="32"/>
  <c r="P150" i="32"/>
  <c r="O151" i="32"/>
  <c r="P151" i="32"/>
  <c r="O152" i="32"/>
  <c r="P152" i="32"/>
  <c r="O153" i="32"/>
  <c r="P153" i="32"/>
  <c r="O154" i="32"/>
  <c r="P154" i="32"/>
  <c r="O155" i="32"/>
  <c r="P155" i="32"/>
  <c r="O156" i="32"/>
  <c r="P156" i="32"/>
  <c r="O157" i="32"/>
  <c r="P157" i="32"/>
  <c r="O158" i="32"/>
  <c r="P158" i="32"/>
  <c r="O159" i="32"/>
  <c r="P159" i="32"/>
  <c r="O160" i="32"/>
  <c r="P160" i="32"/>
  <c r="O161" i="32"/>
  <c r="P161" i="32"/>
  <c r="O162" i="32"/>
  <c r="P162" i="32"/>
  <c r="O163" i="32"/>
  <c r="P163" i="32"/>
  <c r="O164" i="32"/>
  <c r="P164" i="32"/>
  <c r="O165" i="32"/>
  <c r="P165" i="32"/>
  <c r="O166" i="32"/>
  <c r="P166" i="32"/>
  <c r="O167" i="32"/>
  <c r="P167" i="32"/>
  <c r="O168" i="32"/>
  <c r="P168" i="32"/>
  <c r="O169" i="32"/>
  <c r="P169" i="32"/>
  <c r="O170" i="32"/>
  <c r="P170" i="32"/>
  <c r="O171" i="32"/>
  <c r="P171" i="32"/>
  <c r="O172" i="32"/>
  <c r="P172" i="32"/>
  <c r="O173" i="32"/>
  <c r="P173" i="32"/>
  <c r="O174" i="32"/>
  <c r="P174" i="32"/>
  <c r="O175" i="32"/>
  <c r="P175" i="32"/>
  <c r="O176" i="32"/>
  <c r="P176" i="32"/>
  <c r="O177" i="32"/>
  <c r="P177" i="32"/>
  <c r="O178" i="32"/>
  <c r="P178" i="32"/>
  <c r="O179" i="32"/>
  <c r="P179" i="32"/>
  <c r="O180" i="32"/>
  <c r="P180" i="32"/>
  <c r="O181" i="32"/>
  <c r="P181" i="32"/>
  <c r="O182" i="32"/>
  <c r="P182" i="32"/>
  <c r="O183" i="32"/>
  <c r="P183" i="32"/>
  <c r="O184" i="32"/>
  <c r="P184" i="32"/>
  <c r="O185" i="32"/>
  <c r="P185" i="32"/>
  <c r="O186" i="32"/>
  <c r="P186" i="32"/>
  <c r="O187" i="32"/>
  <c r="P187" i="32"/>
  <c r="O188" i="32"/>
  <c r="P188" i="32"/>
  <c r="O189" i="32"/>
  <c r="P189" i="32"/>
  <c r="O190" i="32"/>
  <c r="P190" i="32"/>
  <c r="O191" i="32"/>
  <c r="P191" i="32"/>
  <c r="O192" i="32"/>
  <c r="P192" i="32"/>
  <c r="O193" i="32"/>
  <c r="P193" i="32"/>
  <c r="O194" i="32"/>
  <c r="P194" i="32"/>
  <c r="O195" i="32"/>
  <c r="P195" i="32"/>
  <c r="O196" i="32"/>
  <c r="P196" i="32"/>
  <c r="O197" i="32"/>
  <c r="P197" i="32"/>
  <c r="O198" i="32"/>
  <c r="P198" i="32"/>
  <c r="O199" i="32"/>
  <c r="P199" i="32"/>
  <c r="O200" i="32"/>
  <c r="P200" i="32"/>
  <c r="O201" i="32"/>
  <c r="P201" i="32"/>
  <c r="O202" i="32"/>
  <c r="P202" i="32"/>
  <c r="O203" i="32"/>
  <c r="P203" i="32"/>
  <c r="O204" i="32"/>
  <c r="P204" i="32"/>
  <c r="O205" i="32"/>
  <c r="P205" i="32"/>
  <c r="O206" i="32"/>
  <c r="P206" i="32"/>
  <c r="O207" i="32"/>
  <c r="P207" i="32"/>
  <c r="O208" i="32"/>
  <c r="P208" i="32"/>
  <c r="O209" i="32"/>
  <c r="P209" i="32"/>
  <c r="O210" i="32"/>
  <c r="P210" i="32"/>
  <c r="O211" i="32"/>
  <c r="P211" i="32"/>
  <c r="O212" i="32"/>
  <c r="P212" i="32"/>
  <c r="O213" i="32"/>
  <c r="P213" i="32"/>
  <c r="O214" i="32"/>
  <c r="P214" i="32"/>
  <c r="O215" i="32"/>
  <c r="P215" i="32"/>
  <c r="O216" i="32"/>
  <c r="P216" i="32"/>
  <c r="O217" i="32"/>
  <c r="P217" i="32"/>
  <c r="O218" i="32"/>
  <c r="P218" i="32"/>
  <c r="O219" i="32"/>
  <c r="P219" i="32"/>
  <c r="O220" i="32"/>
  <c r="P220" i="32"/>
  <c r="O221" i="32"/>
  <c r="P221" i="32"/>
  <c r="O222" i="32"/>
  <c r="P222" i="32"/>
  <c r="O223" i="32"/>
  <c r="P223" i="32"/>
  <c r="O224" i="32"/>
  <c r="P224" i="32"/>
  <c r="O225" i="32"/>
  <c r="P225" i="32"/>
  <c r="O226" i="32"/>
  <c r="P226" i="32"/>
  <c r="O227" i="32"/>
  <c r="P227" i="32"/>
  <c r="O228" i="32"/>
  <c r="P228" i="32"/>
  <c r="O229" i="32"/>
  <c r="P229" i="32"/>
  <c r="O230" i="32"/>
  <c r="P230" i="32"/>
  <c r="O231" i="32"/>
  <c r="P231" i="32"/>
  <c r="O232" i="32"/>
  <c r="P232" i="32"/>
  <c r="O233" i="32"/>
  <c r="P233" i="32"/>
  <c r="O234" i="32"/>
  <c r="P234" i="32"/>
  <c r="O235" i="32"/>
  <c r="P235" i="32"/>
  <c r="O236" i="32"/>
  <c r="P236" i="32"/>
  <c r="O237" i="32"/>
  <c r="P237" i="32"/>
  <c r="O238" i="32"/>
  <c r="P238" i="32"/>
  <c r="O239" i="32"/>
  <c r="P239" i="32"/>
  <c r="O240" i="32"/>
  <c r="P240" i="32"/>
  <c r="O241" i="32"/>
  <c r="P241" i="32"/>
  <c r="O242" i="32"/>
  <c r="P242" i="32"/>
  <c r="O243" i="32"/>
  <c r="P243" i="32"/>
  <c r="O244" i="32"/>
  <c r="P244" i="32"/>
  <c r="O245" i="32"/>
  <c r="P245" i="32"/>
  <c r="O246" i="32"/>
  <c r="P246" i="32"/>
  <c r="O247" i="32"/>
  <c r="P247" i="32"/>
  <c r="P126" i="32"/>
  <c r="O126" i="32"/>
  <c r="S125" i="32"/>
  <c r="P125" i="32"/>
  <c r="M125" i="32"/>
  <c r="J125" i="32"/>
  <c r="G12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96" i="32"/>
  <c r="D97" i="32"/>
  <c r="D98" i="32"/>
  <c r="D99" i="32"/>
  <c r="D100" i="32"/>
  <c r="D101" i="32"/>
  <c r="D102" i="32"/>
  <c r="D103" i="32"/>
  <c r="D104" i="32"/>
  <c r="D105" i="32"/>
  <c r="D106" i="32"/>
  <c r="D107" i="32"/>
  <c r="D108" i="32"/>
  <c r="D109" i="32"/>
  <c r="D110" i="32"/>
  <c r="D111" i="32"/>
  <c r="D112" i="32"/>
  <c r="D113" i="32"/>
  <c r="D114" i="32"/>
  <c r="D115" i="32"/>
  <c r="D116" i="32"/>
  <c r="D117" i="32"/>
  <c r="D118" i="32"/>
  <c r="D119" i="32"/>
  <c r="D120" i="32"/>
  <c r="D121" i="32"/>
  <c r="D122" i="32"/>
  <c r="D123" i="32"/>
  <c r="D124" i="32"/>
  <c r="D5" i="32"/>
  <c r="L127" i="32"/>
  <c r="M127" i="32"/>
  <c r="L128" i="32"/>
  <c r="M128" i="32"/>
  <c r="L129" i="32"/>
  <c r="M129" i="32"/>
  <c r="L130" i="32"/>
  <c r="M130" i="32"/>
  <c r="L131" i="32"/>
  <c r="M131" i="32"/>
  <c r="L132" i="32"/>
  <c r="M132" i="32"/>
  <c r="L133" i="32"/>
  <c r="M133" i="32"/>
  <c r="L134" i="32"/>
  <c r="M134" i="32"/>
  <c r="L135" i="32"/>
  <c r="M135" i="32"/>
  <c r="L136" i="32"/>
  <c r="M136" i="32"/>
  <c r="L137" i="32"/>
  <c r="M137" i="32"/>
  <c r="L138" i="32"/>
  <c r="M138" i="32"/>
  <c r="L139" i="32"/>
  <c r="M139" i="32"/>
  <c r="L140" i="32"/>
  <c r="M140" i="32"/>
  <c r="L141" i="32"/>
  <c r="M141" i="32"/>
  <c r="L142" i="32"/>
  <c r="M142" i="32"/>
  <c r="L143" i="32"/>
  <c r="M143" i="32"/>
  <c r="L144" i="32"/>
  <c r="M144" i="32"/>
  <c r="L145" i="32"/>
  <c r="M145" i="32"/>
  <c r="L146" i="32"/>
  <c r="M146" i="32"/>
  <c r="L147" i="32"/>
  <c r="M147" i="32"/>
  <c r="L148" i="32"/>
  <c r="M148" i="32"/>
  <c r="L149" i="32"/>
  <c r="M149" i="32"/>
  <c r="L150" i="32"/>
  <c r="M150" i="32"/>
  <c r="L151" i="32"/>
  <c r="M151" i="32"/>
  <c r="L152" i="32"/>
  <c r="M152" i="32"/>
  <c r="L153" i="32"/>
  <c r="M153" i="32"/>
  <c r="L154" i="32"/>
  <c r="M154" i="32"/>
  <c r="L155" i="32"/>
  <c r="M155" i="32"/>
  <c r="L156" i="32"/>
  <c r="M156" i="32"/>
  <c r="L157" i="32"/>
  <c r="M157" i="32"/>
  <c r="L158" i="32"/>
  <c r="M158" i="32"/>
  <c r="L159" i="32"/>
  <c r="M159" i="32"/>
  <c r="L160" i="32"/>
  <c r="M160" i="32"/>
  <c r="L161" i="32"/>
  <c r="M161" i="32"/>
  <c r="L162" i="32"/>
  <c r="M162" i="32"/>
  <c r="L163" i="32"/>
  <c r="M163" i="32"/>
  <c r="L164" i="32"/>
  <c r="M164" i="32"/>
  <c r="L165" i="32"/>
  <c r="M165" i="32"/>
  <c r="L166" i="32"/>
  <c r="M166" i="32"/>
  <c r="L167" i="32"/>
  <c r="M167" i="32"/>
  <c r="L168" i="32"/>
  <c r="M168" i="32"/>
  <c r="L169" i="32"/>
  <c r="M169" i="32"/>
  <c r="L170" i="32"/>
  <c r="M170" i="32"/>
  <c r="L171" i="32"/>
  <c r="M171" i="32"/>
  <c r="L172" i="32"/>
  <c r="M172" i="32"/>
  <c r="L173" i="32"/>
  <c r="M173" i="32"/>
  <c r="L174" i="32"/>
  <c r="M174" i="32"/>
  <c r="L175" i="32"/>
  <c r="M175" i="32"/>
  <c r="L176" i="32"/>
  <c r="M176" i="32"/>
  <c r="L177" i="32"/>
  <c r="M177" i="32"/>
  <c r="L178" i="32"/>
  <c r="M178" i="32"/>
  <c r="L179" i="32"/>
  <c r="M179" i="32"/>
  <c r="L180" i="32"/>
  <c r="M180" i="32"/>
  <c r="L181" i="32"/>
  <c r="M181" i="32"/>
  <c r="L182" i="32"/>
  <c r="M182" i="32"/>
  <c r="L183" i="32"/>
  <c r="M183" i="32"/>
  <c r="L184" i="32"/>
  <c r="M184" i="32"/>
  <c r="L185" i="32"/>
  <c r="M185" i="32"/>
  <c r="L186" i="32"/>
  <c r="M186" i="32"/>
  <c r="L187" i="32"/>
  <c r="M187" i="32"/>
  <c r="L188" i="32"/>
  <c r="M188" i="32"/>
  <c r="L189" i="32"/>
  <c r="M189" i="32"/>
  <c r="L190" i="32"/>
  <c r="M190" i="32"/>
  <c r="L191" i="32"/>
  <c r="M191" i="32"/>
  <c r="L192" i="32"/>
  <c r="M192" i="32"/>
  <c r="L193" i="32"/>
  <c r="M193" i="32"/>
  <c r="L194" i="32"/>
  <c r="M194" i="32"/>
  <c r="L195" i="32"/>
  <c r="M195" i="32"/>
  <c r="L196" i="32"/>
  <c r="M196" i="32"/>
  <c r="L197" i="32"/>
  <c r="M197" i="32"/>
  <c r="L198" i="32"/>
  <c r="M198" i="32"/>
  <c r="L199" i="32"/>
  <c r="M199" i="32"/>
  <c r="L200" i="32"/>
  <c r="M200" i="32"/>
  <c r="L201" i="32"/>
  <c r="M201" i="32"/>
  <c r="L202" i="32"/>
  <c r="M202" i="32"/>
  <c r="L203" i="32"/>
  <c r="M203" i="32"/>
  <c r="L204" i="32"/>
  <c r="M204" i="32"/>
  <c r="L205" i="32"/>
  <c r="M205" i="32"/>
  <c r="L206" i="32"/>
  <c r="M206" i="32"/>
  <c r="L207" i="32"/>
  <c r="M207" i="32"/>
  <c r="L208" i="32"/>
  <c r="M208" i="32"/>
  <c r="L209" i="32"/>
  <c r="M209" i="32"/>
  <c r="L210" i="32"/>
  <c r="M210" i="32"/>
  <c r="L211" i="32"/>
  <c r="M211" i="32"/>
  <c r="L212" i="32"/>
  <c r="M212" i="32"/>
  <c r="L213" i="32"/>
  <c r="M213" i="32"/>
  <c r="L214" i="32"/>
  <c r="M214" i="32"/>
  <c r="L215" i="32"/>
  <c r="M215" i="32"/>
  <c r="L216" i="32"/>
  <c r="M216" i="32"/>
  <c r="L217" i="32"/>
  <c r="M217" i="32"/>
  <c r="L218" i="32"/>
  <c r="M218" i="32"/>
  <c r="L219" i="32"/>
  <c r="M219" i="32"/>
  <c r="L220" i="32"/>
  <c r="M220" i="32"/>
  <c r="L221" i="32"/>
  <c r="M221" i="32"/>
  <c r="L222" i="32"/>
  <c r="M222" i="32"/>
  <c r="L223" i="32"/>
  <c r="M223" i="32"/>
  <c r="L224" i="32"/>
  <c r="M224" i="32"/>
  <c r="L225" i="32"/>
  <c r="M225" i="32"/>
  <c r="L226" i="32"/>
  <c r="M226" i="32"/>
  <c r="L227" i="32"/>
  <c r="M227" i="32"/>
  <c r="L228" i="32"/>
  <c r="M228" i="32"/>
  <c r="L229" i="32"/>
  <c r="M229" i="32"/>
  <c r="L230" i="32"/>
  <c r="M230" i="32"/>
  <c r="L231" i="32"/>
  <c r="M231" i="32"/>
  <c r="L232" i="32"/>
  <c r="M232" i="32"/>
  <c r="L233" i="32"/>
  <c r="M233" i="32"/>
  <c r="L234" i="32"/>
  <c r="M234" i="32"/>
  <c r="L235" i="32"/>
  <c r="M235" i="32"/>
  <c r="L236" i="32"/>
  <c r="M236" i="32"/>
  <c r="L237" i="32"/>
  <c r="M237" i="32"/>
  <c r="L238" i="32"/>
  <c r="M238" i="32"/>
  <c r="L239" i="32"/>
  <c r="M239" i="32"/>
  <c r="L240" i="32"/>
  <c r="M240" i="32"/>
  <c r="L241" i="32"/>
  <c r="M241" i="32"/>
  <c r="L242" i="32"/>
  <c r="M242" i="32"/>
  <c r="L243" i="32"/>
  <c r="M243" i="32"/>
  <c r="L244" i="32"/>
  <c r="M244" i="32"/>
  <c r="L245" i="32"/>
  <c r="M245" i="32"/>
  <c r="L246" i="32"/>
  <c r="M246" i="32"/>
  <c r="L247" i="32"/>
  <c r="M247" i="32"/>
  <c r="M126" i="32"/>
  <c r="L126" i="32"/>
  <c r="I127" i="32"/>
  <c r="J127" i="32"/>
  <c r="I128" i="32"/>
  <c r="J128" i="32"/>
  <c r="I129" i="32"/>
  <c r="J129" i="32"/>
  <c r="I130" i="32"/>
  <c r="J130" i="32"/>
  <c r="I131" i="32"/>
  <c r="J131" i="32"/>
  <c r="I132" i="32"/>
  <c r="J132" i="32"/>
  <c r="I133" i="32"/>
  <c r="J133" i="32"/>
  <c r="I134" i="32"/>
  <c r="J134" i="32"/>
  <c r="I135" i="32"/>
  <c r="J135" i="32"/>
  <c r="I136" i="32"/>
  <c r="J136" i="32"/>
  <c r="I137" i="32"/>
  <c r="J137" i="32"/>
  <c r="I138" i="32"/>
  <c r="J138" i="32"/>
  <c r="I139" i="32"/>
  <c r="J139" i="32"/>
  <c r="I140" i="32"/>
  <c r="J140" i="32"/>
  <c r="I141" i="32"/>
  <c r="J141" i="32"/>
  <c r="I142" i="32"/>
  <c r="J142" i="32"/>
  <c r="I143" i="32"/>
  <c r="J143" i="32"/>
  <c r="I144" i="32"/>
  <c r="J144" i="32"/>
  <c r="I145" i="32"/>
  <c r="J145" i="32"/>
  <c r="I146" i="32"/>
  <c r="J146" i="32"/>
  <c r="I147" i="32"/>
  <c r="J147" i="32"/>
  <c r="I148" i="32"/>
  <c r="J148" i="32"/>
  <c r="I149" i="32"/>
  <c r="J149" i="32"/>
  <c r="I150" i="32"/>
  <c r="J150" i="32"/>
  <c r="I151" i="32"/>
  <c r="J151" i="32"/>
  <c r="I152" i="32"/>
  <c r="J152" i="32"/>
  <c r="I153" i="32"/>
  <c r="J153" i="32"/>
  <c r="I154" i="32"/>
  <c r="J154" i="32"/>
  <c r="I155" i="32"/>
  <c r="J155" i="32"/>
  <c r="I156" i="32"/>
  <c r="J156" i="32"/>
  <c r="I157" i="32"/>
  <c r="J157" i="32"/>
  <c r="I158" i="32"/>
  <c r="J158" i="32"/>
  <c r="I159" i="32"/>
  <c r="J159" i="32"/>
  <c r="I160" i="32"/>
  <c r="J160" i="32"/>
  <c r="I161" i="32"/>
  <c r="J161" i="32"/>
  <c r="I162" i="32"/>
  <c r="J162" i="32"/>
  <c r="I163" i="32"/>
  <c r="J163" i="32"/>
  <c r="I164" i="32"/>
  <c r="J164" i="32"/>
  <c r="I165" i="32"/>
  <c r="J165" i="32"/>
  <c r="I166" i="32"/>
  <c r="J166" i="32"/>
  <c r="I167" i="32"/>
  <c r="J167" i="32"/>
  <c r="I168" i="32"/>
  <c r="J168" i="32"/>
  <c r="I169" i="32"/>
  <c r="J169" i="32"/>
  <c r="I170" i="32"/>
  <c r="J170" i="32"/>
  <c r="I171" i="32"/>
  <c r="J171" i="32"/>
  <c r="I172" i="32"/>
  <c r="J172" i="32"/>
  <c r="I173" i="32"/>
  <c r="J173" i="32"/>
  <c r="I174" i="32"/>
  <c r="J174" i="32"/>
  <c r="I175" i="32"/>
  <c r="J175" i="32"/>
  <c r="I176" i="32"/>
  <c r="J176" i="32"/>
  <c r="I177" i="32"/>
  <c r="J177" i="32"/>
  <c r="I178" i="32"/>
  <c r="J178" i="32"/>
  <c r="I179" i="32"/>
  <c r="J179" i="32"/>
  <c r="I180" i="32"/>
  <c r="J180" i="32"/>
  <c r="I181" i="32"/>
  <c r="J181" i="32"/>
  <c r="I182" i="32"/>
  <c r="J182" i="32"/>
  <c r="I183" i="32"/>
  <c r="J183" i="32"/>
  <c r="I184" i="32"/>
  <c r="J184" i="32"/>
  <c r="I185" i="32"/>
  <c r="J185" i="32"/>
  <c r="I186" i="32"/>
  <c r="J186" i="32"/>
  <c r="I187" i="32"/>
  <c r="J187" i="32"/>
  <c r="I188" i="32"/>
  <c r="J188" i="32"/>
  <c r="I189" i="32"/>
  <c r="J189" i="32"/>
  <c r="I190" i="32"/>
  <c r="J190" i="32"/>
  <c r="I191" i="32"/>
  <c r="J191" i="32"/>
  <c r="I192" i="32"/>
  <c r="J192" i="32"/>
  <c r="I193" i="32"/>
  <c r="J193" i="32"/>
  <c r="I194" i="32"/>
  <c r="J194" i="32"/>
  <c r="I195" i="32"/>
  <c r="J195" i="32"/>
  <c r="I196" i="32"/>
  <c r="J196" i="32"/>
  <c r="I197" i="32"/>
  <c r="J197" i="32"/>
  <c r="I198" i="32"/>
  <c r="J198" i="32"/>
  <c r="I199" i="32"/>
  <c r="J199" i="32"/>
  <c r="I200" i="32"/>
  <c r="J200" i="32"/>
  <c r="I201" i="32"/>
  <c r="J201" i="32"/>
  <c r="I202" i="32"/>
  <c r="J202" i="32"/>
  <c r="I203" i="32"/>
  <c r="J203" i="32"/>
  <c r="I204" i="32"/>
  <c r="J204" i="32"/>
  <c r="I205" i="32"/>
  <c r="J205" i="32"/>
  <c r="I206" i="32"/>
  <c r="J206" i="32"/>
  <c r="I207" i="32"/>
  <c r="J207" i="32"/>
  <c r="I208" i="32"/>
  <c r="J208" i="32"/>
  <c r="I209" i="32"/>
  <c r="J209" i="32"/>
  <c r="I210" i="32"/>
  <c r="J210" i="32"/>
  <c r="I211" i="32"/>
  <c r="J211" i="32"/>
  <c r="I212" i="32"/>
  <c r="J212" i="32"/>
  <c r="I213" i="32"/>
  <c r="J213" i="32"/>
  <c r="I214" i="32"/>
  <c r="J214" i="32"/>
  <c r="I215" i="32"/>
  <c r="J215" i="32"/>
  <c r="I216" i="32"/>
  <c r="J216" i="32"/>
  <c r="I217" i="32"/>
  <c r="J217" i="32"/>
  <c r="I218" i="32"/>
  <c r="J218" i="32"/>
  <c r="I219" i="32"/>
  <c r="J219" i="32"/>
  <c r="I220" i="32"/>
  <c r="J220" i="32"/>
  <c r="I221" i="32"/>
  <c r="J221" i="32"/>
  <c r="I222" i="32"/>
  <c r="J222" i="32"/>
  <c r="I223" i="32"/>
  <c r="J223" i="32"/>
  <c r="I224" i="32"/>
  <c r="J224" i="32"/>
  <c r="I225" i="32"/>
  <c r="J225" i="32"/>
  <c r="I226" i="32"/>
  <c r="J226" i="32"/>
  <c r="I227" i="32"/>
  <c r="J227" i="32"/>
  <c r="I228" i="32"/>
  <c r="J228" i="32"/>
  <c r="I229" i="32"/>
  <c r="J229" i="32"/>
  <c r="I230" i="32"/>
  <c r="J230" i="32"/>
  <c r="I231" i="32"/>
  <c r="J231" i="32"/>
  <c r="I232" i="32"/>
  <c r="J232" i="32"/>
  <c r="I233" i="32"/>
  <c r="J233" i="32"/>
  <c r="I234" i="32"/>
  <c r="J234" i="32"/>
  <c r="I235" i="32"/>
  <c r="J235" i="32"/>
  <c r="I236" i="32"/>
  <c r="J236" i="32"/>
  <c r="I237" i="32"/>
  <c r="J237" i="32"/>
  <c r="I238" i="32"/>
  <c r="J238" i="32"/>
  <c r="I239" i="32"/>
  <c r="J239" i="32"/>
  <c r="I240" i="32"/>
  <c r="J240" i="32"/>
  <c r="I241" i="32"/>
  <c r="J241" i="32"/>
  <c r="I242" i="32"/>
  <c r="J242" i="32"/>
  <c r="I243" i="32"/>
  <c r="J243" i="32"/>
  <c r="I244" i="32"/>
  <c r="J244" i="32"/>
  <c r="I245" i="32"/>
  <c r="J245" i="32"/>
  <c r="I246" i="32"/>
  <c r="J246" i="32"/>
  <c r="I247" i="32"/>
  <c r="J247" i="32"/>
  <c r="J126" i="32"/>
  <c r="C126" i="32" s="1"/>
  <c r="I126" i="32"/>
  <c r="F127" i="32"/>
  <c r="G127" i="32"/>
  <c r="F128" i="32"/>
  <c r="G128" i="32"/>
  <c r="F129" i="32"/>
  <c r="G129" i="32"/>
  <c r="F130" i="32"/>
  <c r="G130" i="32"/>
  <c r="F131" i="32"/>
  <c r="G131" i="32"/>
  <c r="F132" i="32"/>
  <c r="G132" i="32"/>
  <c r="F133" i="32"/>
  <c r="G133" i="32"/>
  <c r="F134" i="32"/>
  <c r="G134" i="32"/>
  <c r="F135" i="32"/>
  <c r="G135" i="32"/>
  <c r="F136" i="32"/>
  <c r="G136" i="32"/>
  <c r="F137" i="32"/>
  <c r="G137" i="32"/>
  <c r="F138" i="32"/>
  <c r="G138" i="32"/>
  <c r="F139" i="32"/>
  <c r="G139" i="32"/>
  <c r="F140" i="32"/>
  <c r="G140" i="32"/>
  <c r="F141" i="32"/>
  <c r="G141" i="32"/>
  <c r="F142" i="32"/>
  <c r="G142" i="32"/>
  <c r="F143" i="32"/>
  <c r="G143" i="32"/>
  <c r="F144" i="32"/>
  <c r="G144" i="32"/>
  <c r="F145" i="32"/>
  <c r="G145" i="32"/>
  <c r="F146" i="32"/>
  <c r="G146" i="32"/>
  <c r="F147" i="32"/>
  <c r="G147" i="32"/>
  <c r="F148" i="32"/>
  <c r="G148" i="32"/>
  <c r="F149" i="32"/>
  <c r="G149" i="32"/>
  <c r="F150" i="32"/>
  <c r="G150" i="32"/>
  <c r="F151" i="32"/>
  <c r="G151" i="32"/>
  <c r="F152" i="32"/>
  <c r="G152" i="32"/>
  <c r="F153" i="32"/>
  <c r="G153" i="32"/>
  <c r="F154" i="32"/>
  <c r="G154" i="32"/>
  <c r="F155" i="32"/>
  <c r="G155" i="32"/>
  <c r="F156" i="32"/>
  <c r="G156" i="32"/>
  <c r="F157" i="32"/>
  <c r="G157" i="32"/>
  <c r="F158" i="32"/>
  <c r="G158" i="32"/>
  <c r="F159" i="32"/>
  <c r="G159" i="32"/>
  <c r="F160" i="32"/>
  <c r="G160" i="32"/>
  <c r="F161" i="32"/>
  <c r="G161" i="32"/>
  <c r="F162" i="32"/>
  <c r="G162" i="32"/>
  <c r="F163" i="32"/>
  <c r="G163" i="32"/>
  <c r="F164" i="32"/>
  <c r="G164" i="32"/>
  <c r="F165" i="32"/>
  <c r="G165" i="32"/>
  <c r="F166" i="32"/>
  <c r="G166" i="32"/>
  <c r="F167" i="32"/>
  <c r="G167" i="32"/>
  <c r="F168" i="32"/>
  <c r="G168" i="32"/>
  <c r="F169" i="32"/>
  <c r="G169" i="32"/>
  <c r="F170" i="32"/>
  <c r="G170" i="32"/>
  <c r="F171" i="32"/>
  <c r="G171" i="32"/>
  <c r="F172" i="32"/>
  <c r="G172" i="32"/>
  <c r="F173" i="32"/>
  <c r="G173" i="32"/>
  <c r="F174" i="32"/>
  <c r="G174" i="32"/>
  <c r="F175" i="32"/>
  <c r="G175" i="32"/>
  <c r="F176" i="32"/>
  <c r="G176" i="32"/>
  <c r="F177" i="32"/>
  <c r="G177" i="32"/>
  <c r="F178" i="32"/>
  <c r="G178" i="32"/>
  <c r="F179" i="32"/>
  <c r="G179" i="32"/>
  <c r="F180" i="32"/>
  <c r="G180" i="32"/>
  <c r="F181" i="32"/>
  <c r="G181" i="32"/>
  <c r="F182" i="32"/>
  <c r="G182" i="32"/>
  <c r="F183" i="32"/>
  <c r="G183" i="32"/>
  <c r="F184" i="32"/>
  <c r="G184" i="32"/>
  <c r="F185" i="32"/>
  <c r="G185" i="32"/>
  <c r="F186" i="32"/>
  <c r="G186" i="32"/>
  <c r="F187" i="32"/>
  <c r="G187" i="32"/>
  <c r="F188" i="32"/>
  <c r="G188" i="32"/>
  <c r="F189" i="32"/>
  <c r="G189" i="32"/>
  <c r="F190" i="32"/>
  <c r="G190" i="32"/>
  <c r="F191" i="32"/>
  <c r="G191" i="32"/>
  <c r="F192" i="32"/>
  <c r="G192" i="32"/>
  <c r="F193" i="32"/>
  <c r="G193" i="32"/>
  <c r="F194" i="32"/>
  <c r="G194" i="32"/>
  <c r="F195" i="32"/>
  <c r="G195" i="32"/>
  <c r="F196" i="32"/>
  <c r="G196" i="32"/>
  <c r="F197" i="32"/>
  <c r="G197" i="32"/>
  <c r="F198" i="32"/>
  <c r="G198" i="32"/>
  <c r="F199" i="32"/>
  <c r="G199" i="32"/>
  <c r="F200" i="32"/>
  <c r="G200" i="32"/>
  <c r="F201" i="32"/>
  <c r="G201" i="32"/>
  <c r="F202" i="32"/>
  <c r="G202" i="32"/>
  <c r="F203" i="32"/>
  <c r="G203" i="32"/>
  <c r="F204" i="32"/>
  <c r="G204" i="32"/>
  <c r="F205" i="32"/>
  <c r="G205" i="32"/>
  <c r="F206" i="32"/>
  <c r="G206" i="32"/>
  <c r="F207" i="32"/>
  <c r="G207" i="32"/>
  <c r="F208" i="32"/>
  <c r="G208" i="32"/>
  <c r="F209" i="32"/>
  <c r="G209" i="32"/>
  <c r="F210" i="32"/>
  <c r="G210" i="32"/>
  <c r="F211" i="32"/>
  <c r="G211" i="32"/>
  <c r="F212" i="32"/>
  <c r="G212" i="32"/>
  <c r="F213" i="32"/>
  <c r="G213" i="32"/>
  <c r="F214" i="32"/>
  <c r="G214" i="32"/>
  <c r="F215" i="32"/>
  <c r="G215" i="32"/>
  <c r="F216" i="32"/>
  <c r="G216" i="32"/>
  <c r="F217" i="32"/>
  <c r="G217" i="32"/>
  <c r="F218" i="32"/>
  <c r="G218" i="32"/>
  <c r="F219" i="32"/>
  <c r="G219" i="32"/>
  <c r="F220" i="32"/>
  <c r="G220" i="32"/>
  <c r="F221" i="32"/>
  <c r="G221" i="32"/>
  <c r="F222" i="32"/>
  <c r="G222" i="32"/>
  <c r="F223" i="32"/>
  <c r="G223" i="32"/>
  <c r="F224" i="32"/>
  <c r="G224" i="32"/>
  <c r="F225" i="32"/>
  <c r="G225" i="32"/>
  <c r="F226" i="32"/>
  <c r="G226" i="32"/>
  <c r="F227" i="32"/>
  <c r="G227" i="32"/>
  <c r="F228" i="32"/>
  <c r="G228" i="32"/>
  <c r="F229" i="32"/>
  <c r="G229" i="32"/>
  <c r="F230" i="32"/>
  <c r="G230" i="32"/>
  <c r="F231" i="32"/>
  <c r="G231" i="32"/>
  <c r="F232" i="32"/>
  <c r="G232" i="32"/>
  <c r="F233" i="32"/>
  <c r="G233" i="32"/>
  <c r="F234" i="32"/>
  <c r="G234" i="32"/>
  <c r="F235" i="32"/>
  <c r="G235" i="32"/>
  <c r="F236" i="32"/>
  <c r="G236" i="32"/>
  <c r="F237" i="32"/>
  <c r="G237" i="32"/>
  <c r="F238" i="32"/>
  <c r="G238" i="32"/>
  <c r="F239" i="32"/>
  <c r="G239" i="32"/>
  <c r="F240" i="32"/>
  <c r="G240" i="32"/>
  <c r="F241" i="32"/>
  <c r="G241" i="32"/>
  <c r="F242" i="32"/>
  <c r="G242" i="32"/>
  <c r="F243" i="32"/>
  <c r="G243" i="32"/>
  <c r="F244" i="32"/>
  <c r="G244" i="32"/>
  <c r="F245" i="32"/>
  <c r="G245" i="32"/>
  <c r="F246" i="32"/>
  <c r="G246" i="32"/>
  <c r="F247" i="32"/>
  <c r="G247" i="32"/>
  <c r="G126" i="32"/>
  <c r="F126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7" i="32"/>
  <c r="C128" i="32"/>
  <c r="C131" i="32"/>
  <c r="C132" i="32"/>
  <c r="C135" i="32"/>
  <c r="C139" i="32"/>
  <c r="C143" i="32"/>
  <c r="C144" i="32"/>
  <c r="C147" i="32"/>
  <c r="C151" i="32"/>
  <c r="C155" i="32"/>
  <c r="C159" i="32"/>
  <c r="C160" i="32"/>
  <c r="C163" i="32"/>
  <c r="C164" i="32"/>
  <c r="C167" i="32"/>
  <c r="C171" i="32"/>
  <c r="C175" i="32"/>
  <c r="C176" i="32"/>
  <c r="D176" i="32" s="1"/>
  <c r="C179" i="32"/>
  <c r="C183" i="32"/>
  <c r="C187" i="32"/>
  <c r="C191" i="32"/>
  <c r="C192" i="32"/>
  <c r="C195" i="32"/>
  <c r="C196" i="32"/>
  <c r="D196" i="32" s="1"/>
  <c r="C199" i="32"/>
  <c r="C203" i="32"/>
  <c r="C207" i="32"/>
  <c r="C208" i="32"/>
  <c r="C211" i="32"/>
  <c r="C215" i="32"/>
  <c r="C219" i="32"/>
  <c r="C223" i="32"/>
  <c r="C224" i="32"/>
  <c r="C227" i="32"/>
  <c r="C228" i="32"/>
  <c r="C231" i="32"/>
  <c r="C235" i="32"/>
  <c r="C239" i="32"/>
  <c r="C240" i="32"/>
  <c r="D240" i="32" s="1"/>
  <c r="C243" i="32"/>
  <c r="C247" i="32"/>
  <c r="C248" i="32"/>
  <c r="C249" i="32"/>
  <c r="C250" i="32"/>
  <c r="C369" i="32"/>
  <c r="C370" i="32"/>
  <c r="C371" i="32"/>
  <c r="C372" i="32"/>
  <c r="C375" i="32"/>
  <c r="C376" i="32"/>
  <c r="D376" i="32" s="1"/>
  <c r="C379" i="32"/>
  <c r="C380" i="32"/>
  <c r="C381" i="32"/>
  <c r="D381" i="32" s="1"/>
  <c r="C4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26" i="32"/>
  <c r="S27" i="32"/>
  <c r="S28" i="32"/>
  <c r="S29" i="32"/>
  <c r="S30" i="32"/>
  <c r="S31" i="32"/>
  <c r="S32" i="32"/>
  <c r="S33" i="32"/>
  <c r="S34" i="32"/>
  <c r="S35" i="32"/>
  <c r="S36" i="32"/>
  <c r="S37" i="32"/>
  <c r="S38" i="32"/>
  <c r="S39" i="32"/>
  <c r="S40" i="32"/>
  <c r="S41" i="32"/>
  <c r="S42" i="32"/>
  <c r="S43" i="32"/>
  <c r="S44" i="32"/>
  <c r="S45" i="32"/>
  <c r="S46" i="32"/>
  <c r="S47" i="32"/>
  <c r="S48" i="32"/>
  <c r="S49" i="32"/>
  <c r="S50" i="32"/>
  <c r="S51" i="32"/>
  <c r="S52" i="32"/>
  <c r="S53" i="32"/>
  <c r="S54" i="32"/>
  <c r="S55" i="32"/>
  <c r="S56" i="32"/>
  <c r="S57" i="32"/>
  <c r="S58" i="32"/>
  <c r="S59" i="32"/>
  <c r="S60" i="32"/>
  <c r="S61" i="32"/>
  <c r="S62" i="32"/>
  <c r="S63" i="32"/>
  <c r="S64" i="32"/>
  <c r="S65" i="32"/>
  <c r="S66" i="32"/>
  <c r="S67" i="32"/>
  <c r="S68" i="32"/>
  <c r="S69" i="32"/>
  <c r="S70" i="32"/>
  <c r="S71" i="32"/>
  <c r="S72" i="32"/>
  <c r="S73" i="32"/>
  <c r="S74" i="32"/>
  <c r="S75" i="32"/>
  <c r="S76" i="32"/>
  <c r="S77" i="32"/>
  <c r="S78" i="32"/>
  <c r="S79" i="32"/>
  <c r="S80" i="32"/>
  <c r="S81" i="32"/>
  <c r="S82" i="32"/>
  <c r="S83" i="32"/>
  <c r="S84" i="32"/>
  <c r="S85" i="32"/>
  <c r="S86" i="32"/>
  <c r="S87" i="32"/>
  <c r="S88" i="32"/>
  <c r="S89" i="32"/>
  <c r="S90" i="32"/>
  <c r="S91" i="32"/>
  <c r="S92" i="32"/>
  <c r="S93" i="32"/>
  <c r="S94" i="32"/>
  <c r="S95" i="32"/>
  <c r="S96" i="32"/>
  <c r="S97" i="32"/>
  <c r="S98" i="32"/>
  <c r="S99" i="32"/>
  <c r="S100" i="32"/>
  <c r="S101" i="32"/>
  <c r="S102" i="32"/>
  <c r="S103" i="32"/>
  <c r="S104" i="32"/>
  <c r="S105" i="32"/>
  <c r="S106" i="32"/>
  <c r="S107" i="32"/>
  <c r="S108" i="32"/>
  <c r="S109" i="32"/>
  <c r="S110" i="32"/>
  <c r="S111" i="32"/>
  <c r="S112" i="32"/>
  <c r="S113" i="32"/>
  <c r="S114" i="32"/>
  <c r="S115" i="32"/>
  <c r="S116" i="32"/>
  <c r="S117" i="32"/>
  <c r="S118" i="32"/>
  <c r="S119" i="32"/>
  <c r="S120" i="32"/>
  <c r="S121" i="32"/>
  <c r="S122" i="32"/>
  <c r="S123" i="32"/>
  <c r="S124" i="32"/>
  <c r="S5" i="32"/>
  <c r="S4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32" i="32"/>
  <c r="R33" i="32"/>
  <c r="R34" i="32"/>
  <c r="R35" i="32"/>
  <c r="R36" i="32"/>
  <c r="R37" i="32"/>
  <c r="R38" i="32"/>
  <c r="R39" i="32"/>
  <c r="R40" i="32"/>
  <c r="R41" i="32"/>
  <c r="R42" i="32"/>
  <c r="R43" i="32"/>
  <c r="R44" i="32"/>
  <c r="R45" i="32"/>
  <c r="R46" i="32"/>
  <c r="R47" i="32"/>
  <c r="R48" i="32"/>
  <c r="R49" i="32"/>
  <c r="R50" i="32"/>
  <c r="R51" i="32"/>
  <c r="R52" i="32"/>
  <c r="R53" i="32"/>
  <c r="R54" i="32"/>
  <c r="R55" i="32"/>
  <c r="R56" i="32"/>
  <c r="R57" i="32"/>
  <c r="R58" i="32"/>
  <c r="R59" i="32"/>
  <c r="R60" i="32"/>
  <c r="R61" i="32"/>
  <c r="R62" i="32"/>
  <c r="R63" i="32"/>
  <c r="R64" i="32"/>
  <c r="R65" i="32"/>
  <c r="R66" i="32"/>
  <c r="R67" i="32"/>
  <c r="R68" i="32"/>
  <c r="R69" i="32"/>
  <c r="R70" i="32"/>
  <c r="R71" i="32"/>
  <c r="R72" i="32"/>
  <c r="R73" i="32"/>
  <c r="R74" i="32"/>
  <c r="R75" i="32"/>
  <c r="R76" i="32"/>
  <c r="R77" i="32"/>
  <c r="R78" i="32"/>
  <c r="R79" i="32"/>
  <c r="R80" i="32"/>
  <c r="R81" i="32"/>
  <c r="R82" i="32"/>
  <c r="R83" i="32"/>
  <c r="R84" i="32"/>
  <c r="R85" i="32"/>
  <c r="R86" i="32"/>
  <c r="R87" i="32"/>
  <c r="R88" i="32"/>
  <c r="R89" i="32"/>
  <c r="R90" i="32"/>
  <c r="R91" i="32"/>
  <c r="R92" i="32"/>
  <c r="R93" i="32"/>
  <c r="R94" i="32"/>
  <c r="R95" i="32"/>
  <c r="R96" i="32"/>
  <c r="R97" i="32"/>
  <c r="R98" i="32"/>
  <c r="R99" i="32"/>
  <c r="R100" i="32"/>
  <c r="R101" i="32"/>
  <c r="R102" i="32"/>
  <c r="R103" i="32"/>
  <c r="R104" i="32"/>
  <c r="R105" i="32"/>
  <c r="R106" i="32"/>
  <c r="R107" i="32"/>
  <c r="R108" i="32"/>
  <c r="R109" i="32"/>
  <c r="R110" i="32"/>
  <c r="R111" i="32"/>
  <c r="R112" i="32"/>
  <c r="R113" i="32"/>
  <c r="R114" i="32"/>
  <c r="R115" i="32"/>
  <c r="R116" i="32"/>
  <c r="R117" i="32"/>
  <c r="R118" i="32"/>
  <c r="R119" i="32"/>
  <c r="R120" i="32"/>
  <c r="R121" i="32"/>
  <c r="R122" i="32"/>
  <c r="R123" i="32"/>
  <c r="R124" i="32"/>
  <c r="R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22" i="32"/>
  <c r="P23" i="32"/>
  <c r="P24" i="32"/>
  <c r="P25" i="32"/>
  <c r="P26" i="32"/>
  <c r="P27" i="32"/>
  <c r="P28" i="32"/>
  <c r="P29" i="32"/>
  <c r="P30" i="32"/>
  <c r="P31" i="32"/>
  <c r="P32" i="32"/>
  <c r="P33" i="32"/>
  <c r="P34" i="32"/>
  <c r="P35" i="32"/>
  <c r="P36" i="32"/>
  <c r="P37" i="32"/>
  <c r="P38" i="32"/>
  <c r="P39" i="32"/>
  <c r="P40" i="32"/>
  <c r="P41" i="32"/>
  <c r="P42" i="32"/>
  <c r="P43" i="32"/>
  <c r="P44" i="32"/>
  <c r="P45" i="32"/>
  <c r="P46" i="32"/>
  <c r="P47" i="32"/>
  <c r="P48" i="32"/>
  <c r="P49" i="32"/>
  <c r="P50" i="32"/>
  <c r="P51" i="32"/>
  <c r="P52" i="32"/>
  <c r="P53" i="32"/>
  <c r="P54" i="32"/>
  <c r="P55" i="32"/>
  <c r="P56" i="32"/>
  <c r="P57" i="32"/>
  <c r="P58" i="32"/>
  <c r="P59" i="32"/>
  <c r="P60" i="32"/>
  <c r="P61" i="32"/>
  <c r="P62" i="32"/>
  <c r="P63" i="32"/>
  <c r="P64" i="32"/>
  <c r="P65" i="32"/>
  <c r="P66" i="32"/>
  <c r="P67" i="32"/>
  <c r="P68" i="32"/>
  <c r="P69" i="32"/>
  <c r="P70" i="32"/>
  <c r="P71" i="32"/>
  <c r="P72" i="32"/>
  <c r="P73" i="32"/>
  <c r="P74" i="32"/>
  <c r="P75" i="32"/>
  <c r="P76" i="32"/>
  <c r="P77" i="32"/>
  <c r="P78" i="32"/>
  <c r="P79" i="32"/>
  <c r="P80" i="32"/>
  <c r="P81" i="32"/>
  <c r="P82" i="32"/>
  <c r="P83" i="32"/>
  <c r="P84" i="32"/>
  <c r="P85" i="32"/>
  <c r="P86" i="32"/>
  <c r="P87" i="32"/>
  <c r="P88" i="32"/>
  <c r="P89" i="32"/>
  <c r="P90" i="32"/>
  <c r="P91" i="32"/>
  <c r="P92" i="32"/>
  <c r="P93" i="32"/>
  <c r="P94" i="32"/>
  <c r="P95" i="32"/>
  <c r="P96" i="32"/>
  <c r="P97" i="32"/>
  <c r="P98" i="32"/>
  <c r="P99" i="32"/>
  <c r="P100" i="32"/>
  <c r="P101" i="32"/>
  <c r="P102" i="32"/>
  <c r="P103" i="32"/>
  <c r="P104" i="32"/>
  <c r="P105" i="32"/>
  <c r="P106" i="32"/>
  <c r="P107" i="32"/>
  <c r="P108" i="32"/>
  <c r="P109" i="32"/>
  <c r="P110" i="32"/>
  <c r="P111" i="32"/>
  <c r="P112" i="32"/>
  <c r="P113" i="32"/>
  <c r="P114" i="32"/>
  <c r="P115" i="32"/>
  <c r="P116" i="32"/>
  <c r="P117" i="32"/>
  <c r="P118" i="32"/>
  <c r="P119" i="32"/>
  <c r="P120" i="32"/>
  <c r="P121" i="32"/>
  <c r="P122" i="32"/>
  <c r="P123" i="32"/>
  <c r="P124" i="32"/>
  <c r="P5" i="32"/>
  <c r="O6" i="32"/>
  <c r="O7" i="32"/>
  <c r="O8" i="32"/>
  <c r="O9" i="32"/>
  <c r="O10" i="32"/>
  <c r="O11" i="32"/>
  <c r="O12" i="32"/>
  <c r="O13" i="32"/>
  <c r="O14" i="32"/>
  <c r="O15" i="32"/>
  <c r="O16" i="32"/>
  <c r="O17" i="32"/>
  <c r="O18" i="32"/>
  <c r="O19" i="32"/>
  <c r="O20" i="32"/>
  <c r="O21" i="32"/>
  <c r="O22" i="32"/>
  <c r="O23" i="32"/>
  <c r="O24" i="32"/>
  <c r="O25" i="32"/>
  <c r="O26" i="32"/>
  <c r="O27" i="32"/>
  <c r="O28" i="32"/>
  <c r="O29" i="32"/>
  <c r="O30" i="32"/>
  <c r="O31" i="32"/>
  <c r="O32" i="32"/>
  <c r="O33" i="32"/>
  <c r="O34" i="32"/>
  <c r="O35" i="32"/>
  <c r="O36" i="32"/>
  <c r="O37" i="32"/>
  <c r="O38" i="32"/>
  <c r="O39" i="32"/>
  <c r="O40" i="32"/>
  <c r="O41" i="32"/>
  <c r="O42" i="32"/>
  <c r="O43" i="32"/>
  <c r="O44" i="32"/>
  <c r="O45" i="32"/>
  <c r="O46" i="32"/>
  <c r="O47" i="32"/>
  <c r="O48" i="32"/>
  <c r="O49" i="32"/>
  <c r="O50" i="32"/>
  <c r="O51" i="32"/>
  <c r="O52" i="32"/>
  <c r="O53" i="32"/>
  <c r="O54" i="32"/>
  <c r="O55" i="32"/>
  <c r="O56" i="32"/>
  <c r="O57" i="32"/>
  <c r="O58" i="32"/>
  <c r="O59" i="32"/>
  <c r="O60" i="32"/>
  <c r="O61" i="32"/>
  <c r="O62" i="32"/>
  <c r="O63" i="32"/>
  <c r="O64" i="32"/>
  <c r="O65" i="32"/>
  <c r="O66" i="32"/>
  <c r="O67" i="32"/>
  <c r="O68" i="32"/>
  <c r="O69" i="32"/>
  <c r="O70" i="32"/>
  <c r="O71" i="32"/>
  <c r="O72" i="32"/>
  <c r="O73" i="32"/>
  <c r="O74" i="32"/>
  <c r="O75" i="32"/>
  <c r="O76" i="32"/>
  <c r="O77" i="32"/>
  <c r="O78" i="32"/>
  <c r="O79" i="32"/>
  <c r="O80" i="32"/>
  <c r="O81" i="32"/>
  <c r="O82" i="32"/>
  <c r="O83" i="32"/>
  <c r="O84" i="32"/>
  <c r="O85" i="32"/>
  <c r="O86" i="32"/>
  <c r="O87" i="32"/>
  <c r="O88" i="32"/>
  <c r="O89" i="32"/>
  <c r="O90" i="32"/>
  <c r="O91" i="32"/>
  <c r="O92" i="32"/>
  <c r="O93" i="32"/>
  <c r="O94" i="32"/>
  <c r="O95" i="32"/>
  <c r="O96" i="32"/>
  <c r="O97" i="32"/>
  <c r="O98" i="32"/>
  <c r="O99" i="32"/>
  <c r="O100" i="32"/>
  <c r="O101" i="32"/>
  <c r="O102" i="32"/>
  <c r="O103" i="32"/>
  <c r="O104" i="32"/>
  <c r="O105" i="32"/>
  <c r="O106" i="32"/>
  <c r="O107" i="32"/>
  <c r="O108" i="32"/>
  <c r="O109" i="32"/>
  <c r="O110" i="32"/>
  <c r="O111" i="32"/>
  <c r="O112" i="32"/>
  <c r="O113" i="32"/>
  <c r="O114" i="32"/>
  <c r="O115" i="32"/>
  <c r="O116" i="32"/>
  <c r="O117" i="32"/>
  <c r="O118" i="32"/>
  <c r="O119" i="32"/>
  <c r="O120" i="32"/>
  <c r="O121" i="32"/>
  <c r="O122" i="32"/>
  <c r="O123" i="32"/>
  <c r="O124" i="32"/>
  <c r="O5" i="32"/>
  <c r="P4" i="32"/>
  <c r="M6" i="32"/>
  <c r="M7" i="32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21" i="32"/>
  <c r="M22" i="32"/>
  <c r="M23" i="32"/>
  <c r="M24" i="32"/>
  <c r="M25" i="32"/>
  <c r="M26" i="32"/>
  <c r="M27" i="32"/>
  <c r="M28" i="32"/>
  <c r="M29" i="32"/>
  <c r="M30" i="32"/>
  <c r="M31" i="32"/>
  <c r="M32" i="32"/>
  <c r="M33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06" i="32"/>
  <c r="M107" i="32"/>
  <c r="M108" i="32"/>
  <c r="M109" i="32"/>
  <c r="M110" i="32"/>
  <c r="M111" i="32"/>
  <c r="M112" i="32"/>
  <c r="M113" i="32"/>
  <c r="M114" i="32"/>
  <c r="M115" i="32"/>
  <c r="M116" i="32"/>
  <c r="M117" i="32"/>
  <c r="M118" i="32"/>
  <c r="M119" i="32"/>
  <c r="M120" i="32"/>
  <c r="M121" i="32"/>
  <c r="M122" i="32"/>
  <c r="M123" i="32"/>
  <c r="M124" i="32"/>
  <c r="M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6" i="32"/>
  <c r="L87" i="32"/>
  <c r="L88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3" i="32"/>
  <c r="L104" i="32"/>
  <c r="L105" i="32"/>
  <c r="L106" i="32"/>
  <c r="L107" i="32"/>
  <c r="L108" i="32"/>
  <c r="L109" i="32"/>
  <c r="L110" i="32"/>
  <c r="L111" i="32"/>
  <c r="L112" i="32"/>
  <c r="L113" i="32"/>
  <c r="L114" i="32"/>
  <c r="L115" i="32"/>
  <c r="L116" i="32"/>
  <c r="L117" i="32"/>
  <c r="L118" i="32"/>
  <c r="L119" i="32"/>
  <c r="L120" i="32"/>
  <c r="L121" i="32"/>
  <c r="L122" i="32"/>
  <c r="L123" i="32"/>
  <c r="L124" i="32"/>
  <c r="L5" i="32"/>
  <c r="M4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1" i="32"/>
  <c r="J42" i="32"/>
  <c r="J43" i="32"/>
  <c r="J44" i="32"/>
  <c r="J45" i="32"/>
  <c r="J46" i="32"/>
  <c r="J47" i="32"/>
  <c r="J48" i="32"/>
  <c r="J49" i="32"/>
  <c r="J50" i="32"/>
  <c r="J51" i="32"/>
  <c r="J52" i="32"/>
  <c r="J53" i="32"/>
  <c r="J54" i="32"/>
  <c r="J55" i="32"/>
  <c r="J56" i="32"/>
  <c r="J57" i="32"/>
  <c r="J58" i="32"/>
  <c r="J59" i="32"/>
  <c r="J60" i="32"/>
  <c r="J61" i="32"/>
  <c r="J62" i="32"/>
  <c r="J63" i="32"/>
  <c r="J64" i="32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83" i="32"/>
  <c r="J84" i="32"/>
  <c r="J85" i="32"/>
  <c r="J86" i="32"/>
  <c r="J87" i="32"/>
  <c r="J88" i="32"/>
  <c r="J89" i="32"/>
  <c r="J90" i="32"/>
  <c r="J91" i="32"/>
  <c r="J92" i="32"/>
  <c r="J93" i="32"/>
  <c r="J94" i="32"/>
  <c r="J95" i="32"/>
  <c r="J96" i="32"/>
  <c r="J97" i="32"/>
  <c r="J98" i="32"/>
  <c r="J99" i="32"/>
  <c r="J100" i="32"/>
  <c r="J101" i="32"/>
  <c r="J102" i="32"/>
  <c r="J103" i="32"/>
  <c r="J104" i="32"/>
  <c r="J105" i="32"/>
  <c r="J106" i="32"/>
  <c r="J107" i="32"/>
  <c r="J108" i="32"/>
  <c r="J109" i="32"/>
  <c r="J110" i="32"/>
  <c r="J111" i="32"/>
  <c r="J112" i="32"/>
  <c r="J113" i="32"/>
  <c r="J114" i="32"/>
  <c r="J115" i="32"/>
  <c r="J116" i="32"/>
  <c r="J117" i="32"/>
  <c r="J118" i="32"/>
  <c r="J119" i="32"/>
  <c r="J120" i="32"/>
  <c r="J121" i="32"/>
  <c r="J122" i="32"/>
  <c r="J123" i="32"/>
  <c r="J124" i="32"/>
  <c r="J5" i="32"/>
  <c r="J4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I51" i="32"/>
  <c r="I52" i="32"/>
  <c r="I53" i="32"/>
  <c r="I54" i="32"/>
  <c r="I55" i="32"/>
  <c r="I56" i="32"/>
  <c r="I57" i="32"/>
  <c r="I58" i="32"/>
  <c r="I59" i="32"/>
  <c r="I60" i="32"/>
  <c r="I61" i="32"/>
  <c r="I62" i="32"/>
  <c r="I63" i="32"/>
  <c r="I64" i="32"/>
  <c r="I65" i="32"/>
  <c r="I66" i="32"/>
  <c r="I67" i="32"/>
  <c r="I68" i="32"/>
  <c r="I69" i="32"/>
  <c r="I70" i="32"/>
  <c r="I71" i="32"/>
  <c r="I72" i="32"/>
  <c r="I73" i="32"/>
  <c r="I74" i="32"/>
  <c r="I75" i="32"/>
  <c r="I76" i="32"/>
  <c r="I77" i="32"/>
  <c r="I78" i="32"/>
  <c r="I79" i="32"/>
  <c r="I80" i="32"/>
  <c r="I81" i="32"/>
  <c r="I82" i="32"/>
  <c r="I83" i="32"/>
  <c r="I84" i="32"/>
  <c r="I85" i="32"/>
  <c r="I86" i="32"/>
  <c r="I87" i="32"/>
  <c r="I88" i="32"/>
  <c r="I89" i="32"/>
  <c r="I90" i="32"/>
  <c r="I91" i="32"/>
  <c r="I92" i="32"/>
  <c r="I93" i="32"/>
  <c r="I94" i="32"/>
  <c r="I95" i="32"/>
  <c r="I96" i="32"/>
  <c r="I97" i="32"/>
  <c r="I98" i="32"/>
  <c r="I99" i="32"/>
  <c r="I100" i="32"/>
  <c r="I101" i="32"/>
  <c r="I102" i="32"/>
  <c r="I103" i="32"/>
  <c r="I104" i="32"/>
  <c r="I105" i="32"/>
  <c r="I106" i="32"/>
  <c r="I107" i="32"/>
  <c r="I108" i="32"/>
  <c r="I109" i="32"/>
  <c r="I110" i="32"/>
  <c r="I111" i="32"/>
  <c r="I112" i="32"/>
  <c r="I113" i="32"/>
  <c r="I114" i="32"/>
  <c r="I115" i="32"/>
  <c r="I116" i="32"/>
  <c r="I117" i="32"/>
  <c r="I118" i="32"/>
  <c r="I119" i="32"/>
  <c r="I120" i="32"/>
  <c r="I121" i="32"/>
  <c r="I122" i="32"/>
  <c r="I123" i="32"/>
  <c r="I124" i="32"/>
  <c r="I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67" i="32"/>
  <c r="G68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98" i="32"/>
  <c r="G99" i="32"/>
  <c r="G100" i="32"/>
  <c r="G101" i="32"/>
  <c r="G102" i="32"/>
  <c r="G103" i="32"/>
  <c r="G104" i="32"/>
  <c r="G105" i="32"/>
  <c r="G106" i="32"/>
  <c r="G107" i="32"/>
  <c r="G108" i="32"/>
  <c r="G109" i="32"/>
  <c r="G110" i="32"/>
  <c r="G111" i="32"/>
  <c r="G112" i="32"/>
  <c r="G113" i="32"/>
  <c r="G114" i="32"/>
  <c r="G115" i="32"/>
  <c r="G116" i="32"/>
  <c r="G117" i="32"/>
  <c r="G118" i="32"/>
  <c r="G119" i="32"/>
  <c r="G120" i="32"/>
  <c r="G121" i="32"/>
  <c r="G122" i="32"/>
  <c r="G123" i="32"/>
  <c r="G124" i="32"/>
  <c r="G5" i="32"/>
  <c r="G4" i="32"/>
  <c r="AL5" i="31"/>
  <c r="AL4" i="31"/>
  <c r="AM4" i="31" s="1"/>
  <c r="AK124" i="31"/>
  <c r="AK247" i="31"/>
  <c r="AK368" i="31"/>
  <c r="AK4" i="31"/>
  <c r="AD124" i="31"/>
  <c r="AD247" i="31"/>
  <c r="AD368" i="31"/>
  <c r="AD4" i="31"/>
  <c r="AD3" i="31"/>
  <c r="AK3" i="31"/>
  <c r="W3" i="31"/>
  <c r="V4" i="31" s="1"/>
  <c r="W124" i="31"/>
  <c r="W247" i="31"/>
  <c r="V248" i="31" s="1"/>
  <c r="W368" i="31"/>
  <c r="V369" i="31" s="1"/>
  <c r="P124" i="31"/>
  <c r="O125" i="31" s="1"/>
  <c r="P247" i="31"/>
  <c r="O248" i="31" s="1"/>
  <c r="P368" i="31"/>
  <c r="O369" i="31" s="1"/>
  <c r="P3" i="31"/>
  <c r="AJ4" i="31"/>
  <c r="AJ3" i="31"/>
  <c r="AC3" i="31"/>
  <c r="V3" i="31"/>
  <c r="O3" i="31"/>
  <c r="I124" i="31"/>
  <c r="H125" i="31" s="1"/>
  <c r="I247" i="31"/>
  <c r="H248" i="31" s="1"/>
  <c r="I368" i="31"/>
  <c r="I3" i="31"/>
  <c r="H3" i="31"/>
  <c r="AT380" i="31"/>
  <c r="AS380" i="31"/>
  <c r="AR380" i="31"/>
  <c r="AQ380" i="31"/>
  <c r="AT379" i="31"/>
  <c r="AS379" i="31"/>
  <c r="AR379" i="31"/>
  <c r="AQ379" i="31"/>
  <c r="AT378" i="31"/>
  <c r="AS378" i="31"/>
  <c r="AR378" i="31"/>
  <c r="AQ378" i="31"/>
  <c r="AT377" i="31"/>
  <c r="AS377" i="31"/>
  <c r="AR377" i="31"/>
  <c r="AQ377" i="31"/>
  <c r="AT376" i="31"/>
  <c r="AS376" i="31"/>
  <c r="AR376" i="31"/>
  <c r="AQ376" i="31"/>
  <c r="AT375" i="31"/>
  <c r="AS375" i="31"/>
  <c r="AR375" i="31"/>
  <c r="AQ375" i="31"/>
  <c r="AT374" i="31"/>
  <c r="AS374" i="31"/>
  <c r="AR374" i="31"/>
  <c r="AQ374" i="31"/>
  <c r="AT373" i="31"/>
  <c r="AS373" i="31"/>
  <c r="AR373" i="31"/>
  <c r="AQ373" i="31"/>
  <c r="AT372" i="31"/>
  <c r="AS372" i="31"/>
  <c r="AR372" i="31"/>
  <c r="AQ372" i="31"/>
  <c r="AT371" i="31"/>
  <c r="AS371" i="31"/>
  <c r="AR371" i="31"/>
  <c r="AQ371" i="31"/>
  <c r="AT370" i="31"/>
  <c r="AS370" i="31"/>
  <c r="AR370" i="31"/>
  <c r="AQ370" i="31"/>
  <c r="AT369" i="31"/>
  <c r="AS369" i="31"/>
  <c r="AR369" i="31"/>
  <c r="AQ369" i="31"/>
  <c r="AT368" i="31"/>
  <c r="AS368" i="31"/>
  <c r="AR368" i="31"/>
  <c r="AQ368" i="31"/>
  <c r="AT367" i="31"/>
  <c r="AS367" i="31"/>
  <c r="AR367" i="31"/>
  <c r="AQ367" i="31"/>
  <c r="AT366" i="31"/>
  <c r="AS366" i="31"/>
  <c r="AR366" i="31"/>
  <c r="AQ366" i="31"/>
  <c r="AT365" i="31"/>
  <c r="AS365" i="31"/>
  <c r="AR365" i="31"/>
  <c r="AQ365" i="31"/>
  <c r="AT364" i="31"/>
  <c r="AS364" i="31"/>
  <c r="AR364" i="31"/>
  <c r="AQ364" i="31"/>
  <c r="AT363" i="31"/>
  <c r="AS363" i="31"/>
  <c r="AR363" i="31"/>
  <c r="AQ363" i="31"/>
  <c r="AT362" i="31"/>
  <c r="AS362" i="31"/>
  <c r="AR362" i="31"/>
  <c r="AQ362" i="31"/>
  <c r="AT361" i="31"/>
  <c r="AS361" i="31"/>
  <c r="AR361" i="31"/>
  <c r="AQ361" i="31"/>
  <c r="AT360" i="31"/>
  <c r="AS360" i="31"/>
  <c r="AR360" i="31"/>
  <c r="AQ360" i="31"/>
  <c r="AT359" i="31"/>
  <c r="AS359" i="31"/>
  <c r="AR359" i="31"/>
  <c r="AQ359" i="31"/>
  <c r="AT358" i="31"/>
  <c r="AS358" i="31"/>
  <c r="AR358" i="31"/>
  <c r="AQ358" i="31"/>
  <c r="AT357" i="31"/>
  <c r="AS357" i="31"/>
  <c r="AR357" i="31"/>
  <c r="AQ357" i="31"/>
  <c r="AT356" i="31"/>
  <c r="AS356" i="31"/>
  <c r="AR356" i="31"/>
  <c r="AQ356" i="31"/>
  <c r="AT355" i="31"/>
  <c r="AS355" i="31"/>
  <c r="AR355" i="31"/>
  <c r="AQ355" i="31"/>
  <c r="AT354" i="31"/>
  <c r="AS354" i="31"/>
  <c r="AR354" i="31"/>
  <c r="AQ354" i="31"/>
  <c r="AT353" i="31"/>
  <c r="AS353" i="31"/>
  <c r="AR353" i="31"/>
  <c r="AQ353" i="31"/>
  <c r="AT352" i="31"/>
  <c r="AS352" i="31"/>
  <c r="AR352" i="31"/>
  <c r="AQ352" i="31"/>
  <c r="AT351" i="31"/>
  <c r="AS351" i="31"/>
  <c r="AR351" i="31"/>
  <c r="AQ351" i="31"/>
  <c r="AT350" i="31"/>
  <c r="AS350" i="31"/>
  <c r="AR350" i="31"/>
  <c r="AQ350" i="31"/>
  <c r="AT349" i="31"/>
  <c r="AS349" i="31"/>
  <c r="AR349" i="31"/>
  <c r="AQ349" i="31"/>
  <c r="AT348" i="31"/>
  <c r="AS348" i="31"/>
  <c r="AR348" i="31"/>
  <c r="AQ348" i="31"/>
  <c r="AT347" i="31"/>
  <c r="AS347" i="31"/>
  <c r="AR347" i="31"/>
  <c r="AQ347" i="31"/>
  <c r="AT346" i="31"/>
  <c r="AS346" i="31"/>
  <c r="AR346" i="31"/>
  <c r="AQ346" i="31"/>
  <c r="AT345" i="31"/>
  <c r="AS345" i="31"/>
  <c r="AR345" i="31"/>
  <c r="AQ345" i="31"/>
  <c r="AT344" i="31"/>
  <c r="AS344" i="31"/>
  <c r="AR344" i="31"/>
  <c r="AQ344" i="31"/>
  <c r="AT343" i="31"/>
  <c r="AS343" i="31"/>
  <c r="AR343" i="31"/>
  <c r="AQ343" i="31"/>
  <c r="AT342" i="31"/>
  <c r="AS342" i="31"/>
  <c r="AR342" i="31"/>
  <c r="AQ342" i="31"/>
  <c r="AT341" i="31"/>
  <c r="AS341" i="31"/>
  <c r="AR341" i="31"/>
  <c r="AQ341" i="31"/>
  <c r="AT340" i="31"/>
  <c r="AS340" i="31"/>
  <c r="AR340" i="31"/>
  <c r="AQ340" i="31"/>
  <c r="AT339" i="31"/>
  <c r="AS339" i="31"/>
  <c r="AR339" i="31"/>
  <c r="AQ339" i="31"/>
  <c r="AT338" i="31"/>
  <c r="AS338" i="31"/>
  <c r="AR338" i="31"/>
  <c r="AQ338" i="31"/>
  <c r="AT337" i="31"/>
  <c r="AS337" i="31"/>
  <c r="AR337" i="31"/>
  <c r="AQ337" i="31"/>
  <c r="AT336" i="31"/>
  <c r="AS336" i="31"/>
  <c r="AR336" i="31"/>
  <c r="AQ336" i="31"/>
  <c r="AT335" i="31"/>
  <c r="AS335" i="31"/>
  <c r="AR335" i="31"/>
  <c r="AQ335" i="31"/>
  <c r="AT334" i="31"/>
  <c r="AS334" i="31"/>
  <c r="AR334" i="31"/>
  <c r="AQ334" i="31"/>
  <c r="AT333" i="31"/>
  <c r="AS333" i="31"/>
  <c r="AR333" i="31"/>
  <c r="AQ333" i="31"/>
  <c r="AT332" i="31"/>
  <c r="AS332" i="31"/>
  <c r="AR332" i="31"/>
  <c r="AQ332" i="31"/>
  <c r="AT331" i="31"/>
  <c r="AS331" i="31"/>
  <c r="AR331" i="31"/>
  <c r="AQ331" i="31"/>
  <c r="AT330" i="31"/>
  <c r="AS330" i="31"/>
  <c r="AR330" i="31"/>
  <c r="AQ330" i="31"/>
  <c r="AT329" i="31"/>
  <c r="AS329" i="31"/>
  <c r="AR329" i="31"/>
  <c r="AQ329" i="31"/>
  <c r="AT328" i="31"/>
  <c r="AS328" i="31"/>
  <c r="AR328" i="31"/>
  <c r="AQ328" i="31"/>
  <c r="AT327" i="31"/>
  <c r="AS327" i="31"/>
  <c r="AR327" i="31"/>
  <c r="AQ327" i="31"/>
  <c r="AT326" i="31"/>
  <c r="AS326" i="31"/>
  <c r="AR326" i="31"/>
  <c r="AQ326" i="31"/>
  <c r="AT325" i="31"/>
  <c r="AS325" i="31"/>
  <c r="AR325" i="31"/>
  <c r="AQ325" i="31"/>
  <c r="AT324" i="31"/>
  <c r="AS324" i="31"/>
  <c r="AR324" i="31"/>
  <c r="AQ324" i="31"/>
  <c r="AT323" i="31"/>
  <c r="AS323" i="31"/>
  <c r="AR323" i="31"/>
  <c r="AQ323" i="31"/>
  <c r="AT322" i="31"/>
  <c r="AS322" i="31"/>
  <c r="AR322" i="31"/>
  <c r="AQ322" i="31"/>
  <c r="AT321" i="31"/>
  <c r="AS321" i="31"/>
  <c r="AR321" i="31"/>
  <c r="AQ321" i="31"/>
  <c r="AT320" i="31"/>
  <c r="AS320" i="31"/>
  <c r="AR320" i="31"/>
  <c r="AQ320" i="31"/>
  <c r="AT319" i="31"/>
  <c r="AS319" i="31"/>
  <c r="AR319" i="31"/>
  <c r="AQ319" i="31"/>
  <c r="AT318" i="31"/>
  <c r="AS318" i="31"/>
  <c r="AR318" i="31"/>
  <c r="AQ318" i="31"/>
  <c r="AT317" i="31"/>
  <c r="AS317" i="31"/>
  <c r="AR317" i="31"/>
  <c r="AQ317" i="31"/>
  <c r="AT316" i="31"/>
  <c r="AS316" i="31"/>
  <c r="AR316" i="31"/>
  <c r="AQ316" i="31"/>
  <c r="AT315" i="31"/>
  <c r="AS315" i="31"/>
  <c r="AR315" i="31"/>
  <c r="AQ315" i="31"/>
  <c r="AT314" i="31"/>
  <c r="AS314" i="31"/>
  <c r="AR314" i="31"/>
  <c r="AQ314" i="31"/>
  <c r="AT313" i="31"/>
  <c r="AS313" i="31"/>
  <c r="AR313" i="31"/>
  <c r="AQ313" i="31"/>
  <c r="AT312" i="31"/>
  <c r="AS312" i="31"/>
  <c r="AR312" i="31"/>
  <c r="AQ312" i="31"/>
  <c r="AT311" i="31"/>
  <c r="AS311" i="31"/>
  <c r="AR311" i="31"/>
  <c r="AQ311" i="31"/>
  <c r="AT310" i="31"/>
  <c r="AS310" i="31"/>
  <c r="AR310" i="31"/>
  <c r="AQ310" i="31"/>
  <c r="AT309" i="31"/>
  <c r="AS309" i="31"/>
  <c r="AR309" i="31"/>
  <c r="AQ309" i="31"/>
  <c r="AT308" i="31"/>
  <c r="AS308" i="31"/>
  <c r="AR308" i="31"/>
  <c r="AQ308" i="31"/>
  <c r="AT307" i="31"/>
  <c r="AS307" i="31"/>
  <c r="AR307" i="31"/>
  <c r="AQ307" i="31"/>
  <c r="AT306" i="31"/>
  <c r="AS306" i="31"/>
  <c r="AR306" i="31"/>
  <c r="AQ306" i="31"/>
  <c r="AT305" i="31"/>
  <c r="AS305" i="31"/>
  <c r="AR305" i="31"/>
  <c r="AQ305" i="31"/>
  <c r="AT304" i="31"/>
  <c r="AS304" i="31"/>
  <c r="AR304" i="31"/>
  <c r="AQ304" i="31"/>
  <c r="AT303" i="31"/>
  <c r="AS303" i="31"/>
  <c r="AR303" i="31"/>
  <c r="AQ303" i="31"/>
  <c r="AT302" i="31"/>
  <c r="AS302" i="31"/>
  <c r="AR302" i="31"/>
  <c r="AQ302" i="31"/>
  <c r="AT301" i="31"/>
  <c r="AS301" i="31"/>
  <c r="AR301" i="31"/>
  <c r="AQ301" i="31"/>
  <c r="AT300" i="31"/>
  <c r="AS300" i="31"/>
  <c r="AR300" i="31"/>
  <c r="AQ300" i="31"/>
  <c r="AT299" i="31"/>
  <c r="AS299" i="31"/>
  <c r="AR299" i="31"/>
  <c r="AQ299" i="31"/>
  <c r="AT298" i="31"/>
  <c r="AS298" i="31"/>
  <c r="AR298" i="31"/>
  <c r="AQ298" i="31"/>
  <c r="AT297" i="31"/>
  <c r="AS297" i="31"/>
  <c r="AR297" i="31"/>
  <c r="AQ297" i="31"/>
  <c r="AT296" i="31"/>
  <c r="AS296" i="31"/>
  <c r="AR296" i="31"/>
  <c r="AQ296" i="31"/>
  <c r="AT295" i="31"/>
  <c r="AS295" i="31"/>
  <c r="AR295" i="31"/>
  <c r="AQ295" i="31"/>
  <c r="AT294" i="31"/>
  <c r="AS294" i="31"/>
  <c r="AR294" i="31"/>
  <c r="AQ294" i="31"/>
  <c r="AT293" i="31"/>
  <c r="AS293" i="31"/>
  <c r="AR293" i="31"/>
  <c r="AQ293" i="31"/>
  <c r="AT292" i="31"/>
  <c r="AS292" i="31"/>
  <c r="AR292" i="31"/>
  <c r="AQ292" i="31"/>
  <c r="AT291" i="31"/>
  <c r="AS291" i="31"/>
  <c r="AR291" i="31"/>
  <c r="AQ291" i="31"/>
  <c r="AT290" i="31"/>
  <c r="AS290" i="31"/>
  <c r="AR290" i="31"/>
  <c r="AQ290" i="31"/>
  <c r="AT289" i="31"/>
  <c r="AS289" i="31"/>
  <c r="AR289" i="31"/>
  <c r="AQ289" i="31"/>
  <c r="AT288" i="31"/>
  <c r="AS288" i="31"/>
  <c r="AR288" i="31"/>
  <c r="AQ288" i="31"/>
  <c r="AT287" i="31"/>
  <c r="AS287" i="31"/>
  <c r="AR287" i="31"/>
  <c r="AQ287" i="31"/>
  <c r="AT286" i="31"/>
  <c r="AS286" i="31"/>
  <c r="AR286" i="31"/>
  <c r="AQ286" i="31"/>
  <c r="AT285" i="31"/>
  <c r="AS285" i="31"/>
  <c r="AR285" i="31"/>
  <c r="AQ285" i="31"/>
  <c r="AT284" i="31"/>
  <c r="AS284" i="31"/>
  <c r="AR284" i="31"/>
  <c r="AQ284" i="31"/>
  <c r="AT283" i="31"/>
  <c r="AS283" i="31"/>
  <c r="AR283" i="31"/>
  <c r="AQ283" i="31"/>
  <c r="AT282" i="31"/>
  <c r="AS282" i="31"/>
  <c r="AR282" i="31"/>
  <c r="AQ282" i="31"/>
  <c r="AT281" i="31"/>
  <c r="AS281" i="31"/>
  <c r="AR281" i="31"/>
  <c r="AQ281" i="31"/>
  <c r="AT280" i="31"/>
  <c r="AS280" i="31"/>
  <c r="AR280" i="31"/>
  <c r="AQ280" i="31"/>
  <c r="AT279" i="31"/>
  <c r="AS279" i="31"/>
  <c r="AR279" i="31"/>
  <c r="AQ279" i="31"/>
  <c r="AT278" i="31"/>
  <c r="AS278" i="31"/>
  <c r="AR278" i="31"/>
  <c r="AQ278" i="31"/>
  <c r="AT277" i="31"/>
  <c r="AS277" i="31"/>
  <c r="AR277" i="31"/>
  <c r="AQ277" i="31"/>
  <c r="AT276" i="31"/>
  <c r="AS276" i="31"/>
  <c r="AR276" i="31"/>
  <c r="AQ276" i="31"/>
  <c r="AT275" i="31"/>
  <c r="AS275" i="31"/>
  <c r="AR275" i="31"/>
  <c r="AQ275" i="31"/>
  <c r="AT274" i="31"/>
  <c r="AS274" i="31"/>
  <c r="AR274" i="31"/>
  <c r="AQ274" i="31"/>
  <c r="AT273" i="31"/>
  <c r="AS273" i="31"/>
  <c r="AR273" i="31"/>
  <c r="AQ273" i="31"/>
  <c r="AT272" i="31"/>
  <c r="AS272" i="31"/>
  <c r="AR272" i="31"/>
  <c r="AQ272" i="31"/>
  <c r="AT271" i="31"/>
  <c r="AS271" i="31"/>
  <c r="AR271" i="31"/>
  <c r="AQ271" i="31"/>
  <c r="AT270" i="31"/>
  <c r="AS270" i="31"/>
  <c r="AR270" i="31"/>
  <c r="AQ270" i="31"/>
  <c r="AT269" i="31"/>
  <c r="AS269" i="31"/>
  <c r="AR269" i="31"/>
  <c r="AQ269" i="31"/>
  <c r="AT268" i="31"/>
  <c r="AS268" i="31"/>
  <c r="AR268" i="31"/>
  <c r="AQ268" i="31"/>
  <c r="AT267" i="31"/>
  <c r="AS267" i="31"/>
  <c r="AR267" i="31"/>
  <c r="AQ267" i="31"/>
  <c r="AT266" i="31"/>
  <c r="AS266" i="31"/>
  <c r="AR266" i="31"/>
  <c r="AQ266" i="31"/>
  <c r="AT265" i="31"/>
  <c r="AS265" i="31"/>
  <c r="AR265" i="31"/>
  <c r="AQ265" i="31"/>
  <c r="AT264" i="31"/>
  <c r="AS264" i="31"/>
  <c r="AR264" i="31"/>
  <c r="AQ264" i="31"/>
  <c r="AT263" i="31"/>
  <c r="AS263" i="31"/>
  <c r="AR263" i="31"/>
  <c r="AQ263" i="31"/>
  <c r="AT262" i="31"/>
  <c r="AS262" i="31"/>
  <c r="AR262" i="31"/>
  <c r="AQ262" i="31"/>
  <c r="AT261" i="31"/>
  <c r="AS261" i="31"/>
  <c r="AR261" i="31"/>
  <c r="AQ261" i="31"/>
  <c r="AT260" i="31"/>
  <c r="AS260" i="31"/>
  <c r="AR260" i="31"/>
  <c r="AQ260" i="31"/>
  <c r="AT259" i="31"/>
  <c r="AS259" i="31"/>
  <c r="AR259" i="31"/>
  <c r="AQ259" i="31"/>
  <c r="AT258" i="31"/>
  <c r="AS258" i="31"/>
  <c r="AR258" i="31"/>
  <c r="AQ258" i="31"/>
  <c r="AT257" i="31"/>
  <c r="AS257" i="31"/>
  <c r="AR257" i="31"/>
  <c r="AQ257" i="31"/>
  <c r="AT256" i="31"/>
  <c r="AS256" i="31"/>
  <c r="AR256" i="31"/>
  <c r="AQ256" i="31"/>
  <c r="AT255" i="31"/>
  <c r="AS255" i="31"/>
  <c r="AR255" i="31"/>
  <c r="AQ255" i="31"/>
  <c r="AT254" i="31"/>
  <c r="AS254" i="31"/>
  <c r="AR254" i="31"/>
  <c r="AQ254" i="31"/>
  <c r="AT253" i="31"/>
  <c r="AS253" i="31"/>
  <c r="AR253" i="31"/>
  <c r="AQ253" i="31"/>
  <c r="AT252" i="31"/>
  <c r="AS252" i="31"/>
  <c r="AR252" i="31"/>
  <c r="AQ252" i="31"/>
  <c r="AT251" i="31"/>
  <c r="AS251" i="31"/>
  <c r="AR251" i="31"/>
  <c r="AQ251" i="31"/>
  <c r="AT250" i="31"/>
  <c r="AS250" i="31"/>
  <c r="AR250" i="31"/>
  <c r="AQ250" i="31"/>
  <c r="AT249" i="31"/>
  <c r="AS249" i="31"/>
  <c r="AR249" i="31"/>
  <c r="AQ249" i="31"/>
  <c r="AT248" i="31"/>
  <c r="AS248" i="31"/>
  <c r="AR248" i="31"/>
  <c r="AQ248" i="31"/>
  <c r="AT247" i="31"/>
  <c r="AS247" i="31"/>
  <c r="AR247" i="31"/>
  <c r="AQ247" i="31"/>
  <c r="AT246" i="31"/>
  <c r="AS246" i="31"/>
  <c r="AR246" i="31"/>
  <c r="AQ246" i="31"/>
  <c r="AT245" i="31"/>
  <c r="AS245" i="31"/>
  <c r="AR245" i="31"/>
  <c r="AQ245" i="31"/>
  <c r="AT244" i="31"/>
  <c r="AS244" i="31"/>
  <c r="AR244" i="31"/>
  <c r="AQ244" i="31"/>
  <c r="AT243" i="31"/>
  <c r="AS243" i="31"/>
  <c r="AR243" i="31"/>
  <c r="AQ243" i="31"/>
  <c r="AT242" i="31"/>
  <c r="AS242" i="31"/>
  <c r="AR242" i="31"/>
  <c r="AQ242" i="31"/>
  <c r="AT241" i="31"/>
  <c r="AS241" i="31"/>
  <c r="AR241" i="31"/>
  <c r="AQ241" i="31"/>
  <c r="AT240" i="31"/>
  <c r="AS240" i="31"/>
  <c r="AR240" i="31"/>
  <c r="AQ240" i="31"/>
  <c r="AT239" i="31"/>
  <c r="AS239" i="31"/>
  <c r="AR239" i="31"/>
  <c r="AQ239" i="31"/>
  <c r="AT238" i="31"/>
  <c r="AS238" i="31"/>
  <c r="AR238" i="31"/>
  <c r="AQ238" i="31"/>
  <c r="AT237" i="31"/>
  <c r="AS237" i="31"/>
  <c r="AR237" i="31"/>
  <c r="AQ237" i="31"/>
  <c r="AT236" i="31"/>
  <c r="AS236" i="31"/>
  <c r="AR236" i="31"/>
  <c r="AQ236" i="31"/>
  <c r="AT235" i="31"/>
  <c r="AS235" i="31"/>
  <c r="AR235" i="31"/>
  <c r="AQ235" i="31"/>
  <c r="AT234" i="31"/>
  <c r="AS234" i="31"/>
  <c r="AR234" i="31"/>
  <c r="AQ234" i="31"/>
  <c r="AT233" i="31"/>
  <c r="AS233" i="31"/>
  <c r="AR233" i="31"/>
  <c r="AQ233" i="31"/>
  <c r="AT232" i="31"/>
  <c r="AS232" i="31"/>
  <c r="AR232" i="31"/>
  <c r="AQ232" i="31"/>
  <c r="AT231" i="31"/>
  <c r="AS231" i="31"/>
  <c r="AR231" i="31"/>
  <c r="AQ231" i="31"/>
  <c r="AT230" i="31"/>
  <c r="AS230" i="31"/>
  <c r="AR230" i="31"/>
  <c r="AQ230" i="31"/>
  <c r="AT229" i="31"/>
  <c r="AS229" i="31"/>
  <c r="AR229" i="31"/>
  <c r="AQ229" i="31"/>
  <c r="AT228" i="31"/>
  <c r="AS228" i="31"/>
  <c r="AR228" i="31"/>
  <c r="AQ228" i="31"/>
  <c r="AT227" i="31"/>
  <c r="AS227" i="31"/>
  <c r="AR227" i="31"/>
  <c r="AQ227" i="31"/>
  <c r="AT226" i="31"/>
  <c r="AS226" i="31"/>
  <c r="AR226" i="31"/>
  <c r="AQ226" i="31"/>
  <c r="AT225" i="31"/>
  <c r="AS225" i="31"/>
  <c r="AR225" i="31"/>
  <c r="AQ225" i="31"/>
  <c r="AT224" i="31"/>
  <c r="AS224" i="31"/>
  <c r="AR224" i="31"/>
  <c r="AQ224" i="31"/>
  <c r="AT223" i="31"/>
  <c r="AS223" i="31"/>
  <c r="AR223" i="31"/>
  <c r="AQ223" i="31"/>
  <c r="AT222" i="31"/>
  <c r="AS222" i="31"/>
  <c r="AR222" i="31"/>
  <c r="AQ222" i="31"/>
  <c r="AT221" i="31"/>
  <c r="AS221" i="31"/>
  <c r="AR221" i="31"/>
  <c r="AQ221" i="31"/>
  <c r="AT220" i="31"/>
  <c r="AS220" i="31"/>
  <c r="AR220" i="31"/>
  <c r="AQ220" i="31"/>
  <c r="AT219" i="31"/>
  <c r="AS219" i="31"/>
  <c r="AR219" i="31"/>
  <c r="AQ219" i="31"/>
  <c r="AT218" i="31"/>
  <c r="AS218" i="31"/>
  <c r="AR218" i="31"/>
  <c r="AQ218" i="31"/>
  <c r="AT217" i="31"/>
  <c r="AS217" i="31"/>
  <c r="AR217" i="31"/>
  <c r="AQ217" i="31"/>
  <c r="AT216" i="31"/>
  <c r="AS216" i="31"/>
  <c r="AR216" i="31"/>
  <c r="AQ216" i="31"/>
  <c r="AT215" i="31"/>
  <c r="AS215" i="31"/>
  <c r="AR215" i="31"/>
  <c r="AQ215" i="31"/>
  <c r="AT214" i="31"/>
  <c r="AS214" i="31"/>
  <c r="AR214" i="31"/>
  <c r="AQ214" i="31"/>
  <c r="AT213" i="31"/>
  <c r="AS213" i="31"/>
  <c r="AR213" i="31"/>
  <c r="AQ213" i="31"/>
  <c r="AT212" i="31"/>
  <c r="AS212" i="31"/>
  <c r="AR212" i="31"/>
  <c r="AQ212" i="31"/>
  <c r="AT211" i="31"/>
  <c r="AS211" i="31"/>
  <c r="AR211" i="31"/>
  <c r="AQ211" i="31"/>
  <c r="AT210" i="31"/>
  <c r="AS210" i="31"/>
  <c r="AR210" i="31"/>
  <c r="AQ210" i="31"/>
  <c r="AT209" i="31"/>
  <c r="AS209" i="31"/>
  <c r="AR209" i="31"/>
  <c r="AQ209" i="31"/>
  <c r="AT208" i="31"/>
  <c r="AS208" i="31"/>
  <c r="AR208" i="31"/>
  <c r="AQ208" i="31"/>
  <c r="AT207" i="31"/>
  <c r="AS207" i="31"/>
  <c r="AR207" i="31"/>
  <c r="AQ207" i="31"/>
  <c r="AT206" i="31"/>
  <c r="AS206" i="31"/>
  <c r="AR206" i="31"/>
  <c r="AQ206" i="31"/>
  <c r="AT205" i="31"/>
  <c r="AS205" i="31"/>
  <c r="AR205" i="31"/>
  <c r="AQ205" i="31"/>
  <c r="AT204" i="31"/>
  <c r="AS204" i="31"/>
  <c r="AR204" i="31"/>
  <c r="AQ204" i="31"/>
  <c r="AT203" i="31"/>
  <c r="AS203" i="31"/>
  <c r="AR203" i="31"/>
  <c r="AQ203" i="31"/>
  <c r="AT202" i="31"/>
  <c r="AS202" i="31"/>
  <c r="AR202" i="31"/>
  <c r="AQ202" i="31"/>
  <c r="AT201" i="31"/>
  <c r="AS201" i="31"/>
  <c r="AR201" i="31"/>
  <c r="AQ201" i="31"/>
  <c r="AT200" i="31"/>
  <c r="AS200" i="31"/>
  <c r="AR200" i="31"/>
  <c r="AQ200" i="31"/>
  <c r="AT199" i="31"/>
  <c r="AS199" i="31"/>
  <c r="AR199" i="31"/>
  <c r="AQ199" i="31"/>
  <c r="AT198" i="31"/>
  <c r="AS198" i="31"/>
  <c r="AR198" i="31"/>
  <c r="AQ198" i="31"/>
  <c r="AT197" i="31"/>
  <c r="AS197" i="31"/>
  <c r="AR197" i="31"/>
  <c r="AQ197" i="31"/>
  <c r="AT196" i="31"/>
  <c r="AS196" i="31"/>
  <c r="AR196" i="31"/>
  <c r="AQ196" i="31"/>
  <c r="AT195" i="31"/>
  <c r="AS195" i="31"/>
  <c r="AR195" i="31"/>
  <c r="AQ195" i="31"/>
  <c r="AT194" i="31"/>
  <c r="AS194" i="31"/>
  <c r="AR194" i="31"/>
  <c r="AQ194" i="31"/>
  <c r="AT193" i="31"/>
  <c r="AS193" i="31"/>
  <c r="AR193" i="31"/>
  <c r="AQ193" i="31"/>
  <c r="AT192" i="31"/>
  <c r="AS192" i="31"/>
  <c r="AR192" i="31"/>
  <c r="AQ192" i="31"/>
  <c r="AT191" i="31"/>
  <c r="AS191" i="31"/>
  <c r="AR191" i="31"/>
  <c r="AQ191" i="31"/>
  <c r="AT190" i="31"/>
  <c r="AS190" i="31"/>
  <c r="AR190" i="31"/>
  <c r="AQ190" i="31"/>
  <c r="AT189" i="31"/>
  <c r="AS189" i="31"/>
  <c r="AR189" i="31"/>
  <c r="AQ189" i="31"/>
  <c r="AT188" i="31"/>
  <c r="AS188" i="31"/>
  <c r="AR188" i="31"/>
  <c r="AQ188" i="31"/>
  <c r="AT187" i="31"/>
  <c r="AS187" i="31"/>
  <c r="AR187" i="31"/>
  <c r="AQ187" i="31"/>
  <c r="AT186" i="31"/>
  <c r="AS186" i="31"/>
  <c r="AR186" i="31"/>
  <c r="AQ186" i="31"/>
  <c r="AT185" i="31"/>
  <c r="AS185" i="31"/>
  <c r="AR185" i="31"/>
  <c r="AQ185" i="31"/>
  <c r="AT184" i="31"/>
  <c r="AS184" i="31"/>
  <c r="AR184" i="31"/>
  <c r="AQ184" i="31"/>
  <c r="AT183" i="31"/>
  <c r="AS183" i="31"/>
  <c r="AR183" i="31"/>
  <c r="AQ183" i="31"/>
  <c r="AT182" i="31"/>
  <c r="AS182" i="31"/>
  <c r="AR182" i="31"/>
  <c r="AQ182" i="31"/>
  <c r="AT181" i="31"/>
  <c r="AS181" i="31"/>
  <c r="AR181" i="31"/>
  <c r="AQ181" i="31"/>
  <c r="AT180" i="31"/>
  <c r="AS180" i="31"/>
  <c r="AR180" i="31"/>
  <c r="AQ180" i="31"/>
  <c r="AT179" i="31"/>
  <c r="AS179" i="31"/>
  <c r="AR179" i="31"/>
  <c r="AQ179" i="31"/>
  <c r="AT178" i="31"/>
  <c r="AS178" i="31"/>
  <c r="AR178" i="31"/>
  <c r="AQ178" i="31"/>
  <c r="AT177" i="31"/>
  <c r="AS177" i="31"/>
  <c r="AR177" i="31"/>
  <c r="AQ177" i="31"/>
  <c r="AT176" i="31"/>
  <c r="AS176" i="31"/>
  <c r="AR176" i="31"/>
  <c r="AQ176" i="31"/>
  <c r="AT175" i="31"/>
  <c r="AS175" i="31"/>
  <c r="AR175" i="31"/>
  <c r="AQ175" i="31"/>
  <c r="AT174" i="31"/>
  <c r="AS174" i="31"/>
  <c r="AR174" i="31"/>
  <c r="AQ174" i="31"/>
  <c r="AT173" i="31"/>
  <c r="AS173" i="31"/>
  <c r="AR173" i="31"/>
  <c r="AQ173" i="31"/>
  <c r="AT172" i="31"/>
  <c r="AS172" i="31"/>
  <c r="AR172" i="31"/>
  <c r="AQ172" i="31"/>
  <c r="AT171" i="31"/>
  <c r="AS171" i="31"/>
  <c r="AR171" i="31"/>
  <c r="AQ171" i="31"/>
  <c r="AT170" i="31"/>
  <c r="AS170" i="31"/>
  <c r="AR170" i="31"/>
  <c r="AQ170" i="31"/>
  <c r="AT169" i="31"/>
  <c r="AS169" i="31"/>
  <c r="AR169" i="31"/>
  <c r="AQ169" i="31"/>
  <c r="AT168" i="31"/>
  <c r="AS168" i="31"/>
  <c r="AR168" i="31"/>
  <c r="AQ168" i="31"/>
  <c r="AT167" i="31"/>
  <c r="AS167" i="31"/>
  <c r="AR167" i="31"/>
  <c r="AQ167" i="31"/>
  <c r="AT166" i="31"/>
  <c r="AS166" i="31"/>
  <c r="AR166" i="31"/>
  <c r="AQ166" i="31"/>
  <c r="AT165" i="31"/>
  <c r="AS165" i="31"/>
  <c r="AR165" i="31"/>
  <c r="AQ165" i="31"/>
  <c r="AT164" i="31"/>
  <c r="AS164" i="31"/>
  <c r="AR164" i="31"/>
  <c r="AQ164" i="31"/>
  <c r="AT163" i="31"/>
  <c r="AS163" i="31"/>
  <c r="AR163" i="31"/>
  <c r="AQ163" i="31"/>
  <c r="AT162" i="31"/>
  <c r="AS162" i="31"/>
  <c r="AR162" i="31"/>
  <c r="AQ162" i="31"/>
  <c r="AT161" i="31"/>
  <c r="AS161" i="31"/>
  <c r="AR161" i="31"/>
  <c r="AQ161" i="31"/>
  <c r="AT160" i="31"/>
  <c r="AS160" i="31"/>
  <c r="AR160" i="31"/>
  <c r="AQ160" i="31"/>
  <c r="AT159" i="31"/>
  <c r="AS159" i="31"/>
  <c r="AR159" i="31"/>
  <c r="AQ159" i="31"/>
  <c r="AT158" i="31"/>
  <c r="AS158" i="31"/>
  <c r="AR158" i="31"/>
  <c r="AQ158" i="31"/>
  <c r="AT157" i="31"/>
  <c r="AS157" i="31"/>
  <c r="AR157" i="31"/>
  <c r="AQ157" i="31"/>
  <c r="AT156" i="31"/>
  <c r="AS156" i="31"/>
  <c r="AR156" i="31"/>
  <c r="AQ156" i="31"/>
  <c r="AT155" i="31"/>
  <c r="AS155" i="31"/>
  <c r="AR155" i="31"/>
  <c r="AQ155" i="31"/>
  <c r="AT154" i="31"/>
  <c r="AS154" i="31"/>
  <c r="AR154" i="31"/>
  <c r="AQ154" i="31"/>
  <c r="AT153" i="31"/>
  <c r="AS153" i="31"/>
  <c r="AR153" i="31"/>
  <c r="AQ153" i="31"/>
  <c r="AT152" i="31"/>
  <c r="AS152" i="31"/>
  <c r="AR152" i="31"/>
  <c r="AQ152" i="31"/>
  <c r="AT151" i="31"/>
  <c r="AS151" i="31"/>
  <c r="AR151" i="31"/>
  <c r="AQ151" i="31"/>
  <c r="AT150" i="31"/>
  <c r="AS150" i="31"/>
  <c r="AR150" i="31"/>
  <c r="AQ150" i="31"/>
  <c r="AT149" i="31"/>
  <c r="AS149" i="31"/>
  <c r="AR149" i="31"/>
  <c r="AQ149" i="31"/>
  <c r="AT148" i="31"/>
  <c r="AS148" i="31"/>
  <c r="AR148" i="31"/>
  <c r="AQ148" i="31"/>
  <c r="AT147" i="31"/>
  <c r="AS147" i="31"/>
  <c r="AR147" i="31"/>
  <c r="AQ147" i="31"/>
  <c r="AT146" i="31"/>
  <c r="AS146" i="31"/>
  <c r="AR146" i="31"/>
  <c r="AQ146" i="31"/>
  <c r="AT145" i="31"/>
  <c r="AS145" i="31"/>
  <c r="AR145" i="31"/>
  <c r="AQ145" i="31"/>
  <c r="AT144" i="31"/>
  <c r="AS144" i="31"/>
  <c r="AR144" i="31"/>
  <c r="AQ144" i="31"/>
  <c r="AT143" i="31"/>
  <c r="AS143" i="31"/>
  <c r="AR143" i="31"/>
  <c r="AQ143" i="31"/>
  <c r="AT142" i="31"/>
  <c r="AS142" i="31"/>
  <c r="AR142" i="31"/>
  <c r="AQ142" i="31"/>
  <c r="AT141" i="31"/>
  <c r="AS141" i="31"/>
  <c r="AR141" i="31"/>
  <c r="AQ141" i="31"/>
  <c r="AT140" i="31"/>
  <c r="AS140" i="31"/>
  <c r="AR140" i="31"/>
  <c r="AQ140" i="31"/>
  <c r="AT139" i="31"/>
  <c r="AS139" i="31"/>
  <c r="AR139" i="31"/>
  <c r="AQ139" i="31"/>
  <c r="AT138" i="31"/>
  <c r="AS138" i="31"/>
  <c r="AR138" i="31"/>
  <c r="AQ138" i="31"/>
  <c r="AT137" i="31"/>
  <c r="AS137" i="31"/>
  <c r="AR137" i="31"/>
  <c r="AQ137" i="31"/>
  <c r="AT136" i="31"/>
  <c r="AS136" i="31"/>
  <c r="AR136" i="31"/>
  <c r="AQ136" i="31"/>
  <c r="AT135" i="31"/>
  <c r="AS135" i="31"/>
  <c r="AR135" i="31"/>
  <c r="AQ135" i="31"/>
  <c r="AT134" i="31"/>
  <c r="AS134" i="31"/>
  <c r="AR134" i="31"/>
  <c r="AQ134" i="31"/>
  <c r="AT133" i="31"/>
  <c r="AS133" i="31"/>
  <c r="AR133" i="31"/>
  <c r="AQ133" i="31"/>
  <c r="AT132" i="31"/>
  <c r="AS132" i="31"/>
  <c r="AR132" i="31"/>
  <c r="AQ132" i="31"/>
  <c r="AT131" i="31"/>
  <c r="AS131" i="31"/>
  <c r="AR131" i="31"/>
  <c r="AQ131" i="31"/>
  <c r="AT130" i="31"/>
  <c r="AS130" i="31"/>
  <c r="AR130" i="31"/>
  <c r="AQ130" i="31"/>
  <c r="AT129" i="31"/>
  <c r="AS129" i="31"/>
  <c r="AR129" i="31"/>
  <c r="AQ129" i="31"/>
  <c r="AT128" i="31"/>
  <c r="AS128" i="31"/>
  <c r="AR128" i="31"/>
  <c r="AQ128" i="31"/>
  <c r="AT127" i="31"/>
  <c r="AS127" i="31"/>
  <c r="AR127" i="31"/>
  <c r="AQ127" i="31"/>
  <c r="AT126" i="31"/>
  <c r="AS126" i="31"/>
  <c r="AR126" i="31"/>
  <c r="AQ126" i="31"/>
  <c r="AT125" i="31"/>
  <c r="AS125" i="31"/>
  <c r="AR125" i="31"/>
  <c r="AQ125" i="31"/>
  <c r="AT124" i="31"/>
  <c r="AS124" i="31"/>
  <c r="AR124" i="31"/>
  <c r="AQ124" i="31"/>
  <c r="V125" i="31"/>
  <c r="AT123" i="31"/>
  <c r="AS123" i="31"/>
  <c r="AR123" i="31"/>
  <c r="AQ123" i="31"/>
  <c r="AT122" i="31"/>
  <c r="AS122" i="31"/>
  <c r="AR122" i="31"/>
  <c r="AQ122" i="31"/>
  <c r="AT121" i="31"/>
  <c r="AS121" i="31"/>
  <c r="AR121" i="31"/>
  <c r="AQ121" i="31"/>
  <c r="AT120" i="31"/>
  <c r="AS120" i="31"/>
  <c r="AR120" i="31"/>
  <c r="AQ120" i="31"/>
  <c r="AT119" i="31"/>
  <c r="AS119" i="31"/>
  <c r="AR119" i="31"/>
  <c r="AQ119" i="31"/>
  <c r="AT118" i="31"/>
  <c r="AS118" i="31"/>
  <c r="AR118" i="31"/>
  <c r="AQ118" i="31"/>
  <c r="AT117" i="31"/>
  <c r="AS117" i="31"/>
  <c r="AR117" i="31"/>
  <c r="AQ117" i="31"/>
  <c r="AT116" i="31"/>
  <c r="AS116" i="31"/>
  <c r="AR116" i="31"/>
  <c r="AQ116" i="31"/>
  <c r="AT115" i="31"/>
  <c r="AS115" i="31"/>
  <c r="AR115" i="31"/>
  <c r="AQ115" i="31"/>
  <c r="AT114" i="31"/>
  <c r="AS114" i="31"/>
  <c r="AR114" i="31"/>
  <c r="AQ114" i="31"/>
  <c r="AT113" i="31"/>
  <c r="AS113" i="31"/>
  <c r="AR113" i="31"/>
  <c r="AQ113" i="31"/>
  <c r="AT112" i="31"/>
  <c r="AS112" i="31"/>
  <c r="AR112" i="31"/>
  <c r="AQ112" i="31"/>
  <c r="AT111" i="31"/>
  <c r="AS111" i="31"/>
  <c r="AR111" i="31"/>
  <c r="AQ111" i="31"/>
  <c r="AT110" i="31"/>
  <c r="AS110" i="31"/>
  <c r="AR110" i="31"/>
  <c r="AQ110" i="31"/>
  <c r="AT109" i="31"/>
  <c r="AS109" i="31"/>
  <c r="AR109" i="31"/>
  <c r="AQ109" i="31"/>
  <c r="AT108" i="31"/>
  <c r="AS108" i="31"/>
  <c r="AR108" i="31"/>
  <c r="AQ108" i="31"/>
  <c r="AT107" i="31"/>
  <c r="AS107" i="31"/>
  <c r="AR107" i="31"/>
  <c r="AQ107" i="31"/>
  <c r="AT106" i="31"/>
  <c r="AS106" i="31"/>
  <c r="AR106" i="31"/>
  <c r="AQ106" i="31"/>
  <c r="AT105" i="31"/>
  <c r="AS105" i="31"/>
  <c r="AR105" i="31"/>
  <c r="AQ105" i="31"/>
  <c r="AT104" i="31"/>
  <c r="AS104" i="31"/>
  <c r="AR104" i="31"/>
  <c r="AQ104" i="31"/>
  <c r="AT103" i="31"/>
  <c r="AS103" i="31"/>
  <c r="AR103" i="31"/>
  <c r="AQ103" i="31"/>
  <c r="AT102" i="31"/>
  <c r="AS102" i="31"/>
  <c r="AR102" i="31"/>
  <c r="AQ102" i="31"/>
  <c r="AT101" i="31"/>
  <c r="AS101" i="31"/>
  <c r="AR101" i="31"/>
  <c r="AQ101" i="31"/>
  <c r="AT100" i="31"/>
  <c r="AS100" i="31"/>
  <c r="AR100" i="31"/>
  <c r="AQ100" i="31"/>
  <c r="AT99" i="31"/>
  <c r="AS99" i="31"/>
  <c r="AR99" i="31"/>
  <c r="AQ99" i="31"/>
  <c r="AT98" i="31"/>
  <c r="AS98" i="31"/>
  <c r="AR98" i="31"/>
  <c r="AQ98" i="31"/>
  <c r="AT97" i="31"/>
  <c r="AS97" i="31"/>
  <c r="AR97" i="31"/>
  <c r="AQ97" i="31"/>
  <c r="AT96" i="31"/>
  <c r="AS96" i="31"/>
  <c r="AR96" i="31"/>
  <c r="AQ96" i="31"/>
  <c r="AT95" i="31"/>
  <c r="AS95" i="31"/>
  <c r="AR95" i="31"/>
  <c r="AQ95" i="31"/>
  <c r="AT94" i="31"/>
  <c r="AS94" i="31"/>
  <c r="AR94" i="31"/>
  <c r="AQ94" i="31"/>
  <c r="AT93" i="31"/>
  <c r="AS93" i="31"/>
  <c r="AR93" i="31"/>
  <c r="AQ93" i="31"/>
  <c r="AT92" i="31"/>
  <c r="AS92" i="31"/>
  <c r="AR92" i="31"/>
  <c r="AQ92" i="31"/>
  <c r="AT91" i="31"/>
  <c r="AS91" i="31"/>
  <c r="AR91" i="31"/>
  <c r="AQ91" i="31"/>
  <c r="AT90" i="31"/>
  <c r="AS90" i="31"/>
  <c r="AR90" i="31"/>
  <c r="AQ90" i="31"/>
  <c r="AT89" i="31"/>
  <c r="AS89" i="31"/>
  <c r="AR89" i="31"/>
  <c r="AQ89" i="31"/>
  <c r="AT88" i="31"/>
  <c r="AS88" i="31"/>
  <c r="AR88" i="31"/>
  <c r="AQ88" i="31"/>
  <c r="AT87" i="31"/>
  <c r="AS87" i="31"/>
  <c r="AR87" i="31"/>
  <c r="AQ87" i="31"/>
  <c r="AT86" i="31"/>
  <c r="AS86" i="31"/>
  <c r="AR86" i="31"/>
  <c r="AQ86" i="31"/>
  <c r="AT85" i="31"/>
  <c r="AS85" i="31"/>
  <c r="AR85" i="31"/>
  <c r="AQ85" i="31"/>
  <c r="AT84" i="31"/>
  <c r="AS84" i="31"/>
  <c r="AR84" i="31"/>
  <c r="AQ84" i="31"/>
  <c r="AT83" i="31"/>
  <c r="AS83" i="31"/>
  <c r="AR83" i="31"/>
  <c r="AQ83" i="31"/>
  <c r="AT82" i="31"/>
  <c r="AS82" i="31"/>
  <c r="AR82" i="31"/>
  <c r="AQ82" i="31"/>
  <c r="AT81" i="31"/>
  <c r="AS81" i="31"/>
  <c r="AR81" i="31"/>
  <c r="AQ81" i="31"/>
  <c r="AT80" i="31"/>
  <c r="AS80" i="31"/>
  <c r="AR80" i="31"/>
  <c r="AQ80" i="31"/>
  <c r="AT79" i="31"/>
  <c r="AS79" i="31"/>
  <c r="AR79" i="31"/>
  <c r="AQ79" i="31"/>
  <c r="AT78" i="31"/>
  <c r="AS78" i="31"/>
  <c r="AR78" i="31"/>
  <c r="AQ78" i="31"/>
  <c r="AT77" i="31"/>
  <c r="AS77" i="31"/>
  <c r="AR77" i="31"/>
  <c r="AQ77" i="31"/>
  <c r="AT76" i="31"/>
  <c r="AS76" i="31"/>
  <c r="AR76" i="31"/>
  <c r="AQ76" i="31"/>
  <c r="AT75" i="31"/>
  <c r="AS75" i="31"/>
  <c r="AR75" i="31"/>
  <c r="AQ75" i="31"/>
  <c r="AT74" i="31"/>
  <c r="AS74" i="31"/>
  <c r="AR74" i="31"/>
  <c r="AQ74" i="31"/>
  <c r="AT73" i="31"/>
  <c r="AS73" i="31"/>
  <c r="AR73" i="31"/>
  <c r="AQ73" i="31"/>
  <c r="AT72" i="31"/>
  <c r="AS72" i="31"/>
  <c r="AR72" i="31"/>
  <c r="AQ72" i="31"/>
  <c r="AT71" i="31"/>
  <c r="AS71" i="31"/>
  <c r="AR71" i="31"/>
  <c r="AQ71" i="31"/>
  <c r="AT70" i="31"/>
  <c r="AS70" i="31"/>
  <c r="AR70" i="31"/>
  <c r="AQ70" i="31"/>
  <c r="AT69" i="31"/>
  <c r="AS69" i="31"/>
  <c r="AR69" i="31"/>
  <c r="AQ69" i="31"/>
  <c r="AT68" i="31"/>
  <c r="AS68" i="31"/>
  <c r="AR68" i="31"/>
  <c r="AQ68" i="31"/>
  <c r="AT67" i="31"/>
  <c r="AS67" i="31"/>
  <c r="AR67" i="31"/>
  <c r="AQ67" i="31"/>
  <c r="AT66" i="31"/>
  <c r="AS66" i="31"/>
  <c r="AR66" i="31"/>
  <c r="AQ66" i="31"/>
  <c r="AT65" i="31"/>
  <c r="AS65" i="31"/>
  <c r="AR65" i="31"/>
  <c r="AQ65" i="31"/>
  <c r="AT64" i="31"/>
  <c r="AS64" i="31"/>
  <c r="AR64" i="31"/>
  <c r="AQ64" i="31"/>
  <c r="AT63" i="31"/>
  <c r="AS63" i="31"/>
  <c r="AR63" i="31"/>
  <c r="AQ63" i="31"/>
  <c r="AT62" i="31"/>
  <c r="AS62" i="31"/>
  <c r="AR62" i="31"/>
  <c r="AQ62" i="31"/>
  <c r="AT61" i="31"/>
  <c r="AS61" i="31"/>
  <c r="AR61" i="31"/>
  <c r="AQ61" i="31"/>
  <c r="AT60" i="31"/>
  <c r="AS60" i="31"/>
  <c r="AR60" i="31"/>
  <c r="AQ60" i="31"/>
  <c r="AT59" i="31"/>
  <c r="AS59" i="31"/>
  <c r="AR59" i="31"/>
  <c r="AQ59" i="31"/>
  <c r="AT58" i="31"/>
  <c r="AS58" i="31"/>
  <c r="AR58" i="31"/>
  <c r="AQ58" i="31"/>
  <c r="AT57" i="31"/>
  <c r="AS57" i="31"/>
  <c r="AR57" i="31"/>
  <c r="AQ57" i="31"/>
  <c r="AT56" i="31"/>
  <c r="AS56" i="31"/>
  <c r="AR56" i="31"/>
  <c r="AQ56" i="31"/>
  <c r="AT55" i="31"/>
  <c r="AS55" i="31"/>
  <c r="AR55" i="31"/>
  <c r="AQ55" i="31"/>
  <c r="AT54" i="31"/>
  <c r="AS54" i="31"/>
  <c r="AR54" i="31"/>
  <c r="AQ54" i="31"/>
  <c r="AT53" i="31"/>
  <c r="AS53" i="31"/>
  <c r="AR53" i="31"/>
  <c r="AQ53" i="31"/>
  <c r="AT52" i="31"/>
  <c r="AS52" i="31"/>
  <c r="AR52" i="31"/>
  <c r="AQ52" i="31"/>
  <c r="AT51" i="31"/>
  <c r="AS51" i="31"/>
  <c r="AR51" i="31"/>
  <c r="AQ51" i="31"/>
  <c r="AT50" i="31"/>
  <c r="AS50" i="31"/>
  <c r="AR50" i="31"/>
  <c r="AQ50" i="31"/>
  <c r="AT49" i="31"/>
  <c r="AS49" i="31"/>
  <c r="AR49" i="31"/>
  <c r="AQ49" i="31"/>
  <c r="AT48" i="31"/>
  <c r="AS48" i="31"/>
  <c r="AR48" i="31"/>
  <c r="AQ48" i="31"/>
  <c r="AT47" i="31"/>
  <c r="AS47" i="31"/>
  <c r="AR47" i="31"/>
  <c r="AQ47" i="31"/>
  <c r="AT46" i="31"/>
  <c r="AS46" i="31"/>
  <c r="AR46" i="31"/>
  <c r="AQ46" i="31"/>
  <c r="AT45" i="31"/>
  <c r="AS45" i="31"/>
  <c r="AR45" i="31"/>
  <c r="AQ45" i="31"/>
  <c r="AT44" i="31"/>
  <c r="AS44" i="31"/>
  <c r="AR44" i="31"/>
  <c r="AQ44" i="31"/>
  <c r="AT43" i="31"/>
  <c r="AS43" i="31"/>
  <c r="AR43" i="31"/>
  <c r="AQ43" i="31"/>
  <c r="AT42" i="31"/>
  <c r="AS42" i="31"/>
  <c r="AR42" i="31"/>
  <c r="AQ42" i="31"/>
  <c r="AT41" i="31"/>
  <c r="AS41" i="31"/>
  <c r="AR41" i="31"/>
  <c r="AQ41" i="31"/>
  <c r="AT40" i="31"/>
  <c r="AS40" i="31"/>
  <c r="AR40" i="31"/>
  <c r="AQ40" i="31"/>
  <c r="AT39" i="31"/>
  <c r="AS39" i="31"/>
  <c r="AR39" i="31"/>
  <c r="AQ39" i="31"/>
  <c r="AT38" i="31"/>
  <c r="AS38" i="31"/>
  <c r="AR38" i="31"/>
  <c r="AQ38" i="31"/>
  <c r="AT37" i="31"/>
  <c r="AS37" i="31"/>
  <c r="AR37" i="31"/>
  <c r="AQ37" i="31"/>
  <c r="AT36" i="31"/>
  <c r="AS36" i="31"/>
  <c r="AR36" i="31"/>
  <c r="AQ36" i="31"/>
  <c r="AT35" i="31"/>
  <c r="AS35" i="31"/>
  <c r="AR35" i="31"/>
  <c r="AQ35" i="31"/>
  <c r="AT34" i="31"/>
  <c r="AS34" i="31"/>
  <c r="AR34" i="31"/>
  <c r="AQ34" i="31"/>
  <c r="AT33" i="31"/>
  <c r="AS33" i="31"/>
  <c r="AR33" i="31"/>
  <c r="AQ33" i="31"/>
  <c r="AT32" i="31"/>
  <c r="AS32" i="31"/>
  <c r="AR32" i="31"/>
  <c r="AQ32" i="31"/>
  <c r="AT31" i="31"/>
  <c r="AS31" i="31"/>
  <c r="AR31" i="31"/>
  <c r="AQ31" i="31"/>
  <c r="AT30" i="31"/>
  <c r="AS30" i="31"/>
  <c r="AR30" i="31"/>
  <c r="AQ30" i="31"/>
  <c r="AT29" i="31"/>
  <c r="AS29" i="31"/>
  <c r="AR29" i="31"/>
  <c r="AQ29" i="31"/>
  <c r="AT28" i="31"/>
  <c r="AS28" i="31"/>
  <c r="AR28" i="31"/>
  <c r="AQ28" i="31"/>
  <c r="AT27" i="31"/>
  <c r="AS27" i="31"/>
  <c r="AR27" i="31"/>
  <c r="AQ27" i="31"/>
  <c r="AT26" i="31"/>
  <c r="AS26" i="31"/>
  <c r="AR26" i="31"/>
  <c r="AQ26" i="31"/>
  <c r="AT25" i="31"/>
  <c r="AS25" i="31"/>
  <c r="AR25" i="31"/>
  <c r="AQ25" i="31"/>
  <c r="AT24" i="31"/>
  <c r="AS24" i="31"/>
  <c r="AR24" i="31"/>
  <c r="AQ24" i="31"/>
  <c r="AT23" i="31"/>
  <c r="AS23" i="31"/>
  <c r="AR23" i="31"/>
  <c r="AQ23" i="31"/>
  <c r="AT22" i="31"/>
  <c r="AS22" i="31"/>
  <c r="AR22" i="31"/>
  <c r="AQ22" i="31"/>
  <c r="AT21" i="31"/>
  <c r="AS21" i="31"/>
  <c r="AR21" i="31"/>
  <c r="AQ21" i="31"/>
  <c r="AT20" i="31"/>
  <c r="AS20" i="31"/>
  <c r="AR20" i="31"/>
  <c r="AQ20" i="31"/>
  <c r="AT19" i="31"/>
  <c r="AS19" i="31"/>
  <c r="AR19" i="31"/>
  <c r="AQ19" i="31"/>
  <c r="AT18" i="31"/>
  <c r="AS18" i="31"/>
  <c r="AR18" i="31"/>
  <c r="AQ18" i="31"/>
  <c r="AT17" i="31"/>
  <c r="AS17" i="31"/>
  <c r="AR17" i="31"/>
  <c r="AQ17" i="31"/>
  <c r="AT16" i="31"/>
  <c r="AS16" i="31"/>
  <c r="AR16" i="31"/>
  <c r="AQ16" i="31"/>
  <c r="AT15" i="31"/>
  <c r="AS15" i="31"/>
  <c r="AR15" i="31"/>
  <c r="AQ15" i="31"/>
  <c r="AT14" i="31"/>
  <c r="AS14" i="31"/>
  <c r="AR14" i="31"/>
  <c r="AQ14" i="31"/>
  <c r="AT13" i="31"/>
  <c r="AS13" i="31"/>
  <c r="AR13" i="31"/>
  <c r="AQ13" i="31"/>
  <c r="AT12" i="31"/>
  <c r="AS12" i="31"/>
  <c r="AR12" i="31"/>
  <c r="AQ12" i="31"/>
  <c r="AT11" i="31"/>
  <c r="AS11" i="31"/>
  <c r="AR11" i="31"/>
  <c r="AQ11" i="31"/>
  <c r="AT10" i="31"/>
  <c r="AS10" i="31"/>
  <c r="AR10" i="31"/>
  <c r="AQ10" i="31"/>
  <c r="AT9" i="31"/>
  <c r="AS9" i="31"/>
  <c r="AR9" i="31"/>
  <c r="AQ9" i="31"/>
  <c r="AT8" i="31"/>
  <c r="AS8" i="31"/>
  <c r="AR8" i="31"/>
  <c r="AQ8" i="31"/>
  <c r="AT7" i="31"/>
  <c r="AS7" i="31"/>
  <c r="AR7" i="31"/>
  <c r="AQ7" i="31"/>
  <c r="AT6" i="31"/>
  <c r="AS6" i="31"/>
  <c r="AR6" i="31"/>
  <c r="AQ6" i="31"/>
  <c r="AT5" i="31"/>
  <c r="AS5" i="31"/>
  <c r="AR5" i="31"/>
  <c r="AQ5" i="31"/>
  <c r="AT4" i="31"/>
  <c r="AS4" i="31"/>
  <c r="AR4" i="31"/>
  <c r="AQ4" i="31"/>
  <c r="AT3" i="31"/>
  <c r="AS3" i="31"/>
  <c r="AR3" i="31"/>
  <c r="AQ3" i="31"/>
  <c r="H4" i="31"/>
  <c r="D16" i="30"/>
  <c r="R4" i="29"/>
  <c r="R5" i="29"/>
  <c r="R6" i="29"/>
  <c r="R7" i="29"/>
  <c r="R8" i="29"/>
  <c r="R9" i="29"/>
  <c r="R10" i="29"/>
  <c r="R11" i="29"/>
  <c r="R12" i="29"/>
  <c r="R13" i="29"/>
  <c r="R14" i="29"/>
  <c r="R15" i="29"/>
  <c r="R16" i="29"/>
  <c r="R17" i="29"/>
  <c r="R18" i="29"/>
  <c r="R19" i="29"/>
  <c r="R20" i="29"/>
  <c r="R21" i="29"/>
  <c r="R22" i="29"/>
  <c r="R23" i="29"/>
  <c r="R24" i="29"/>
  <c r="R25" i="29"/>
  <c r="R26" i="29"/>
  <c r="R27" i="29"/>
  <c r="R28" i="29"/>
  <c r="R29" i="29"/>
  <c r="R30" i="29"/>
  <c r="R31" i="29"/>
  <c r="R32" i="29"/>
  <c r="R33" i="29"/>
  <c r="R34" i="29"/>
  <c r="R35" i="29"/>
  <c r="R36" i="29"/>
  <c r="R37" i="29"/>
  <c r="R38" i="29"/>
  <c r="R39" i="29"/>
  <c r="R40" i="29"/>
  <c r="R41" i="29"/>
  <c r="R42" i="29"/>
  <c r="R43" i="29"/>
  <c r="R44" i="29"/>
  <c r="R45" i="29"/>
  <c r="R46" i="29"/>
  <c r="R47" i="29"/>
  <c r="R48" i="29"/>
  <c r="R49" i="29"/>
  <c r="R50" i="29"/>
  <c r="R51" i="29"/>
  <c r="R52" i="29"/>
  <c r="R53" i="29"/>
  <c r="R54" i="29"/>
  <c r="R55" i="29"/>
  <c r="R56" i="29"/>
  <c r="R57" i="29"/>
  <c r="R58" i="29"/>
  <c r="R59" i="29"/>
  <c r="R60" i="29"/>
  <c r="R61" i="29"/>
  <c r="R62" i="29"/>
  <c r="R63" i="29"/>
  <c r="R64" i="29"/>
  <c r="R65" i="29"/>
  <c r="R66" i="29"/>
  <c r="R67" i="29"/>
  <c r="R68" i="29"/>
  <c r="R69" i="29"/>
  <c r="R70" i="29"/>
  <c r="R71" i="29"/>
  <c r="R72" i="29"/>
  <c r="R73" i="29"/>
  <c r="R74" i="29"/>
  <c r="R75" i="29"/>
  <c r="R76" i="29"/>
  <c r="R77" i="29"/>
  <c r="R78" i="29"/>
  <c r="R79" i="29"/>
  <c r="R80" i="29"/>
  <c r="R81" i="29"/>
  <c r="R82" i="29"/>
  <c r="R83" i="29"/>
  <c r="R84" i="29"/>
  <c r="R85" i="29"/>
  <c r="R86" i="29"/>
  <c r="R87" i="29"/>
  <c r="R88" i="29"/>
  <c r="R89" i="29"/>
  <c r="R90" i="29"/>
  <c r="R91" i="29"/>
  <c r="R92" i="29"/>
  <c r="R93" i="29"/>
  <c r="R94" i="29"/>
  <c r="R95" i="29"/>
  <c r="R96" i="29"/>
  <c r="R97" i="29"/>
  <c r="R98" i="29"/>
  <c r="R99" i="29"/>
  <c r="R100" i="29"/>
  <c r="R101" i="29"/>
  <c r="R102" i="29"/>
  <c r="R103" i="29"/>
  <c r="R104" i="29"/>
  <c r="R105" i="29"/>
  <c r="R106" i="29"/>
  <c r="R107" i="29"/>
  <c r="R108" i="29"/>
  <c r="R109" i="29"/>
  <c r="R110" i="29"/>
  <c r="R111" i="29"/>
  <c r="R112" i="29"/>
  <c r="R113" i="29"/>
  <c r="R114" i="29"/>
  <c r="R115" i="29"/>
  <c r="R116" i="29"/>
  <c r="R117" i="29"/>
  <c r="R118" i="29"/>
  <c r="R119" i="29"/>
  <c r="R120" i="29"/>
  <c r="R121" i="29"/>
  <c r="R122" i="29"/>
  <c r="R123" i="29"/>
  <c r="R124" i="29"/>
  <c r="R125" i="29"/>
  <c r="R126" i="29"/>
  <c r="R127" i="29"/>
  <c r="R128" i="29"/>
  <c r="R129" i="29"/>
  <c r="R130" i="29"/>
  <c r="R131" i="29"/>
  <c r="R132" i="29"/>
  <c r="R133" i="29"/>
  <c r="R134" i="29"/>
  <c r="R135" i="29"/>
  <c r="R136" i="29"/>
  <c r="R137" i="29"/>
  <c r="R138" i="29"/>
  <c r="R139" i="29"/>
  <c r="R140" i="29"/>
  <c r="R141" i="29"/>
  <c r="R142" i="29"/>
  <c r="R143" i="29"/>
  <c r="R144" i="29"/>
  <c r="R145" i="29"/>
  <c r="R146" i="29"/>
  <c r="R147" i="29"/>
  <c r="R148" i="29"/>
  <c r="R149" i="29"/>
  <c r="R150" i="29"/>
  <c r="R151" i="29"/>
  <c r="R152" i="29"/>
  <c r="R153" i="29"/>
  <c r="R154" i="29"/>
  <c r="R155" i="29"/>
  <c r="R156" i="29"/>
  <c r="R157" i="29"/>
  <c r="R158" i="29"/>
  <c r="R159" i="29"/>
  <c r="R160" i="29"/>
  <c r="R161" i="29"/>
  <c r="R162" i="29"/>
  <c r="R163" i="29"/>
  <c r="R164" i="29"/>
  <c r="R165" i="29"/>
  <c r="R166" i="29"/>
  <c r="R167" i="29"/>
  <c r="R168" i="29"/>
  <c r="R169" i="29"/>
  <c r="R170" i="29"/>
  <c r="R171" i="29"/>
  <c r="R172" i="29"/>
  <c r="R173" i="29"/>
  <c r="R174" i="29"/>
  <c r="R175" i="29"/>
  <c r="R176" i="29"/>
  <c r="R177" i="29"/>
  <c r="R178" i="29"/>
  <c r="R179" i="29"/>
  <c r="R180" i="29"/>
  <c r="R181" i="29"/>
  <c r="R182" i="29"/>
  <c r="R183" i="29"/>
  <c r="R184" i="29"/>
  <c r="R185" i="29"/>
  <c r="R186" i="29"/>
  <c r="R187" i="29"/>
  <c r="R188" i="29"/>
  <c r="R189" i="29"/>
  <c r="R190" i="29"/>
  <c r="R191" i="29"/>
  <c r="R192" i="29"/>
  <c r="R193" i="29"/>
  <c r="R194" i="29"/>
  <c r="R195" i="29"/>
  <c r="R196" i="29"/>
  <c r="R197" i="29"/>
  <c r="R198" i="29"/>
  <c r="R199" i="29"/>
  <c r="R200" i="29"/>
  <c r="R201" i="29"/>
  <c r="R202" i="29"/>
  <c r="R203" i="29"/>
  <c r="R204" i="29"/>
  <c r="R205" i="29"/>
  <c r="R206" i="29"/>
  <c r="R207" i="29"/>
  <c r="R208" i="29"/>
  <c r="R209" i="29"/>
  <c r="R210" i="29"/>
  <c r="R211" i="29"/>
  <c r="R212" i="29"/>
  <c r="R213" i="29"/>
  <c r="R214" i="29"/>
  <c r="R215" i="29"/>
  <c r="R216" i="29"/>
  <c r="R217" i="29"/>
  <c r="R218" i="29"/>
  <c r="R219" i="29"/>
  <c r="R220" i="29"/>
  <c r="R221" i="29"/>
  <c r="R222" i="29"/>
  <c r="R223" i="29"/>
  <c r="R224" i="29"/>
  <c r="R225" i="29"/>
  <c r="R226" i="29"/>
  <c r="R227" i="29"/>
  <c r="R228" i="29"/>
  <c r="R229" i="29"/>
  <c r="R230" i="29"/>
  <c r="R231" i="29"/>
  <c r="R232" i="29"/>
  <c r="R233" i="29"/>
  <c r="R234" i="29"/>
  <c r="R235" i="29"/>
  <c r="R236" i="29"/>
  <c r="R237" i="29"/>
  <c r="R238" i="29"/>
  <c r="R239" i="29"/>
  <c r="R240" i="29"/>
  <c r="R241" i="29"/>
  <c r="R242" i="29"/>
  <c r="R243" i="29"/>
  <c r="R244" i="29"/>
  <c r="R245" i="29"/>
  <c r="R246" i="29"/>
  <c r="R247" i="29"/>
  <c r="R248" i="29"/>
  <c r="R249" i="29"/>
  <c r="R250" i="29"/>
  <c r="R251" i="29"/>
  <c r="R252" i="29"/>
  <c r="R253" i="29"/>
  <c r="R254" i="29"/>
  <c r="R255" i="29"/>
  <c r="R256" i="29"/>
  <c r="R257" i="29"/>
  <c r="R258" i="29"/>
  <c r="R259" i="29"/>
  <c r="R260" i="29"/>
  <c r="R261" i="29"/>
  <c r="R262" i="29"/>
  <c r="R263" i="29"/>
  <c r="R264" i="29"/>
  <c r="R265" i="29"/>
  <c r="R266" i="29"/>
  <c r="R267" i="29"/>
  <c r="R268" i="29"/>
  <c r="R269" i="29"/>
  <c r="R270" i="29"/>
  <c r="R271" i="29"/>
  <c r="R272" i="29"/>
  <c r="R273" i="29"/>
  <c r="R274" i="29"/>
  <c r="R275" i="29"/>
  <c r="R276" i="29"/>
  <c r="R277" i="29"/>
  <c r="R278" i="29"/>
  <c r="R279" i="29"/>
  <c r="R280" i="29"/>
  <c r="R281" i="29"/>
  <c r="R282" i="29"/>
  <c r="R283" i="29"/>
  <c r="R284" i="29"/>
  <c r="R285" i="29"/>
  <c r="R286" i="29"/>
  <c r="R287" i="29"/>
  <c r="R288" i="29"/>
  <c r="R289" i="29"/>
  <c r="R290" i="29"/>
  <c r="R291" i="29"/>
  <c r="R292" i="29"/>
  <c r="R293" i="29"/>
  <c r="R294" i="29"/>
  <c r="R295" i="29"/>
  <c r="R296" i="29"/>
  <c r="R297" i="29"/>
  <c r="R298" i="29"/>
  <c r="R299" i="29"/>
  <c r="R300" i="29"/>
  <c r="R301" i="29"/>
  <c r="R302" i="29"/>
  <c r="R303" i="29"/>
  <c r="R304" i="29"/>
  <c r="R305" i="29"/>
  <c r="R306" i="29"/>
  <c r="R307" i="29"/>
  <c r="R308" i="29"/>
  <c r="R309" i="29"/>
  <c r="R310" i="29"/>
  <c r="R311" i="29"/>
  <c r="R312" i="29"/>
  <c r="R313" i="29"/>
  <c r="R314" i="29"/>
  <c r="R315" i="29"/>
  <c r="R316" i="29"/>
  <c r="R317" i="29"/>
  <c r="R318" i="29"/>
  <c r="R319" i="29"/>
  <c r="R320" i="29"/>
  <c r="R321" i="29"/>
  <c r="R322" i="29"/>
  <c r="R323" i="29"/>
  <c r="R324" i="29"/>
  <c r="R325" i="29"/>
  <c r="R326" i="29"/>
  <c r="R327" i="29"/>
  <c r="R328" i="29"/>
  <c r="R329" i="29"/>
  <c r="R330" i="29"/>
  <c r="R331" i="29"/>
  <c r="R332" i="29"/>
  <c r="R333" i="29"/>
  <c r="R334" i="29"/>
  <c r="R335" i="29"/>
  <c r="R336" i="29"/>
  <c r="R337" i="29"/>
  <c r="R338" i="29"/>
  <c r="R339" i="29"/>
  <c r="R340" i="29"/>
  <c r="R341" i="29"/>
  <c r="R342" i="29"/>
  <c r="R343" i="29"/>
  <c r="R344" i="29"/>
  <c r="R345" i="29"/>
  <c r="R346" i="29"/>
  <c r="R347" i="29"/>
  <c r="R348" i="29"/>
  <c r="R349" i="29"/>
  <c r="R350" i="29"/>
  <c r="R351" i="29"/>
  <c r="R352" i="29"/>
  <c r="R353" i="29"/>
  <c r="R354" i="29"/>
  <c r="R355" i="29"/>
  <c r="R356" i="29"/>
  <c r="R357" i="29"/>
  <c r="R358" i="29"/>
  <c r="R359" i="29"/>
  <c r="R360" i="29"/>
  <c r="R361" i="29"/>
  <c r="R362" i="29"/>
  <c r="R363" i="29"/>
  <c r="R364" i="29"/>
  <c r="R365" i="29"/>
  <c r="R366" i="29"/>
  <c r="R367" i="29"/>
  <c r="R368" i="29"/>
  <c r="R369" i="29"/>
  <c r="R370" i="29"/>
  <c r="R371" i="29"/>
  <c r="R372" i="29"/>
  <c r="R373" i="29"/>
  <c r="R374" i="29"/>
  <c r="R375" i="29"/>
  <c r="R376" i="29"/>
  <c r="R377" i="29"/>
  <c r="R378" i="29"/>
  <c r="R379" i="29"/>
  <c r="R380" i="29"/>
  <c r="R3" i="29"/>
  <c r="K4" i="29"/>
  <c r="K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K129" i="29"/>
  <c r="K130" i="29"/>
  <c r="K131" i="29"/>
  <c r="K132" i="29"/>
  <c r="K133" i="29"/>
  <c r="K134" i="29"/>
  <c r="K135" i="29"/>
  <c r="K136" i="29"/>
  <c r="K137" i="29"/>
  <c r="K138" i="29"/>
  <c r="K139" i="29"/>
  <c r="K140" i="29"/>
  <c r="K141" i="29"/>
  <c r="K142" i="29"/>
  <c r="K143" i="29"/>
  <c r="K144" i="29"/>
  <c r="K145" i="29"/>
  <c r="K146" i="29"/>
  <c r="K147" i="29"/>
  <c r="K148" i="29"/>
  <c r="K149" i="29"/>
  <c r="K150" i="29"/>
  <c r="K151" i="29"/>
  <c r="K152" i="29"/>
  <c r="K153" i="29"/>
  <c r="K154" i="29"/>
  <c r="K155" i="29"/>
  <c r="K156" i="29"/>
  <c r="K157" i="29"/>
  <c r="K158" i="29"/>
  <c r="K159" i="29"/>
  <c r="K160" i="29"/>
  <c r="K161" i="29"/>
  <c r="K162" i="29"/>
  <c r="K163" i="29"/>
  <c r="K164" i="29"/>
  <c r="K165" i="29"/>
  <c r="K166" i="29"/>
  <c r="K167" i="29"/>
  <c r="K168" i="29"/>
  <c r="K169" i="29"/>
  <c r="K170" i="29"/>
  <c r="K171" i="29"/>
  <c r="K172" i="29"/>
  <c r="K173" i="29"/>
  <c r="K174" i="29"/>
  <c r="K175" i="29"/>
  <c r="K176" i="29"/>
  <c r="K177" i="29"/>
  <c r="K178" i="29"/>
  <c r="K179" i="29"/>
  <c r="K180" i="29"/>
  <c r="K181" i="29"/>
  <c r="K182" i="29"/>
  <c r="K183" i="29"/>
  <c r="K184" i="29"/>
  <c r="K185" i="29"/>
  <c r="K186" i="29"/>
  <c r="K187" i="29"/>
  <c r="K188" i="29"/>
  <c r="K189" i="29"/>
  <c r="K190" i="29"/>
  <c r="K191" i="29"/>
  <c r="K192" i="29"/>
  <c r="K193" i="29"/>
  <c r="K194" i="29"/>
  <c r="K195" i="29"/>
  <c r="K196" i="29"/>
  <c r="K197" i="29"/>
  <c r="K198" i="29"/>
  <c r="K199" i="29"/>
  <c r="K200" i="29"/>
  <c r="K201" i="29"/>
  <c r="K202" i="29"/>
  <c r="K203" i="29"/>
  <c r="K204" i="29"/>
  <c r="K205" i="29"/>
  <c r="K206" i="29"/>
  <c r="K207" i="29"/>
  <c r="K208" i="29"/>
  <c r="K209" i="29"/>
  <c r="K210" i="29"/>
  <c r="K211" i="29"/>
  <c r="K212" i="29"/>
  <c r="K213" i="29"/>
  <c r="K214" i="29"/>
  <c r="K215" i="29"/>
  <c r="K216" i="29"/>
  <c r="K217" i="29"/>
  <c r="K218" i="29"/>
  <c r="K219" i="29"/>
  <c r="K220" i="29"/>
  <c r="K221" i="29"/>
  <c r="K222" i="29"/>
  <c r="K223" i="29"/>
  <c r="K224" i="29"/>
  <c r="K225" i="29"/>
  <c r="K226" i="29"/>
  <c r="K227" i="29"/>
  <c r="K228" i="29"/>
  <c r="K229" i="29"/>
  <c r="K230" i="29"/>
  <c r="K231" i="29"/>
  <c r="K232" i="29"/>
  <c r="K233" i="29"/>
  <c r="K234" i="29"/>
  <c r="K235" i="29"/>
  <c r="K236" i="29"/>
  <c r="K237" i="29"/>
  <c r="K238" i="29"/>
  <c r="K239" i="29"/>
  <c r="K240" i="29"/>
  <c r="K241" i="29"/>
  <c r="K242" i="29"/>
  <c r="K243" i="29"/>
  <c r="K244" i="29"/>
  <c r="K245" i="29"/>
  <c r="K246" i="29"/>
  <c r="K247" i="29"/>
  <c r="K248" i="29"/>
  <c r="K249" i="29"/>
  <c r="K250" i="29"/>
  <c r="K251" i="29"/>
  <c r="K252" i="29"/>
  <c r="K253" i="29"/>
  <c r="K254" i="29"/>
  <c r="K255" i="29"/>
  <c r="K256" i="29"/>
  <c r="K257" i="29"/>
  <c r="K258" i="29"/>
  <c r="K259" i="29"/>
  <c r="K260" i="29"/>
  <c r="K261" i="29"/>
  <c r="K262" i="29"/>
  <c r="K263" i="29"/>
  <c r="K264" i="29"/>
  <c r="K265" i="29"/>
  <c r="K266" i="29"/>
  <c r="K267" i="29"/>
  <c r="K268" i="29"/>
  <c r="K269" i="29"/>
  <c r="K270" i="29"/>
  <c r="K271" i="29"/>
  <c r="K272" i="29"/>
  <c r="K273" i="29"/>
  <c r="K274" i="29"/>
  <c r="K275" i="29"/>
  <c r="K276" i="29"/>
  <c r="K277" i="29"/>
  <c r="K278" i="29"/>
  <c r="K279" i="29"/>
  <c r="K280" i="29"/>
  <c r="K281" i="29"/>
  <c r="K282" i="29"/>
  <c r="K283" i="29"/>
  <c r="K284" i="29"/>
  <c r="K285" i="29"/>
  <c r="K286" i="29"/>
  <c r="K287" i="29"/>
  <c r="K288" i="29"/>
  <c r="K289" i="29"/>
  <c r="K290" i="29"/>
  <c r="K291" i="29"/>
  <c r="K292" i="29"/>
  <c r="K293" i="29"/>
  <c r="K294" i="29"/>
  <c r="K295" i="29"/>
  <c r="K296" i="29"/>
  <c r="K297" i="29"/>
  <c r="K298" i="29"/>
  <c r="K299" i="29"/>
  <c r="K300" i="29"/>
  <c r="K301" i="29"/>
  <c r="K302" i="29"/>
  <c r="K303" i="29"/>
  <c r="K304" i="29"/>
  <c r="K305" i="29"/>
  <c r="K306" i="29"/>
  <c r="K307" i="29"/>
  <c r="K308" i="29"/>
  <c r="K309" i="29"/>
  <c r="K310" i="29"/>
  <c r="K311" i="29"/>
  <c r="K312" i="29"/>
  <c r="K313" i="29"/>
  <c r="K314" i="29"/>
  <c r="K315" i="29"/>
  <c r="K316" i="29"/>
  <c r="K317" i="29"/>
  <c r="K318" i="29"/>
  <c r="K319" i="29"/>
  <c r="K320" i="29"/>
  <c r="K321" i="29"/>
  <c r="K322" i="29"/>
  <c r="K323" i="29"/>
  <c r="K324" i="29"/>
  <c r="K325" i="29"/>
  <c r="K326" i="29"/>
  <c r="K327" i="29"/>
  <c r="K328" i="29"/>
  <c r="K329" i="29"/>
  <c r="K330" i="29"/>
  <c r="K331" i="29"/>
  <c r="K332" i="29"/>
  <c r="K333" i="29"/>
  <c r="K334" i="29"/>
  <c r="K335" i="29"/>
  <c r="K336" i="29"/>
  <c r="K337" i="29"/>
  <c r="K338" i="29"/>
  <c r="K339" i="29"/>
  <c r="K340" i="29"/>
  <c r="K341" i="29"/>
  <c r="K342" i="29"/>
  <c r="K343" i="29"/>
  <c r="K344" i="29"/>
  <c r="K345" i="29"/>
  <c r="K346" i="29"/>
  <c r="K347" i="29"/>
  <c r="K348" i="29"/>
  <c r="K349" i="29"/>
  <c r="K350" i="29"/>
  <c r="K351" i="29"/>
  <c r="K352" i="29"/>
  <c r="K353" i="29"/>
  <c r="K354" i="29"/>
  <c r="K355" i="29"/>
  <c r="K356" i="29"/>
  <c r="K357" i="29"/>
  <c r="K358" i="29"/>
  <c r="K359" i="29"/>
  <c r="K360" i="29"/>
  <c r="K361" i="29"/>
  <c r="K362" i="29"/>
  <c r="K363" i="29"/>
  <c r="K364" i="29"/>
  <c r="K365" i="29"/>
  <c r="K366" i="29"/>
  <c r="K367" i="29"/>
  <c r="K368" i="29"/>
  <c r="K369" i="29"/>
  <c r="K370" i="29"/>
  <c r="K371" i="29"/>
  <c r="K372" i="29"/>
  <c r="K373" i="29"/>
  <c r="K374" i="29"/>
  <c r="K375" i="29"/>
  <c r="K376" i="29"/>
  <c r="K377" i="29"/>
  <c r="K378" i="29"/>
  <c r="K379" i="29"/>
  <c r="K380" i="29"/>
  <c r="K3" i="29"/>
  <c r="D4" i="29"/>
  <c r="D5" i="29"/>
  <c r="D6" i="29"/>
  <c r="D7" i="29"/>
  <c r="D8" i="29"/>
  <c r="D9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91" i="29"/>
  <c r="D292" i="29"/>
  <c r="D293" i="29"/>
  <c r="D294" i="29"/>
  <c r="D295" i="29"/>
  <c r="D296" i="29"/>
  <c r="D297" i="29"/>
  <c r="D298" i="29"/>
  <c r="D299" i="29"/>
  <c r="D300" i="29"/>
  <c r="D301" i="29"/>
  <c r="D302" i="29"/>
  <c r="D303" i="29"/>
  <c r="D304" i="29"/>
  <c r="D305" i="29"/>
  <c r="D306" i="29"/>
  <c r="D307" i="29"/>
  <c r="D308" i="29"/>
  <c r="D309" i="29"/>
  <c r="D310" i="29"/>
  <c r="D311" i="29"/>
  <c r="D312" i="29"/>
  <c r="D313" i="29"/>
  <c r="D314" i="29"/>
  <c r="D315" i="29"/>
  <c r="D316" i="29"/>
  <c r="D317" i="29"/>
  <c r="D318" i="29"/>
  <c r="D319" i="29"/>
  <c r="D320" i="29"/>
  <c r="D321" i="29"/>
  <c r="D322" i="29"/>
  <c r="D323" i="29"/>
  <c r="D324" i="29"/>
  <c r="D325" i="29"/>
  <c r="D326" i="29"/>
  <c r="D327" i="29"/>
  <c r="D328" i="29"/>
  <c r="D329" i="29"/>
  <c r="D330" i="29"/>
  <c r="D331" i="29"/>
  <c r="D332" i="29"/>
  <c r="D333" i="29"/>
  <c r="D334" i="29"/>
  <c r="D335" i="29"/>
  <c r="D336" i="29"/>
  <c r="D337" i="29"/>
  <c r="D338" i="29"/>
  <c r="D339" i="29"/>
  <c r="D340" i="29"/>
  <c r="D341" i="29"/>
  <c r="D342" i="29"/>
  <c r="D343" i="29"/>
  <c r="D344" i="29"/>
  <c r="D345" i="29"/>
  <c r="D346" i="29"/>
  <c r="D347" i="29"/>
  <c r="D348" i="29"/>
  <c r="D349" i="29"/>
  <c r="D350" i="29"/>
  <c r="D351" i="29"/>
  <c r="D352" i="29"/>
  <c r="D353" i="29"/>
  <c r="D354" i="29"/>
  <c r="D355" i="29"/>
  <c r="D356" i="29"/>
  <c r="D357" i="29"/>
  <c r="D358" i="29"/>
  <c r="D359" i="29"/>
  <c r="D360" i="29"/>
  <c r="D361" i="29"/>
  <c r="D362" i="29"/>
  <c r="D363" i="29"/>
  <c r="D364" i="29"/>
  <c r="D365" i="29"/>
  <c r="D366" i="29"/>
  <c r="D367" i="29"/>
  <c r="D368" i="29"/>
  <c r="D369" i="29"/>
  <c r="D370" i="29"/>
  <c r="D371" i="29"/>
  <c r="D372" i="29"/>
  <c r="D373" i="29"/>
  <c r="D374" i="29"/>
  <c r="D375" i="29"/>
  <c r="D376" i="29"/>
  <c r="D377" i="29"/>
  <c r="D378" i="29"/>
  <c r="D379" i="29"/>
  <c r="D380" i="29"/>
  <c r="D3" i="29"/>
  <c r="W5" i="29"/>
  <c r="W124" i="29"/>
  <c r="V125" i="29" s="1"/>
  <c r="W247" i="29"/>
  <c r="W368" i="29"/>
  <c r="V369" i="29" s="1"/>
  <c r="W4" i="29"/>
  <c r="W3" i="29"/>
  <c r="V3" i="29"/>
  <c r="P124" i="29"/>
  <c r="O125" i="29" s="1"/>
  <c r="P247" i="29"/>
  <c r="P368" i="29"/>
  <c r="O369" i="29" s="1"/>
  <c r="P3" i="29"/>
  <c r="O3" i="29"/>
  <c r="I124" i="29"/>
  <c r="H125" i="29" s="1"/>
  <c r="I247" i="29"/>
  <c r="H248" i="29" s="1"/>
  <c r="I368" i="29"/>
  <c r="H369" i="29" s="1"/>
  <c r="I3" i="29"/>
  <c r="H3" i="29"/>
  <c r="O248" i="29"/>
  <c r="V4" i="29"/>
  <c r="Z4" i="25"/>
  <c r="P4" i="25"/>
  <c r="K4" i="25"/>
  <c r="F4" i="25"/>
  <c r="AF380" i="29"/>
  <c r="AE380" i="29"/>
  <c r="AD380" i="29"/>
  <c r="AC380" i="29"/>
  <c r="AF379" i="29"/>
  <c r="AE379" i="29"/>
  <c r="AD379" i="29"/>
  <c r="AC379" i="29"/>
  <c r="AF378" i="29"/>
  <c r="AE378" i="29"/>
  <c r="AD378" i="29"/>
  <c r="AC378" i="29"/>
  <c r="AF377" i="29"/>
  <c r="AE377" i="29"/>
  <c r="AD377" i="29"/>
  <c r="AC377" i="29"/>
  <c r="AF376" i="29"/>
  <c r="AE376" i="29"/>
  <c r="AD376" i="29"/>
  <c r="AC376" i="29"/>
  <c r="AF375" i="29"/>
  <c r="AE375" i="29"/>
  <c r="AD375" i="29"/>
  <c r="AC375" i="29"/>
  <c r="AF374" i="29"/>
  <c r="AE374" i="29"/>
  <c r="AD374" i="29"/>
  <c r="AC374" i="29"/>
  <c r="AF373" i="29"/>
  <c r="AE373" i="29"/>
  <c r="AD373" i="29"/>
  <c r="AC373" i="29"/>
  <c r="AF372" i="29"/>
  <c r="AE372" i="29"/>
  <c r="AD372" i="29"/>
  <c r="AC372" i="29"/>
  <c r="AF371" i="29"/>
  <c r="AE371" i="29"/>
  <c r="AD371" i="29"/>
  <c r="AC371" i="29"/>
  <c r="AF370" i="29"/>
  <c r="AE370" i="29"/>
  <c r="AD370" i="29"/>
  <c r="AC370" i="29"/>
  <c r="AF369" i="29"/>
  <c r="AE369" i="29"/>
  <c r="AD369" i="29"/>
  <c r="AC369" i="29"/>
  <c r="AF368" i="29"/>
  <c r="AE368" i="29"/>
  <c r="AD368" i="29"/>
  <c r="AC368" i="29"/>
  <c r="AF367" i="29"/>
  <c r="AE367" i="29"/>
  <c r="AD367" i="29"/>
  <c r="AC367" i="29"/>
  <c r="AF366" i="29"/>
  <c r="AE366" i="29"/>
  <c r="AD366" i="29"/>
  <c r="AC366" i="29"/>
  <c r="AF365" i="29"/>
  <c r="AE365" i="29"/>
  <c r="AD365" i="29"/>
  <c r="AC365" i="29"/>
  <c r="AF364" i="29"/>
  <c r="AE364" i="29"/>
  <c r="AD364" i="29"/>
  <c r="AC364" i="29"/>
  <c r="AF363" i="29"/>
  <c r="AE363" i="29"/>
  <c r="AD363" i="29"/>
  <c r="AC363" i="29"/>
  <c r="AF362" i="29"/>
  <c r="AE362" i="29"/>
  <c r="AD362" i="29"/>
  <c r="AC362" i="29"/>
  <c r="AF361" i="29"/>
  <c r="AE361" i="29"/>
  <c r="AD361" i="29"/>
  <c r="AC361" i="29"/>
  <c r="AF360" i="29"/>
  <c r="AE360" i="29"/>
  <c r="AD360" i="29"/>
  <c r="AC360" i="29"/>
  <c r="AF359" i="29"/>
  <c r="AE359" i="29"/>
  <c r="AD359" i="29"/>
  <c r="AC359" i="29"/>
  <c r="AF358" i="29"/>
  <c r="AE358" i="29"/>
  <c r="AD358" i="29"/>
  <c r="AC358" i="29"/>
  <c r="AF357" i="29"/>
  <c r="AE357" i="29"/>
  <c r="AD357" i="29"/>
  <c r="AC357" i="29"/>
  <c r="AF356" i="29"/>
  <c r="AE356" i="29"/>
  <c r="AD356" i="29"/>
  <c r="AC356" i="29"/>
  <c r="AF355" i="29"/>
  <c r="AE355" i="29"/>
  <c r="AD355" i="29"/>
  <c r="AC355" i="29"/>
  <c r="AF354" i="29"/>
  <c r="AE354" i="29"/>
  <c r="AD354" i="29"/>
  <c r="AC354" i="29"/>
  <c r="AF353" i="29"/>
  <c r="AE353" i="29"/>
  <c r="AD353" i="29"/>
  <c r="AC353" i="29"/>
  <c r="AF352" i="29"/>
  <c r="AE352" i="29"/>
  <c r="AD352" i="29"/>
  <c r="AC352" i="29"/>
  <c r="AF351" i="29"/>
  <c r="AE351" i="29"/>
  <c r="AD351" i="29"/>
  <c r="AC351" i="29"/>
  <c r="AF350" i="29"/>
  <c r="AE350" i="29"/>
  <c r="AD350" i="29"/>
  <c r="AC350" i="29"/>
  <c r="AF349" i="29"/>
  <c r="AE349" i="29"/>
  <c r="AD349" i="29"/>
  <c r="AC349" i="29"/>
  <c r="AF348" i="29"/>
  <c r="AE348" i="29"/>
  <c r="AD348" i="29"/>
  <c r="AC348" i="29"/>
  <c r="AF347" i="29"/>
  <c r="AE347" i="29"/>
  <c r="AD347" i="29"/>
  <c r="AC347" i="29"/>
  <c r="AF346" i="29"/>
  <c r="AE346" i="29"/>
  <c r="AD346" i="29"/>
  <c r="AC346" i="29"/>
  <c r="AF345" i="29"/>
  <c r="AE345" i="29"/>
  <c r="AD345" i="29"/>
  <c r="AC345" i="29"/>
  <c r="AF344" i="29"/>
  <c r="AE344" i="29"/>
  <c r="AD344" i="29"/>
  <c r="AC344" i="29"/>
  <c r="AF343" i="29"/>
  <c r="AE343" i="29"/>
  <c r="AD343" i="29"/>
  <c r="AC343" i="29"/>
  <c r="AF342" i="29"/>
  <c r="AE342" i="29"/>
  <c r="AD342" i="29"/>
  <c r="AC342" i="29"/>
  <c r="AF341" i="29"/>
  <c r="AE341" i="29"/>
  <c r="AD341" i="29"/>
  <c r="AC341" i="29"/>
  <c r="AF340" i="29"/>
  <c r="AE340" i="29"/>
  <c r="AD340" i="29"/>
  <c r="AC340" i="29"/>
  <c r="AF339" i="29"/>
  <c r="AE339" i="29"/>
  <c r="AD339" i="29"/>
  <c r="AC339" i="29"/>
  <c r="AF338" i="29"/>
  <c r="AE338" i="29"/>
  <c r="AD338" i="29"/>
  <c r="AC338" i="29"/>
  <c r="AF337" i="29"/>
  <c r="AE337" i="29"/>
  <c r="AD337" i="29"/>
  <c r="AC337" i="29"/>
  <c r="AF336" i="29"/>
  <c r="AE336" i="29"/>
  <c r="AD336" i="29"/>
  <c r="AC336" i="29"/>
  <c r="AF335" i="29"/>
  <c r="AE335" i="29"/>
  <c r="AD335" i="29"/>
  <c r="AC335" i="29"/>
  <c r="AF334" i="29"/>
  <c r="AE334" i="29"/>
  <c r="AD334" i="29"/>
  <c r="AC334" i="29"/>
  <c r="AF333" i="29"/>
  <c r="AE333" i="29"/>
  <c r="AD333" i="29"/>
  <c r="AC333" i="29"/>
  <c r="AF332" i="29"/>
  <c r="AE332" i="29"/>
  <c r="AD332" i="29"/>
  <c r="AC332" i="29"/>
  <c r="AF331" i="29"/>
  <c r="AE331" i="29"/>
  <c r="AD331" i="29"/>
  <c r="AC331" i="29"/>
  <c r="AF330" i="29"/>
  <c r="AE330" i="29"/>
  <c r="AD330" i="29"/>
  <c r="AC330" i="29"/>
  <c r="AF329" i="29"/>
  <c r="AE329" i="29"/>
  <c r="AD329" i="29"/>
  <c r="AC329" i="29"/>
  <c r="AF328" i="29"/>
  <c r="AE328" i="29"/>
  <c r="AD328" i="29"/>
  <c r="AC328" i="29"/>
  <c r="AF327" i="29"/>
  <c r="AE327" i="29"/>
  <c r="AD327" i="29"/>
  <c r="AC327" i="29"/>
  <c r="AF326" i="29"/>
  <c r="AE326" i="29"/>
  <c r="AD326" i="29"/>
  <c r="AC326" i="29"/>
  <c r="AF325" i="29"/>
  <c r="AE325" i="29"/>
  <c r="AD325" i="29"/>
  <c r="AC325" i="29"/>
  <c r="AF324" i="29"/>
  <c r="AE324" i="29"/>
  <c r="AD324" i="29"/>
  <c r="AC324" i="29"/>
  <c r="AF323" i="29"/>
  <c r="AE323" i="29"/>
  <c r="AD323" i="29"/>
  <c r="AC323" i="29"/>
  <c r="AF322" i="29"/>
  <c r="AE322" i="29"/>
  <c r="AD322" i="29"/>
  <c r="AC322" i="29"/>
  <c r="AF321" i="29"/>
  <c r="AE321" i="29"/>
  <c r="AD321" i="29"/>
  <c r="AC321" i="29"/>
  <c r="AF320" i="29"/>
  <c r="AE320" i="29"/>
  <c r="AD320" i="29"/>
  <c r="AC320" i="29"/>
  <c r="AF319" i="29"/>
  <c r="AE319" i="29"/>
  <c r="AD319" i="29"/>
  <c r="AC319" i="29"/>
  <c r="AF318" i="29"/>
  <c r="AE318" i="29"/>
  <c r="AD318" i="29"/>
  <c r="AC318" i="29"/>
  <c r="AF317" i="29"/>
  <c r="AE317" i="29"/>
  <c r="AD317" i="29"/>
  <c r="AC317" i="29"/>
  <c r="AF316" i="29"/>
  <c r="AE316" i="29"/>
  <c r="AD316" i="29"/>
  <c r="AC316" i="29"/>
  <c r="AF315" i="29"/>
  <c r="AE315" i="29"/>
  <c r="AD315" i="29"/>
  <c r="AC315" i="29"/>
  <c r="AF314" i="29"/>
  <c r="AE314" i="29"/>
  <c r="AD314" i="29"/>
  <c r="AC314" i="29"/>
  <c r="AF313" i="29"/>
  <c r="AE313" i="29"/>
  <c r="AD313" i="29"/>
  <c r="AC313" i="29"/>
  <c r="AF312" i="29"/>
  <c r="AE312" i="29"/>
  <c r="AD312" i="29"/>
  <c r="AC312" i="29"/>
  <c r="AF311" i="29"/>
  <c r="AE311" i="29"/>
  <c r="AD311" i="29"/>
  <c r="AC311" i="29"/>
  <c r="AF310" i="29"/>
  <c r="AE310" i="29"/>
  <c r="AD310" i="29"/>
  <c r="AC310" i="29"/>
  <c r="AF309" i="29"/>
  <c r="AE309" i="29"/>
  <c r="AD309" i="29"/>
  <c r="AC309" i="29"/>
  <c r="AF308" i="29"/>
  <c r="AE308" i="29"/>
  <c r="AD308" i="29"/>
  <c r="AC308" i="29"/>
  <c r="AF307" i="29"/>
  <c r="AE307" i="29"/>
  <c r="AD307" i="29"/>
  <c r="AC307" i="29"/>
  <c r="AF306" i="29"/>
  <c r="AE306" i="29"/>
  <c r="AD306" i="29"/>
  <c r="AC306" i="29"/>
  <c r="AF305" i="29"/>
  <c r="AE305" i="29"/>
  <c r="AD305" i="29"/>
  <c r="AC305" i="29"/>
  <c r="AF304" i="29"/>
  <c r="AE304" i="29"/>
  <c r="AD304" i="29"/>
  <c r="AC304" i="29"/>
  <c r="AF303" i="29"/>
  <c r="AE303" i="29"/>
  <c r="AD303" i="29"/>
  <c r="AC303" i="29"/>
  <c r="AF302" i="29"/>
  <c r="AE302" i="29"/>
  <c r="AD302" i="29"/>
  <c r="AC302" i="29"/>
  <c r="AF301" i="29"/>
  <c r="AE301" i="29"/>
  <c r="AD301" i="29"/>
  <c r="AC301" i="29"/>
  <c r="AF300" i="29"/>
  <c r="AE300" i="29"/>
  <c r="AD300" i="29"/>
  <c r="AC300" i="29"/>
  <c r="AF299" i="29"/>
  <c r="AE299" i="29"/>
  <c r="AD299" i="29"/>
  <c r="AC299" i="29"/>
  <c r="AF298" i="29"/>
  <c r="AE298" i="29"/>
  <c r="AD298" i="29"/>
  <c r="AC298" i="29"/>
  <c r="AF297" i="29"/>
  <c r="AE297" i="29"/>
  <c r="AD297" i="29"/>
  <c r="AC297" i="29"/>
  <c r="AF296" i="29"/>
  <c r="AE296" i="29"/>
  <c r="AD296" i="29"/>
  <c r="AC296" i="29"/>
  <c r="AF295" i="29"/>
  <c r="AE295" i="29"/>
  <c r="AD295" i="29"/>
  <c r="AC295" i="29"/>
  <c r="AF294" i="29"/>
  <c r="AE294" i="29"/>
  <c r="AD294" i="29"/>
  <c r="AC294" i="29"/>
  <c r="AF293" i="29"/>
  <c r="AE293" i="29"/>
  <c r="AD293" i="29"/>
  <c r="AC293" i="29"/>
  <c r="AF292" i="29"/>
  <c r="AE292" i="29"/>
  <c r="AD292" i="29"/>
  <c r="AC292" i="29"/>
  <c r="AF291" i="29"/>
  <c r="AE291" i="29"/>
  <c r="AD291" i="29"/>
  <c r="AC291" i="29"/>
  <c r="AF290" i="29"/>
  <c r="AE290" i="29"/>
  <c r="AD290" i="29"/>
  <c r="AC290" i="29"/>
  <c r="AF289" i="29"/>
  <c r="AE289" i="29"/>
  <c r="AD289" i="29"/>
  <c r="AC289" i="29"/>
  <c r="AF288" i="29"/>
  <c r="AE288" i="29"/>
  <c r="AD288" i="29"/>
  <c r="AC288" i="29"/>
  <c r="AF287" i="29"/>
  <c r="AE287" i="29"/>
  <c r="AD287" i="29"/>
  <c r="AC287" i="29"/>
  <c r="AF286" i="29"/>
  <c r="AE286" i="29"/>
  <c r="AD286" i="29"/>
  <c r="AC286" i="29"/>
  <c r="AF285" i="29"/>
  <c r="AE285" i="29"/>
  <c r="AD285" i="29"/>
  <c r="AC285" i="29"/>
  <c r="AF284" i="29"/>
  <c r="AE284" i="29"/>
  <c r="AD284" i="29"/>
  <c r="AC284" i="29"/>
  <c r="AF283" i="29"/>
  <c r="AE283" i="29"/>
  <c r="AD283" i="29"/>
  <c r="AC283" i="29"/>
  <c r="AF282" i="29"/>
  <c r="AE282" i="29"/>
  <c r="AD282" i="29"/>
  <c r="AC282" i="29"/>
  <c r="AF281" i="29"/>
  <c r="AE281" i="29"/>
  <c r="AD281" i="29"/>
  <c r="AC281" i="29"/>
  <c r="AF280" i="29"/>
  <c r="AE280" i="29"/>
  <c r="AD280" i="29"/>
  <c r="AC280" i="29"/>
  <c r="AF279" i="29"/>
  <c r="AE279" i="29"/>
  <c r="AD279" i="29"/>
  <c r="AC279" i="29"/>
  <c r="AF278" i="29"/>
  <c r="AE278" i="29"/>
  <c r="AD278" i="29"/>
  <c r="AC278" i="29"/>
  <c r="AF277" i="29"/>
  <c r="AE277" i="29"/>
  <c r="AD277" i="29"/>
  <c r="AC277" i="29"/>
  <c r="AF276" i="29"/>
  <c r="AE276" i="29"/>
  <c r="AD276" i="29"/>
  <c r="AC276" i="29"/>
  <c r="AF275" i="29"/>
  <c r="AE275" i="29"/>
  <c r="AD275" i="29"/>
  <c r="AC275" i="29"/>
  <c r="AF274" i="29"/>
  <c r="AE274" i="29"/>
  <c r="AD274" i="29"/>
  <c r="AC274" i="29"/>
  <c r="AF273" i="29"/>
  <c r="AE273" i="29"/>
  <c r="AD273" i="29"/>
  <c r="AC273" i="29"/>
  <c r="AF272" i="29"/>
  <c r="AE272" i="29"/>
  <c r="AD272" i="29"/>
  <c r="AC272" i="29"/>
  <c r="AF271" i="29"/>
  <c r="AE271" i="29"/>
  <c r="AD271" i="29"/>
  <c r="AC271" i="29"/>
  <c r="AF270" i="29"/>
  <c r="AE270" i="29"/>
  <c r="AD270" i="29"/>
  <c r="AC270" i="29"/>
  <c r="AF269" i="29"/>
  <c r="AE269" i="29"/>
  <c r="AD269" i="29"/>
  <c r="AC269" i="29"/>
  <c r="AF268" i="29"/>
  <c r="AE268" i="29"/>
  <c r="AD268" i="29"/>
  <c r="AC268" i="29"/>
  <c r="AF267" i="29"/>
  <c r="AE267" i="29"/>
  <c r="AD267" i="29"/>
  <c r="AC267" i="29"/>
  <c r="AF266" i="29"/>
  <c r="AE266" i="29"/>
  <c r="AD266" i="29"/>
  <c r="AC266" i="29"/>
  <c r="AF265" i="29"/>
  <c r="AE265" i="29"/>
  <c r="AD265" i="29"/>
  <c r="AC265" i="29"/>
  <c r="AF264" i="29"/>
  <c r="AE264" i="29"/>
  <c r="AD264" i="29"/>
  <c r="AC264" i="29"/>
  <c r="AF263" i="29"/>
  <c r="AE263" i="29"/>
  <c r="AD263" i="29"/>
  <c r="AC263" i="29"/>
  <c r="AF262" i="29"/>
  <c r="AE262" i="29"/>
  <c r="AD262" i="29"/>
  <c r="AC262" i="29"/>
  <c r="AF261" i="29"/>
  <c r="AE261" i="29"/>
  <c r="AD261" i="29"/>
  <c r="AC261" i="29"/>
  <c r="AF260" i="29"/>
  <c r="AE260" i="29"/>
  <c r="AD260" i="29"/>
  <c r="AC260" i="29"/>
  <c r="AF259" i="29"/>
  <c r="AE259" i="29"/>
  <c r="AD259" i="29"/>
  <c r="AC259" i="29"/>
  <c r="AF258" i="29"/>
  <c r="AE258" i="29"/>
  <c r="AD258" i="29"/>
  <c r="AC258" i="29"/>
  <c r="AF257" i="29"/>
  <c r="AE257" i="29"/>
  <c r="AD257" i="29"/>
  <c r="AC257" i="29"/>
  <c r="AF256" i="29"/>
  <c r="AE256" i="29"/>
  <c r="AD256" i="29"/>
  <c r="AC256" i="29"/>
  <c r="AF255" i="29"/>
  <c r="AE255" i="29"/>
  <c r="AD255" i="29"/>
  <c r="AC255" i="29"/>
  <c r="AF254" i="29"/>
  <c r="AE254" i="29"/>
  <c r="AD254" i="29"/>
  <c r="AC254" i="29"/>
  <c r="AF253" i="29"/>
  <c r="AE253" i="29"/>
  <c r="AD253" i="29"/>
  <c r="AC253" i="29"/>
  <c r="AF252" i="29"/>
  <c r="AE252" i="29"/>
  <c r="AD252" i="29"/>
  <c r="AC252" i="29"/>
  <c r="AF251" i="29"/>
  <c r="AE251" i="29"/>
  <c r="AD251" i="29"/>
  <c r="AC251" i="29"/>
  <c r="AF250" i="29"/>
  <c r="AE250" i="29"/>
  <c r="AD250" i="29"/>
  <c r="AC250" i="29"/>
  <c r="AF249" i="29"/>
  <c r="AE249" i="29"/>
  <c r="AD249" i="29"/>
  <c r="AC249" i="29"/>
  <c r="AF248" i="29"/>
  <c r="AE248" i="29"/>
  <c r="AD248" i="29"/>
  <c r="AC248" i="29"/>
  <c r="AF247" i="29"/>
  <c r="AE247" i="29"/>
  <c r="AD247" i="29"/>
  <c r="AC247" i="29"/>
  <c r="AF246" i="29"/>
  <c r="AE246" i="29"/>
  <c r="AD246" i="29"/>
  <c r="AC246" i="29"/>
  <c r="AF245" i="29"/>
  <c r="AE245" i="29"/>
  <c r="AD245" i="29"/>
  <c r="AC245" i="29"/>
  <c r="AF244" i="29"/>
  <c r="AE244" i="29"/>
  <c r="AD244" i="29"/>
  <c r="AC244" i="29"/>
  <c r="AF243" i="29"/>
  <c r="AE243" i="29"/>
  <c r="AD243" i="29"/>
  <c r="AC243" i="29"/>
  <c r="AF242" i="29"/>
  <c r="AE242" i="29"/>
  <c r="AD242" i="29"/>
  <c r="AC242" i="29"/>
  <c r="AF241" i="29"/>
  <c r="AE241" i="29"/>
  <c r="AD241" i="29"/>
  <c r="AC241" i="29"/>
  <c r="AF240" i="29"/>
  <c r="AE240" i="29"/>
  <c r="AD240" i="29"/>
  <c r="AC240" i="29"/>
  <c r="AF239" i="29"/>
  <c r="AE239" i="29"/>
  <c r="AD239" i="29"/>
  <c r="AC239" i="29"/>
  <c r="AF238" i="29"/>
  <c r="AE238" i="29"/>
  <c r="AD238" i="29"/>
  <c r="AC238" i="29"/>
  <c r="AF237" i="29"/>
  <c r="AE237" i="29"/>
  <c r="AD237" i="29"/>
  <c r="AC237" i="29"/>
  <c r="AF236" i="29"/>
  <c r="AE236" i="29"/>
  <c r="AD236" i="29"/>
  <c r="AC236" i="29"/>
  <c r="AF235" i="29"/>
  <c r="AE235" i="29"/>
  <c r="AD235" i="29"/>
  <c r="AC235" i="29"/>
  <c r="AF234" i="29"/>
  <c r="AE234" i="29"/>
  <c r="AD234" i="29"/>
  <c r="AC234" i="29"/>
  <c r="AF233" i="29"/>
  <c r="AE233" i="29"/>
  <c r="AD233" i="29"/>
  <c r="AC233" i="29"/>
  <c r="AF232" i="29"/>
  <c r="AE232" i="29"/>
  <c r="AD232" i="29"/>
  <c r="AC232" i="29"/>
  <c r="AF231" i="29"/>
  <c r="AE231" i="29"/>
  <c r="AD231" i="29"/>
  <c r="AC231" i="29"/>
  <c r="AF230" i="29"/>
  <c r="AE230" i="29"/>
  <c r="AD230" i="29"/>
  <c r="AC230" i="29"/>
  <c r="AF229" i="29"/>
  <c r="AE229" i="29"/>
  <c r="AD229" i="29"/>
  <c r="AC229" i="29"/>
  <c r="AF228" i="29"/>
  <c r="AE228" i="29"/>
  <c r="AD228" i="29"/>
  <c r="AC228" i="29"/>
  <c r="AF227" i="29"/>
  <c r="AE227" i="29"/>
  <c r="AD227" i="29"/>
  <c r="AC227" i="29"/>
  <c r="AF226" i="29"/>
  <c r="AE226" i="29"/>
  <c r="AD226" i="29"/>
  <c r="AC226" i="29"/>
  <c r="AF225" i="29"/>
  <c r="AE225" i="29"/>
  <c r="AD225" i="29"/>
  <c r="AC225" i="29"/>
  <c r="AF224" i="29"/>
  <c r="AE224" i="29"/>
  <c r="AD224" i="29"/>
  <c r="AC224" i="29"/>
  <c r="AF223" i="29"/>
  <c r="AE223" i="29"/>
  <c r="AD223" i="29"/>
  <c r="AC223" i="29"/>
  <c r="AF222" i="29"/>
  <c r="AE222" i="29"/>
  <c r="AD222" i="29"/>
  <c r="AC222" i="29"/>
  <c r="AF221" i="29"/>
  <c r="AE221" i="29"/>
  <c r="AD221" i="29"/>
  <c r="AC221" i="29"/>
  <c r="AF220" i="29"/>
  <c r="AE220" i="29"/>
  <c r="AD220" i="29"/>
  <c r="AC220" i="29"/>
  <c r="AF219" i="29"/>
  <c r="AE219" i="29"/>
  <c r="AD219" i="29"/>
  <c r="AC219" i="29"/>
  <c r="AF218" i="29"/>
  <c r="AE218" i="29"/>
  <c r="AD218" i="29"/>
  <c r="AC218" i="29"/>
  <c r="AF217" i="29"/>
  <c r="AE217" i="29"/>
  <c r="AD217" i="29"/>
  <c r="AC217" i="29"/>
  <c r="AF216" i="29"/>
  <c r="AE216" i="29"/>
  <c r="AD216" i="29"/>
  <c r="AC216" i="29"/>
  <c r="AF215" i="29"/>
  <c r="AE215" i="29"/>
  <c r="AD215" i="29"/>
  <c r="AC215" i="29"/>
  <c r="AF214" i="29"/>
  <c r="AE214" i="29"/>
  <c r="AD214" i="29"/>
  <c r="AC214" i="29"/>
  <c r="AF213" i="29"/>
  <c r="AE213" i="29"/>
  <c r="AD213" i="29"/>
  <c r="AC213" i="29"/>
  <c r="AF212" i="29"/>
  <c r="AE212" i="29"/>
  <c r="AD212" i="29"/>
  <c r="AC212" i="29"/>
  <c r="AF211" i="29"/>
  <c r="AE211" i="29"/>
  <c r="AD211" i="29"/>
  <c r="AC211" i="29"/>
  <c r="AF210" i="29"/>
  <c r="AE210" i="29"/>
  <c r="AD210" i="29"/>
  <c r="AC210" i="29"/>
  <c r="AF209" i="29"/>
  <c r="AE209" i="29"/>
  <c r="AD209" i="29"/>
  <c r="AC209" i="29"/>
  <c r="AF208" i="29"/>
  <c r="AE208" i="29"/>
  <c r="AD208" i="29"/>
  <c r="AC208" i="29"/>
  <c r="AF207" i="29"/>
  <c r="AE207" i="29"/>
  <c r="AD207" i="29"/>
  <c r="AC207" i="29"/>
  <c r="AF206" i="29"/>
  <c r="AE206" i="29"/>
  <c r="AD206" i="29"/>
  <c r="AC206" i="29"/>
  <c r="AF205" i="29"/>
  <c r="AE205" i="29"/>
  <c r="AD205" i="29"/>
  <c r="AC205" i="29"/>
  <c r="AF204" i="29"/>
  <c r="AE204" i="29"/>
  <c r="AD204" i="29"/>
  <c r="AC204" i="29"/>
  <c r="AF203" i="29"/>
  <c r="AE203" i="29"/>
  <c r="AD203" i="29"/>
  <c r="AC203" i="29"/>
  <c r="AF202" i="29"/>
  <c r="AE202" i="29"/>
  <c r="AD202" i="29"/>
  <c r="AC202" i="29"/>
  <c r="AF201" i="29"/>
  <c r="AE201" i="29"/>
  <c r="AD201" i="29"/>
  <c r="AC201" i="29"/>
  <c r="AF200" i="29"/>
  <c r="AE200" i="29"/>
  <c r="AD200" i="29"/>
  <c r="AC200" i="29"/>
  <c r="AF199" i="29"/>
  <c r="AE199" i="29"/>
  <c r="AD199" i="29"/>
  <c r="AC199" i="29"/>
  <c r="AF198" i="29"/>
  <c r="AE198" i="29"/>
  <c r="AD198" i="29"/>
  <c r="AC198" i="29"/>
  <c r="AF197" i="29"/>
  <c r="AE197" i="29"/>
  <c r="AD197" i="29"/>
  <c r="AC197" i="29"/>
  <c r="AF196" i="29"/>
  <c r="AE196" i="29"/>
  <c r="AD196" i="29"/>
  <c r="AC196" i="29"/>
  <c r="AF195" i="29"/>
  <c r="AE195" i="29"/>
  <c r="AD195" i="29"/>
  <c r="AC195" i="29"/>
  <c r="AF194" i="29"/>
  <c r="AE194" i="29"/>
  <c r="AD194" i="29"/>
  <c r="AC194" i="29"/>
  <c r="AF193" i="29"/>
  <c r="AE193" i="29"/>
  <c r="AD193" i="29"/>
  <c r="AC193" i="29"/>
  <c r="AF192" i="29"/>
  <c r="AE192" i="29"/>
  <c r="AD192" i="29"/>
  <c r="AC192" i="29"/>
  <c r="AF191" i="29"/>
  <c r="AE191" i="29"/>
  <c r="AD191" i="29"/>
  <c r="AC191" i="29"/>
  <c r="AF190" i="29"/>
  <c r="AE190" i="29"/>
  <c r="AD190" i="29"/>
  <c r="AC190" i="29"/>
  <c r="AF189" i="29"/>
  <c r="AE189" i="29"/>
  <c r="AD189" i="29"/>
  <c r="AC189" i="29"/>
  <c r="AF188" i="29"/>
  <c r="AE188" i="29"/>
  <c r="AD188" i="29"/>
  <c r="AC188" i="29"/>
  <c r="AF187" i="29"/>
  <c r="AE187" i="29"/>
  <c r="AD187" i="29"/>
  <c r="AC187" i="29"/>
  <c r="AF186" i="29"/>
  <c r="AE186" i="29"/>
  <c r="AD186" i="29"/>
  <c r="AC186" i="29"/>
  <c r="AF185" i="29"/>
  <c r="AE185" i="29"/>
  <c r="AD185" i="29"/>
  <c r="AC185" i="29"/>
  <c r="AF184" i="29"/>
  <c r="AE184" i="29"/>
  <c r="AD184" i="29"/>
  <c r="AC184" i="29"/>
  <c r="AF183" i="29"/>
  <c r="AE183" i="29"/>
  <c r="AD183" i="29"/>
  <c r="AC183" i="29"/>
  <c r="AF182" i="29"/>
  <c r="AE182" i="29"/>
  <c r="AD182" i="29"/>
  <c r="AC182" i="29"/>
  <c r="AF181" i="29"/>
  <c r="AE181" i="29"/>
  <c r="AD181" i="29"/>
  <c r="AC181" i="29"/>
  <c r="AF180" i="29"/>
  <c r="AE180" i="29"/>
  <c r="AD180" i="29"/>
  <c r="AC180" i="29"/>
  <c r="AF179" i="29"/>
  <c r="AE179" i="29"/>
  <c r="AD179" i="29"/>
  <c r="AC179" i="29"/>
  <c r="AF178" i="29"/>
  <c r="AE178" i="29"/>
  <c r="AD178" i="29"/>
  <c r="AC178" i="29"/>
  <c r="AF177" i="29"/>
  <c r="AE177" i="29"/>
  <c r="AD177" i="29"/>
  <c r="AC177" i="29"/>
  <c r="AF176" i="29"/>
  <c r="AE176" i="29"/>
  <c r="AD176" i="29"/>
  <c r="AC176" i="29"/>
  <c r="AF175" i="29"/>
  <c r="AE175" i="29"/>
  <c r="AD175" i="29"/>
  <c r="AC175" i="29"/>
  <c r="AF174" i="29"/>
  <c r="AE174" i="29"/>
  <c r="AD174" i="29"/>
  <c r="AC174" i="29"/>
  <c r="AF173" i="29"/>
  <c r="AE173" i="29"/>
  <c r="AD173" i="29"/>
  <c r="AC173" i="29"/>
  <c r="AF172" i="29"/>
  <c r="AE172" i="29"/>
  <c r="AD172" i="29"/>
  <c r="AC172" i="29"/>
  <c r="AF171" i="29"/>
  <c r="AE171" i="29"/>
  <c r="AD171" i="29"/>
  <c r="AC171" i="29"/>
  <c r="AF170" i="29"/>
  <c r="AE170" i="29"/>
  <c r="AD170" i="29"/>
  <c r="AC170" i="29"/>
  <c r="AF169" i="29"/>
  <c r="AE169" i="29"/>
  <c r="AD169" i="29"/>
  <c r="AC169" i="29"/>
  <c r="AF168" i="29"/>
  <c r="AE168" i="29"/>
  <c r="AD168" i="29"/>
  <c r="AC168" i="29"/>
  <c r="AF167" i="29"/>
  <c r="AE167" i="29"/>
  <c r="AD167" i="29"/>
  <c r="AC167" i="29"/>
  <c r="AF166" i="29"/>
  <c r="AE166" i="29"/>
  <c r="AD166" i="29"/>
  <c r="AC166" i="29"/>
  <c r="AF165" i="29"/>
  <c r="AE165" i="29"/>
  <c r="AD165" i="29"/>
  <c r="AC165" i="29"/>
  <c r="AF164" i="29"/>
  <c r="AE164" i="29"/>
  <c r="AD164" i="29"/>
  <c r="AC164" i="29"/>
  <c r="AF163" i="29"/>
  <c r="AE163" i="29"/>
  <c r="AD163" i="29"/>
  <c r="AC163" i="29"/>
  <c r="AF162" i="29"/>
  <c r="AE162" i="29"/>
  <c r="AD162" i="29"/>
  <c r="AC162" i="29"/>
  <c r="AF161" i="29"/>
  <c r="AE161" i="29"/>
  <c r="AD161" i="29"/>
  <c r="AC161" i="29"/>
  <c r="AF160" i="29"/>
  <c r="AE160" i="29"/>
  <c r="AD160" i="29"/>
  <c r="AC160" i="29"/>
  <c r="AF159" i="29"/>
  <c r="AE159" i="29"/>
  <c r="AD159" i="29"/>
  <c r="AC159" i="29"/>
  <c r="AF158" i="29"/>
  <c r="AE158" i="29"/>
  <c r="AD158" i="29"/>
  <c r="AC158" i="29"/>
  <c r="AF157" i="29"/>
  <c r="AE157" i="29"/>
  <c r="AD157" i="29"/>
  <c r="AC157" i="29"/>
  <c r="AF156" i="29"/>
  <c r="AE156" i="29"/>
  <c r="AD156" i="29"/>
  <c r="AC156" i="29"/>
  <c r="AF155" i="29"/>
  <c r="AE155" i="29"/>
  <c r="AD155" i="29"/>
  <c r="AC155" i="29"/>
  <c r="AF154" i="29"/>
  <c r="AE154" i="29"/>
  <c r="AD154" i="29"/>
  <c r="AC154" i="29"/>
  <c r="AF153" i="29"/>
  <c r="AE153" i="29"/>
  <c r="AD153" i="29"/>
  <c r="AC153" i="29"/>
  <c r="AF152" i="29"/>
  <c r="AE152" i="29"/>
  <c r="AD152" i="29"/>
  <c r="AC152" i="29"/>
  <c r="AF151" i="29"/>
  <c r="AE151" i="29"/>
  <c r="AD151" i="29"/>
  <c r="AC151" i="29"/>
  <c r="AF150" i="29"/>
  <c r="AE150" i="29"/>
  <c r="AD150" i="29"/>
  <c r="AC150" i="29"/>
  <c r="AF149" i="29"/>
  <c r="AE149" i="29"/>
  <c r="AD149" i="29"/>
  <c r="AC149" i="29"/>
  <c r="AF148" i="29"/>
  <c r="AE148" i="29"/>
  <c r="AD148" i="29"/>
  <c r="AC148" i="29"/>
  <c r="AF147" i="29"/>
  <c r="AE147" i="29"/>
  <c r="AD147" i="29"/>
  <c r="AC147" i="29"/>
  <c r="AF146" i="29"/>
  <c r="AE146" i="29"/>
  <c r="AD146" i="29"/>
  <c r="AC146" i="29"/>
  <c r="AF145" i="29"/>
  <c r="AE145" i="29"/>
  <c r="AD145" i="29"/>
  <c r="AC145" i="29"/>
  <c r="AF144" i="29"/>
  <c r="AE144" i="29"/>
  <c r="AD144" i="29"/>
  <c r="AC144" i="29"/>
  <c r="AF143" i="29"/>
  <c r="AE143" i="29"/>
  <c r="AD143" i="29"/>
  <c r="AC143" i="29"/>
  <c r="AF142" i="29"/>
  <c r="AE142" i="29"/>
  <c r="AD142" i="29"/>
  <c r="AC142" i="29"/>
  <c r="AF141" i="29"/>
  <c r="AE141" i="29"/>
  <c r="AD141" i="29"/>
  <c r="AC141" i="29"/>
  <c r="AF140" i="29"/>
  <c r="AE140" i="29"/>
  <c r="AD140" i="29"/>
  <c r="AC140" i="29"/>
  <c r="AF139" i="29"/>
  <c r="AE139" i="29"/>
  <c r="AD139" i="29"/>
  <c r="AC139" i="29"/>
  <c r="AF138" i="29"/>
  <c r="AE138" i="29"/>
  <c r="AD138" i="29"/>
  <c r="AC138" i="29"/>
  <c r="AF137" i="29"/>
  <c r="AE137" i="29"/>
  <c r="AD137" i="29"/>
  <c r="AC137" i="29"/>
  <c r="AF136" i="29"/>
  <c r="AE136" i="29"/>
  <c r="AD136" i="29"/>
  <c r="AC136" i="29"/>
  <c r="AF135" i="29"/>
  <c r="AE135" i="29"/>
  <c r="AD135" i="29"/>
  <c r="AC135" i="29"/>
  <c r="AF134" i="29"/>
  <c r="AE134" i="29"/>
  <c r="AD134" i="29"/>
  <c r="AC134" i="29"/>
  <c r="AF133" i="29"/>
  <c r="AE133" i="29"/>
  <c r="AD133" i="29"/>
  <c r="AC133" i="29"/>
  <c r="AF132" i="29"/>
  <c r="AE132" i="29"/>
  <c r="AD132" i="29"/>
  <c r="AC132" i="29"/>
  <c r="AF131" i="29"/>
  <c r="AE131" i="29"/>
  <c r="AD131" i="29"/>
  <c r="AC131" i="29"/>
  <c r="AF130" i="29"/>
  <c r="AE130" i="29"/>
  <c r="AD130" i="29"/>
  <c r="AC130" i="29"/>
  <c r="AF129" i="29"/>
  <c r="AE129" i="29"/>
  <c r="AD129" i="29"/>
  <c r="AC129" i="29"/>
  <c r="AF128" i="29"/>
  <c r="AE128" i="29"/>
  <c r="AD128" i="29"/>
  <c r="AC128" i="29"/>
  <c r="AF127" i="29"/>
  <c r="AE127" i="29"/>
  <c r="AD127" i="29"/>
  <c r="AC127" i="29"/>
  <c r="AF126" i="29"/>
  <c r="AE126" i="29"/>
  <c r="AD126" i="29"/>
  <c r="AC126" i="29"/>
  <c r="AF125" i="29"/>
  <c r="AE125" i="29"/>
  <c r="AD125" i="29"/>
  <c r="AC125" i="29"/>
  <c r="AF124" i="29"/>
  <c r="AE124" i="29"/>
  <c r="AD124" i="29"/>
  <c r="AC124" i="29"/>
  <c r="AF123" i="29"/>
  <c r="AE123" i="29"/>
  <c r="AD123" i="29"/>
  <c r="AC123" i="29"/>
  <c r="AF122" i="29"/>
  <c r="AE122" i="29"/>
  <c r="AD122" i="29"/>
  <c r="AC122" i="29"/>
  <c r="AF121" i="29"/>
  <c r="AE121" i="29"/>
  <c r="AD121" i="29"/>
  <c r="AC121" i="29"/>
  <c r="AF120" i="29"/>
  <c r="AE120" i="29"/>
  <c r="AD120" i="29"/>
  <c r="AC120" i="29"/>
  <c r="AF119" i="29"/>
  <c r="AE119" i="29"/>
  <c r="AD119" i="29"/>
  <c r="AC119" i="29"/>
  <c r="AF118" i="29"/>
  <c r="AE118" i="29"/>
  <c r="AD118" i="29"/>
  <c r="AC118" i="29"/>
  <c r="AF117" i="29"/>
  <c r="AE117" i="29"/>
  <c r="AD117" i="29"/>
  <c r="AC117" i="29"/>
  <c r="AF116" i="29"/>
  <c r="AE116" i="29"/>
  <c r="AD116" i="29"/>
  <c r="AC116" i="29"/>
  <c r="AF115" i="29"/>
  <c r="AE115" i="29"/>
  <c r="AD115" i="29"/>
  <c r="AC115" i="29"/>
  <c r="AF114" i="29"/>
  <c r="AE114" i="29"/>
  <c r="AD114" i="29"/>
  <c r="AC114" i="29"/>
  <c r="AF113" i="29"/>
  <c r="AE113" i="29"/>
  <c r="AD113" i="29"/>
  <c r="AC113" i="29"/>
  <c r="AF112" i="29"/>
  <c r="AE112" i="29"/>
  <c r="AD112" i="29"/>
  <c r="AC112" i="29"/>
  <c r="AF111" i="29"/>
  <c r="AE111" i="29"/>
  <c r="AD111" i="29"/>
  <c r="AC111" i="29"/>
  <c r="AF110" i="29"/>
  <c r="AE110" i="29"/>
  <c r="AD110" i="29"/>
  <c r="AC110" i="29"/>
  <c r="AF109" i="29"/>
  <c r="AE109" i="29"/>
  <c r="AD109" i="29"/>
  <c r="AC109" i="29"/>
  <c r="AF108" i="29"/>
  <c r="AE108" i="29"/>
  <c r="AD108" i="29"/>
  <c r="AC108" i="29"/>
  <c r="AF107" i="29"/>
  <c r="AE107" i="29"/>
  <c r="AD107" i="29"/>
  <c r="AC107" i="29"/>
  <c r="AF106" i="29"/>
  <c r="AE106" i="29"/>
  <c r="AD106" i="29"/>
  <c r="AC106" i="29"/>
  <c r="AF105" i="29"/>
  <c r="AE105" i="29"/>
  <c r="AD105" i="29"/>
  <c r="AC105" i="29"/>
  <c r="AF104" i="29"/>
  <c r="AE104" i="29"/>
  <c r="AD104" i="29"/>
  <c r="AC104" i="29"/>
  <c r="AF103" i="29"/>
  <c r="AE103" i="29"/>
  <c r="AD103" i="29"/>
  <c r="AC103" i="29"/>
  <c r="AF102" i="29"/>
  <c r="AE102" i="29"/>
  <c r="AD102" i="29"/>
  <c r="AC102" i="29"/>
  <c r="AF101" i="29"/>
  <c r="AE101" i="29"/>
  <c r="AD101" i="29"/>
  <c r="AC101" i="29"/>
  <c r="AF100" i="29"/>
  <c r="AE100" i="29"/>
  <c r="AD100" i="29"/>
  <c r="AC100" i="29"/>
  <c r="AF99" i="29"/>
  <c r="AE99" i="29"/>
  <c r="AD99" i="29"/>
  <c r="AC99" i="29"/>
  <c r="AF98" i="29"/>
  <c r="AE98" i="29"/>
  <c r="AD98" i="29"/>
  <c r="AC98" i="29"/>
  <c r="AF97" i="29"/>
  <c r="AE97" i="29"/>
  <c r="AD97" i="29"/>
  <c r="AC97" i="29"/>
  <c r="AF96" i="29"/>
  <c r="AE96" i="29"/>
  <c r="AD96" i="29"/>
  <c r="AC96" i="29"/>
  <c r="AF95" i="29"/>
  <c r="AE95" i="29"/>
  <c r="AD95" i="29"/>
  <c r="AC95" i="29"/>
  <c r="AF94" i="29"/>
  <c r="AE94" i="29"/>
  <c r="AD94" i="29"/>
  <c r="AC94" i="29"/>
  <c r="AF93" i="29"/>
  <c r="AE93" i="29"/>
  <c r="AD93" i="29"/>
  <c r="AC93" i="29"/>
  <c r="AF92" i="29"/>
  <c r="AE92" i="29"/>
  <c r="AD92" i="29"/>
  <c r="AC92" i="29"/>
  <c r="AF91" i="29"/>
  <c r="AE91" i="29"/>
  <c r="AD91" i="29"/>
  <c r="AC91" i="29"/>
  <c r="AF90" i="29"/>
  <c r="AE90" i="29"/>
  <c r="AD90" i="29"/>
  <c r="AC90" i="29"/>
  <c r="AF89" i="29"/>
  <c r="AE89" i="29"/>
  <c r="AD89" i="29"/>
  <c r="AC89" i="29"/>
  <c r="AF88" i="29"/>
  <c r="AE88" i="29"/>
  <c r="AD88" i="29"/>
  <c r="AC88" i="29"/>
  <c r="AF87" i="29"/>
  <c r="AE87" i="29"/>
  <c r="AD87" i="29"/>
  <c r="AC87" i="29"/>
  <c r="AF86" i="29"/>
  <c r="AE86" i="29"/>
  <c r="AD86" i="29"/>
  <c r="AC86" i="29"/>
  <c r="AF85" i="29"/>
  <c r="AE85" i="29"/>
  <c r="AD85" i="29"/>
  <c r="AC85" i="29"/>
  <c r="AF84" i="29"/>
  <c r="AE84" i="29"/>
  <c r="AD84" i="29"/>
  <c r="AC84" i="29"/>
  <c r="AF83" i="29"/>
  <c r="AE83" i="29"/>
  <c r="AD83" i="29"/>
  <c r="AC83" i="29"/>
  <c r="AF82" i="29"/>
  <c r="AE82" i="29"/>
  <c r="AD82" i="29"/>
  <c r="AC82" i="29"/>
  <c r="AF81" i="29"/>
  <c r="AE81" i="29"/>
  <c r="AD81" i="29"/>
  <c r="AC81" i="29"/>
  <c r="AF80" i="29"/>
  <c r="AE80" i="29"/>
  <c r="AD80" i="29"/>
  <c r="AC80" i="29"/>
  <c r="AF79" i="29"/>
  <c r="AE79" i="29"/>
  <c r="AD79" i="29"/>
  <c r="AC79" i="29"/>
  <c r="AF78" i="29"/>
  <c r="AE78" i="29"/>
  <c r="AD78" i="29"/>
  <c r="AC78" i="29"/>
  <c r="AF77" i="29"/>
  <c r="AE77" i="29"/>
  <c r="AD77" i="29"/>
  <c r="AC77" i="29"/>
  <c r="AF76" i="29"/>
  <c r="AE76" i="29"/>
  <c r="AD76" i="29"/>
  <c r="AC76" i="29"/>
  <c r="AF75" i="29"/>
  <c r="AE75" i="29"/>
  <c r="AD75" i="29"/>
  <c r="AC75" i="29"/>
  <c r="AF74" i="29"/>
  <c r="AE74" i="29"/>
  <c r="AD74" i="29"/>
  <c r="AC74" i="29"/>
  <c r="AF73" i="29"/>
  <c r="AE73" i="29"/>
  <c r="AD73" i="29"/>
  <c r="AC73" i="29"/>
  <c r="AF72" i="29"/>
  <c r="AE72" i="29"/>
  <c r="AD72" i="29"/>
  <c r="AC72" i="29"/>
  <c r="AF71" i="29"/>
  <c r="AE71" i="29"/>
  <c r="AD71" i="29"/>
  <c r="AC71" i="29"/>
  <c r="AF70" i="29"/>
  <c r="AE70" i="29"/>
  <c r="AD70" i="29"/>
  <c r="AC70" i="29"/>
  <c r="AF69" i="29"/>
  <c r="AE69" i="29"/>
  <c r="AD69" i="29"/>
  <c r="AC69" i="29"/>
  <c r="AF68" i="29"/>
  <c r="AE68" i="29"/>
  <c r="AD68" i="29"/>
  <c r="AC68" i="29"/>
  <c r="AF67" i="29"/>
  <c r="AE67" i="29"/>
  <c r="AD67" i="29"/>
  <c r="AC67" i="29"/>
  <c r="AF66" i="29"/>
  <c r="AE66" i="29"/>
  <c r="AD66" i="29"/>
  <c r="AC66" i="29"/>
  <c r="AF65" i="29"/>
  <c r="AE65" i="29"/>
  <c r="AD65" i="29"/>
  <c r="AC65" i="29"/>
  <c r="AF64" i="29"/>
  <c r="AE64" i="29"/>
  <c r="AD64" i="29"/>
  <c r="AC64" i="29"/>
  <c r="AF63" i="29"/>
  <c r="AE63" i="29"/>
  <c r="AD63" i="29"/>
  <c r="AC63" i="29"/>
  <c r="AF62" i="29"/>
  <c r="AE62" i="29"/>
  <c r="AD62" i="29"/>
  <c r="AC62" i="29"/>
  <c r="AF61" i="29"/>
  <c r="AE61" i="29"/>
  <c r="AD61" i="29"/>
  <c r="AC61" i="29"/>
  <c r="AF60" i="29"/>
  <c r="AE60" i="29"/>
  <c r="AD60" i="29"/>
  <c r="AC60" i="29"/>
  <c r="AF59" i="29"/>
  <c r="AE59" i="29"/>
  <c r="AD59" i="29"/>
  <c r="AC59" i="29"/>
  <c r="AF58" i="29"/>
  <c r="AE58" i="29"/>
  <c r="AD58" i="29"/>
  <c r="AC58" i="29"/>
  <c r="AF57" i="29"/>
  <c r="AE57" i="29"/>
  <c r="AD57" i="29"/>
  <c r="AC57" i="29"/>
  <c r="AF56" i="29"/>
  <c r="AE56" i="29"/>
  <c r="AD56" i="29"/>
  <c r="AC56" i="29"/>
  <c r="AF55" i="29"/>
  <c r="AE55" i="29"/>
  <c r="AD55" i="29"/>
  <c r="AC55" i="29"/>
  <c r="AF54" i="29"/>
  <c r="AE54" i="29"/>
  <c r="AD54" i="29"/>
  <c r="AC54" i="29"/>
  <c r="AF53" i="29"/>
  <c r="AE53" i="29"/>
  <c r="AD53" i="29"/>
  <c r="AC53" i="29"/>
  <c r="AF52" i="29"/>
  <c r="AE52" i="29"/>
  <c r="AD52" i="29"/>
  <c r="AC52" i="29"/>
  <c r="AF51" i="29"/>
  <c r="AE51" i="29"/>
  <c r="AD51" i="29"/>
  <c r="AC51" i="29"/>
  <c r="AF50" i="29"/>
  <c r="AE50" i="29"/>
  <c r="AD50" i="29"/>
  <c r="AC50" i="29"/>
  <c r="AF49" i="29"/>
  <c r="AE49" i="29"/>
  <c r="AD49" i="29"/>
  <c r="AC49" i="29"/>
  <c r="AF48" i="29"/>
  <c r="AE48" i="29"/>
  <c r="AD48" i="29"/>
  <c r="AC48" i="29"/>
  <c r="AF47" i="29"/>
  <c r="AE47" i="29"/>
  <c r="AD47" i="29"/>
  <c r="AC47" i="29"/>
  <c r="AF46" i="29"/>
  <c r="AE46" i="29"/>
  <c r="AD46" i="29"/>
  <c r="AC46" i="29"/>
  <c r="AF45" i="29"/>
  <c r="AE45" i="29"/>
  <c r="AD45" i="29"/>
  <c r="AC45" i="29"/>
  <c r="AF44" i="29"/>
  <c r="AE44" i="29"/>
  <c r="AD44" i="29"/>
  <c r="AC44" i="29"/>
  <c r="AF43" i="29"/>
  <c r="AE43" i="29"/>
  <c r="AD43" i="29"/>
  <c r="AC43" i="29"/>
  <c r="AF42" i="29"/>
  <c r="AE42" i="29"/>
  <c r="AD42" i="29"/>
  <c r="AC42" i="29"/>
  <c r="AF41" i="29"/>
  <c r="AE41" i="29"/>
  <c r="AD41" i="29"/>
  <c r="AC41" i="29"/>
  <c r="AF40" i="29"/>
  <c r="AE40" i="29"/>
  <c r="AD40" i="29"/>
  <c r="AC40" i="29"/>
  <c r="AF39" i="29"/>
  <c r="AE39" i="29"/>
  <c r="AD39" i="29"/>
  <c r="AC39" i="29"/>
  <c r="AF38" i="29"/>
  <c r="AE38" i="29"/>
  <c r="AD38" i="29"/>
  <c r="AC38" i="29"/>
  <c r="AF37" i="29"/>
  <c r="AE37" i="29"/>
  <c r="AD37" i="29"/>
  <c r="AC37" i="29"/>
  <c r="AF36" i="29"/>
  <c r="AE36" i="29"/>
  <c r="AD36" i="29"/>
  <c r="AC36" i="29"/>
  <c r="AF35" i="29"/>
  <c r="AE35" i="29"/>
  <c r="AD35" i="29"/>
  <c r="AC35" i="29"/>
  <c r="AF34" i="29"/>
  <c r="AE34" i="29"/>
  <c r="AD34" i="29"/>
  <c r="AC34" i="29"/>
  <c r="AF33" i="29"/>
  <c r="AE33" i="29"/>
  <c r="AD33" i="29"/>
  <c r="AC33" i="29"/>
  <c r="AF32" i="29"/>
  <c r="AE32" i="29"/>
  <c r="AD32" i="29"/>
  <c r="AC32" i="29"/>
  <c r="AF31" i="29"/>
  <c r="AE31" i="29"/>
  <c r="AD31" i="29"/>
  <c r="AC31" i="29"/>
  <c r="AF30" i="29"/>
  <c r="AE30" i="29"/>
  <c r="AD30" i="29"/>
  <c r="AC30" i="29"/>
  <c r="AF29" i="29"/>
  <c r="AE29" i="29"/>
  <c r="AD29" i="29"/>
  <c r="AC29" i="29"/>
  <c r="AF28" i="29"/>
  <c r="AE28" i="29"/>
  <c r="AD28" i="29"/>
  <c r="AC28" i="29"/>
  <c r="AF27" i="29"/>
  <c r="AE27" i="29"/>
  <c r="AD27" i="29"/>
  <c r="AC27" i="29"/>
  <c r="AF26" i="29"/>
  <c r="AE26" i="29"/>
  <c r="AD26" i="29"/>
  <c r="AC26" i="29"/>
  <c r="AF25" i="29"/>
  <c r="AE25" i="29"/>
  <c r="AD25" i="29"/>
  <c r="AC25" i="29"/>
  <c r="AF24" i="29"/>
  <c r="AE24" i="29"/>
  <c r="AD24" i="29"/>
  <c r="AC24" i="29"/>
  <c r="AF23" i="29"/>
  <c r="AE23" i="29"/>
  <c r="AD23" i="29"/>
  <c r="AC23" i="29"/>
  <c r="AF22" i="29"/>
  <c r="AE22" i="29"/>
  <c r="AD22" i="29"/>
  <c r="AC22" i="29"/>
  <c r="AF21" i="29"/>
  <c r="AE21" i="29"/>
  <c r="AD21" i="29"/>
  <c r="AC21" i="29"/>
  <c r="AF20" i="29"/>
  <c r="AE20" i="29"/>
  <c r="AD20" i="29"/>
  <c r="AC20" i="29"/>
  <c r="AF19" i="29"/>
  <c r="AE19" i="29"/>
  <c r="AD19" i="29"/>
  <c r="AC19" i="29"/>
  <c r="AF18" i="29"/>
  <c r="AE18" i="29"/>
  <c r="AD18" i="29"/>
  <c r="AC18" i="29"/>
  <c r="AF17" i="29"/>
  <c r="AE17" i="29"/>
  <c r="AD17" i="29"/>
  <c r="AC17" i="29"/>
  <c r="AF16" i="29"/>
  <c r="AE16" i="29"/>
  <c r="AD16" i="29"/>
  <c r="AC16" i="29"/>
  <c r="AF15" i="29"/>
  <c r="AE15" i="29"/>
  <c r="AD15" i="29"/>
  <c r="AC15" i="29"/>
  <c r="AF14" i="29"/>
  <c r="AE14" i="29"/>
  <c r="AD14" i="29"/>
  <c r="AC14" i="29"/>
  <c r="AF13" i="29"/>
  <c r="AE13" i="29"/>
  <c r="AD13" i="29"/>
  <c r="AC13" i="29"/>
  <c r="AF12" i="29"/>
  <c r="AE12" i="29"/>
  <c r="AD12" i="29"/>
  <c r="AC12" i="29"/>
  <c r="AF11" i="29"/>
  <c r="AE11" i="29"/>
  <c r="AD11" i="29"/>
  <c r="AC11" i="29"/>
  <c r="AF10" i="29"/>
  <c r="AE10" i="29"/>
  <c r="AD10" i="29"/>
  <c r="AC10" i="29"/>
  <c r="AF9" i="29"/>
  <c r="AE9" i="29"/>
  <c r="AD9" i="29"/>
  <c r="AC9" i="29"/>
  <c r="AF8" i="29"/>
  <c r="AE8" i="29"/>
  <c r="AD8" i="29"/>
  <c r="AC8" i="29"/>
  <c r="AF7" i="29"/>
  <c r="AE7" i="29"/>
  <c r="AD7" i="29"/>
  <c r="AC7" i="29"/>
  <c r="AF6" i="29"/>
  <c r="AE6" i="29"/>
  <c r="AD6" i="29"/>
  <c r="AC6" i="29"/>
  <c r="AF5" i="29"/>
  <c r="AE5" i="29"/>
  <c r="AD5" i="29"/>
  <c r="AC5" i="29"/>
  <c r="AF4" i="29"/>
  <c r="AE4" i="29"/>
  <c r="AD4" i="29"/>
  <c r="AC4" i="29"/>
  <c r="AF3" i="29"/>
  <c r="AE3" i="29"/>
  <c r="AD3" i="29"/>
  <c r="AC3" i="29"/>
  <c r="O4" i="29"/>
  <c r="H38" i="28"/>
  <c r="H37" i="28"/>
  <c r="H36" i="28"/>
  <c r="H34" i="28"/>
  <c r="H33" i="28"/>
  <c r="H32" i="28"/>
  <c r="I32" i="28" s="1"/>
  <c r="H30" i="28"/>
  <c r="H29" i="28"/>
  <c r="H28" i="28"/>
  <c r="H26" i="28"/>
  <c r="H25" i="28"/>
  <c r="H24" i="28"/>
  <c r="D14" i="28"/>
  <c r="M368" i="33" l="1"/>
  <c r="C368" i="33"/>
  <c r="H124" i="33"/>
  <c r="H247" i="33"/>
  <c r="C124" i="33"/>
  <c r="C247" i="33"/>
  <c r="U3" i="33"/>
  <c r="V3" i="33" s="1"/>
  <c r="M247" i="33"/>
  <c r="H3" i="33"/>
  <c r="M124" i="33"/>
  <c r="C3" i="33"/>
  <c r="D372" i="32"/>
  <c r="D380" i="32"/>
  <c r="C378" i="32"/>
  <c r="D378" i="32" s="1"/>
  <c r="C374" i="32"/>
  <c r="D374" i="32" s="1"/>
  <c r="D377" i="32"/>
  <c r="D373" i="32"/>
  <c r="D371" i="32"/>
  <c r="D370" i="32"/>
  <c r="C251" i="32"/>
  <c r="D251" i="32" s="1"/>
  <c r="P252" i="32"/>
  <c r="P253" i="32" s="1"/>
  <c r="P254" i="32" s="1"/>
  <c r="C252" i="32"/>
  <c r="C253" i="32"/>
  <c r="D253" i="32" s="1"/>
  <c r="D250" i="32"/>
  <c r="D252" i="32"/>
  <c r="D249" i="32"/>
  <c r="C245" i="32"/>
  <c r="C241" i="32"/>
  <c r="C237" i="32"/>
  <c r="C233" i="32"/>
  <c r="C229" i="32"/>
  <c r="C225" i="32"/>
  <c r="C221" i="32"/>
  <c r="C217" i="32"/>
  <c r="C209" i="32"/>
  <c r="C205" i="32"/>
  <c r="C201" i="32"/>
  <c r="C197" i="32"/>
  <c r="C193" i="32"/>
  <c r="C189" i="32"/>
  <c r="C185" i="32"/>
  <c r="C181" i="32"/>
  <c r="C177" i="32"/>
  <c r="C169" i="32"/>
  <c r="C165" i="32"/>
  <c r="D165" i="32" s="1"/>
  <c r="C161" i="32"/>
  <c r="D161" i="32" s="1"/>
  <c r="C157" i="32"/>
  <c r="C153" i="32"/>
  <c r="C149" i="32"/>
  <c r="C141" i="32"/>
  <c r="C137" i="32"/>
  <c r="C133" i="32"/>
  <c r="C129" i="32"/>
  <c r="D228" i="32"/>
  <c r="D192" i="32"/>
  <c r="D128" i="32"/>
  <c r="D164" i="32"/>
  <c r="D224" i="32"/>
  <c r="D160" i="32"/>
  <c r="D241" i="32"/>
  <c r="D229" i="32"/>
  <c r="D225" i="32"/>
  <c r="D209" i="32"/>
  <c r="D197" i="32"/>
  <c r="D193" i="32"/>
  <c r="D177" i="32"/>
  <c r="D133" i="32"/>
  <c r="D129" i="32"/>
  <c r="D132" i="32"/>
  <c r="D127" i="32"/>
  <c r="D208" i="32"/>
  <c r="D144" i="32"/>
  <c r="C244" i="32"/>
  <c r="D244" i="32" s="1"/>
  <c r="C236" i="32"/>
  <c r="D236" i="32" s="1"/>
  <c r="C232" i="32"/>
  <c r="D232" i="32" s="1"/>
  <c r="C220" i="32"/>
  <c r="D220" i="32" s="1"/>
  <c r="C216" i="32"/>
  <c r="D216" i="32" s="1"/>
  <c r="C212" i="32"/>
  <c r="D212" i="32" s="1"/>
  <c r="C204" i="32"/>
  <c r="D204" i="32" s="1"/>
  <c r="C200" i="32"/>
  <c r="D200" i="32" s="1"/>
  <c r="C188" i="32"/>
  <c r="D188" i="32" s="1"/>
  <c r="C184" i="32"/>
  <c r="D184" i="32" s="1"/>
  <c r="C180" i="32"/>
  <c r="D180" i="32" s="1"/>
  <c r="C172" i="32"/>
  <c r="D172" i="32" s="1"/>
  <c r="C168" i="32"/>
  <c r="D168" i="32" s="1"/>
  <c r="C156" i="32"/>
  <c r="D156" i="32" s="1"/>
  <c r="C152" i="32"/>
  <c r="D152" i="32" s="1"/>
  <c r="C148" i="32"/>
  <c r="D148" i="32" s="1"/>
  <c r="C140" i="32"/>
  <c r="D140" i="32" s="1"/>
  <c r="C136" i="32"/>
  <c r="D136" i="32" s="1"/>
  <c r="D248" i="32"/>
  <c r="C246" i="32"/>
  <c r="D246" i="32" s="1"/>
  <c r="C242" i="32"/>
  <c r="D242" i="32" s="1"/>
  <c r="C238" i="32"/>
  <c r="D238" i="32" s="1"/>
  <c r="C234" i="32"/>
  <c r="D234" i="32" s="1"/>
  <c r="C230" i="32"/>
  <c r="D230" i="32" s="1"/>
  <c r="C226" i="32"/>
  <c r="D226" i="32" s="1"/>
  <c r="C222" i="32"/>
  <c r="D222" i="32" s="1"/>
  <c r="C218" i="32"/>
  <c r="C214" i="32"/>
  <c r="D214" i="32" s="1"/>
  <c r="C210" i="32"/>
  <c r="D210" i="32" s="1"/>
  <c r="C206" i="32"/>
  <c r="D206" i="32" s="1"/>
  <c r="C202" i="32"/>
  <c r="D202" i="32" s="1"/>
  <c r="C198" i="32"/>
  <c r="D198" i="32" s="1"/>
  <c r="C194" i="32"/>
  <c r="D194" i="32" s="1"/>
  <c r="C190" i="32"/>
  <c r="D190" i="32" s="1"/>
  <c r="C186" i="32"/>
  <c r="D186" i="32" s="1"/>
  <c r="C182" i="32"/>
  <c r="C178" i="32"/>
  <c r="D178" i="32" s="1"/>
  <c r="C174" i="32"/>
  <c r="D174" i="32" s="1"/>
  <c r="C170" i="32"/>
  <c r="D170" i="32" s="1"/>
  <c r="C166" i="32"/>
  <c r="D166" i="32" s="1"/>
  <c r="C162" i="32"/>
  <c r="D162" i="32" s="1"/>
  <c r="C158" i="32"/>
  <c r="D158" i="32" s="1"/>
  <c r="C154" i="32"/>
  <c r="D154" i="32" s="1"/>
  <c r="C150" i="32"/>
  <c r="D150" i="32" s="1"/>
  <c r="C146" i="32"/>
  <c r="D146" i="32" s="1"/>
  <c r="C142" i="32"/>
  <c r="C138" i="32"/>
  <c r="D138" i="32" s="1"/>
  <c r="C134" i="32"/>
  <c r="D134" i="32" s="1"/>
  <c r="C130" i="32"/>
  <c r="D130" i="32" s="1"/>
  <c r="C125" i="32"/>
  <c r="D125" i="32" s="1"/>
  <c r="AM3" i="31"/>
  <c r="AN3" i="31"/>
  <c r="AF3" i="31" s="1"/>
  <c r="AL3" i="31"/>
  <c r="AC4" i="31"/>
  <c r="R3" i="31"/>
  <c r="O4" i="31"/>
  <c r="H369" i="31"/>
  <c r="Z247" i="29"/>
  <c r="Z3" i="29"/>
  <c r="Y3" i="29"/>
  <c r="Z124" i="29"/>
  <c r="X125" i="29" s="1"/>
  <c r="W125" i="29" s="1"/>
  <c r="Z368" i="29"/>
  <c r="X369" i="29" s="1"/>
  <c r="W369" i="29" s="1"/>
  <c r="H4" i="29"/>
  <c r="X4" i="29" s="1"/>
  <c r="P4" i="29" s="1"/>
  <c r="V248" i="29"/>
  <c r="I30" i="28"/>
  <c r="I33" i="28"/>
  <c r="I34" i="28"/>
  <c r="I26" i="28"/>
  <c r="I28" i="28"/>
  <c r="I36" i="28"/>
  <c r="I24" i="28"/>
  <c r="I25" i="28"/>
  <c r="I29" i="28"/>
  <c r="I37" i="28"/>
  <c r="I38" i="28"/>
  <c r="S4" i="33" l="1"/>
  <c r="D379" i="32"/>
  <c r="D375" i="32"/>
  <c r="C254" i="32"/>
  <c r="D254" i="32" s="1"/>
  <c r="P255" i="32"/>
  <c r="D142" i="32"/>
  <c r="D182" i="32"/>
  <c r="D218" i="32"/>
  <c r="D191" i="32"/>
  <c r="D135" i="32"/>
  <c r="D223" i="32"/>
  <c r="D126" i="32"/>
  <c r="D159" i="32"/>
  <c r="D187" i="32"/>
  <c r="D151" i="32"/>
  <c r="D189" i="32"/>
  <c r="D157" i="32"/>
  <c r="D199" i="32"/>
  <c r="D185" i="32"/>
  <c r="D167" i="32"/>
  <c r="D139" i="32"/>
  <c r="D131" i="32"/>
  <c r="D169" i="32"/>
  <c r="D179" i="32"/>
  <c r="D203" i="32"/>
  <c r="D211" i="32"/>
  <c r="D171" i="32"/>
  <c r="D173" i="32"/>
  <c r="D243" i="32"/>
  <c r="D247" i="32"/>
  <c r="D153" i="32"/>
  <c r="D147" i="32"/>
  <c r="D201" i="32"/>
  <c r="D231" i="32"/>
  <c r="D213" i="32"/>
  <c r="D195" i="32"/>
  <c r="D155" i="32"/>
  <c r="D143" i="32"/>
  <c r="D221" i="32"/>
  <c r="D149" i="32"/>
  <c r="D235" i="32"/>
  <c r="D215" i="32"/>
  <c r="D175" i="32"/>
  <c r="D163" i="32"/>
  <c r="D233" i="32"/>
  <c r="D205" i="32"/>
  <c r="D137" i="32"/>
  <c r="D239" i="32"/>
  <c r="D219" i="32"/>
  <c r="D183" i="32"/>
  <c r="D227" i="32"/>
  <c r="D245" i="32"/>
  <c r="D237" i="32"/>
  <c r="D217" i="32"/>
  <c r="D141" i="32"/>
  <c r="D181" i="32"/>
  <c r="D207" i="32"/>
  <c r="D3" i="31"/>
  <c r="Y3" i="31"/>
  <c r="K3" i="31"/>
  <c r="AO3" i="31"/>
  <c r="AP3" i="31" s="1"/>
  <c r="I4" i="31"/>
  <c r="P4" i="31"/>
  <c r="W4" i="31"/>
  <c r="I369" i="29"/>
  <c r="P369" i="29"/>
  <c r="O370" i="29" s="1"/>
  <c r="I125" i="29"/>
  <c r="P125" i="29"/>
  <c r="Y4" i="29"/>
  <c r="I4" i="29"/>
  <c r="X248" i="29"/>
  <c r="V370" i="29"/>
  <c r="AA3" i="29"/>
  <c r="AB3" i="29" s="1"/>
  <c r="X3" i="29"/>
  <c r="T369" i="33" l="1"/>
  <c r="H369" i="33" s="1"/>
  <c r="T125" i="33"/>
  <c r="C125" i="33" s="1"/>
  <c r="T248" i="33"/>
  <c r="M248" i="33" s="1"/>
  <c r="T4" i="33"/>
  <c r="C255" i="32"/>
  <c r="D255" i="32" s="1"/>
  <c r="P256" i="32"/>
  <c r="AC5" i="31"/>
  <c r="AJ5" i="31"/>
  <c r="O5" i="31"/>
  <c r="V5" i="31"/>
  <c r="H5" i="31"/>
  <c r="P248" i="29"/>
  <c r="O249" i="29" s="1"/>
  <c r="W248" i="29"/>
  <c r="V249" i="29" s="1"/>
  <c r="I248" i="29"/>
  <c r="H249" i="29" s="1"/>
  <c r="Z369" i="29"/>
  <c r="O126" i="29"/>
  <c r="V5" i="29"/>
  <c r="V126" i="29"/>
  <c r="O5" i="29"/>
  <c r="H370" i="29"/>
  <c r="C369" i="33" l="1"/>
  <c r="M369" i="33"/>
  <c r="H125" i="33"/>
  <c r="M125" i="33"/>
  <c r="C248" i="33"/>
  <c r="U4" i="33"/>
  <c r="V4" i="33" s="1"/>
  <c r="C4" i="33"/>
  <c r="M4" i="33"/>
  <c r="H4" i="33"/>
  <c r="H248" i="33"/>
  <c r="P257" i="32"/>
  <c r="C256" i="32"/>
  <c r="D256" i="32" s="1"/>
  <c r="AN4" i="31"/>
  <c r="R4" i="31" s="1"/>
  <c r="Z248" i="29"/>
  <c r="X249" i="29" s="1"/>
  <c r="W249" i="29" s="1"/>
  <c r="X370" i="29"/>
  <c r="W370" i="29" s="1"/>
  <c r="Z125" i="29"/>
  <c r="Z4" i="29"/>
  <c r="AA4" i="29" s="1"/>
  <c r="AB4" i="29" s="1"/>
  <c r="H126" i="29"/>
  <c r="H5" i="29"/>
  <c r="S5" i="33" l="1"/>
  <c r="T370" i="33"/>
  <c r="P258" i="32"/>
  <c r="C257" i="32"/>
  <c r="D257" i="32" s="1"/>
  <c r="AO4" i="31"/>
  <c r="AP4" i="31" s="1"/>
  <c r="K4" i="31"/>
  <c r="Y4" i="31"/>
  <c r="D4" i="31"/>
  <c r="AF4" i="31"/>
  <c r="X126" i="29"/>
  <c r="W126" i="29" s="1"/>
  <c r="V127" i="29" s="1"/>
  <c r="I249" i="29"/>
  <c r="P249" i="29"/>
  <c r="O250" i="29" s="1"/>
  <c r="P126" i="29"/>
  <c r="O127" i="29" s="1"/>
  <c r="I370" i="29"/>
  <c r="P370" i="29"/>
  <c r="O371" i="29" s="1"/>
  <c r="X5" i="29"/>
  <c r="P5" i="29" s="1"/>
  <c r="V371" i="29"/>
  <c r="V250" i="29"/>
  <c r="T5" i="33" l="1"/>
  <c r="M5" i="33" s="1"/>
  <c r="H370" i="33"/>
  <c r="C370" i="33"/>
  <c r="T126" i="33"/>
  <c r="C126" i="33" s="1"/>
  <c r="T249" i="33"/>
  <c r="M370" i="33"/>
  <c r="P259" i="32"/>
  <c r="C258" i="32"/>
  <c r="D258" i="32" s="1"/>
  <c r="AM5" i="31"/>
  <c r="AK5" i="31"/>
  <c r="AD5" i="31"/>
  <c r="I5" i="31"/>
  <c r="W5" i="31"/>
  <c r="V6" i="31" s="1"/>
  <c r="P5" i="31"/>
  <c r="I126" i="29"/>
  <c r="H127" i="29" s="1"/>
  <c r="Y5" i="29"/>
  <c r="I5" i="29"/>
  <c r="V6" i="29"/>
  <c r="O6" i="29"/>
  <c r="Z249" i="29"/>
  <c r="H6" i="29"/>
  <c r="Z370" i="29"/>
  <c r="Z126" i="29"/>
  <c r="H250" i="29"/>
  <c r="H371" i="29"/>
  <c r="C5" i="33" l="1"/>
  <c r="M249" i="33"/>
  <c r="H5" i="33"/>
  <c r="H249" i="33"/>
  <c r="U5" i="33"/>
  <c r="V5" i="33" s="1"/>
  <c r="M126" i="33"/>
  <c r="C249" i="33"/>
  <c r="H126" i="33"/>
  <c r="C259" i="32"/>
  <c r="D259" i="32" s="1"/>
  <c r="P260" i="32"/>
  <c r="AN5" i="31"/>
  <c r="H6" i="31"/>
  <c r="O6" i="31"/>
  <c r="AC6" i="31"/>
  <c r="X371" i="29"/>
  <c r="W371" i="29" s="1"/>
  <c r="Z5" i="29"/>
  <c r="X6" i="29" s="1"/>
  <c r="X250" i="29"/>
  <c r="W250" i="29" s="1"/>
  <c r="X127" i="29"/>
  <c r="W127" i="29" s="1"/>
  <c r="AA5" i="29"/>
  <c r="AB5" i="29" s="1"/>
  <c r="T371" i="33" l="1"/>
  <c r="H371" i="33" s="1"/>
  <c r="S6" i="33"/>
  <c r="P261" i="32"/>
  <c r="C260" i="32"/>
  <c r="D260" i="32" s="1"/>
  <c r="AJ6" i="31"/>
  <c r="AL6" i="31" s="1"/>
  <c r="K5" i="31"/>
  <c r="AO5" i="31"/>
  <c r="AP5" i="31" s="1"/>
  <c r="D5" i="31"/>
  <c r="Y5" i="31"/>
  <c r="R5" i="31"/>
  <c r="AF5" i="31"/>
  <c r="P6" i="29"/>
  <c r="O7" i="29" s="1"/>
  <c r="W6" i="29"/>
  <c r="I127" i="29"/>
  <c r="P127" i="29"/>
  <c r="O128" i="29" s="1"/>
  <c r="I250" i="29"/>
  <c r="P250" i="29"/>
  <c r="O251" i="29" s="1"/>
  <c r="I371" i="29"/>
  <c r="P371" i="29"/>
  <c r="O372" i="29" s="1"/>
  <c r="Y6" i="29"/>
  <c r="I6" i="29"/>
  <c r="V7" i="29"/>
  <c r="V251" i="29"/>
  <c r="V128" i="29"/>
  <c r="V372" i="29"/>
  <c r="T6" i="33" l="1"/>
  <c r="C6" i="33" s="1"/>
  <c r="T250" i="33"/>
  <c r="M371" i="33"/>
  <c r="T127" i="33"/>
  <c r="C371" i="33"/>
  <c r="P262" i="32"/>
  <c r="C261" i="32"/>
  <c r="D261" i="32" s="1"/>
  <c r="AK6" i="31"/>
  <c r="AM6" i="31"/>
  <c r="W6" i="31"/>
  <c r="V7" i="31" s="1"/>
  <c r="AD6" i="31"/>
  <c r="P6" i="31"/>
  <c r="AJ7" i="31" s="1"/>
  <c r="I6" i="31"/>
  <c r="Z127" i="29"/>
  <c r="Z6" i="29"/>
  <c r="Z371" i="29"/>
  <c r="Z250" i="29"/>
  <c r="H128" i="29"/>
  <c r="H372" i="29"/>
  <c r="H251" i="29"/>
  <c r="H7" i="29"/>
  <c r="H6" i="33" l="1"/>
  <c r="M6" i="33"/>
  <c r="H250" i="33"/>
  <c r="C127" i="33"/>
  <c r="C250" i="33"/>
  <c r="U6" i="33"/>
  <c r="V6" i="33" s="1"/>
  <c r="M127" i="33"/>
  <c r="M250" i="33"/>
  <c r="H127" i="33"/>
  <c r="P263" i="32"/>
  <c r="C262" i="32"/>
  <c r="D262" i="32" s="1"/>
  <c r="O7" i="31"/>
  <c r="H7" i="31"/>
  <c r="X251" i="29"/>
  <c r="W251" i="29" s="1"/>
  <c r="X372" i="29"/>
  <c r="W372" i="29" s="1"/>
  <c r="X128" i="29"/>
  <c r="W128" i="29" s="1"/>
  <c r="X7" i="29"/>
  <c r="AA6" i="29"/>
  <c r="AB6" i="29" s="1"/>
  <c r="S7" i="33" l="1"/>
  <c r="T372" i="33"/>
  <c r="C263" i="32"/>
  <c r="D263" i="32" s="1"/>
  <c r="P264" i="32"/>
  <c r="AN6" i="31"/>
  <c r="AC7" i="31"/>
  <c r="P7" i="29"/>
  <c r="W7" i="29"/>
  <c r="I372" i="29"/>
  <c r="P372" i="29"/>
  <c r="O373" i="29" s="1"/>
  <c r="I128" i="29"/>
  <c r="P128" i="29"/>
  <c r="O129" i="29" s="1"/>
  <c r="I251" i="29"/>
  <c r="P251" i="29"/>
  <c r="O252" i="29" s="1"/>
  <c r="Y7" i="29"/>
  <c r="I7" i="29"/>
  <c r="O8" i="29"/>
  <c r="V8" i="29"/>
  <c r="V129" i="29"/>
  <c r="V252" i="29"/>
  <c r="V373" i="29"/>
  <c r="C372" i="33" l="1"/>
  <c r="M372" i="33"/>
  <c r="H372" i="33"/>
  <c r="T128" i="33"/>
  <c r="C128" i="33" s="1"/>
  <c r="T251" i="33"/>
  <c r="H251" i="33" s="1"/>
  <c r="T7" i="33"/>
  <c r="H7" i="33" s="1"/>
  <c r="P265" i="32"/>
  <c r="C264" i="32"/>
  <c r="D264" i="32" s="1"/>
  <c r="AO6" i="31"/>
  <c r="AP6" i="31" s="1"/>
  <c r="AL7" i="31"/>
  <c r="K6" i="31"/>
  <c r="D6" i="31"/>
  <c r="AF6" i="31"/>
  <c r="R6" i="31"/>
  <c r="Y6" i="31"/>
  <c r="Z372" i="29"/>
  <c r="Z251" i="29"/>
  <c r="Z128" i="29"/>
  <c r="Z7" i="29"/>
  <c r="H252" i="29"/>
  <c r="H373" i="29"/>
  <c r="H129" i="29"/>
  <c r="H8" i="29"/>
  <c r="X8" i="29" s="1"/>
  <c r="H128" i="33" l="1"/>
  <c r="M128" i="33"/>
  <c r="C7" i="33"/>
  <c r="M7" i="33"/>
  <c r="C251" i="33"/>
  <c r="M251" i="33"/>
  <c r="U7" i="33"/>
  <c r="V7" i="33" s="1"/>
  <c r="P266" i="32"/>
  <c r="C265" i="32"/>
  <c r="D265" i="32" s="1"/>
  <c r="AK7" i="31"/>
  <c r="AM7" i="31"/>
  <c r="P7" i="31"/>
  <c r="O8" i="31" s="1"/>
  <c r="AJ8" i="31"/>
  <c r="W7" i="31"/>
  <c r="V8" i="31" s="1"/>
  <c r="AD7" i="31"/>
  <c r="AC8" i="31" s="1"/>
  <c r="I7" i="31"/>
  <c r="X129" i="29"/>
  <c r="W129" i="29" s="1"/>
  <c r="X252" i="29"/>
  <c r="W252" i="29" s="1"/>
  <c r="P8" i="29"/>
  <c r="W8" i="29"/>
  <c r="Y8" i="29"/>
  <c r="I8" i="29"/>
  <c r="X373" i="29"/>
  <c r="W373" i="29" s="1"/>
  <c r="AA7" i="29"/>
  <c r="AB7" i="29" s="1"/>
  <c r="S8" i="33" l="1"/>
  <c r="T373" i="33"/>
  <c r="M373" i="33" s="1"/>
  <c r="P267" i="32"/>
  <c r="C266" i="32"/>
  <c r="D266" i="32" s="1"/>
  <c r="AN7" i="31"/>
  <c r="H8" i="31"/>
  <c r="D7" i="31"/>
  <c r="K7" i="31"/>
  <c r="AO7" i="31"/>
  <c r="AP7" i="31" s="1"/>
  <c r="R7" i="31"/>
  <c r="AF7" i="31"/>
  <c r="I129" i="29"/>
  <c r="P129" i="29"/>
  <c r="O130" i="29" s="1"/>
  <c r="P252" i="29"/>
  <c r="O253" i="29" s="1"/>
  <c r="I252" i="29"/>
  <c r="I373" i="29"/>
  <c r="P373" i="29"/>
  <c r="O374" i="29" s="1"/>
  <c r="O9" i="29"/>
  <c r="V130" i="29"/>
  <c r="V9" i="29"/>
  <c r="V253" i="29"/>
  <c r="V374" i="29"/>
  <c r="T8" i="33" l="1"/>
  <c r="C8" i="33" s="1"/>
  <c r="T129" i="33"/>
  <c r="C129" i="33" s="1"/>
  <c r="H373" i="33"/>
  <c r="T252" i="33"/>
  <c r="M252" i="33" s="1"/>
  <c r="C373" i="33"/>
  <c r="C267" i="32"/>
  <c r="D267" i="32" s="1"/>
  <c r="P268" i="32"/>
  <c r="Y7" i="31"/>
  <c r="AL8" i="31"/>
  <c r="AK8" i="31" s="1"/>
  <c r="I8" i="31"/>
  <c r="H9" i="31" s="1"/>
  <c r="W8" i="31"/>
  <c r="V9" i="31" s="1"/>
  <c r="AD8" i="31"/>
  <c r="P8" i="31"/>
  <c r="Z8" i="29"/>
  <c r="Z373" i="29"/>
  <c r="Z252" i="29"/>
  <c r="Z129" i="29"/>
  <c r="H253" i="29"/>
  <c r="H9" i="29"/>
  <c r="H130" i="29"/>
  <c r="X130" i="29"/>
  <c r="W130" i="29" s="1"/>
  <c r="H374" i="29"/>
  <c r="C252" i="33" l="1"/>
  <c r="M129" i="33"/>
  <c r="H129" i="33"/>
  <c r="H252" i="33"/>
  <c r="U8" i="33"/>
  <c r="V8" i="33" s="1"/>
  <c r="H8" i="33"/>
  <c r="M8" i="33"/>
  <c r="P269" i="32"/>
  <c r="C268" i="32"/>
  <c r="D268" i="32" s="1"/>
  <c r="AJ9" i="31"/>
  <c r="AM8" i="31"/>
  <c r="O9" i="31"/>
  <c r="AN8" i="31"/>
  <c r="AF8" i="31" s="1"/>
  <c r="AC9" i="31"/>
  <c r="Y8" i="31"/>
  <c r="R8" i="31"/>
  <c r="K8" i="31"/>
  <c r="I130" i="29"/>
  <c r="P130" i="29"/>
  <c r="X374" i="29"/>
  <c r="W374" i="29" s="1"/>
  <c r="X9" i="29"/>
  <c r="X253" i="29"/>
  <c r="W253" i="29" s="1"/>
  <c r="AA8" i="29"/>
  <c r="AB8" i="29" s="1"/>
  <c r="T374" i="33" l="1"/>
  <c r="C374" i="33" s="1"/>
  <c r="S9" i="33"/>
  <c r="P270" i="32"/>
  <c r="C269" i="32"/>
  <c r="D269" i="32" s="1"/>
  <c r="D8" i="31"/>
  <c r="AL9" i="31"/>
  <c r="AO8" i="31"/>
  <c r="AP8" i="31" s="1"/>
  <c r="I9" i="31"/>
  <c r="P9" i="31"/>
  <c r="P9" i="29"/>
  <c r="W9" i="29"/>
  <c r="I253" i="29"/>
  <c r="P253" i="29"/>
  <c r="O254" i="29" s="1"/>
  <c r="I374" i="29"/>
  <c r="P374" i="29"/>
  <c r="O375" i="29" s="1"/>
  <c r="Y9" i="29"/>
  <c r="I9" i="29"/>
  <c r="O131" i="29"/>
  <c r="O10" i="29"/>
  <c r="V131" i="29"/>
  <c r="V10" i="29"/>
  <c r="V254" i="29"/>
  <c r="V375" i="29"/>
  <c r="T130" i="33" l="1"/>
  <c r="H130" i="33" s="1"/>
  <c r="M374" i="33"/>
  <c r="T9" i="33"/>
  <c r="H9" i="33" s="1"/>
  <c r="H374" i="33"/>
  <c r="T253" i="33"/>
  <c r="C270" i="32"/>
  <c r="D270" i="32" s="1"/>
  <c r="P271" i="32"/>
  <c r="AK9" i="31"/>
  <c r="AJ10" i="31" s="1"/>
  <c r="AM9" i="31"/>
  <c r="W9" i="31"/>
  <c r="V10" i="31" s="1"/>
  <c r="AD9" i="31"/>
  <c r="O10" i="31"/>
  <c r="H10" i="31"/>
  <c r="Z130" i="29"/>
  <c r="Z374" i="29"/>
  <c r="Z253" i="29"/>
  <c r="Z9" i="29"/>
  <c r="H10" i="29"/>
  <c r="H375" i="29"/>
  <c r="H254" i="29"/>
  <c r="H131" i="29"/>
  <c r="C130" i="33" l="1"/>
  <c r="M9" i="33"/>
  <c r="C9" i="33"/>
  <c r="H253" i="33"/>
  <c r="M253" i="33"/>
  <c r="M130" i="33"/>
  <c r="U9" i="33"/>
  <c r="V9" i="33" s="1"/>
  <c r="C253" i="33"/>
  <c r="C271" i="32"/>
  <c r="D271" i="32" s="1"/>
  <c r="P272" i="32"/>
  <c r="AN9" i="31"/>
  <c r="AC10" i="31"/>
  <c r="X375" i="29"/>
  <c r="W375" i="29" s="1"/>
  <c r="X131" i="29"/>
  <c r="W131" i="29" s="1"/>
  <c r="X254" i="29"/>
  <c r="W254" i="29" s="1"/>
  <c r="X10" i="29"/>
  <c r="AA9" i="29"/>
  <c r="AB9" i="29" s="1"/>
  <c r="S10" i="33" l="1"/>
  <c r="T375" i="33"/>
  <c r="P273" i="32"/>
  <c r="C272" i="32"/>
  <c r="K9" i="31"/>
  <c r="AL10" i="31"/>
  <c r="D9" i="31"/>
  <c r="AO9" i="31"/>
  <c r="AP9" i="31" s="1"/>
  <c r="R9" i="31"/>
  <c r="W10" i="31"/>
  <c r="Y9" i="31"/>
  <c r="AF9" i="31"/>
  <c r="AD10" i="31"/>
  <c r="I10" i="31"/>
  <c r="P375" i="29"/>
  <c r="O376" i="29" s="1"/>
  <c r="I375" i="29"/>
  <c r="P10" i="29"/>
  <c r="O11" i="29" s="1"/>
  <c r="W10" i="29"/>
  <c r="I254" i="29"/>
  <c r="P254" i="29"/>
  <c r="O255" i="29" s="1"/>
  <c r="I131" i="29"/>
  <c r="P131" i="29"/>
  <c r="O132" i="29" s="1"/>
  <c r="Y10" i="29"/>
  <c r="I10" i="29"/>
  <c r="V255" i="29"/>
  <c r="V11" i="29"/>
  <c r="V376" i="29"/>
  <c r="V132" i="29"/>
  <c r="T131" i="33" l="1"/>
  <c r="C131" i="33" s="1"/>
  <c r="T254" i="33"/>
  <c r="H254" i="33" s="1"/>
  <c r="C375" i="33"/>
  <c r="M375" i="33"/>
  <c r="H375" i="33"/>
  <c r="T10" i="33"/>
  <c r="M10" i="33" s="1"/>
  <c r="H131" i="33"/>
  <c r="P274" i="32"/>
  <c r="C273" i="32"/>
  <c r="D273" i="32" s="1"/>
  <c r="D272" i="32"/>
  <c r="AK10" i="31"/>
  <c r="AJ11" i="31" s="1"/>
  <c r="AM10" i="31"/>
  <c r="P10" i="31"/>
  <c r="V11" i="31"/>
  <c r="H11" i="31"/>
  <c r="Z375" i="29"/>
  <c r="Z131" i="29"/>
  <c r="Z10" i="29"/>
  <c r="Z254" i="29"/>
  <c r="H132" i="29"/>
  <c r="H376" i="29"/>
  <c r="H255" i="29"/>
  <c r="H11" i="29"/>
  <c r="X11" i="29" s="1"/>
  <c r="C254" i="33" l="1"/>
  <c r="M254" i="33"/>
  <c r="M131" i="33"/>
  <c r="U10" i="33"/>
  <c r="V10" i="33" s="1"/>
  <c r="C10" i="33"/>
  <c r="H10" i="33"/>
  <c r="P275" i="32"/>
  <c r="C274" i="32"/>
  <c r="D274" i="32" s="1"/>
  <c r="AN10" i="31"/>
  <c r="O11" i="31"/>
  <c r="AC11" i="31"/>
  <c r="AF10" i="31"/>
  <c r="D10" i="31"/>
  <c r="K10" i="31"/>
  <c r="AO10" i="31"/>
  <c r="AP10" i="31" s="1"/>
  <c r="R10" i="31"/>
  <c r="P11" i="29"/>
  <c r="W11" i="29"/>
  <c r="X376" i="29"/>
  <c r="W376" i="29" s="1"/>
  <c r="Y11" i="29"/>
  <c r="I11" i="29"/>
  <c r="X255" i="29"/>
  <c r="W255" i="29" s="1"/>
  <c r="X132" i="29"/>
  <c r="W132" i="29" s="1"/>
  <c r="AA10" i="29"/>
  <c r="AB10" i="29" s="1"/>
  <c r="T376" i="33" l="1"/>
  <c r="H376" i="33" s="1"/>
  <c r="S11" i="33"/>
  <c r="C275" i="32"/>
  <c r="D275" i="32" s="1"/>
  <c r="P276" i="32"/>
  <c r="Y10" i="31"/>
  <c r="AL11" i="31"/>
  <c r="AK11" i="31" s="1"/>
  <c r="AM11" i="31"/>
  <c r="W11" i="31"/>
  <c r="AD11" i="31"/>
  <c r="I11" i="31"/>
  <c r="P11" i="31"/>
  <c r="I376" i="29"/>
  <c r="P376" i="29"/>
  <c r="I132" i="29"/>
  <c r="P132" i="29"/>
  <c r="O133" i="29" s="1"/>
  <c r="I255" i="29"/>
  <c r="P255" i="29"/>
  <c r="O256" i="29" s="1"/>
  <c r="O377" i="29"/>
  <c r="O12" i="29"/>
  <c r="V133" i="29"/>
  <c r="V377" i="29"/>
  <c r="V256" i="29"/>
  <c r="V12" i="29"/>
  <c r="M376" i="33" l="1"/>
  <c r="T255" i="33"/>
  <c r="M255" i="33" s="1"/>
  <c r="T11" i="33"/>
  <c r="H11" i="33" s="1"/>
  <c r="T132" i="33"/>
  <c r="M132" i="33" s="1"/>
  <c r="C376" i="33"/>
  <c r="P277" i="32"/>
  <c r="C276" i="32"/>
  <c r="AC12" i="31"/>
  <c r="AJ12" i="31"/>
  <c r="H12" i="31"/>
  <c r="V12" i="31"/>
  <c r="O12" i="31"/>
  <c r="Z255" i="29"/>
  <c r="Z132" i="29"/>
  <c r="Z11" i="29"/>
  <c r="Z376" i="29"/>
  <c r="H256" i="29"/>
  <c r="H12" i="29"/>
  <c r="H133" i="29"/>
  <c r="H377" i="29"/>
  <c r="X377" i="29" s="1"/>
  <c r="W377" i="29" s="1"/>
  <c r="M11" i="33" l="1"/>
  <c r="C255" i="33"/>
  <c r="H255" i="33"/>
  <c r="U11" i="33"/>
  <c r="V11" i="33" s="1"/>
  <c r="C11" i="33"/>
  <c r="H132" i="33"/>
  <c r="C132" i="33"/>
  <c r="D276" i="32"/>
  <c r="P278" i="32"/>
  <c r="C277" i="32"/>
  <c r="D277" i="32" s="1"/>
  <c r="AN11" i="31"/>
  <c r="I377" i="29"/>
  <c r="P377" i="29"/>
  <c r="X12" i="29"/>
  <c r="X133" i="29"/>
  <c r="W133" i="29" s="1"/>
  <c r="X256" i="29"/>
  <c r="W256" i="29" s="1"/>
  <c r="AA11" i="29"/>
  <c r="AB11" i="29" s="1"/>
  <c r="S12" i="33" l="1"/>
  <c r="T377" i="33"/>
  <c r="P279" i="32"/>
  <c r="C278" i="32"/>
  <c r="D278" i="32" s="1"/>
  <c r="R11" i="31"/>
  <c r="AL12" i="31"/>
  <c r="D11" i="31"/>
  <c r="AO11" i="31"/>
  <c r="AP11" i="31" s="1"/>
  <c r="Y11" i="31"/>
  <c r="K11" i="31"/>
  <c r="AF11" i="31"/>
  <c r="P12" i="29"/>
  <c r="O13" i="29" s="1"/>
  <c r="W12" i="29"/>
  <c r="I256" i="29"/>
  <c r="P256" i="29"/>
  <c r="O257" i="29" s="1"/>
  <c r="I133" i="29"/>
  <c r="P133" i="29"/>
  <c r="O134" i="29" s="1"/>
  <c r="Y12" i="29"/>
  <c r="I12" i="29"/>
  <c r="O378" i="29"/>
  <c r="V378" i="29"/>
  <c r="V257" i="29"/>
  <c r="V134" i="29"/>
  <c r="V13" i="29"/>
  <c r="T133" i="33" l="1"/>
  <c r="H133" i="33" s="1"/>
  <c r="T256" i="33"/>
  <c r="M256" i="33" s="1"/>
  <c r="H377" i="33"/>
  <c r="C377" i="33"/>
  <c r="T12" i="33"/>
  <c r="C12" i="33" s="1"/>
  <c r="M377" i="33"/>
  <c r="P280" i="32"/>
  <c r="C279" i="32"/>
  <c r="D279" i="32" s="1"/>
  <c r="AK12" i="31"/>
  <c r="AM12" i="31"/>
  <c r="W12" i="31"/>
  <c r="V13" i="31" s="1"/>
  <c r="AD12" i="31"/>
  <c r="I12" i="31"/>
  <c r="P12" i="31"/>
  <c r="Z12" i="29"/>
  <c r="Z256" i="29"/>
  <c r="Z133" i="29"/>
  <c r="Z377" i="29"/>
  <c r="H13" i="29"/>
  <c r="H257" i="29"/>
  <c r="H134" i="29"/>
  <c r="H378" i="29"/>
  <c r="C256" i="33" l="1"/>
  <c r="H12" i="33"/>
  <c r="C133" i="33"/>
  <c r="M12" i="33"/>
  <c r="U12" i="33"/>
  <c r="V12" i="33" s="1"/>
  <c r="H256" i="33"/>
  <c r="M133" i="33"/>
  <c r="P281" i="32"/>
  <c r="C280" i="32"/>
  <c r="D280" i="32" s="1"/>
  <c r="AJ13" i="31"/>
  <c r="O13" i="31"/>
  <c r="H13" i="31"/>
  <c r="AC13" i="31"/>
  <c r="X257" i="29"/>
  <c r="W257" i="29" s="1"/>
  <c r="X378" i="29"/>
  <c r="W378" i="29" s="1"/>
  <c r="X134" i="29"/>
  <c r="W134" i="29" s="1"/>
  <c r="X13" i="29"/>
  <c r="AA12" i="29"/>
  <c r="AB12" i="29" s="1"/>
  <c r="S13" i="33" l="1"/>
  <c r="T378" i="33"/>
  <c r="M378" i="33" s="1"/>
  <c r="P282" i="32"/>
  <c r="C281" i="32"/>
  <c r="D281" i="32" s="1"/>
  <c r="AN12" i="31"/>
  <c r="I257" i="29"/>
  <c r="P257" i="29"/>
  <c r="O258" i="29" s="1"/>
  <c r="P13" i="29"/>
  <c r="O14" i="29" s="1"/>
  <c r="W13" i="29"/>
  <c r="I134" i="29"/>
  <c r="P134" i="29"/>
  <c r="O135" i="29" s="1"/>
  <c r="I378" i="29"/>
  <c r="P378" i="29"/>
  <c r="O379" i="29" s="1"/>
  <c r="Y13" i="29"/>
  <c r="I13" i="29"/>
  <c r="V135" i="29"/>
  <c r="V14" i="29"/>
  <c r="V258" i="29"/>
  <c r="V379" i="29"/>
  <c r="C378" i="33" l="1"/>
  <c r="T13" i="33"/>
  <c r="H13" i="33" s="1"/>
  <c r="T134" i="33"/>
  <c r="C134" i="33" s="1"/>
  <c r="H378" i="33"/>
  <c r="T257" i="33"/>
  <c r="M257" i="33" s="1"/>
  <c r="P283" i="32"/>
  <c r="C282" i="32"/>
  <c r="D282" i="32" s="1"/>
  <c r="R12" i="31"/>
  <c r="AL13" i="31"/>
  <c r="AO12" i="31"/>
  <c r="AP12" i="31" s="1"/>
  <c r="D12" i="31"/>
  <c r="K12" i="31"/>
  <c r="Y12" i="31"/>
  <c r="AF12" i="31"/>
  <c r="Z378" i="29"/>
  <c r="Z257" i="29"/>
  <c r="Z13" i="29"/>
  <c r="Z134" i="29"/>
  <c r="H14" i="29"/>
  <c r="X14" i="29" s="1"/>
  <c r="H135" i="29"/>
  <c r="X135" i="29" s="1"/>
  <c r="W135" i="29" s="1"/>
  <c r="H379" i="29"/>
  <c r="H258" i="29"/>
  <c r="M134" i="33" l="1"/>
  <c r="H257" i="33"/>
  <c r="U13" i="33"/>
  <c r="V13" i="33" s="1"/>
  <c r="H134" i="33"/>
  <c r="M13" i="33"/>
  <c r="C13" i="33"/>
  <c r="C257" i="33"/>
  <c r="C283" i="32"/>
  <c r="D283" i="32" s="1"/>
  <c r="P284" i="32"/>
  <c r="AK13" i="31"/>
  <c r="AM13" i="31"/>
  <c r="AD13" i="31"/>
  <c r="W13" i="31"/>
  <c r="V14" i="31" s="1"/>
  <c r="I13" i="31"/>
  <c r="P13" i="31"/>
  <c r="P14" i="29"/>
  <c r="W14" i="29"/>
  <c r="I135" i="29"/>
  <c r="P135" i="29"/>
  <c r="Y14" i="29"/>
  <c r="I14" i="29"/>
  <c r="X258" i="29"/>
  <c r="W258" i="29" s="1"/>
  <c r="X379" i="29"/>
  <c r="W379" i="29" s="1"/>
  <c r="AA13" i="29"/>
  <c r="AB13" i="29" s="1"/>
  <c r="T379" i="33" l="1"/>
  <c r="M379" i="33" s="1"/>
  <c r="S14" i="33"/>
  <c r="P285" i="32"/>
  <c r="C284" i="32"/>
  <c r="D284" i="32" s="1"/>
  <c r="O14" i="31"/>
  <c r="H14" i="31"/>
  <c r="I258" i="29"/>
  <c r="P258" i="29"/>
  <c r="O259" i="29" s="1"/>
  <c r="I379" i="29"/>
  <c r="P379" i="29"/>
  <c r="O380" i="29" s="1"/>
  <c r="O15" i="29"/>
  <c r="O136" i="29"/>
  <c r="V380" i="29"/>
  <c r="V259" i="29"/>
  <c r="V15" i="29"/>
  <c r="V136" i="29"/>
  <c r="T135" i="33" l="1"/>
  <c r="H135" i="33" s="1"/>
  <c r="T258" i="33"/>
  <c r="M258" i="33" s="1"/>
  <c r="H379" i="33"/>
  <c r="T14" i="33"/>
  <c r="C14" i="33" s="1"/>
  <c r="C379" i="33"/>
  <c r="P286" i="32"/>
  <c r="C285" i="32"/>
  <c r="D285" i="32" s="1"/>
  <c r="AJ14" i="31"/>
  <c r="AN13" i="31"/>
  <c r="AL14" i="31" s="1"/>
  <c r="AC14" i="31"/>
  <c r="Z14" i="29"/>
  <c r="Z379" i="29"/>
  <c r="Z135" i="29"/>
  <c r="Z258" i="29"/>
  <c r="H380" i="29"/>
  <c r="H136" i="29"/>
  <c r="H259" i="29"/>
  <c r="X259" i="29" s="1"/>
  <c r="W259" i="29" s="1"/>
  <c r="H15" i="29"/>
  <c r="C258" i="33" l="1"/>
  <c r="H258" i="33"/>
  <c r="C135" i="33"/>
  <c r="M135" i="33"/>
  <c r="U14" i="33"/>
  <c r="V14" i="33" s="1"/>
  <c r="H14" i="33"/>
  <c r="M14" i="33"/>
  <c r="C286" i="32"/>
  <c r="D286" i="32" s="1"/>
  <c r="P287" i="32"/>
  <c r="Y13" i="31"/>
  <c r="AO13" i="31"/>
  <c r="AP13" i="31" s="1"/>
  <c r="D13" i="31"/>
  <c r="K13" i="31"/>
  <c r="R13" i="31"/>
  <c r="AF13" i="31"/>
  <c r="X380" i="29"/>
  <c r="W380" i="29" s="1"/>
  <c r="I259" i="29"/>
  <c r="P259" i="29"/>
  <c r="X136" i="29"/>
  <c r="W136" i="29" s="1"/>
  <c r="X15" i="29"/>
  <c r="AA14" i="29"/>
  <c r="AB14" i="29" s="1"/>
  <c r="T380" i="33" l="1"/>
  <c r="S15" i="33"/>
  <c r="C287" i="32"/>
  <c r="D287" i="32" s="1"/>
  <c r="P288" i="32"/>
  <c r="AK14" i="31"/>
  <c r="AM14" i="31"/>
  <c r="AD14" i="31"/>
  <c r="W14" i="31"/>
  <c r="V15" i="31" s="1"/>
  <c r="I14" i="31"/>
  <c r="P14" i="31"/>
  <c r="I380" i="29"/>
  <c r="P380" i="29"/>
  <c r="P15" i="29"/>
  <c r="O16" i="29" s="1"/>
  <c r="W15" i="29"/>
  <c r="I136" i="29"/>
  <c r="P136" i="29"/>
  <c r="O137" i="29" s="1"/>
  <c r="Y15" i="29"/>
  <c r="I15" i="29"/>
  <c r="O260" i="29"/>
  <c r="V260" i="29"/>
  <c r="V137" i="29"/>
  <c r="V16" i="29"/>
  <c r="C380" i="33" l="1"/>
  <c r="H380" i="33"/>
  <c r="T259" i="33"/>
  <c r="M259" i="33" s="1"/>
  <c r="T136" i="33"/>
  <c r="M136" i="33" s="1"/>
  <c r="M380" i="33"/>
  <c r="T15" i="33"/>
  <c r="M15" i="33" s="1"/>
  <c r="P289" i="32"/>
  <c r="C288" i="32"/>
  <c r="D288" i="32" s="1"/>
  <c r="O15" i="31"/>
  <c r="H15" i="31"/>
  <c r="Z136" i="29"/>
  <c r="Z259" i="29"/>
  <c r="Z15" i="29"/>
  <c r="Z380" i="29"/>
  <c r="H260" i="29"/>
  <c r="H137" i="29"/>
  <c r="H16" i="29"/>
  <c r="C136" i="33" l="1"/>
  <c r="H259" i="33"/>
  <c r="C259" i="33"/>
  <c r="H15" i="33"/>
  <c r="H136" i="33"/>
  <c r="U15" i="33"/>
  <c r="V15" i="33" s="1"/>
  <c r="C15" i="33"/>
  <c r="P290" i="32"/>
  <c r="C289" i="32"/>
  <c r="D289" i="32" s="1"/>
  <c r="AN14" i="31"/>
  <c r="AC15" i="31"/>
  <c r="AJ15" i="31"/>
  <c r="X16" i="29"/>
  <c r="W16" i="29" s="1"/>
  <c r="X137" i="29"/>
  <c r="W137" i="29" s="1"/>
  <c r="X260" i="29"/>
  <c r="W260" i="29" s="1"/>
  <c r="AA15" i="29"/>
  <c r="AB15" i="29" s="1"/>
  <c r="S16" i="33" l="1"/>
  <c r="P291" i="32"/>
  <c r="C290" i="32"/>
  <c r="D290" i="32" s="1"/>
  <c r="Y14" i="31"/>
  <c r="AL15" i="31"/>
  <c r="AF14" i="31"/>
  <c r="R14" i="31"/>
  <c r="AO14" i="31"/>
  <c r="AP14" i="31" s="1"/>
  <c r="D14" i="31"/>
  <c r="K14" i="31"/>
  <c r="Y16" i="29"/>
  <c r="P16" i="29"/>
  <c r="O17" i="29" s="1"/>
  <c r="I137" i="29"/>
  <c r="P137" i="29"/>
  <c r="O138" i="29" s="1"/>
  <c r="I260" i="29"/>
  <c r="P260" i="29"/>
  <c r="O261" i="29" s="1"/>
  <c r="I16" i="29"/>
  <c r="V261" i="29"/>
  <c r="V17" i="29"/>
  <c r="V138" i="29"/>
  <c r="T137" i="33" l="1"/>
  <c r="T260" i="33"/>
  <c r="M260" i="33" s="1"/>
  <c r="T16" i="33"/>
  <c r="H16" i="33" s="1"/>
  <c r="C291" i="32"/>
  <c r="D291" i="32" s="1"/>
  <c r="P292" i="32"/>
  <c r="AK15" i="31"/>
  <c r="AM15" i="31"/>
  <c r="AD15" i="31"/>
  <c r="W15" i="31"/>
  <c r="P15" i="31"/>
  <c r="I15" i="31"/>
  <c r="Z260" i="29"/>
  <c r="Z137" i="29"/>
  <c r="Z16" i="29"/>
  <c r="H261" i="29"/>
  <c r="H17" i="29"/>
  <c r="H138" i="29"/>
  <c r="X138" i="29" s="1"/>
  <c r="W138" i="29" s="1"/>
  <c r="H260" i="33" l="1"/>
  <c r="C16" i="33"/>
  <c r="M16" i="33"/>
  <c r="C260" i="33"/>
  <c r="H137" i="33"/>
  <c r="U16" i="33"/>
  <c r="V16" i="33" s="1"/>
  <c r="M137" i="33"/>
  <c r="C137" i="33"/>
  <c r="P293" i="32"/>
  <c r="C292" i="32"/>
  <c r="D292" i="32" s="1"/>
  <c r="H16" i="31"/>
  <c r="O16" i="31"/>
  <c r="V16" i="31"/>
  <c r="I138" i="29"/>
  <c r="P138" i="29"/>
  <c r="X17" i="29"/>
  <c r="X261" i="29"/>
  <c r="W261" i="29" s="1"/>
  <c r="AA16" i="29"/>
  <c r="AB16" i="29" s="1"/>
  <c r="S17" i="33" l="1"/>
  <c r="P294" i="32"/>
  <c r="C293" i="32"/>
  <c r="D293" i="32" s="1"/>
  <c r="AJ16" i="31"/>
  <c r="AN15" i="31"/>
  <c r="AL16" i="31" s="1"/>
  <c r="AC16" i="31"/>
  <c r="P17" i="29"/>
  <c r="O18" i="29" s="1"/>
  <c r="W17" i="29"/>
  <c r="I261" i="29"/>
  <c r="P261" i="29"/>
  <c r="O262" i="29" s="1"/>
  <c r="Y17" i="29"/>
  <c r="I17" i="29"/>
  <c r="O139" i="29"/>
  <c r="V262" i="29"/>
  <c r="V139" i="29"/>
  <c r="V18" i="29"/>
  <c r="T138" i="33" l="1"/>
  <c r="C138" i="33" s="1"/>
  <c r="T17" i="33"/>
  <c r="C17" i="33" s="1"/>
  <c r="T261" i="33"/>
  <c r="C261" i="33" s="1"/>
  <c r="P295" i="32"/>
  <c r="C294" i="32"/>
  <c r="D294" i="32" s="1"/>
  <c r="Y15" i="31"/>
  <c r="AO15" i="31"/>
  <c r="AP15" i="31" s="1"/>
  <c r="R15" i="31"/>
  <c r="D15" i="31"/>
  <c r="K15" i="31"/>
  <c r="AF15" i="31"/>
  <c r="Z138" i="29"/>
  <c r="Z261" i="29"/>
  <c r="Z17" i="29"/>
  <c r="H139" i="29"/>
  <c r="H262" i="29"/>
  <c r="H18" i="29"/>
  <c r="X18" i="29" s="1"/>
  <c r="H138" i="33" l="1"/>
  <c r="M138" i="33"/>
  <c r="H261" i="33"/>
  <c r="M261" i="33"/>
  <c r="M17" i="33"/>
  <c r="H17" i="33"/>
  <c r="U17" i="33"/>
  <c r="V17" i="33" s="1"/>
  <c r="C295" i="32"/>
  <c r="D295" i="32" s="1"/>
  <c r="P296" i="32"/>
  <c r="AK16" i="31"/>
  <c r="AM16" i="31"/>
  <c r="AD16" i="31"/>
  <c r="W16" i="31"/>
  <c r="I16" i="31"/>
  <c r="P16" i="31"/>
  <c r="P18" i="29"/>
  <c r="W18" i="29"/>
  <c r="Y18" i="29"/>
  <c r="I18" i="29"/>
  <c r="X262" i="29"/>
  <c r="W262" i="29" s="1"/>
  <c r="X139" i="29"/>
  <c r="W139" i="29" s="1"/>
  <c r="AA17" i="29"/>
  <c r="AB17" i="29" s="1"/>
  <c r="S18" i="33" l="1"/>
  <c r="P297" i="32"/>
  <c r="C296" i="32"/>
  <c r="D296" i="32" s="1"/>
  <c r="O17" i="31"/>
  <c r="H17" i="31"/>
  <c r="V17" i="31"/>
  <c r="I139" i="29"/>
  <c r="P139" i="29"/>
  <c r="O140" i="29" s="1"/>
  <c r="I262" i="29"/>
  <c r="P262" i="29"/>
  <c r="O263" i="29" s="1"/>
  <c r="O19" i="29"/>
  <c r="V140" i="29"/>
  <c r="V263" i="29"/>
  <c r="V19" i="29"/>
  <c r="T262" i="33" l="1"/>
  <c r="T139" i="33"/>
  <c r="M139" i="33" s="1"/>
  <c r="M262" i="33"/>
  <c r="T18" i="33"/>
  <c r="H18" i="33" s="1"/>
  <c r="P298" i="32"/>
  <c r="C297" i="32"/>
  <c r="D297" i="32" s="1"/>
  <c r="AN16" i="31"/>
  <c r="AC17" i="31"/>
  <c r="AJ17" i="31"/>
  <c r="Z18" i="29"/>
  <c r="Z139" i="29"/>
  <c r="Z262" i="29"/>
  <c r="H19" i="29"/>
  <c r="H263" i="29"/>
  <c r="H140" i="29"/>
  <c r="X140" i="29" s="1"/>
  <c r="W140" i="29" s="1"/>
  <c r="C139" i="33" l="1"/>
  <c r="U18" i="33"/>
  <c r="V18" i="33" s="1"/>
  <c r="H139" i="33"/>
  <c r="H262" i="33"/>
  <c r="M18" i="33"/>
  <c r="C18" i="33"/>
  <c r="C262" i="33"/>
  <c r="P299" i="32"/>
  <c r="C298" i="32"/>
  <c r="D298" i="32" s="1"/>
  <c r="Y16" i="31"/>
  <c r="AL17" i="31"/>
  <c r="AF16" i="31"/>
  <c r="K16" i="31"/>
  <c r="AO16" i="31"/>
  <c r="AP16" i="31" s="1"/>
  <c r="D16" i="31"/>
  <c r="R16" i="31"/>
  <c r="I140" i="29"/>
  <c r="P140" i="29"/>
  <c r="X263" i="29"/>
  <c r="W263" i="29" s="1"/>
  <c r="X19" i="29"/>
  <c r="AA18" i="29"/>
  <c r="AB18" i="29" s="1"/>
  <c r="S19" i="33" l="1"/>
  <c r="C299" i="32"/>
  <c r="D299" i="32" s="1"/>
  <c r="P300" i="32"/>
  <c r="AK17" i="31"/>
  <c r="AM17" i="31"/>
  <c r="AD17" i="31"/>
  <c r="W17" i="31"/>
  <c r="P17" i="31"/>
  <c r="I17" i="31"/>
  <c r="P19" i="29"/>
  <c r="W19" i="29"/>
  <c r="I263" i="29"/>
  <c r="P263" i="29"/>
  <c r="O264" i="29" s="1"/>
  <c r="Y19" i="29"/>
  <c r="I19" i="29"/>
  <c r="O20" i="29"/>
  <c r="O141" i="29"/>
  <c r="V264" i="29"/>
  <c r="V20" i="29"/>
  <c r="V141" i="29"/>
  <c r="T263" i="33" l="1"/>
  <c r="T140" i="33"/>
  <c r="C140" i="33" s="1"/>
  <c r="T19" i="33"/>
  <c r="P301" i="32"/>
  <c r="C300" i="32"/>
  <c r="D300" i="32" s="1"/>
  <c r="H18" i="31"/>
  <c r="O18" i="31"/>
  <c r="V18" i="31"/>
  <c r="Z263" i="29"/>
  <c r="Z140" i="29"/>
  <c r="Z19" i="29"/>
  <c r="H20" i="29"/>
  <c r="H264" i="29"/>
  <c r="H141" i="29"/>
  <c r="M140" i="33" l="1"/>
  <c r="U19" i="33"/>
  <c r="V19" i="33" s="1"/>
  <c r="H140" i="33"/>
  <c r="C19" i="33"/>
  <c r="C263" i="33"/>
  <c r="M19" i="33"/>
  <c r="M263" i="33"/>
  <c r="H19" i="33"/>
  <c r="H263" i="33"/>
  <c r="P302" i="32"/>
  <c r="C301" i="32"/>
  <c r="D301" i="32" s="1"/>
  <c r="AJ18" i="31"/>
  <c r="AN17" i="31"/>
  <c r="AL18" i="31" s="1"/>
  <c r="AC18" i="31"/>
  <c r="X264" i="29"/>
  <c r="W264" i="29" s="1"/>
  <c r="X141" i="29"/>
  <c r="W141" i="29" s="1"/>
  <c r="X20" i="29"/>
  <c r="AA19" i="29"/>
  <c r="AB19" i="29" s="1"/>
  <c r="S20" i="33" l="1"/>
  <c r="C302" i="32"/>
  <c r="D302" i="32" s="1"/>
  <c r="P303" i="32"/>
  <c r="D17" i="31"/>
  <c r="AO17" i="31"/>
  <c r="AP17" i="31" s="1"/>
  <c r="K17" i="31"/>
  <c r="R17" i="31"/>
  <c r="AF17" i="31"/>
  <c r="Y17" i="31"/>
  <c r="P20" i="29"/>
  <c r="W20" i="29"/>
  <c r="V21" i="29" s="1"/>
  <c r="I264" i="29"/>
  <c r="P264" i="29"/>
  <c r="O265" i="29" s="1"/>
  <c r="I141" i="29"/>
  <c r="P141" i="29"/>
  <c r="O142" i="29" s="1"/>
  <c r="Y20" i="29"/>
  <c r="I20" i="29"/>
  <c r="O21" i="29"/>
  <c r="V265" i="29"/>
  <c r="V142" i="29"/>
  <c r="T20" i="33" l="1"/>
  <c r="M20" i="33" s="1"/>
  <c r="T141" i="33"/>
  <c r="C141" i="33" s="1"/>
  <c r="T264" i="33"/>
  <c r="C264" i="33" s="1"/>
  <c r="C303" i="32"/>
  <c r="D303" i="32" s="1"/>
  <c r="P304" i="32"/>
  <c r="AK18" i="31"/>
  <c r="AM18" i="31"/>
  <c r="AD18" i="31"/>
  <c r="W18" i="31"/>
  <c r="P18" i="31"/>
  <c r="I18" i="31"/>
  <c r="Z264" i="29"/>
  <c r="Z141" i="29"/>
  <c r="Z20" i="29"/>
  <c r="H265" i="29"/>
  <c r="H142" i="29"/>
  <c r="X142" i="29" s="1"/>
  <c r="W142" i="29" s="1"/>
  <c r="H21" i="29"/>
  <c r="H264" i="33" l="1"/>
  <c r="C20" i="33"/>
  <c r="M141" i="33"/>
  <c r="U20" i="33"/>
  <c r="V20" i="33" s="1"/>
  <c r="M264" i="33"/>
  <c r="H141" i="33"/>
  <c r="H20" i="33"/>
  <c r="P305" i="32"/>
  <c r="C304" i="32"/>
  <c r="D304" i="32" s="1"/>
  <c r="H19" i="31"/>
  <c r="O19" i="31"/>
  <c r="V19" i="31"/>
  <c r="I142" i="29"/>
  <c r="P142" i="29"/>
  <c r="X21" i="29"/>
  <c r="X265" i="29"/>
  <c r="W265" i="29" s="1"/>
  <c r="AA20" i="29"/>
  <c r="AB20" i="29" s="1"/>
  <c r="S21" i="33" l="1"/>
  <c r="P306" i="32"/>
  <c r="C305" i="32"/>
  <c r="D305" i="32" s="1"/>
  <c r="AJ19" i="31"/>
  <c r="AN18" i="31"/>
  <c r="AL19" i="31" s="1"/>
  <c r="AC19" i="31"/>
  <c r="P21" i="29"/>
  <c r="W21" i="29"/>
  <c r="I265" i="29"/>
  <c r="P265" i="29"/>
  <c r="O266" i="29" s="1"/>
  <c r="Y21" i="29"/>
  <c r="I21" i="29"/>
  <c r="O22" i="29"/>
  <c r="O143" i="29"/>
  <c r="V143" i="29"/>
  <c r="V266" i="29"/>
  <c r="V22" i="29"/>
  <c r="T265" i="33" l="1"/>
  <c r="C265" i="33" s="1"/>
  <c r="M265" i="33"/>
  <c r="T21" i="33"/>
  <c r="C21" i="33" s="1"/>
  <c r="T142" i="33"/>
  <c r="C142" i="33" s="1"/>
  <c r="P307" i="32"/>
  <c r="C306" i="32"/>
  <c r="D306" i="32" s="1"/>
  <c r="D18" i="31"/>
  <c r="AO18" i="31"/>
  <c r="AP18" i="31" s="1"/>
  <c r="K18" i="31"/>
  <c r="R18" i="31"/>
  <c r="AF18" i="31"/>
  <c r="Y18" i="31"/>
  <c r="Z142" i="29"/>
  <c r="Z21" i="29"/>
  <c r="Z265" i="29"/>
  <c r="H143" i="29"/>
  <c r="H22" i="29"/>
  <c r="X22" i="29" s="1"/>
  <c r="H266" i="29"/>
  <c r="X266" i="29" s="1"/>
  <c r="W266" i="29" s="1"/>
  <c r="H265" i="33" l="1"/>
  <c r="M21" i="33"/>
  <c r="H21" i="33"/>
  <c r="U21" i="33"/>
  <c r="V21" i="33" s="1"/>
  <c r="H142" i="33"/>
  <c r="M142" i="33"/>
  <c r="P308" i="32"/>
  <c r="C307" i="32"/>
  <c r="D307" i="32" s="1"/>
  <c r="AK19" i="31"/>
  <c r="AM19" i="31"/>
  <c r="AD19" i="31"/>
  <c r="W19" i="31"/>
  <c r="P19" i="31"/>
  <c r="I19" i="31"/>
  <c r="P22" i="29"/>
  <c r="W22" i="29"/>
  <c r="I266" i="29"/>
  <c r="P266" i="29"/>
  <c r="Y22" i="29"/>
  <c r="I22" i="29"/>
  <c r="X143" i="29"/>
  <c r="W143" i="29" s="1"/>
  <c r="AA21" i="29"/>
  <c r="AB21" i="29" s="1"/>
  <c r="S22" i="33" l="1"/>
  <c r="P309" i="32"/>
  <c r="C308" i="32"/>
  <c r="D308" i="32" s="1"/>
  <c r="H20" i="31"/>
  <c r="O20" i="31"/>
  <c r="V20" i="31"/>
  <c r="I143" i="29"/>
  <c r="P143" i="29"/>
  <c r="O144" i="29" s="1"/>
  <c r="O23" i="29"/>
  <c r="O267" i="29"/>
  <c r="V267" i="29"/>
  <c r="V144" i="29"/>
  <c r="V23" i="29"/>
  <c r="T143" i="33" l="1"/>
  <c r="T266" i="33"/>
  <c r="M266" i="33" s="1"/>
  <c r="T22" i="33"/>
  <c r="C22" i="33" s="1"/>
  <c r="P310" i="32"/>
  <c r="C309" i="32"/>
  <c r="D309" i="32" s="1"/>
  <c r="AJ20" i="31"/>
  <c r="AN19" i="31"/>
  <c r="AL20" i="31" s="1"/>
  <c r="AC20" i="31"/>
  <c r="Z143" i="29"/>
  <c r="Z266" i="29"/>
  <c r="Z22" i="29"/>
  <c r="H144" i="29"/>
  <c r="H267" i="29"/>
  <c r="H23" i="29"/>
  <c r="H22" i="33" l="1"/>
  <c r="C143" i="33"/>
  <c r="C266" i="33"/>
  <c r="H143" i="33"/>
  <c r="H266" i="33"/>
  <c r="M143" i="33"/>
  <c r="U22" i="33"/>
  <c r="V22" i="33" s="1"/>
  <c r="M22" i="33"/>
  <c r="P311" i="32"/>
  <c r="C310" i="32"/>
  <c r="D310" i="32" s="1"/>
  <c r="AO19" i="31"/>
  <c r="AP19" i="31" s="1"/>
  <c r="K19" i="31"/>
  <c r="D19" i="31"/>
  <c r="R19" i="31"/>
  <c r="AF19" i="31"/>
  <c r="Y19" i="31"/>
  <c r="X23" i="29"/>
  <c r="X144" i="29"/>
  <c r="W144" i="29" s="1"/>
  <c r="X267" i="29"/>
  <c r="W267" i="29" s="1"/>
  <c r="AA22" i="29"/>
  <c r="AB22" i="29" s="1"/>
  <c r="S23" i="33" l="1"/>
  <c r="C311" i="32"/>
  <c r="D311" i="32" s="1"/>
  <c r="P312" i="32"/>
  <c r="AK20" i="31"/>
  <c r="AM20" i="31"/>
  <c r="AD20" i="31"/>
  <c r="W20" i="31"/>
  <c r="P20" i="31"/>
  <c r="I20" i="31"/>
  <c r="P23" i="29"/>
  <c r="W23" i="29"/>
  <c r="I144" i="29"/>
  <c r="P144" i="29"/>
  <c r="O145" i="29" s="1"/>
  <c r="I267" i="29"/>
  <c r="P267" i="29"/>
  <c r="O268" i="29" s="1"/>
  <c r="Y23" i="29"/>
  <c r="I23" i="29"/>
  <c r="O24" i="29"/>
  <c r="V268" i="29"/>
  <c r="V145" i="29"/>
  <c r="V24" i="29"/>
  <c r="T23" i="33" l="1"/>
  <c r="H23" i="33" s="1"/>
  <c r="T144" i="33"/>
  <c r="C144" i="33" s="1"/>
  <c r="T267" i="33"/>
  <c r="H267" i="33" s="1"/>
  <c r="P313" i="32"/>
  <c r="C312" i="32"/>
  <c r="D312" i="32" s="1"/>
  <c r="H21" i="31"/>
  <c r="O21" i="31"/>
  <c r="V21" i="31"/>
  <c r="Z144" i="29"/>
  <c r="Z267" i="29"/>
  <c r="Z23" i="29"/>
  <c r="H24" i="29"/>
  <c r="H145" i="29"/>
  <c r="H268" i="29"/>
  <c r="X268" i="29" s="1"/>
  <c r="W268" i="29" s="1"/>
  <c r="M144" i="33" l="1"/>
  <c r="H144" i="33"/>
  <c r="C267" i="33"/>
  <c r="M267" i="33"/>
  <c r="C23" i="33"/>
  <c r="U23" i="33"/>
  <c r="V23" i="33" s="1"/>
  <c r="M23" i="33"/>
  <c r="P314" i="32"/>
  <c r="C313" i="32"/>
  <c r="D313" i="32" s="1"/>
  <c r="AJ21" i="31"/>
  <c r="AN20" i="31"/>
  <c r="AL21" i="31" s="1"/>
  <c r="AC21" i="31"/>
  <c r="I268" i="29"/>
  <c r="P268" i="29"/>
  <c r="X145" i="29"/>
  <c r="W145" i="29" s="1"/>
  <c r="X24" i="29"/>
  <c r="AA23" i="29"/>
  <c r="AB23" i="29" s="1"/>
  <c r="S24" i="33" l="1"/>
  <c r="C314" i="32"/>
  <c r="D314" i="32" s="1"/>
  <c r="P315" i="32"/>
  <c r="Y20" i="31"/>
  <c r="AO20" i="31"/>
  <c r="AP20" i="31" s="1"/>
  <c r="D20" i="31"/>
  <c r="K20" i="31"/>
  <c r="R20" i="31"/>
  <c r="AF20" i="31"/>
  <c r="P24" i="29"/>
  <c r="W24" i="29"/>
  <c r="V25" i="29" s="1"/>
  <c r="I145" i="29"/>
  <c r="P145" i="29"/>
  <c r="O146" i="29" s="1"/>
  <c r="Y24" i="29"/>
  <c r="I24" i="29"/>
  <c r="O25" i="29"/>
  <c r="O269" i="29"/>
  <c r="V269" i="29"/>
  <c r="V146" i="29"/>
  <c r="T145" i="33" l="1"/>
  <c r="H145" i="33" s="1"/>
  <c r="T268" i="33"/>
  <c r="C268" i="33" s="1"/>
  <c r="T24" i="33"/>
  <c r="C24" i="33" s="1"/>
  <c r="C315" i="32"/>
  <c r="D315" i="32" s="1"/>
  <c r="P316" i="32"/>
  <c r="AK21" i="31"/>
  <c r="AM21" i="31"/>
  <c r="AD21" i="31"/>
  <c r="W21" i="31"/>
  <c r="I21" i="31"/>
  <c r="P21" i="31"/>
  <c r="Z145" i="29"/>
  <c r="Z24" i="29"/>
  <c r="Z268" i="29"/>
  <c r="H269" i="29"/>
  <c r="H25" i="29"/>
  <c r="H146" i="29"/>
  <c r="C145" i="33" l="1"/>
  <c r="H268" i="33"/>
  <c r="M268" i="33"/>
  <c r="U24" i="33"/>
  <c r="V24" i="33" s="1"/>
  <c r="M24" i="33"/>
  <c r="H24" i="33"/>
  <c r="M145" i="33"/>
  <c r="P317" i="32"/>
  <c r="C316" i="32"/>
  <c r="D316" i="32" s="1"/>
  <c r="O22" i="31"/>
  <c r="H22" i="31"/>
  <c r="V22" i="31"/>
  <c r="X146" i="29"/>
  <c r="W146" i="29" s="1"/>
  <c r="X269" i="29"/>
  <c r="W269" i="29" s="1"/>
  <c r="X25" i="29"/>
  <c r="AA24" i="29"/>
  <c r="AB24" i="29" s="1"/>
  <c r="S25" i="33" l="1"/>
  <c r="P318" i="32"/>
  <c r="C317" i="32"/>
  <c r="D317" i="32" s="1"/>
  <c r="AN21" i="31"/>
  <c r="AC22" i="31"/>
  <c r="AJ22" i="31"/>
  <c r="P25" i="29"/>
  <c r="W25" i="29"/>
  <c r="I146" i="29"/>
  <c r="P146" i="29"/>
  <c r="O147" i="29" s="1"/>
  <c r="I269" i="29"/>
  <c r="P269" i="29"/>
  <c r="O270" i="29" s="1"/>
  <c r="Y25" i="29"/>
  <c r="I25" i="29"/>
  <c r="V147" i="29"/>
  <c r="V270" i="29"/>
  <c r="V26" i="29"/>
  <c r="T25" i="33" l="1"/>
  <c r="C25" i="33" s="1"/>
  <c r="T269" i="33"/>
  <c r="C269" i="33" s="1"/>
  <c r="T146" i="33"/>
  <c r="C146" i="33" s="1"/>
  <c r="C318" i="32"/>
  <c r="D318" i="32" s="1"/>
  <c r="P319" i="32"/>
  <c r="AF21" i="31"/>
  <c r="AL22" i="31"/>
  <c r="Y21" i="31"/>
  <c r="AO21" i="31"/>
  <c r="AP21" i="31" s="1"/>
  <c r="D21" i="31"/>
  <c r="R21" i="31"/>
  <c r="K21" i="31"/>
  <c r="Z146" i="29"/>
  <c r="Z269" i="29"/>
  <c r="Z25" i="29"/>
  <c r="O26" i="29"/>
  <c r="H147" i="29"/>
  <c r="H26" i="29"/>
  <c r="H270" i="29"/>
  <c r="H25" i="33" l="1"/>
  <c r="M25" i="33"/>
  <c r="H146" i="33"/>
  <c r="M146" i="33"/>
  <c r="M269" i="33"/>
  <c r="H269" i="33"/>
  <c r="U25" i="33"/>
  <c r="V25" i="33" s="1"/>
  <c r="C319" i="32"/>
  <c r="D319" i="32" s="1"/>
  <c r="P320" i="32"/>
  <c r="AK22" i="31"/>
  <c r="AM22" i="31"/>
  <c r="AD22" i="31"/>
  <c r="W22" i="31"/>
  <c r="I22" i="31"/>
  <c r="P22" i="31"/>
  <c r="X270" i="29"/>
  <c r="W270" i="29" s="1"/>
  <c r="X26" i="29"/>
  <c r="X147" i="29"/>
  <c r="W147" i="29" s="1"/>
  <c r="AA25" i="29"/>
  <c r="AB25" i="29" s="1"/>
  <c r="S26" i="33" l="1"/>
  <c r="P321" i="32"/>
  <c r="C320" i="32"/>
  <c r="D320" i="32" s="1"/>
  <c r="O23" i="31"/>
  <c r="H23" i="31"/>
  <c r="V23" i="31"/>
  <c r="P26" i="29"/>
  <c r="O27" i="29" s="1"/>
  <c r="W26" i="29"/>
  <c r="I147" i="29"/>
  <c r="P147" i="29"/>
  <c r="O148" i="29" s="1"/>
  <c r="I270" i="29"/>
  <c r="P270" i="29"/>
  <c r="O271" i="29" s="1"/>
  <c r="Y26" i="29"/>
  <c r="I26" i="29"/>
  <c r="V148" i="29"/>
  <c r="V271" i="29"/>
  <c r="V27" i="29"/>
  <c r="T147" i="33" l="1"/>
  <c r="T270" i="33"/>
  <c r="H270" i="33" s="1"/>
  <c r="T26" i="33"/>
  <c r="H26" i="33" s="1"/>
  <c r="P322" i="32"/>
  <c r="C321" i="32"/>
  <c r="D321" i="32" s="1"/>
  <c r="AN22" i="31"/>
  <c r="AC23" i="31"/>
  <c r="AJ23" i="31"/>
  <c r="Z147" i="29"/>
  <c r="Z26" i="29"/>
  <c r="Z270" i="29"/>
  <c r="H27" i="29"/>
  <c r="H148" i="29"/>
  <c r="H271" i="29"/>
  <c r="C147" i="33" l="1"/>
  <c r="H147" i="33"/>
  <c r="M26" i="33"/>
  <c r="U26" i="33"/>
  <c r="V26" i="33" s="1"/>
  <c r="M147" i="33"/>
  <c r="C270" i="33"/>
  <c r="C26" i="33"/>
  <c r="M270" i="33"/>
  <c r="P323" i="32"/>
  <c r="C322" i="32"/>
  <c r="D322" i="32" s="1"/>
  <c r="AF22" i="31"/>
  <c r="AL23" i="31"/>
  <c r="Y22" i="31"/>
  <c r="AO22" i="31"/>
  <c r="AP22" i="31" s="1"/>
  <c r="K22" i="31"/>
  <c r="D22" i="31"/>
  <c r="R22" i="31"/>
  <c r="X148" i="29"/>
  <c r="W148" i="29" s="1"/>
  <c r="X27" i="29"/>
  <c r="X271" i="29"/>
  <c r="W271" i="29" s="1"/>
  <c r="AA26" i="29"/>
  <c r="AB26" i="29" s="1"/>
  <c r="S27" i="33" l="1"/>
  <c r="P324" i="32"/>
  <c r="C323" i="32"/>
  <c r="D323" i="32" s="1"/>
  <c r="AK23" i="31"/>
  <c r="AM23" i="31"/>
  <c r="AD23" i="31"/>
  <c r="W23" i="31"/>
  <c r="P23" i="31"/>
  <c r="I23" i="31"/>
  <c r="P27" i="29"/>
  <c r="W27" i="29"/>
  <c r="V28" i="29" s="1"/>
  <c r="I271" i="29"/>
  <c r="P271" i="29"/>
  <c r="O272" i="29" s="1"/>
  <c r="I148" i="29"/>
  <c r="P148" i="29"/>
  <c r="O149" i="29" s="1"/>
  <c r="Y27" i="29"/>
  <c r="I27" i="29"/>
  <c r="O28" i="29"/>
  <c r="V149" i="29"/>
  <c r="V272" i="29"/>
  <c r="T27" i="33" l="1"/>
  <c r="H27" i="33" s="1"/>
  <c r="T271" i="33"/>
  <c r="T148" i="33"/>
  <c r="C148" i="33" s="1"/>
  <c r="P325" i="32"/>
  <c r="C324" i="32"/>
  <c r="D324" i="32" s="1"/>
  <c r="H24" i="31"/>
  <c r="O24" i="31"/>
  <c r="V24" i="31"/>
  <c r="Z27" i="29"/>
  <c r="Z148" i="29"/>
  <c r="Z271" i="29"/>
  <c r="H272" i="29"/>
  <c r="H28" i="29"/>
  <c r="H149" i="29"/>
  <c r="C27" i="33" l="1"/>
  <c r="M27" i="33"/>
  <c r="H148" i="33"/>
  <c r="M271" i="33"/>
  <c r="C271" i="33"/>
  <c r="M148" i="33"/>
  <c r="H271" i="33"/>
  <c r="U27" i="33"/>
  <c r="V27" i="33" s="1"/>
  <c r="P326" i="32"/>
  <c r="C325" i="32"/>
  <c r="D325" i="32" s="1"/>
  <c r="AJ24" i="31"/>
  <c r="AN23" i="31"/>
  <c r="AC24" i="31"/>
  <c r="X149" i="29"/>
  <c r="W149" i="29" s="1"/>
  <c r="X28" i="29"/>
  <c r="X272" i="29"/>
  <c r="W272" i="29" s="1"/>
  <c r="AA27" i="29"/>
  <c r="AB27" i="29" s="1"/>
  <c r="S28" i="33" l="1"/>
  <c r="C326" i="32"/>
  <c r="D326" i="32" s="1"/>
  <c r="P327" i="32"/>
  <c r="AF23" i="31"/>
  <c r="AL24" i="31"/>
  <c r="Y23" i="31"/>
  <c r="AO23" i="31"/>
  <c r="AP23" i="31" s="1"/>
  <c r="R23" i="31"/>
  <c r="D23" i="31"/>
  <c r="K23" i="31"/>
  <c r="P28" i="29"/>
  <c r="W28" i="29"/>
  <c r="I149" i="29"/>
  <c r="P149" i="29"/>
  <c r="O150" i="29" s="1"/>
  <c r="I272" i="29"/>
  <c r="P272" i="29"/>
  <c r="O273" i="29" s="1"/>
  <c r="Y28" i="29"/>
  <c r="I28" i="29"/>
  <c r="O29" i="29"/>
  <c r="V273" i="29"/>
  <c r="V150" i="29"/>
  <c r="V29" i="29"/>
  <c r="T272" i="33" l="1"/>
  <c r="T149" i="33"/>
  <c r="C149" i="33" s="1"/>
  <c r="T28" i="33"/>
  <c r="M28" i="33" s="1"/>
  <c r="P328" i="32"/>
  <c r="C327" i="32"/>
  <c r="D327" i="32" s="1"/>
  <c r="AK24" i="31"/>
  <c r="AM24" i="31"/>
  <c r="AD24" i="31"/>
  <c r="W24" i="31"/>
  <c r="P24" i="31"/>
  <c r="I24" i="31"/>
  <c r="Z272" i="29"/>
  <c r="Z28" i="29"/>
  <c r="Z149" i="29"/>
  <c r="H273" i="29"/>
  <c r="H29" i="29"/>
  <c r="H150" i="29"/>
  <c r="H149" i="33" l="1"/>
  <c r="M149" i="33"/>
  <c r="H272" i="33"/>
  <c r="U28" i="33"/>
  <c r="V28" i="33" s="1"/>
  <c r="H28" i="33"/>
  <c r="C28" i="33"/>
  <c r="C272" i="33"/>
  <c r="M272" i="33"/>
  <c r="P329" i="32"/>
  <c r="C328" i="32"/>
  <c r="D328" i="32" s="1"/>
  <c r="H25" i="31"/>
  <c r="O25" i="31"/>
  <c r="V25" i="31"/>
  <c r="X29" i="29"/>
  <c r="X273" i="29"/>
  <c r="W273" i="29" s="1"/>
  <c r="X150" i="29"/>
  <c r="W150" i="29" s="1"/>
  <c r="AA28" i="29"/>
  <c r="AB28" i="29" s="1"/>
  <c r="S29" i="33" l="1"/>
  <c r="P330" i="32"/>
  <c r="C329" i="32"/>
  <c r="D329" i="32" s="1"/>
  <c r="AJ25" i="31"/>
  <c r="AN24" i="31"/>
  <c r="AC25" i="31"/>
  <c r="P29" i="29"/>
  <c r="W29" i="29"/>
  <c r="I150" i="29"/>
  <c r="P150" i="29"/>
  <c r="O151" i="29" s="1"/>
  <c r="I273" i="29"/>
  <c r="P273" i="29"/>
  <c r="O274" i="29" s="1"/>
  <c r="Y29" i="29"/>
  <c r="I29" i="29"/>
  <c r="O30" i="29"/>
  <c r="V151" i="29"/>
  <c r="V274" i="29"/>
  <c r="V30" i="29"/>
  <c r="T29" i="33" l="1"/>
  <c r="M29" i="33" s="1"/>
  <c r="T273" i="33"/>
  <c r="H273" i="33" s="1"/>
  <c r="T150" i="33"/>
  <c r="C150" i="33" s="1"/>
  <c r="C330" i="32"/>
  <c r="D330" i="32" s="1"/>
  <c r="P331" i="32"/>
  <c r="AF24" i="31"/>
  <c r="AL25" i="31"/>
  <c r="Y24" i="31"/>
  <c r="D24" i="31"/>
  <c r="AO24" i="31"/>
  <c r="AP24" i="31" s="1"/>
  <c r="K24" i="31"/>
  <c r="R24" i="31"/>
  <c r="Z150" i="29"/>
  <c r="Z29" i="29"/>
  <c r="Z273" i="29"/>
  <c r="H30" i="29"/>
  <c r="H151" i="29"/>
  <c r="H274" i="29"/>
  <c r="C273" i="33" l="1"/>
  <c r="M273" i="33"/>
  <c r="U29" i="33"/>
  <c r="V29" i="33" s="1"/>
  <c r="H150" i="33"/>
  <c r="M150" i="33"/>
  <c r="C29" i="33"/>
  <c r="H29" i="33"/>
  <c r="C331" i="32"/>
  <c r="D331" i="32" s="1"/>
  <c r="P332" i="32"/>
  <c r="AK25" i="31"/>
  <c r="AM25" i="31"/>
  <c r="AD25" i="31"/>
  <c r="W25" i="31"/>
  <c r="P25" i="31"/>
  <c r="I25" i="31"/>
  <c r="X274" i="29"/>
  <c r="W274" i="29" s="1"/>
  <c r="X151" i="29"/>
  <c r="W151" i="29" s="1"/>
  <c r="X30" i="29"/>
  <c r="W30" i="29" s="1"/>
  <c r="AA29" i="29"/>
  <c r="AB29" i="29" s="1"/>
  <c r="P333" i="32" l="1"/>
  <c r="C332" i="32"/>
  <c r="D332" i="32" s="1"/>
  <c r="H26" i="31"/>
  <c r="O26" i="31"/>
  <c r="V26" i="31"/>
  <c r="I274" i="29"/>
  <c r="P274" i="29"/>
  <c r="O275" i="29" s="1"/>
  <c r="I30" i="29"/>
  <c r="P30" i="29"/>
  <c r="O31" i="29" s="1"/>
  <c r="I151" i="29"/>
  <c r="P151" i="29"/>
  <c r="O152" i="29" s="1"/>
  <c r="V152" i="29"/>
  <c r="V275" i="29"/>
  <c r="V31" i="29"/>
  <c r="T30" i="33" l="1"/>
  <c r="M30" i="33" s="1"/>
  <c r="S30" i="33"/>
  <c r="T151" i="33"/>
  <c r="M151" i="33" s="1"/>
  <c r="T274" i="33"/>
  <c r="P334" i="32"/>
  <c r="C333" i="32"/>
  <c r="D333" i="32" s="1"/>
  <c r="AJ26" i="31"/>
  <c r="AN25" i="31"/>
  <c r="AC26" i="31"/>
  <c r="Y30" i="29"/>
  <c r="Z151" i="29"/>
  <c r="Z30" i="29"/>
  <c r="Z274" i="29"/>
  <c r="H152" i="29"/>
  <c r="H31" i="29"/>
  <c r="X31" i="29" s="1"/>
  <c r="W31" i="29" s="1"/>
  <c r="H275" i="29"/>
  <c r="H30" i="33" l="1"/>
  <c r="C30" i="33"/>
  <c r="H151" i="33"/>
  <c r="C151" i="33"/>
  <c r="C274" i="33"/>
  <c r="M274" i="33"/>
  <c r="H274" i="33"/>
  <c r="U30" i="33"/>
  <c r="V30" i="33" s="1"/>
  <c r="C334" i="32"/>
  <c r="D334" i="32" s="1"/>
  <c r="P335" i="32"/>
  <c r="Y25" i="31"/>
  <c r="AL26" i="31"/>
  <c r="D25" i="31"/>
  <c r="AO25" i="31"/>
  <c r="AP25" i="31" s="1"/>
  <c r="R25" i="31"/>
  <c r="K25" i="31"/>
  <c r="AF25" i="31"/>
  <c r="I31" i="29"/>
  <c r="P31" i="29"/>
  <c r="X275" i="29"/>
  <c r="W275" i="29" s="1"/>
  <c r="X152" i="29"/>
  <c r="W152" i="29" s="1"/>
  <c r="AA30" i="29"/>
  <c r="AB30" i="29" s="1"/>
  <c r="S31" i="33" l="1"/>
  <c r="C335" i="32"/>
  <c r="D335" i="32" s="1"/>
  <c r="P336" i="32"/>
  <c r="AK26" i="31"/>
  <c r="AM26" i="31"/>
  <c r="AD26" i="31"/>
  <c r="W26" i="31"/>
  <c r="V27" i="31" s="1"/>
  <c r="I26" i="31"/>
  <c r="P26" i="31"/>
  <c r="I152" i="29"/>
  <c r="P152" i="29"/>
  <c r="O153" i="29" s="1"/>
  <c r="I275" i="29"/>
  <c r="P275" i="29"/>
  <c r="O276" i="29" s="1"/>
  <c r="O32" i="29"/>
  <c r="V276" i="29"/>
  <c r="V153" i="29"/>
  <c r="V32" i="29"/>
  <c r="T275" i="33" l="1"/>
  <c r="T31" i="33"/>
  <c r="T152" i="33"/>
  <c r="P337" i="32"/>
  <c r="C336" i="32"/>
  <c r="D336" i="32" s="1"/>
  <c r="O27" i="31"/>
  <c r="H27" i="31"/>
  <c r="Y31" i="29"/>
  <c r="Z275" i="29"/>
  <c r="Z152" i="29"/>
  <c r="Z31" i="29"/>
  <c r="H153" i="29"/>
  <c r="H276" i="29"/>
  <c r="H32" i="29"/>
  <c r="U31" i="33" l="1"/>
  <c r="V31" i="33" s="1"/>
  <c r="C275" i="33"/>
  <c r="H275" i="33"/>
  <c r="M152" i="33"/>
  <c r="C31" i="33"/>
  <c r="H152" i="33"/>
  <c r="M31" i="33"/>
  <c r="M275" i="33"/>
  <c r="C152" i="33"/>
  <c r="H31" i="33"/>
  <c r="P338" i="32"/>
  <c r="C337" i="32"/>
  <c r="D337" i="32" s="1"/>
  <c r="AN26" i="31"/>
  <c r="AC27" i="31"/>
  <c r="AJ27" i="31"/>
  <c r="X32" i="29"/>
  <c r="X276" i="29"/>
  <c r="W276" i="29" s="1"/>
  <c r="X153" i="29"/>
  <c r="W153" i="29" s="1"/>
  <c r="AA31" i="29"/>
  <c r="AB31" i="29" s="1"/>
  <c r="S32" i="33" l="1"/>
  <c r="P339" i="32"/>
  <c r="C338" i="32"/>
  <c r="D338" i="32" s="1"/>
  <c r="AF26" i="31"/>
  <c r="AL27" i="31"/>
  <c r="Y26" i="31"/>
  <c r="R26" i="31"/>
  <c r="AO26" i="31"/>
  <c r="AP26" i="31" s="1"/>
  <c r="K26" i="31"/>
  <c r="D26" i="31"/>
  <c r="P32" i="29"/>
  <c r="W32" i="29"/>
  <c r="I153" i="29"/>
  <c r="P153" i="29"/>
  <c r="O154" i="29" s="1"/>
  <c r="I276" i="29"/>
  <c r="P276" i="29"/>
  <c r="O277" i="29" s="1"/>
  <c r="Y32" i="29"/>
  <c r="I32" i="29"/>
  <c r="O33" i="29"/>
  <c r="V154" i="29"/>
  <c r="V277" i="29"/>
  <c r="V33" i="29"/>
  <c r="T276" i="33" l="1"/>
  <c r="C276" i="33" s="1"/>
  <c r="T32" i="33"/>
  <c r="H32" i="33" s="1"/>
  <c r="T153" i="33"/>
  <c r="C153" i="33" s="1"/>
  <c r="P340" i="32"/>
  <c r="C339" i="32"/>
  <c r="D339" i="32" s="1"/>
  <c r="AK27" i="31"/>
  <c r="AM27" i="31"/>
  <c r="AD27" i="31"/>
  <c r="W27" i="31"/>
  <c r="I27" i="31"/>
  <c r="P27" i="31"/>
  <c r="Z153" i="29"/>
  <c r="Z32" i="29"/>
  <c r="Z276" i="29"/>
  <c r="H33" i="29"/>
  <c r="H154" i="29"/>
  <c r="H277" i="29"/>
  <c r="C32" i="33" l="1"/>
  <c r="M153" i="33"/>
  <c r="H276" i="33"/>
  <c r="M276" i="33"/>
  <c r="M32" i="33"/>
  <c r="U32" i="33"/>
  <c r="V32" i="33" s="1"/>
  <c r="H153" i="33"/>
  <c r="P341" i="32"/>
  <c r="C340" i="32"/>
  <c r="D340" i="32" s="1"/>
  <c r="O28" i="31"/>
  <c r="H28" i="31"/>
  <c r="V28" i="31"/>
  <c r="X154" i="29"/>
  <c r="W154" i="29" s="1"/>
  <c r="X277" i="29"/>
  <c r="W277" i="29" s="1"/>
  <c r="X33" i="29"/>
  <c r="AA32" i="29"/>
  <c r="AB32" i="29" s="1"/>
  <c r="S33" i="33" l="1"/>
  <c r="P342" i="32"/>
  <c r="C341" i="32"/>
  <c r="D341" i="32" s="1"/>
  <c r="AN27" i="31"/>
  <c r="AC28" i="31"/>
  <c r="AJ28" i="31"/>
  <c r="P33" i="29"/>
  <c r="W33" i="29"/>
  <c r="I154" i="29"/>
  <c r="P154" i="29"/>
  <c r="O155" i="29" s="1"/>
  <c r="I277" i="29"/>
  <c r="P277" i="29"/>
  <c r="O278" i="29" s="1"/>
  <c r="Y33" i="29"/>
  <c r="I33" i="29"/>
  <c r="O34" i="29"/>
  <c r="V155" i="29"/>
  <c r="V34" i="29"/>
  <c r="V278" i="29"/>
  <c r="T33" i="33" l="1"/>
  <c r="M33" i="33" s="1"/>
  <c r="T277" i="33"/>
  <c r="H277" i="33" s="1"/>
  <c r="T154" i="33"/>
  <c r="P343" i="32"/>
  <c r="C342" i="32"/>
  <c r="D342" i="32" s="1"/>
  <c r="AF27" i="31"/>
  <c r="AL28" i="31"/>
  <c r="Y27" i="31"/>
  <c r="AO27" i="31"/>
  <c r="AP27" i="31" s="1"/>
  <c r="R27" i="31"/>
  <c r="K27" i="31"/>
  <c r="D27" i="31"/>
  <c r="Z154" i="29"/>
  <c r="Z33" i="29"/>
  <c r="Z277" i="29"/>
  <c r="H155" i="29"/>
  <c r="H278" i="29"/>
  <c r="H34" i="29"/>
  <c r="X34" i="29" s="1"/>
  <c r="C277" i="33" l="1"/>
  <c r="M154" i="33"/>
  <c r="H154" i="33"/>
  <c r="U33" i="33"/>
  <c r="V33" i="33" s="1"/>
  <c r="C33" i="33"/>
  <c r="C154" i="33"/>
  <c r="M277" i="33"/>
  <c r="H33" i="33"/>
  <c r="C343" i="32"/>
  <c r="D343" i="32" s="1"/>
  <c r="P344" i="32"/>
  <c r="AK28" i="31"/>
  <c r="AM28" i="31"/>
  <c r="AD28" i="31"/>
  <c r="W28" i="31"/>
  <c r="P28" i="31"/>
  <c r="I28" i="31"/>
  <c r="P34" i="29"/>
  <c r="W34" i="29"/>
  <c r="Y34" i="29"/>
  <c r="I34" i="29"/>
  <c r="X278" i="29"/>
  <c r="W278" i="29" s="1"/>
  <c r="X155" i="29"/>
  <c r="W155" i="29" s="1"/>
  <c r="AA33" i="29"/>
  <c r="AB33" i="29" s="1"/>
  <c r="S34" i="33" l="1"/>
  <c r="P345" i="32"/>
  <c r="C344" i="32"/>
  <c r="D344" i="32" s="1"/>
  <c r="H29" i="31"/>
  <c r="O29" i="31"/>
  <c r="V29" i="31"/>
  <c r="I155" i="29"/>
  <c r="P155" i="29"/>
  <c r="O156" i="29" s="1"/>
  <c r="I278" i="29"/>
  <c r="P278" i="29"/>
  <c r="O279" i="29" s="1"/>
  <c r="O35" i="29"/>
  <c r="V279" i="29"/>
  <c r="V156" i="29"/>
  <c r="V35" i="29"/>
  <c r="T155" i="33" l="1"/>
  <c r="H155" i="33" s="1"/>
  <c r="T278" i="33"/>
  <c r="H278" i="33" s="1"/>
  <c r="T34" i="33"/>
  <c r="C34" i="33" s="1"/>
  <c r="P346" i="32"/>
  <c r="C345" i="32"/>
  <c r="D345" i="32" s="1"/>
  <c r="AJ29" i="31"/>
  <c r="AN28" i="31"/>
  <c r="AC29" i="31"/>
  <c r="Z155" i="29"/>
  <c r="Z278" i="29"/>
  <c r="Z34" i="29"/>
  <c r="H279" i="29"/>
  <c r="H35" i="29"/>
  <c r="H156" i="29"/>
  <c r="C278" i="33" l="1"/>
  <c r="H34" i="33"/>
  <c r="C155" i="33"/>
  <c r="U34" i="33"/>
  <c r="V34" i="33" s="1"/>
  <c r="M155" i="33"/>
  <c r="M34" i="33"/>
  <c r="M278" i="33"/>
  <c r="C346" i="32"/>
  <c r="D346" i="32" s="1"/>
  <c r="P347" i="32"/>
  <c r="Y28" i="31"/>
  <c r="AL29" i="31"/>
  <c r="AO28" i="31"/>
  <c r="AP28" i="31" s="1"/>
  <c r="R28" i="31"/>
  <c r="D28" i="31"/>
  <c r="K28" i="31"/>
  <c r="AF28" i="31"/>
  <c r="X156" i="29"/>
  <c r="W156" i="29" s="1"/>
  <c r="X35" i="29"/>
  <c r="X279" i="29"/>
  <c r="W279" i="29" s="1"/>
  <c r="AA34" i="29"/>
  <c r="AB34" i="29" s="1"/>
  <c r="S35" i="33" l="1"/>
  <c r="C347" i="32"/>
  <c r="D347" i="32" s="1"/>
  <c r="P348" i="32"/>
  <c r="AK29" i="31"/>
  <c r="AM29" i="31"/>
  <c r="AD29" i="31"/>
  <c r="W29" i="31"/>
  <c r="P29" i="31"/>
  <c r="I29" i="31"/>
  <c r="P35" i="29"/>
  <c r="W35" i="29"/>
  <c r="V36" i="29" s="1"/>
  <c r="I156" i="29"/>
  <c r="P156" i="29"/>
  <c r="O157" i="29" s="1"/>
  <c r="I279" i="29"/>
  <c r="P279" i="29"/>
  <c r="O280" i="29" s="1"/>
  <c r="Y35" i="29"/>
  <c r="I35" i="29"/>
  <c r="O36" i="29"/>
  <c r="V280" i="29"/>
  <c r="V157" i="29"/>
  <c r="T156" i="33" l="1"/>
  <c r="C156" i="33" s="1"/>
  <c r="T279" i="33"/>
  <c r="H279" i="33" s="1"/>
  <c r="T35" i="33"/>
  <c r="H35" i="33" s="1"/>
  <c r="P349" i="32"/>
  <c r="C348" i="32"/>
  <c r="D348" i="32" s="1"/>
  <c r="H30" i="31"/>
  <c r="O30" i="31"/>
  <c r="V30" i="31"/>
  <c r="Z35" i="29"/>
  <c r="Z279" i="29"/>
  <c r="Z156" i="29"/>
  <c r="H36" i="29"/>
  <c r="H280" i="29"/>
  <c r="H157" i="29"/>
  <c r="M35" i="33" l="1"/>
  <c r="C35" i="33"/>
  <c r="H156" i="33"/>
  <c r="M279" i="33"/>
  <c r="C279" i="33"/>
  <c r="U35" i="33"/>
  <c r="V35" i="33" s="1"/>
  <c r="M156" i="33"/>
  <c r="P350" i="32"/>
  <c r="C349" i="32"/>
  <c r="D349" i="32" s="1"/>
  <c r="AN29" i="31"/>
  <c r="AC30" i="31"/>
  <c r="AJ30" i="31"/>
  <c r="X280" i="29"/>
  <c r="W280" i="29" s="1"/>
  <c r="I280" i="29"/>
  <c r="X157" i="29"/>
  <c r="W157" i="29" s="1"/>
  <c r="X36" i="29"/>
  <c r="AA35" i="29"/>
  <c r="AB35" i="29" s="1"/>
  <c r="S36" i="33" l="1"/>
  <c r="C350" i="32"/>
  <c r="D350" i="32" s="1"/>
  <c r="P351" i="32"/>
  <c r="Y29" i="31"/>
  <c r="AL30" i="31"/>
  <c r="AF29" i="31"/>
  <c r="AO29" i="31"/>
  <c r="AP29" i="31" s="1"/>
  <c r="D29" i="31"/>
  <c r="K29" i="31"/>
  <c r="R29" i="31"/>
  <c r="P280" i="29"/>
  <c r="P36" i="29"/>
  <c r="W36" i="29"/>
  <c r="V37" i="29" s="1"/>
  <c r="I157" i="29"/>
  <c r="P157" i="29"/>
  <c r="O158" i="29" s="1"/>
  <c r="Y36" i="29"/>
  <c r="I36" i="29"/>
  <c r="O281" i="29"/>
  <c r="O37" i="29"/>
  <c r="V281" i="29"/>
  <c r="V158" i="29"/>
  <c r="T157" i="33" l="1"/>
  <c r="C157" i="33" s="1"/>
  <c r="T36" i="33"/>
  <c r="H36" i="33" s="1"/>
  <c r="T280" i="33"/>
  <c r="H280" i="33" s="1"/>
  <c r="C351" i="32"/>
  <c r="D351" i="32" s="1"/>
  <c r="P352" i="32"/>
  <c r="AK30" i="31"/>
  <c r="AD30" i="31"/>
  <c r="W30" i="31"/>
  <c r="P30" i="31"/>
  <c r="I30" i="31"/>
  <c r="Z36" i="29"/>
  <c r="Z280" i="29"/>
  <c r="Z157" i="29"/>
  <c r="H37" i="29"/>
  <c r="H158" i="29"/>
  <c r="H281" i="29"/>
  <c r="C280" i="33" l="1"/>
  <c r="U36" i="33"/>
  <c r="V36" i="33" s="1"/>
  <c r="C36" i="33"/>
  <c r="M36" i="33"/>
  <c r="M157" i="33"/>
  <c r="M280" i="33"/>
  <c r="H157" i="33"/>
  <c r="P353" i="32"/>
  <c r="C352" i="32"/>
  <c r="D352" i="32" s="1"/>
  <c r="AM30" i="31"/>
  <c r="H31" i="31"/>
  <c r="O31" i="31"/>
  <c r="V31" i="31"/>
  <c r="X158" i="29"/>
  <c r="W158" i="29" s="1"/>
  <c r="X281" i="29"/>
  <c r="W281" i="29" s="1"/>
  <c r="X37" i="29"/>
  <c r="AA36" i="29"/>
  <c r="AB36" i="29" s="1"/>
  <c r="S37" i="33" l="1"/>
  <c r="P354" i="32"/>
  <c r="C353" i="32"/>
  <c r="D353" i="32" s="1"/>
  <c r="AN30" i="31"/>
  <c r="AC31" i="31"/>
  <c r="AJ31" i="31"/>
  <c r="P37" i="29"/>
  <c r="W37" i="29"/>
  <c r="I158" i="29"/>
  <c r="P158" i="29"/>
  <c r="O159" i="29" s="1"/>
  <c r="I281" i="29"/>
  <c r="P281" i="29"/>
  <c r="O282" i="29" s="1"/>
  <c r="Y37" i="29"/>
  <c r="I37" i="29"/>
  <c r="O38" i="29"/>
  <c r="V159" i="29"/>
  <c r="V38" i="29"/>
  <c r="V282" i="29"/>
  <c r="T158" i="33" l="1"/>
  <c r="C158" i="33" s="1"/>
  <c r="T281" i="33"/>
  <c r="T37" i="33"/>
  <c r="H37" i="33" s="1"/>
  <c r="P355" i="32"/>
  <c r="C354" i="32"/>
  <c r="D354" i="32" s="1"/>
  <c r="AF30" i="31"/>
  <c r="AL31" i="31"/>
  <c r="Y30" i="31"/>
  <c r="AO30" i="31"/>
  <c r="AP30" i="31" s="1"/>
  <c r="R30" i="31"/>
  <c r="D30" i="31"/>
  <c r="K30" i="31"/>
  <c r="Z158" i="29"/>
  <c r="Z281" i="29"/>
  <c r="Z37" i="29"/>
  <c r="H159" i="29"/>
  <c r="H282" i="29"/>
  <c r="X282" i="29" s="1"/>
  <c r="W282" i="29" s="1"/>
  <c r="H38" i="29"/>
  <c r="M37" i="33" l="1"/>
  <c r="H158" i="33"/>
  <c r="H281" i="33"/>
  <c r="M281" i="33"/>
  <c r="U37" i="33"/>
  <c r="V37" i="33" s="1"/>
  <c r="M158" i="33"/>
  <c r="C281" i="33"/>
  <c r="C37" i="33"/>
  <c r="P356" i="32"/>
  <c r="C355" i="32"/>
  <c r="D355" i="32" s="1"/>
  <c r="AK31" i="31"/>
  <c r="AD31" i="31"/>
  <c r="W31" i="31"/>
  <c r="I31" i="31"/>
  <c r="AM31" i="31" s="1"/>
  <c r="P31" i="31"/>
  <c r="I282" i="29"/>
  <c r="P282" i="29"/>
  <c r="X38" i="29"/>
  <c r="W38" i="29" s="1"/>
  <c r="X159" i="29"/>
  <c r="W159" i="29" s="1"/>
  <c r="AA37" i="29"/>
  <c r="AB37" i="29" s="1"/>
  <c r="S38" i="33" l="1"/>
  <c r="P357" i="32"/>
  <c r="C356" i="32"/>
  <c r="D356" i="32" s="1"/>
  <c r="O32" i="31"/>
  <c r="H32" i="31"/>
  <c r="V32" i="31"/>
  <c r="Y38" i="29"/>
  <c r="P38" i="29"/>
  <c r="O39" i="29" s="1"/>
  <c r="I159" i="29"/>
  <c r="P159" i="29"/>
  <c r="O160" i="29" s="1"/>
  <c r="I38" i="29"/>
  <c r="O283" i="29"/>
  <c r="V283" i="29"/>
  <c r="V160" i="29"/>
  <c r="V39" i="29"/>
  <c r="T159" i="33" l="1"/>
  <c r="M159" i="33" s="1"/>
  <c r="T38" i="33"/>
  <c r="M38" i="33" s="1"/>
  <c r="T282" i="33"/>
  <c r="H282" i="33" s="1"/>
  <c r="P358" i="32"/>
  <c r="C357" i="32"/>
  <c r="D357" i="32" s="1"/>
  <c r="AN31" i="31"/>
  <c r="AC32" i="31"/>
  <c r="AJ32" i="31"/>
  <c r="Z159" i="29"/>
  <c r="Z282" i="29"/>
  <c r="Z38" i="29"/>
  <c r="H283" i="29"/>
  <c r="H160" i="29"/>
  <c r="H39" i="29"/>
  <c r="X39" i="29" s="1"/>
  <c r="H159" i="33" l="1"/>
  <c r="H38" i="33"/>
  <c r="C159" i="33"/>
  <c r="C38" i="33"/>
  <c r="M282" i="33"/>
  <c r="U38" i="33"/>
  <c r="V38" i="33" s="1"/>
  <c r="C282" i="33"/>
  <c r="P359" i="32"/>
  <c r="C358" i="32"/>
  <c r="Y31" i="31"/>
  <c r="AL32" i="31"/>
  <c r="AF31" i="31"/>
  <c r="AO31" i="31"/>
  <c r="AP31" i="31" s="1"/>
  <c r="K31" i="31"/>
  <c r="R31" i="31"/>
  <c r="D31" i="31"/>
  <c r="P39" i="29"/>
  <c r="W39" i="29"/>
  <c r="Y39" i="29"/>
  <c r="I39" i="29"/>
  <c r="X160" i="29"/>
  <c r="W160" i="29" s="1"/>
  <c r="X283" i="29"/>
  <c r="W283" i="29" s="1"/>
  <c r="AA38" i="29"/>
  <c r="AB38" i="29" s="1"/>
  <c r="S39" i="33" l="1"/>
  <c r="D358" i="32"/>
  <c r="C359" i="32"/>
  <c r="D359" i="32" s="1"/>
  <c r="P360" i="32"/>
  <c r="AK32" i="31"/>
  <c r="AM32" i="31"/>
  <c r="AD32" i="31"/>
  <c r="W32" i="31"/>
  <c r="P32" i="31"/>
  <c r="I32" i="31"/>
  <c r="I283" i="29"/>
  <c r="P283" i="29"/>
  <c r="O284" i="29" s="1"/>
  <c r="I160" i="29"/>
  <c r="P160" i="29"/>
  <c r="O161" i="29" s="1"/>
  <c r="O40" i="29"/>
  <c r="V284" i="29"/>
  <c r="V161" i="29"/>
  <c r="V40" i="29"/>
  <c r="T160" i="33" l="1"/>
  <c r="C160" i="33" s="1"/>
  <c r="T283" i="33"/>
  <c r="H283" i="33" s="1"/>
  <c r="T39" i="33"/>
  <c r="C39" i="33" s="1"/>
  <c r="P361" i="32"/>
  <c r="C360" i="32"/>
  <c r="D360" i="32" s="1"/>
  <c r="H33" i="31"/>
  <c r="O33" i="31"/>
  <c r="V33" i="31"/>
  <c r="Z160" i="29"/>
  <c r="Z283" i="29"/>
  <c r="Z39" i="29"/>
  <c r="H284" i="29"/>
  <c r="H40" i="29"/>
  <c r="H161" i="29"/>
  <c r="C283" i="33" l="1"/>
  <c r="M283" i="33"/>
  <c r="M160" i="33"/>
  <c r="M39" i="33"/>
  <c r="U39" i="33"/>
  <c r="V39" i="33" s="1"/>
  <c r="H39" i="33"/>
  <c r="H160" i="33"/>
  <c r="P362" i="32"/>
  <c r="C361" i="32"/>
  <c r="D361" i="32" s="1"/>
  <c r="AJ33" i="31"/>
  <c r="AN32" i="31"/>
  <c r="AC33" i="31"/>
  <c r="X40" i="29"/>
  <c r="X284" i="29"/>
  <c r="W284" i="29" s="1"/>
  <c r="X161" i="29"/>
  <c r="W161" i="29" s="1"/>
  <c r="AA39" i="29"/>
  <c r="AB39" i="29" s="1"/>
  <c r="S40" i="33" l="1"/>
  <c r="C362" i="32"/>
  <c r="D362" i="32" s="1"/>
  <c r="P363" i="32"/>
  <c r="Y32" i="31"/>
  <c r="AL33" i="31"/>
  <c r="AO32" i="31"/>
  <c r="AP32" i="31" s="1"/>
  <c r="D32" i="31"/>
  <c r="K32" i="31"/>
  <c r="R32" i="31"/>
  <c r="AF32" i="31"/>
  <c r="P40" i="29"/>
  <c r="O41" i="29" s="1"/>
  <c r="W40" i="29"/>
  <c r="I161" i="29"/>
  <c r="P161" i="29"/>
  <c r="O162" i="29" s="1"/>
  <c r="I284" i="29"/>
  <c r="P284" i="29"/>
  <c r="O285" i="29" s="1"/>
  <c r="Y40" i="29"/>
  <c r="I40" i="29"/>
  <c r="V162" i="29"/>
  <c r="V41" i="29"/>
  <c r="V285" i="29"/>
  <c r="T40" i="33" l="1"/>
  <c r="T284" i="33"/>
  <c r="T161" i="33"/>
  <c r="C161" i="33" s="1"/>
  <c r="C363" i="32"/>
  <c r="D363" i="32" s="1"/>
  <c r="P364" i="32"/>
  <c r="AK33" i="31"/>
  <c r="AM33" i="31"/>
  <c r="AD33" i="31"/>
  <c r="W33" i="31"/>
  <c r="P33" i="31"/>
  <c r="I33" i="31"/>
  <c r="Z161" i="29"/>
  <c r="Z284" i="29"/>
  <c r="Z40" i="29"/>
  <c r="H41" i="29"/>
  <c r="H162" i="29"/>
  <c r="H285" i="29"/>
  <c r="M161" i="33" l="1"/>
  <c r="U40" i="33"/>
  <c r="V40" i="33" s="1"/>
  <c r="H40" i="33"/>
  <c r="C40" i="33"/>
  <c r="C284" i="33"/>
  <c r="H284" i="33"/>
  <c r="M40" i="33"/>
  <c r="M284" i="33"/>
  <c r="H161" i="33"/>
  <c r="P365" i="32"/>
  <c r="C364" i="32"/>
  <c r="D364" i="32" s="1"/>
  <c r="O34" i="31"/>
  <c r="H34" i="31"/>
  <c r="V34" i="31"/>
  <c r="X162" i="29"/>
  <c r="W162" i="29" s="1"/>
  <c r="X285" i="29"/>
  <c r="W285" i="29" s="1"/>
  <c r="X41" i="29"/>
  <c r="AA40" i="29"/>
  <c r="AB40" i="29" s="1"/>
  <c r="S41" i="33" l="1"/>
  <c r="P366" i="32"/>
  <c r="C365" i="32"/>
  <c r="D365" i="32" s="1"/>
  <c r="AN33" i="31"/>
  <c r="AC34" i="31"/>
  <c r="AJ34" i="31"/>
  <c r="P41" i="29"/>
  <c r="W41" i="29"/>
  <c r="I162" i="29"/>
  <c r="P162" i="29"/>
  <c r="O163" i="29" s="1"/>
  <c r="I285" i="29"/>
  <c r="P285" i="29"/>
  <c r="O286" i="29" s="1"/>
  <c r="Y41" i="29"/>
  <c r="I41" i="29"/>
  <c r="O42" i="29"/>
  <c r="V286" i="29"/>
  <c r="V42" i="29"/>
  <c r="V163" i="29"/>
  <c r="T162" i="33" l="1"/>
  <c r="M162" i="33" s="1"/>
  <c r="T41" i="33"/>
  <c r="T285" i="33"/>
  <c r="H285" i="33" s="1"/>
  <c r="C366" i="32"/>
  <c r="D366" i="32" s="1"/>
  <c r="P367" i="32"/>
  <c r="AF33" i="31"/>
  <c r="AL34" i="31"/>
  <c r="Y33" i="31"/>
  <c r="AO33" i="31"/>
  <c r="AP33" i="31" s="1"/>
  <c r="D33" i="31"/>
  <c r="R33" i="31"/>
  <c r="K33" i="31"/>
  <c r="Z162" i="29"/>
  <c r="Z285" i="29"/>
  <c r="Z41" i="29"/>
  <c r="H163" i="29"/>
  <c r="H286" i="29"/>
  <c r="H42" i="29"/>
  <c r="M285" i="33" l="1"/>
  <c r="U41" i="33"/>
  <c r="V41" i="33" s="1"/>
  <c r="C285" i="33"/>
  <c r="C41" i="33"/>
  <c r="H41" i="33"/>
  <c r="M41" i="33"/>
  <c r="C162" i="33"/>
  <c r="H162" i="33"/>
  <c r="C367" i="32"/>
  <c r="D367" i="32" s="1"/>
  <c r="P368" i="32"/>
  <c r="C368" i="32" s="1"/>
  <c r="AK34" i="31"/>
  <c r="AM34" i="31"/>
  <c r="AD34" i="31"/>
  <c r="W34" i="31"/>
  <c r="I34" i="31"/>
  <c r="P34" i="31"/>
  <c r="X286" i="29"/>
  <c r="W286" i="29" s="1"/>
  <c r="X42" i="29"/>
  <c r="X163" i="29"/>
  <c r="W163" i="29" s="1"/>
  <c r="AA41" i="29"/>
  <c r="AB41" i="29" s="1"/>
  <c r="S42" i="33" l="1"/>
  <c r="D368" i="32"/>
  <c r="D369" i="32"/>
  <c r="O35" i="31"/>
  <c r="H35" i="31"/>
  <c r="V35" i="31"/>
  <c r="P42" i="29"/>
  <c r="O43" i="29" s="1"/>
  <c r="W42" i="29"/>
  <c r="I163" i="29"/>
  <c r="P163" i="29"/>
  <c r="O164" i="29" s="1"/>
  <c r="I286" i="29"/>
  <c r="P286" i="29"/>
  <c r="O287" i="29" s="1"/>
  <c r="Y42" i="29"/>
  <c r="I42" i="29"/>
  <c r="V164" i="29"/>
  <c r="V287" i="29"/>
  <c r="V43" i="29"/>
  <c r="T163" i="33" l="1"/>
  <c r="C163" i="33" s="1"/>
  <c r="T286" i="33"/>
  <c r="T42" i="33"/>
  <c r="AN34" i="31"/>
  <c r="AC35" i="31"/>
  <c r="AJ35" i="31"/>
  <c r="Z286" i="29"/>
  <c r="Z163" i="29"/>
  <c r="Z42" i="29"/>
  <c r="H43" i="29"/>
  <c r="H287" i="29"/>
  <c r="H164" i="29"/>
  <c r="X164" i="29" s="1"/>
  <c r="W164" i="29" s="1"/>
  <c r="H163" i="33" l="1"/>
  <c r="U42" i="33"/>
  <c r="V42" i="33" s="1"/>
  <c r="C42" i="33"/>
  <c r="M163" i="33"/>
  <c r="C286" i="33"/>
  <c r="M286" i="33"/>
  <c r="M42" i="33"/>
  <c r="H286" i="33"/>
  <c r="H42" i="33"/>
  <c r="Y34" i="31"/>
  <c r="AL35" i="31"/>
  <c r="AF34" i="31"/>
  <c r="D34" i="31"/>
  <c r="AO34" i="31"/>
  <c r="AP34" i="31" s="1"/>
  <c r="K34" i="31"/>
  <c r="R34" i="31"/>
  <c r="I164" i="29"/>
  <c r="P164" i="29"/>
  <c r="X287" i="29"/>
  <c r="W287" i="29" s="1"/>
  <c r="X43" i="29"/>
  <c r="AA42" i="29"/>
  <c r="AB42" i="29" s="1"/>
  <c r="S43" i="33" l="1"/>
  <c r="AK35" i="31"/>
  <c r="AM35" i="31"/>
  <c r="AD35" i="31"/>
  <c r="W35" i="31"/>
  <c r="I35" i="31"/>
  <c r="P35" i="31"/>
  <c r="P43" i="29"/>
  <c r="W43" i="29"/>
  <c r="I287" i="29"/>
  <c r="P287" i="29"/>
  <c r="O288" i="29" s="1"/>
  <c r="Y43" i="29"/>
  <c r="I43" i="29"/>
  <c r="O165" i="29"/>
  <c r="O44" i="29"/>
  <c r="V44" i="29"/>
  <c r="V288" i="29"/>
  <c r="V165" i="29"/>
  <c r="T287" i="33" l="1"/>
  <c r="C287" i="33" s="1"/>
  <c r="T164" i="33"/>
  <c r="M164" i="33" s="1"/>
  <c r="T43" i="33"/>
  <c r="M43" i="33" s="1"/>
  <c r="O36" i="31"/>
  <c r="H36" i="31"/>
  <c r="V36" i="31"/>
  <c r="Z287" i="29"/>
  <c r="Z43" i="29"/>
  <c r="Z164" i="29"/>
  <c r="H44" i="29"/>
  <c r="H288" i="29"/>
  <c r="H165" i="29"/>
  <c r="C43" i="33" l="1"/>
  <c r="H43" i="33"/>
  <c r="C164" i="33"/>
  <c r="H164" i="33"/>
  <c r="M287" i="33"/>
  <c r="H287" i="33"/>
  <c r="U43" i="33"/>
  <c r="V43" i="33" s="1"/>
  <c r="AN35" i="31"/>
  <c r="AC36" i="31"/>
  <c r="AJ36" i="31"/>
  <c r="X288" i="29"/>
  <c r="W288" i="29" s="1"/>
  <c r="X165" i="29"/>
  <c r="W165" i="29" s="1"/>
  <c r="X44" i="29"/>
  <c r="AA43" i="29"/>
  <c r="AB43" i="29" s="1"/>
  <c r="S44" i="33" l="1"/>
  <c r="Y35" i="31"/>
  <c r="AL36" i="31"/>
  <c r="AF35" i="31"/>
  <c r="K35" i="31"/>
  <c r="AO35" i="31"/>
  <c r="AP35" i="31" s="1"/>
  <c r="D35" i="31"/>
  <c r="R35" i="31"/>
  <c r="P44" i="29"/>
  <c r="W44" i="29"/>
  <c r="I288" i="29"/>
  <c r="P288" i="29"/>
  <c r="O289" i="29" s="1"/>
  <c r="I165" i="29"/>
  <c r="P165" i="29"/>
  <c r="O166" i="29" s="1"/>
  <c r="Y44" i="29"/>
  <c r="I44" i="29"/>
  <c r="O45" i="29"/>
  <c r="V45" i="29"/>
  <c r="V289" i="29"/>
  <c r="V166" i="29"/>
  <c r="T288" i="33" l="1"/>
  <c r="H288" i="33" s="1"/>
  <c r="T44" i="33"/>
  <c r="H44" i="33" s="1"/>
  <c r="T165" i="33"/>
  <c r="C165" i="33" s="1"/>
  <c r="AK36" i="31"/>
  <c r="AM36" i="31"/>
  <c r="AD36" i="31"/>
  <c r="W36" i="31"/>
  <c r="P36" i="31"/>
  <c r="I36" i="31"/>
  <c r="Z165" i="29"/>
  <c r="Z44" i="29"/>
  <c r="Z288" i="29"/>
  <c r="H166" i="29"/>
  <c r="H289" i="29"/>
  <c r="H45" i="29"/>
  <c r="X45" i="29" s="1"/>
  <c r="C288" i="33" l="1"/>
  <c r="H165" i="33"/>
  <c r="M165" i="33"/>
  <c r="C44" i="33"/>
  <c r="U44" i="33"/>
  <c r="V44" i="33" s="1"/>
  <c r="M44" i="33"/>
  <c r="M288" i="33"/>
  <c r="O37" i="31"/>
  <c r="H37" i="31"/>
  <c r="V37" i="31"/>
  <c r="P45" i="29"/>
  <c r="W45" i="29"/>
  <c r="Y45" i="29"/>
  <c r="I45" i="29"/>
  <c r="X166" i="29"/>
  <c r="W166" i="29" s="1"/>
  <c r="X289" i="29"/>
  <c r="W289" i="29" s="1"/>
  <c r="AA44" i="29"/>
  <c r="AB44" i="29" s="1"/>
  <c r="S45" i="33" l="1"/>
  <c r="AN36" i="31"/>
  <c r="AC37" i="31"/>
  <c r="AJ37" i="31"/>
  <c r="I166" i="29"/>
  <c r="P166" i="29"/>
  <c r="O167" i="29" s="1"/>
  <c r="I289" i="29"/>
  <c r="P289" i="29"/>
  <c r="O290" i="29" s="1"/>
  <c r="O46" i="29"/>
  <c r="V290" i="29"/>
  <c r="V167" i="29"/>
  <c r="V46" i="29"/>
  <c r="T45" i="33" l="1"/>
  <c r="C45" i="33" s="1"/>
  <c r="T166" i="33"/>
  <c r="M166" i="33" s="1"/>
  <c r="T289" i="33"/>
  <c r="H289" i="33" s="1"/>
  <c r="Y36" i="31"/>
  <c r="AL37" i="31"/>
  <c r="AF36" i="31"/>
  <c r="AO36" i="31"/>
  <c r="AP36" i="31" s="1"/>
  <c r="K36" i="31"/>
  <c r="D36" i="31"/>
  <c r="R36" i="31"/>
  <c r="Z289" i="29"/>
  <c r="Z45" i="29"/>
  <c r="Z166" i="29"/>
  <c r="H167" i="29"/>
  <c r="H46" i="29"/>
  <c r="X46" i="29" s="1"/>
  <c r="H290" i="29"/>
  <c r="M289" i="33" l="1"/>
  <c r="H45" i="33"/>
  <c r="M45" i="33"/>
  <c r="C166" i="33"/>
  <c r="H166" i="33"/>
  <c r="U45" i="33"/>
  <c r="V45" i="33" s="1"/>
  <c r="C289" i="33"/>
  <c r="AK37" i="31"/>
  <c r="AM37" i="31"/>
  <c r="AD37" i="31"/>
  <c r="W37" i="31"/>
  <c r="P37" i="31"/>
  <c r="I37" i="31"/>
  <c r="P46" i="29"/>
  <c r="W46" i="29"/>
  <c r="Y46" i="29"/>
  <c r="I46" i="29"/>
  <c r="X167" i="29"/>
  <c r="W167" i="29" s="1"/>
  <c r="X290" i="29"/>
  <c r="W290" i="29" s="1"/>
  <c r="AA45" i="29"/>
  <c r="AB45" i="29" s="1"/>
  <c r="S46" i="33" l="1"/>
  <c r="AJ38" i="31"/>
  <c r="O38" i="31"/>
  <c r="H38" i="31"/>
  <c r="V38" i="31"/>
  <c r="I167" i="29"/>
  <c r="P167" i="29"/>
  <c r="O168" i="29" s="1"/>
  <c r="I290" i="29"/>
  <c r="P290" i="29"/>
  <c r="O291" i="29" s="1"/>
  <c r="O47" i="29"/>
  <c r="V168" i="29"/>
  <c r="V47" i="29"/>
  <c r="V291" i="29"/>
  <c r="T290" i="33" l="1"/>
  <c r="C290" i="33" s="1"/>
  <c r="T167" i="33"/>
  <c r="T46" i="33"/>
  <c r="AN37" i="31"/>
  <c r="AC38" i="31"/>
  <c r="Z46" i="29"/>
  <c r="Z167" i="29"/>
  <c r="Z290" i="29"/>
  <c r="H168" i="29"/>
  <c r="H47" i="29"/>
  <c r="H291" i="29"/>
  <c r="H290" i="33" l="1"/>
  <c r="M290" i="33"/>
  <c r="U46" i="33"/>
  <c r="V46" i="33" s="1"/>
  <c r="C167" i="33"/>
  <c r="M46" i="33"/>
  <c r="M167" i="33"/>
  <c r="H46" i="33"/>
  <c r="H167" i="33"/>
  <c r="C46" i="33"/>
  <c r="Y37" i="31"/>
  <c r="AL38" i="31"/>
  <c r="AF37" i="31"/>
  <c r="AO37" i="31"/>
  <c r="AP37" i="31" s="1"/>
  <c r="R37" i="31"/>
  <c r="K37" i="31"/>
  <c r="D37" i="31"/>
  <c r="X47" i="29"/>
  <c r="X168" i="29"/>
  <c r="W168" i="29" s="1"/>
  <c r="X291" i="29"/>
  <c r="W291" i="29" s="1"/>
  <c r="AA46" i="29"/>
  <c r="AB46" i="29" s="1"/>
  <c r="S47" i="33" l="1"/>
  <c r="AK38" i="31"/>
  <c r="AM38" i="31"/>
  <c r="AD38" i="31"/>
  <c r="W38" i="31"/>
  <c r="I38" i="31"/>
  <c r="P38" i="31"/>
  <c r="P47" i="29"/>
  <c r="O48" i="29" s="1"/>
  <c r="W47" i="29"/>
  <c r="I291" i="29"/>
  <c r="P291" i="29"/>
  <c r="O292" i="29" s="1"/>
  <c r="I168" i="29"/>
  <c r="P168" i="29"/>
  <c r="O169" i="29" s="1"/>
  <c r="Y47" i="29"/>
  <c r="I47" i="29"/>
  <c r="V48" i="29"/>
  <c r="V169" i="29"/>
  <c r="V292" i="29"/>
  <c r="T168" i="33" l="1"/>
  <c r="C168" i="33" s="1"/>
  <c r="T291" i="33"/>
  <c r="C291" i="33" s="1"/>
  <c r="T47" i="33"/>
  <c r="H47" i="33" s="1"/>
  <c r="O39" i="31"/>
  <c r="H39" i="31"/>
  <c r="V39" i="31"/>
  <c r="Z168" i="29"/>
  <c r="Z47" i="29"/>
  <c r="Z291" i="29"/>
  <c r="H48" i="29"/>
  <c r="X48" i="29" s="1"/>
  <c r="H169" i="29"/>
  <c r="H292" i="29"/>
  <c r="H168" i="33" l="1"/>
  <c r="M168" i="33"/>
  <c r="M291" i="33"/>
  <c r="U47" i="33"/>
  <c r="V47" i="33" s="1"/>
  <c r="H291" i="33"/>
  <c r="C47" i="33"/>
  <c r="M47" i="33"/>
  <c r="AN38" i="31"/>
  <c r="AC39" i="31"/>
  <c r="AJ39" i="31"/>
  <c r="X292" i="29"/>
  <c r="W292" i="29" s="1"/>
  <c r="P48" i="29"/>
  <c r="W48" i="29"/>
  <c r="I292" i="29"/>
  <c r="P292" i="29"/>
  <c r="Y48" i="29"/>
  <c r="I48" i="29"/>
  <c r="X169" i="29"/>
  <c r="W169" i="29" s="1"/>
  <c r="AA47" i="29"/>
  <c r="AB47" i="29" s="1"/>
  <c r="S48" i="33" l="1"/>
  <c r="Y38" i="31"/>
  <c r="AL39" i="31"/>
  <c r="AF38" i="31"/>
  <c r="K38" i="31"/>
  <c r="AO38" i="31"/>
  <c r="AP38" i="31" s="1"/>
  <c r="D38" i="31"/>
  <c r="R38" i="31"/>
  <c r="I169" i="29"/>
  <c r="P169" i="29"/>
  <c r="O170" i="29" s="1"/>
  <c r="O293" i="29"/>
  <c r="O49" i="29"/>
  <c r="V170" i="29"/>
  <c r="V49" i="29"/>
  <c r="V293" i="29"/>
  <c r="T48" i="33" l="1"/>
  <c r="M48" i="33" s="1"/>
  <c r="T169" i="33"/>
  <c r="C169" i="33" s="1"/>
  <c r="T292" i="33"/>
  <c r="H292" i="33" s="1"/>
  <c r="AK39" i="31"/>
  <c r="AM39" i="31"/>
  <c r="AD39" i="31"/>
  <c r="W39" i="31"/>
  <c r="I39" i="31"/>
  <c r="P39" i="31"/>
  <c r="Z169" i="29"/>
  <c r="Z292" i="29"/>
  <c r="Z48" i="29"/>
  <c r="H49" i="29"/>
  <c r="H170" i="29"/>
  <c r="H293" i="29"/>
  <c r="M292" i="33" l="1"/>
  <c r="C292" i="33"/>
  <c r="U48" i="33"/>
  <c r="V48" i="33" s="1"/>
  <c r="C48" i="33"/>
  <c r="H48" i="33"/>
  <c r="H169" i="33"/>
  <c r="M169" i="33"/>
  <c r="O40" i="31"/>
  <c r="H40" i="31"/>
  <c r="V40" i="31"/>
  <c r="X170" i="29"/>
  <c r="W170" i="29" s="1"/>
  <c r="X293" i="29"/>
  <c r="W293" i="29" s="1"/>
  <c r="X49" i="29"/>
  <c r="AA48" i="29"/>
  <c r="AB48" i="29" s="1"/>
  <c r="S49" i="33" l="1"/>
  <c r="AN39" i="31"/>
  <c r="AC40" i="31"/>
  <c r="Y39" i="31"/>
  <c r="AJ40" i="31"/>
  <c r="AF39" i="31"/>
  <c r="P49" i="29"/>
  <c r="O50" i="29" s="1"/>
  <c r="W49" i="29"/>
  <c r="I170" i="29"/>
  <c r="P170" i="29"/>
  <c r="O171" i="29" s="1"/>
  <c r="I293" i="29"/>
  <c r="P293" i="29"/>
  <c r="O294" i="29" s="1"/>
  <c r="Y49" i="29"/>
  <c r="I49" i="29"/>
  <c r="V294" i="29"/>
  <c r="V50" i="29"/>
  <c r="V171" i="29"/>
  <c r="T293" i="33" l="1"/>
  <c r="M293" i="33" s="1"/>
  <c r="T49" i="33"/>
  <c r="M49" i="33" s="1"/>
  <c r="T170" i="33"/>
  <c r="AL40" i="31"/>
  <c r="AO39" i="31"/>
  <c r="AP39" i="31" s="1"/>
  <c r="R39" i="31"/>
  <c r="K39" i="31"/>
  <c r="D39" i="31"/>
  <c r="Z293" i="29"/>
  <c r="Z170" i="29"/>
  <c r="Z49" i="29"/>
  <c r="H294" i="29"/>
  <c r="H171" i="29"/>
  <c r="H50" i="29"/>
  <c r="X50" i="29" s="1"/>
  <c r="H293" i="33" l="1"/>
  <c r="C49" i="33"/>
  <c r="H49" i="33"/>
  <c r="H170" i="33"/>
  <c r="M170" i="33"/>
  <c r="C170" i="33"/>
  <c r="U49" i="33"/>
  <c r="V49" i="33" s="1"/>
  <c r="C293" i="33"/>
  <c r="AK40" i="31"/>
  <c r="AM40" i="31"/>
  <c r="AD40" i="31"/>
  <c r="W40" i="31"/>
  <c r="V41" i="31" s="1"/>
  <c r="P40" i="31"/>
  <c r="I40" i="31"/>
  <c r="P50" i="29"/>
  <c r="W50" i="29"/>
  <c r="X171" i="29"/>
  <c r="W171" i="29" s="1"/>
  <c r="Y50" i="29"/>
  <c r="I50" i="29"/>
  <c r="X294" i="29"/>
  <c r="W294" i="29" s="1"/>
  <c r="AA49" i="29"/>
  <c r="AB49" i="29" s="1"/>
  <c r="S50" i="33" l="1"/>
  <c r="H41" i="31"/>
  <c r="O41" i="31"/>
  <c r="I294" i="29"/>
  <c r="P294" i="29"/>
  <c r="O295" i="29" s="1"/>
  <c r="I171" i="29"/>
  <c r="P171" i="29"/>
  <c r="O172" i="29" s="1"/>
  <c r="O51" i="29"/>
  <c r="V295" i="29"/>
  <c r="V172" i="29"/>
  <c r="V51" i="29"/>
  <c r="T171" i="33" l="1"/>
  <c r="H171" i="33" s="1"/>
  <c r="T294" i="33"/>
  <c r="C294" i="33" s="1"/>
  <c r="T50" i="33"/>
  <c r="AJ41" i="31"/>
  <c r="AN40" i="31"/>
  <c r="AC41" i="31"/>
  <c r="Z171" i="29"/>
  <c r="Z294" i="29"/>
  <c r="Z50" i="29"/>
  <c r="H295" i="29"/>
  <c r="H51" i="29"/>
  <c r="H172" i="29"/>
  <c r="M294" i="33" l="1"/>
  <c r="U50" i="33"/>
  <c r="V50" i="33" s="1"/>
  <c r="M50" i="33"/>
  <c r="C50" i="33"/>
  <c r="M171" i="33"/>
  <c r="C171" i="33"/>
  <c r="H294" i="33"/>
  <c r="H50" i="33"/>
  <c r="Y40" i="31"/>
  <c r="AL41" i="31"/>
  <c r="R40" i="31"/>
  <c r="AO40" i="31"/>
  <c r="AP40" i="31" s="1"/>
  <c r="D40" i="31"/>
  <c r="K40" i="31"/>
  <c r="AF40" i="31"/>
  <c r="X172" i="29"/>
  <c r="W172" i="29" s="1"/>
  <c r="X295" i="29"/>
  <c r="W295" i="29" s="1"/>
  <c r="X51" i="29"/>
  <c r="AA50" i="29"/>
  <c r="AB50" i="29" s="1"/>
  <c r="S51" i="33" l="1"/>
  <c r="AK41" i="31"/>
  <c r="AM41" i="31"/>
  <c r="AD41" i="31"/>
  <c r="W41" i="31"/>
  <c r="I41" i="31"/>
  <c r="P41" i="31"/>
  <c r="P51" i="29"/>
  <c r="W51" i="29"/>
  <c r="I295" i="29"/>
  <c r="P295" i="29"/>
  <c r="O296" i="29" s="1"/>
  <c r="I172" i="29"/>
  <c r="P172" i="29"/>
  <c r="O173" i="29" s="1"/>
  <c r="Y51" i="29"/>
  <c r="I51" i="29"/>
  <c r="O52" i="29"/>
  <c r="V296" i="29"/>
  <c r="V52" i="29"/>
  <c r="V173" i="29"/>
  <c r="T295" i="33" l="1"/>
  <c r="C295" i="33" s="1"/>
  <c r="T172" i="33"/>
  <c r="C172" i="33" s="1"/>
  <c r="T51" i="33"/>
  <c r="C51" i="33" s="1"/>
  <c r="H42" i="31"/>
  <c r="O42" i="31"/>
  <c r="V42" i="31"/>
  <c r="Z295" i="29"/>
  <c r="Z172" i="29"/>
  <c r="Z51" i="29"/>
  <c r="H296" i="29"/>
  <c r="H52" i="29"/>
  <c r="H173" i="29"/>
  <c r="H295" i="33" l="1"/>
  <c r="H51" i="33"/>
  <c r="M295" i="33"/>
  <c r="M51" i="33"/>
  <c r="M172" i="33"/>
  <c r="U51" i="33"/>
  <c r="V51" i="33" s="1"/>
  <c r="H172" i="33"/>
  <c r="AJ42" i="31"/>
  <c r="AN41" i="31"/>
  <c r="AC42" i="31"/>
  <c r="X173" i="29"/>
  <c r="W173" i="29" s="1"/>
  <c r="I173" i="29"/>
  <c r="P173" i="29"/>
  <c r="X52" i="29"/>
  <c r="X296" i="29"/>
  <c r="W296" i="29" s="1"/>
  <c r="AA51" i="29"/>
  <c r="AB51" i="29" s="1"/>
  <c r="S52" i="33" l="1"/>
  <c r="Y41" i="31"/>
  <c r="AL42" i="31"/>
  <c r="K41" i="31"/>
  <c r="AO41" i="31"/>
  <c r="AP41" i="31" s="1"/>
  <c r="D41" i="31"/>
  <c r="R41" i="31"/>
  <c r="AF41" i="31"/>
  <c r="P52" i="29"/>
  <c r="W52" i="29"/>
  <c r="I296" i="29"/>
  <c r="P296" i="29"/>
  <c r="O297" i="29" s="1"/>
  <c r="Y52" i="29"/>
  <c r="I52" i="29"/>
  <c r="O53" i="29"/>
  <c r="O174" i="29"/>
  <c r="V174" i="29"/>
  <c r="V297" i="29"/>
  <c r="V53" i="29"/>
  <c r="T52" i="33" l="1"/>
  <c r="C52" i="33" s="1"/>
  <c r="T173" i="33"/>
  <c r="C173" i="33" s="1"/>
  <c r="T296" i="33"/>
  <c r="AK42" i="31"/>
  <c r="AM42" i="31"/>
  <c r="AD42" i="31"/>
  <c r="W42" i="31"/>
  <c r="P42" i="31"/>
  <c r="I42" i="31"/>
  <c r="Z173" i="29"/>
  <c r="Z52" i="29"/>
  <c r="Z296" i="29"/>
  <c r="H53" i="29"/>
  <c r="H174" i="29"/>
  <c r="H297" i="29"/>
  <c r="H52" i="33" l="1"/>
  <c r="M173" i="33"/>
  <c r="H173" i="33"/>
  <c r="U52" i="33"/>
  <c r="V52" i="33" s="1"/>
  <c r="M52" i="33"/>
  <c r="C296" i="33"/>
  <c r="M296" i="33"/>
  <c r="H296" i="33"/>
  <c r="H43" i="31"/>
  <c r="O43" i="31"/>
  <c r="V43" i="31"/>
  <c r="X297" i="29"/>
  <c r="W297" i="29" s="1"/>
  <c r="X53" i="29"/>
  <c r="X174" i="29"/>
  <c r="W174" i="29" s="1"/>
  <c r="AA52" i="29"/>
  <c r="AB52" i="29" s="1"/>
  <c r="S53" i="33" l="1"/>
  <c r="AJ43" i="31"/>
  <c r="AN42" i="31"/>
  <c r="AC43" i="31"/>
  <c r="P297" i="29"/>
  <c r="O298" i="29" s="1"/>
  <c r="I297" i="29"/>
  <c r="P53" i="29"/>
  <c r="W53" i="29"/>
  <c r="I174" i="29"/>
  <c r="P174" i="29"/>
  <c r="O175" i="29" s="1"/>
  <c r="Y53" i="29"/>
  <c r="I53" i="29"/>
  <c r="O54" i="29"/>
  <c r="V175" i="29"/>
  <c r="V54" i="29"/>
  <c r="V298" i="29"/>
  <c r="T297" i="33" l="1"/>
  <c r="M297" i="33" s="1"/>
  <c r="T53" i="33"/>
  <c r="T174" i="33"/>
  <c r="M174" i="33" s="1"/>
  <c r="Y42" i="31"/>
  <c r="AL43" i="31"/>
  <c r="D42" i="31"/>
  <c r="AO42" i="31"/>
  <c r="AP42" i="31" s="1"/>
  <c r="R42" i="31"/>
  <c r="K42" i="31"/>
  <c r="AF42" i="31"/>
  <c r="Z174" i="29"/>
  <c r="Z297" i="29"/>
  <c r="Z53" i="29"/>
  <c r="H54" i="29"/>
  <c r="H298" i="29"/>
  <c r="H175" i="29"/>
  <c r="H297" i="33" l="1"/>
  <c r="C174" i="33"/>
  <c r="H174" i="33"/>
  <c r="U53" i="33"/>
  <c r="V53" i="33" s="1"/>
  <c r="C53" i="33"/>
  <c r="M53" i="33"/>
  <c r="H53" i="33"/>
  <c r="C297" i="33"/>
  <c r="AK43" i="31"/>
  <c r="AM43" i="31"/>
  <c r="AD43" i="31"/>
  <c r="W43" i="31"/>
  <c r="V44" i="31" s="1"/>
  <c r="I43" i="31"/>
  <c r="P43" i="31"/>
  <c r="X298" i="29"/>
  <c r="W298" i="29" s="1"/>
  <c r="X54" i="29"/>
  <c r="X175" i="29"/>
  <c r="W175" i="29" s="1"/>
  <c r="AA53" i="29"/>
  <c r="AB53" i="29" s="1"/>
  <c r="S54" i="33" l="1"/>
  <c r="O44" i="31"/>
  <c r="H44" i="31"/>
  <c r="P54" i="29"/>
  <c r="O55" i="29" s="1"/>
  <c r="W54" i="29"/>
  <c r="I175" i="29"/>
  <c r="P175" i="29"/>
  <c r="O176" i="29" s="1"/>
  <c r="I298" i="29"/>
  <c r="P298" i="29"/>
  <c r="O299" i="29" s="1"/>
  <c r="Y54" i="29"/>
  <c r="I54" i="29"/>
  <c r="V176" i="29"/>
  <c r="V299" i="29"/>
  <c r="V55" i="29"/>
  <c r="T298" i="33" l="1"/>
  <c r="T175" i="33"/>
  <c r="C175" i="33" s="1"/>
  <c r="T54" i="33"/>
  <c r="M54" i="33" s="1"/>
  <c r="AN43" i="31"/>
  <c r="AL44" i="31" s="1"/>
  <c r="AC44" i="31"/>
  <c r="AJ44" i="31"/>
  <c r="Z298" i="29"/>
  <c r="Z175" i="29"/>
  <c r="Z54" i="29"/>
  <c r="H299" i="29"/>
  <c r="H176" i="29"/>
  <c r="X176" i="29" s="1"/>
  <c r="W176" i="29" s="1"/>
  <c r="H55" i="29"/>
  <c r="X55" i="29" s="1"/>
  <c r="M175" i="33" l="1"/>
  <c r="C54" i="33"/>
  <c r="H175" i="33"/>
  <c r="C298" i="33"/>
  <c r="M298" i="33"/>
  <c r="U54" i="33"/>
  <c r="V54" i="33" s="1"/>
  <c r="H298" i="33"/>
  <c r="H54" i="33"/>
  <c r="R43" i="31"/>
  <c r="AO43" i="31"/>
  <c r="AP43" i="31" s="1"/>
  <c r="K43" i="31"/>
  <c r="D43" i="31"/>
  <c r="AF43" i="31"/>
  <c r="Y43" i="31"/>
  <c r="P55" i="29"/>
  <c r="W55" i="29"/>
  <c r="I176" i="29"/>
  <c r="P176" i="29"/>
  <c r="Y55" i="29"/>
  <c r="I55" i="29"/>
  <c r="X299" i="29"/>
  <c r="W299" i="29" s="1"/>
  <c r="AA54" i="29"/>
  <c r="AB54" i="29" s="1"/>
  <c r="S55" i="33" l="1"/>
  <c r="AK44" i="31"/>
  <c r="AM44" i="31"/>
  <c r="AD44" i="31"/>
  <c r="W44" i="31"/>
  <c r="I44" i="31"/>
  <c r="P44" i="31"/>
  <c r="I299" i="29"/>
  <c r="P299" i="29"/>
  <c r="O300" i="29" s="1"/>
  <c r="O56" i="29"/>
  <c r="O177" i="29"/>
  <c r="V177" i="29"/>
  <c r="V300" i="29"/>
  <c r="V56" i="29"/>
  <c r="T299" i="33" l="1"/>
  <c r="T55" i="33"/>
  <c r="T176" i="33"/>
  <c r="H176" i="33" s="1"/>
  <c r="V45" i="31"/>
  <c r="O45" i="31"/>
  <c r="H45" i="31"/>
  <c r="Z176" i="29"/>
  <c r="Z55" i="29"/>
  <c r="Z299" i="29"/>
  <c r="H56" i="29"/>
  <c r="H300" i="29"/>
  <c r="H177" i="29"/>
  <c r="C176" i="33" l="1"/>
  <c r="M176" i="33"/>
  <c r="H299" i="33"/>
  <c r="U55" i="33"/>
  <c r="V55" i="33" s="1"/>
  <c r="H55" i="33"/>
  <c r="C55" i="33"/>
  <c r="M55" i="33"/>
  <c r="C299" i="33"/>
  <c r="M299" i="33"/>
  <c r="AN44" i="31"/>
  <c r="AC45" i="31"/>
  <c r="AJ45" i="31"/>
  <c r="X300" i="29"/>
  <c r="W300" i="29" s="1"/>
  <c r="X177" i="29"/>
  <c r="W177" i="29" s="1"/>
  <c r="X56" i="29"/>
  <c r="AA55" i="29"/>
  <c r="AB55" i="29" s="1"/>
  <c r="S56" i="33" l="1"/>
  <c r="AL45" i="31"/>
  <c r="Y44" i="31"/>
  <c r="AO44" i="31"/>
  <c r="AP44" i="31" s="1"/>
  <c r="R44" i="31"/>
  <c r="K44" i="31"/>
  <c r="D44" i="31"/>
  <c r="AF44" i="31"/>
  <c r="P56" i="29"/>
  <c r="O57" i="29" s="1"/>
  <c r="W56" i="29"/>
  <c r="I177" i="29"/>
  <c r="P177" i="29"/>
  <c r="O178" i="29" s="1"/>
  <c r="I300" i="29"/>
  <c r="P300" i="29"/>
  <c r="O301" i="29" s="1"/>
  <c r="Y56" i="29"/>
  <c r="I56" i="29"/>
  <c r="V57" i="29"/>
  <c r="V301" i="29"/>
  <c r="V178" i="29"/>
  <c r="T300" i="33" l="1"/>
  <c r="C300" i="33" s="1"/>
  <c r="T56" i="33"/>
  <c r="M56" i="33" s="1"/>
  <c r="T177" i="33"/>
  <c r="AK45" i="31"/>
  <c r="AM45" i="31"/>
  <c r="AD45" i="31"/>
  <c r="W45" i="31"/>
  <c r="P45" i="31"/>
  <c r="I45" i="31"/>
  <c r="Z56" i="29"/>
  <c r="Z177" i="29"/>
  <c r="Z300" i="29"/>
  <c r="H57" i="29"/>
  <c r="H178" i="29"/>
  <c r="H301" i="29"/>
  <c r="X301" i="29" s="1"/>
  <c r="W301" i="29" s="1"/>
  <c r="M300" i="33" l="1"/>
  <c r="C56" i="33"/>
  <c r="H300" i="33"/>
  <c r="H56" i="33"/>
  <c r="M177" i="33"/>
  <c r="H177" i="33"/>
  <c r="U56" i="33"/>
  <c r="V56" i="33" s="1"/>
  <c r="C177" i="33"/>
  <c r="V46" i="31"/>
  <c r="H46" i="31"/>
  <c r="O46" i="31"/>
  <c r="I301" i="29"/>
  <c r="P301" i="29"/>
  <c r="X178" i="29"/>
  <c r="W178" i="29" s="1"/>
  <c r="X57" i="29"/>
  <c r="AA56" i="29"/>
  <c r="AB56" i="29" s="1"/>
  <c r="S57" i="33" l="1"/>
  <c r="AJ46" i="31"/>
  <c r="AN45" i="31"/>
  <c r="AC46" i="31"/>
  <c r="P57" i="29"/>
  <c r="W57" i="29"/>
  <c r="I178" i="29"/>
  <c r="P178" i="29"/>
  <c r="O179" i="29" s="1"/>
  <c r="Y57" i="29"/>
  <c r="I57" i="29"/>
  <c r="O58" i="29"/>
  <c r="O302" i="29"/>
  <c r="V58" i="29"/>
  <c r="V302" i="29"/>
  <c r="V179" i="29"/>
  <c r="T57" i="33" l="1"/>
  <c r="C57" i="33" s="1"/>
  <c r="T178" i="33"/>
  <c r="T301" i="33"/>
  <c r="H301" i="33" s="1"/>
  <c r="Y45" i="31"/>
  <c r="AL46" i="31"/>
  <c r="K45" i="31"/>
  <c r="AO45" i="31"/>
  <c r="AP45" i="31" s="1"/>
  <c r="R45" i="31"/>
  <c r="D45" i="31"/>
  <c r="AF45" i="31"/>
  <c r="Z178" i="29"/>
  <c r="Z57" i="29"/>
  <c r="Z301" i="29"/>
  <c r="H302" i="29"/>
  <c r="H58" i="29"/>
  <c r="H179" i="29"/>
  <c r="H57" i="33" l="1"/>
  <c r="U57" i="33"/>
  <c r="V57" i="33" s="1"/>
  <c r="C178" i="33"/>
  <c r="H178" i="33"/>
  <c r="M301" i="33"/>
  <c r="C301" i="33"/>
  <c r="M178" i="33"/>
  <c r="M57" i="33"/>
  <c r="AK46" i="31"/>
  <c r="AM46" i="31"/>
  <c r="AD46" i="31"/>
  <c r="W46" i="31"/>
  <c r="V47" i="31" s="1"/>
  <c r="I46" i="31"/>
  <c r="P46" i="31"/>
  <c r="X58" i="29"/>
  <c r="X179" i="29"/>
  <c r="W179" i="29" s="1"/>
  <c r="X302" i="29"/>
  <c r="W302" i="29" s="1"/>
  <c r="AA57" i="29"/>
  <c r="AB57" i="29" s="1"/>
  <c r="S58" i="33" l="1"/>
  <c r="O47" i="31"/>
  <c r="H47" i="31"/>
  <c r="P58" i="29"/>
  <c r="O59" i="29" s="1"/>
  <c r="W58" i="29"/>
  <c r="V59" i="29" s="1"/>
  <c r="I179" i="29"/>
  <c r="P179" i="29"/>
  <c r="O180" i="29" s="1"/>
  <c r="I302" i="29"/>
  <c r="P302" i="29"/>
  <c r="O303" i="29" s="1"/>
  <c r="Y58" i="29"/>
  <c r="I58" i="29"/>
  <c r="V303" i="29"/>
  <c r="V180" i="29"/>
  <c r="T302" i="33" l="1"/>
  <c r="C302" i="33" s="1"/>
  <c r="T58" i="33"/>
  <c r="C58" i="33" s="1"/>
  <c r="T179" i="33"/>
  <c r="AN46" i="31"/>
  <c r="AC47" i="31"/>
  <c r="AJ47" i="31"/>
  <c r="Z58" i="29"/>
  <c r="Z179" i="29"/>
  <c r="Z302" i="29"/>
  <c r="H303" i="29"/>
  <c r="H59" i="29"/>
  <c r="H180" i="29"/>
  <c r="M58" i="33" l="1"/>
  <c r="H58" i="33"/>
  <c r="H302" i="33"/>
  <c r="C179" i="33"/>
  <c r="M179" i="33"/>
  <c r="H179" i="33"/>
  <c r="U58" i="33"/>
  <c r="V58" i="33" s="1"/>
  <c r="M302" i="33"/>
  <c r="Y46" i="31"/>
  <c r="AL47" i="31"/>
  <c r="AF46" i="31"/>
  <c r="R46" i="31"/>
  <c r="AO46" i="31"/>
  <c r="AP46" i="31" s="1"/>
  <c r="K46" i="31"/>
  <c r="D46" i="31"/>
  <c r="X180" i="29"/>
  <c r="W180" i="29" s="1"/>
  <c r="X59" i="29"/>
  <c r="X303" i="29"/>
  <c r="W303" i="29" s="1"/>
  <c r="AA58" i="29"/>
  <c r="AB58" i="29" s="1"/>
  <c r="S59" i="33" l="1"/>
  <c r="AK47" i="31"/>
  <c r="AM47" i="31"/>
  <c r="AD47" i="31"/>
  <c r="W47" i="31"/>
  <c r="I47" i="31"/>
  <c r="P47" i="31"/>
  <c r="P59" i="29"/>
  <c r="W59" i="29"/>
  <c r="I303" i="29"/>
  <c r="P303" i="29"/>
  <c r="O304" i="29" s="1"/>
  <c r="I180" i="29"/>
  <c r="P180" i="29"/>
  <c r="O181" i="29" s="1"/>
  <c r="Y59" i="29"/>
  <c r="I59" i="29"/>
  <c r="O60" i="29"/>
  <c r="V304" i="29"/>
  <c r="V60" i="29"/>
  <c r="V181" i="29"/>
  <c r="T303" i="33" l="1"/>
  <c r="C303" i="33" s="1"/>
  <c r="T59" i="33"/>
  <c r="H59" i="33" s="1"/>
  <c r="T180" i="33"/>
  <c r="H180" i="33" s="1"/>
  <c r="O48" i="31"/>
  <c r="H48" i="31"/>
  <c r="V48" i="31"/>
  <c r="Z180" i="29"/>
  <c r="Z303" i="29"/>
  <c r="Z59" i="29"/>
  <c r="H304" i="29"/>
  <c r="H181" i="29"/>
  <c r="H60" i="29"/>
  <c r="X60" i="29" s="1"/>
  <c r="M180" i="33" l="1"/>
  <c r="C180" i="33"/>
  <c r="H303" i="33"/>
  <c r="M303" i="33"/>
  <c r="C59" i="33"/>
  <c r="M59" i="33"/>
  <c r="U59" i="33"/>
  <c r="V59" i="33" s="1"/>
  <c r="AN47" i="31"/>
  <c r="AC48" i="31"/>
  <c r="AJ48" i="31"/>
  <c r="P60" i="29"/>
  <c r="W60" i="29"/>
  <c r="X181" i="29"/>
  <c r="W181" i="29" s="1"/>
  <c r="Y60" i="29"/>
  <c r="I60" i="29"/>
  <c r="X304" i="29"/>
  <c r="W304" i="29" s="1"/>
  <c r="AA59" i="29"/>
  <c r="AB59" i="29" s="1"/>
  <c r="S60" i="33" l="1"/>
  <c r="AF47" i="31"/>
  <c r="AL48" i="31"/>
  <c r="Y47" i="31"/>
  <c r="K47" i="31"/>
  <c r="AO47" i="31"/>
  <c r="AP47" i="31" s="1"/>
  <c r="D47" i="31"/>
  <c r="R47" i="31"/>
  <c r="I181" i="29"/>
  <c r="P181" i="29"/>
  <c r="O182" i="29" s="1"/>
  <c r="I304" i="29"/>
  <c r="P304" i="29"/>
  <c r="O305" i="29" s="1"/>
  <c r="O61" i="29"/>
  <c r="V182" i="29"/>
  <c r="V61" i="29"/>
  <c r="V305" i="29"/>
  <c r="T181" i="33" l="1"/>
  <c r="H181" i="33" s="1"/>
  <c r="T304" i="33"/>
  <c r="M304" i="33" s="1"/>
  <c r="T60" i="33"/>
  <c r="C60" i="33" s="1"/>
  <c r="AK48" i="31"/>
  <c r="AM48" i="31"/>
  <c r="AD48" i="31"/>
  <c r="W48" i="31"/>
  <c r="I48" i="31"/>
  <c r="P48" i="31"/>
  <c r="Z304" i="29"/>
  <c r="Z181" i="29"/>
  <c r="Z60" i="29"/>
  <c r="H61" i="29"/>
  <c r="H182" i="29"/>
  <c r="H305" i="29"/>
  <c r="C304" i="33" l="1"/>
  <c r="M181" i="33"/>
  <c r="C181" i="33"/>
  <c r="M60" i="33"/>
  <c r="U60" i="33"/>
  <c r="V60" i="33" s="1"/>
  <c r="H60" i="33"/>
  <c r="H304" i="33"/>
  <c r="O49" i="31"/>
  <c r="H49" i="31"/>
  <c r="V49" i="31"/>
  <c r="X305" i="29"/>
  <c r="W305" i="29" s="1"/>
  <c r="X182" i="29"/>
  <c r="W182" i="29" s="1"/>
  <c r="X61" i="29"/>
  <c r="AA60" i="29"/>
  <c r="AB60" i="29" s="1"/>
  <c r="S61" i="33" l="1"/>
  <c r="AN48" i="31"/>
  <c r="AC49" i="31"/>
  <c r="AJ49" i="31"/>
  <c r="P305" i="29"/>
  <c r="O306" i="29" s="1"/>
  <c r="I305" i="29"/>
  <c r="P61" i="29"/>
  <c r="O62" i="29" s="1"/>
  <c r="W61" i="29"/>
  <c r="I182" i="29"/>
  <c r="P182" i="29"/>
  <c r="O183" i="29" s="1"/>
  <c r="Y61" i="29"/>
  <c r="I61" i="29"/>
  <c r="V183" i="29"/>
  <c r="V62" i="29"/>
  <c r="V306" i="29"/>
  <c r="T182" i="33" l="1"/>
  <c r="C182" i="33" s="1"/>
  <c r="T61" i="33"/>
  <c r="M61" i="33" s="1"/>
  <c r="T305" i="33"/>
  <c r="M305" i="33" s="1"/>
  <c r="Y48" i="31"/>
  <c r="AL49" i="31"/>
  <c r="AF48" i="31"/>
  <c r="K48" i="31"/>
  <c r="AO48" i="31"/>
  <c r="AP48" i="31" s="1"/>
  <c r="R48" i="31"/>
  <c r="D48" i="31"/>
  <c r="Z182" i="29"/>
  <c r="Z305" i="29"/>
  <c r="Z61" i="29"/>
  <c r="H62" i="29"/>
  <c r="H306" i="29"/>
  <c r="H183" i="29"/>
  <c r="M182" i="33" l="1"/>
  <c r="H305" i="33"/>
  <c r="H61" i="33"/>
  <c r="U61" i="33"/>
  <c r="V61" i="33" s="1"/>
  <c r="C61" i="33"/>
  <c r="H182" i="33"/>
  <c r="C305" i="33"/>
  <c r="AK49" i="31"/>
  <c r="AM49" i="31"/>
  <c r="AD49" i="31"/>
  <c r="W49" i="31"/>
  <c r="P49" i="31"/>
  <c r="I49" i="31"/>
  <c r="X62" i="29"/>
  <c r="X183" i="29"/>
  <c r="W183" i="29" s="1"/>
  <c r="X306" i="29"/>
  <c r="W306" i="29" s="1"/>
  <c r="AA61" i="29"/>
  <c r="AB61" i="29" s="1"/>
  <c r="S62" i="33" l="1"/>
  <c r="H50" i="31"/>
  <c r="O50" i="31"/>
  <c r="V50" i="31"/>
  <c r="P62" i="29"/>
  <c r="W62" i="29"/>
  <c r="I306" i="29"/>
  <c r="P306" i="29"/>
  <c r="O307" i="29" s="1"/>
  <c r="I183" i="29"/>
  <c r="P183" i="29"/>
  <c r="O184" i="29" s="1"/>
  <c r="Y62" i="29"/>
  <c r="I62" i="29"/>
  <c r="O63" i="29"/>
  <c r="V63" i="29"/>
  <c r="V307" i="29"/>
  <c r="V184" i="29"/>
  <c r="T183" i="33" l="1"/>
  <c r="C183" i="33" s="1"/>
  <c r="T62" i="33"/>
  <c r="M62" i="33" s="1"/>
  <c r="T306" i="33"/>
  <c r="C306" i="33" s="1"/>
  <c r="AJ50" i="31"/>
  <c r="AN49" i="31"/>
  <c r="AC50" i="31"/>
  <c r="Z62" i="29"/>
  <c r="Z306" i="29"/>
  <c r="Z183" i="29"/>
  <c r="H63" i="29"/>
  <c r="H307" i="29"/>
  <c r="H184" i="29"/>
  <c r="X184" i="29" s="1"/>
  <c r="W184" i="29" s="1"/>
  <c r="C62" i="33" l="1"/>
  <c r="H62" i="33"/>
  <c r="M183" i="33"/>
  <c r="H183" i="33"/>
  <c r="M306" i="33"/>
  <c r="H306" i="33"/>
  <c r="U62" i="33"/>
  <c r="V62" i="33" s="1"/>
  <c r="Y49" i="31"/>
  <c r="AL50" i="31"/>
  <c r="D49" i="31"/>
  <c r="AO49" i="31"/>
  <c r="AP49" i="31" s="1"/>
  <c r="K49" i="31"/>
  <c r="R49" i="31"/>
  <c r="AF49" i="31"/>
  <c r="I184" i="29"/>
  <c r="P184" i="29"/>
  <c r="X63" i="29"/>
  <c r="X307" i="29"/>
  <c r="W307" i="29" s="1"/>
  <c r="AA62" i="29"/>
  <c r="AB62" i="29" s="1"/>
  <c r="S63" i="33" l="1"/>
  <c r="AK50" i="31"/>
  <c r="AM50" i="31"/>
  <c r="AD50" i="31"/>
  <c r="W50" i="31"/>
  <c r="V51" i="31" s="1"/>
  <c r="I50" i="31"/>
  <c r="P50" i="31"/>
  <c r="I63" i="29"/>
  <c r="W63" i="29"/>
  <c r="I307" i="29"/>
  <c r="P307" i="29"/>
  <c r="O308" i="29" s="1"/>
  <c r="Y63" i="29"/>
  <c r="P63" i="29"/>
  <c r="O64" i="29" s="1"/>
  <c r="O185" i="29"/>
  <c r="V64" i="29"/>
  <c r="V308" i="29"/>
  <c r="V185" i="29"/>
  <c r="T307" i="33" l="1"/>
  <c r="M307" i="33" s="1"/>
  <c r="T184" i="33"/>
  <c r="H184" i="33" s="1"/>
  <c r="T63" i="33"/>
  <c r="H63" i="33" s="1"/>
  <c r="O51" i="31"/>
  <c r="H51" i="31"/>
  <c r="Z184" i="29"/>
  <c r="Z63" i="29"/>
  <c r="Z307" i="29"/>
  <c r="H64" i="29"/>
  <c r="H185" i="29"/>
  <c r="H308" i="29"/>
  <c r="C184" i="33" l="1"/>
  <c r="M63" i="33"/>
  <c r="H307" i="33"/>
  <c r="U63" i="33"/>
  <c r="V63" i="33" s="1"/>
  <c r="C63" i="33"/>
  <c r="M184" i="33"/>
  <c r="C307" i="33"/>
  <c r="AN50" i="31"/>
  <c r="AC51" i="31"/>
  <c r="AJ51" i="31"/>
  <c r="X308" i="29"/>
  <c r="W308" i="29" s="1"/>
  <c r="X185" i="29"/>
  <c r="W185" i="29" s="1"/>
  <c r="X64" i="29"/>
  <c r="AA63" i="29"/>
  <c r="AB63" i="29" s="1"/>
  <c r="S64" i="33" l="1"/>
  <c r="Y50" i="31"/>
  <c r="AL51" i="31"/>
  <c r="AF50" i="31"/>
  <c r="R50" i="31"/>
  <c r="AO50" i="31"/>
  <c r="AP50" i="31" s="1"/>
  <c r="K50" i="31"/>
  <c r="D50" i="31"/>
  <c r="P64" i="29"/>
  <c r="O65" i="29" s="1"/>
  <c r="W64" i="29"/>
  <c r="I185" i="29"/>
  <c r="P185" i="29"/>
  <c r="O186" i="29" s="1"/>
  <c r="I308" i="29"/>
  <c r="P308" i="29"/>
  <c r="O309" i="29" s="1"/>
  <c r="Y64" i="29"/>
  <c r="I64" i="29"/>
  <c r="V309" i="29"/>
  <c r="V65" i="29"/>
  <c r="V186" i="29"/>
  <c r="T185" i="33" l="1"/>
  <c r="M185" i="33" s="1"/>
  <c r="T64" i="33"/>
  <c r="C64" i="33" s="1"/>
  <c r="T308" i="33"/>
  <c r="C308" i="33" s="1"/>
  <c r="AK51" i="31"/>
  <c r="AM51" i="31"/>
  <c r="AD51" i="31"/>
  <c r="W51" i="31"/>
  <c r="P51" i="31"/>
  <c r="I51" i="31"/>
  <c r="Z308" i="29"/>
  <c r="Z185" i="29"/>
  <c r="Z64" i="29"/>
  <c r="H309" i="29"/>
  <c r="H186" i="29"/>
  <c r="X186" i="29" s="1"/>
  <c r="W186" i="29" s="1"/>
  <c r="H65" i="29"/>
  <c r="X65" i="29" s="1"/>
  <c r="M308" i="33" l="1"/>
  <c r="U64" i="33"/>
  <c r="V64" i="33" s="1"/>
  <c r="C185" i="33"/>
  <c r="H64" i="33"/>
  <c r="M64" i="33"/>
  <c r="H308" i="33"/>
  <c r="H185" i="33"/>
  <c r="H52" i="31"/>
  <c r="O52" i="31"/>
  <c r="V52" i="31"/>
  <c r="P65" i="29"/>
  <c r="W65" i="29"/>
  <c r="I186" i="29"/>
  <c r="P186" i="29"/>
  <c r="Y65" i="29"/>
  <c r="I65" i="29"/>
  <c r="X309" i="29"/>
  <c r="W309" i="29" s="1"/>
  <c r="AA64" i="29"/>
  <c r="AB64" i="29" s="1"/>
  <c r="S65" i="33" l="1"/>
  <c r="AJ52" i="31"/>
  <c r="AN51" i="31"/>
  <c r="AC52" i="31"/>
  <c r="I309" i="29"/>
  <c r="P309" i="29"/>
  <c r="O310" i="29" s="1"/>
  <c r="O187" i="29"/>
  <c r="O66" i="29"/>
  <c r="V187" i="29"/>
  <c r="V310" i="29"/>
  <c r="V66" i="29"/>
  <c r="T65" i="33" l="1"/>
  <c r="H65" i="33" s="1"/>
  <c r="T186" i="33"/>
  <c r="M186" i="33" s="1"/>
  <c r="T309" i="33"/>
  <c r="H309" i="33" s="1"/>
  <c r="Y51" i="31"/>
  <c r="AL52" i="31"/>
  <c r="AO51" i="31"/>
  <c r="AP51" i="31" s="1"/>
  <c r="D51" i="31"/>
  <c r="K51" i="31"/>
  <c r="R51" i="31"/>
  <c r="AF51" i="31"/>
  <c r="Z186" i="29"/>
  <c r="Z65" i="29"/>
  <c r="Z309" i="29"/>
  <c r="H187" i="29"/>
  <c r="H310" i="29"/>
  <c r="H66" i="29"/>
  <c r="C186" i="33" l="1"/>
  <c r="H186" i="33"/>
  <c r="C309" i="33"/>
  <c r="U65" i="33"/>
  <c r="V65" i="33" s="1"/>
  <c r="C65" i="33"/>
  <c r="M309" i="33"/>
  <c r="M65" i="33"/>
  <c r="AK52" i="31"/>
  <c r="AM52" i="31"/>
  <c r="AD52" i="31"/>
  <c r="W52" i="31"/>
  <c r="I52" i="31"/>
  <c r="P52" i="31"/>
  <c r="X310" i="29"/>
  <c r="W310" i="29" s="1"/>
  <c r="X66" i="29"/>
  <c r="X187" i="29"/>
  <c r="W187" i="29" s="1"/>
  <c r="AA65" i="29"/>
  <c r="AB65" i="29" s="1"/>
  <c r="S66" i="33" l="1"/>
  <c r="O53" i="31"/>
  <c r="H53" i="31"/>
  <c r="V53" i="31"/>
  <c r="P66" i="29"/>
  <c r="W66" i="29"/>
  <c r="I187" i="29"/>
  <c r="P187" i="29"/>
  <c r="O188" i="29" s="1"/>
  <c r="I310" i="29"/>
  <c r="P310" i="29"/>
  <c r="O311" i="29" s="1"/>
  <c r="Y66" i="29"/>
  <c r="I66" i="29"/>
  <c r="O67" i="29"/>
  <c r="V188" i="29"/>
  <c r="V67" i="29"/>
  <c r="V311" i="29"/>
  <c r="T66" i="33" l="1"/>
  <c r="C66" i="33" s="1"/>
  <c r="T310" i="33"/>
  <c r="C310" i="33" s="1"/>
  <c r="T187" i="33"/>
  <c r="H187" i="33" s="1"/>
  <c r="AN52" i="31"/>
  <c r="AC53" i="31"/>
  <c r="AJ53" i="31"/>
  <c r="Z66" i="29"/>
  <c r="Z310" i="29"/>
  <c r="Z187" i="29"/>
  <c r="H188" i="29"/>
  <c r="H67" i="29"/>
  <c r="H311" i="29"/>
  <c r="X311" i="29" s="1"/>
  <c r="W311" i="29" s="1"/>
  <c r="H66" i="33" l="1"/>
  <c r="C187" i="33"/>
  <c r="M187" i="33"/>
  <c r="M66" i="33"/>
  <c r="M310" i="33"/>
  <c r="U66" i="33"/>
  <c r="V66" i="33" s="1"/>
  <c r="H310" i="33"/>
  <c r="Y52" i="31"/>
  <c r="AL53" i="31"/>
  <c r="AF52" i="31"/>
  <c r="D52" i="31"/>
  <c r="AO52" i="31"/>
  <c r="AP52" i="31" s="1"/>
  <c r="K52" i="31"/>
  <c r="R52" i="31"/>
  <c r="I311" i="29"/>
  <c r="P311" i="29"/>
  <c r="X67" i="29"/>
  <c r="X188" i="29"/>
  <c r="W188" i="29" s="1"/>
  <c r="AA66" i="29"/>
  <c r="AB66" i="29" s="1"/>
  <c r="S67" i="33" l="1"/>
  <c r="AK53" i="31"/>
  <c r="AM53" i="31"/>
  <c r="AD53" i="31"/>
  <c r="W53" i="31"/>
  <c r="I53" i="31"/>
  <c r="P53" i="31"/>
  <c r="P67" i="29"/>
  <c r="W67" i="29"/>
  <c r="I188" i="29"/>
  <c r="P188" i="29"/>
  <c r="O189" i="29" s="1"/>
  <c r="Y67" i="29"/>
  <c r="I67" i="29"/>
  <c r="O68" i="29"/>
  <c r="O312" i="29"/>
  <c r="V68" i="29"/>
  <c r="V312" i="29"/>
  <c r="V189" i="29"/>
  <c r="T311" i="33" l="1"/>
  <c r="C311" i="33" s="1"/>
  <c r="T188" i="33"/>
  <c r="T67" i="33"/>
  <c r="C67" i="33" s="1"/>
  <c r="V54" i="31"/>
  <c r="H54" i="31"/>
  <c r="O54" i="31"/>
  <c r="Z67" i="29"/>
  <c r="Z188" i="29"/>
  <c r="Z311" i="29"/>
  <c r="H68" i="29"/>
  <c r="H189" i="29"/>
  <c r="H312" i="29"/>
  <c r="H311" i="33" l="1"/>
  <c r="M311" i="33"/>
  <c r="M67" i="33"/>
  <c r="M188" i="33"/>
  <c r="C188" i="33"/>
  <c r="H188" i="33"/>
  <c r="U67" i="33"/>
  <c r="V67" i="33" s="1"/>
  <c r="H67" i="33"/>
  <c r="AJ54" i="31"/>
  <c r="AN53" i="31"/>
  <c r="AC54" i="31"/>
  <c r="X312" i="29"/>
  <c r="W312" i="29" s="1"/>
  <c r="X68" i="29"/>
  <c r="X189" i="29"/>
  <c r="W189" i="29" s="1"/>
  <c r="AA67" i="29"/>
  <c r="AB67" i="29" s="1"/>
  <c r="S68" i="33" l="1"/>
  <c r="Y53" i="31"/>
  <c r="AL54" i="31"/>
  <c r="AO53" i="31"/>
  <c r="AP53" i="31" s="1"/>
  <c r="R53" i="31"/>
  <c r="D53" i="31"/>
  <c r="K53" i="31"/>
  <c r="AF53" i="31"/>
  <c r="P312" i="29"/>
  <c r="I312" i="29"/>
  <c r="P68" i="29"/>
  <c r="W68" i="29"/>
  <c r="I189" i="29"/>
  <c r="P189" i="29"/>
  <c r="O190" i="29" s="1"/>
  <c r="Y68" i="29"/>
  <c r="I68" i="29"/>
  <c r="O69" i="29"/>
  <c r="O313" i="29"/>
  <c r="V69" i="29"/>
  <c r="V313" i="29"/>
  <c r="V190" i="29"/>
  <c r="T189" i="33" l="1"/>
  <c r="C189" i="33" s="1"/>
  <c r="T68" i="33"/>
  <c r="M68" i="33" s="1"/>
  <c r="T312" i="33"/>
  <c r="H312" i="33" s="1"/>
  <c r="AK54" i="31"/>
  <c r="AM54" i="31"/>
  <c r="AD54" i="31"/>
  <c r="W54" i="31"/>
  <c r="P54" i="31"/>
  <c r="I54" i="31"/>
  <c r="Z68" i="29"/>
  <c r="Z189" i="29"/>
  <c r="Z312" i="29"/>
  <c r="H313" i="29"/>
  <c r="H69" i="29"/>
  <c r="H190" i="29"/>
  <c r="H189" i="33" l="1"/>
  <c r="C312" i="33"/>
  <c r="C68" i="33"/>
  <c r="H68" i="33"/>
  <c r="M312" i="33"/>
  <c r="U68" i="33"/>
  <c r="V68" i="33" s="1"/>
  <c r="M189" i="33"/>
  <c r="V55" i="31"/>
  <c r="H55" i="31"/>
  <c r="O55" i="31"/>
  <c r="X69" i="29"/>
  <c r="X313" i="29"/>
  <c r="W313" i="29" s="1"/>
  <c r="X190" i="29"/>
  <c r="W190" i="29" s="1"/>
  <c r="AA68" i="29"/>
  <c r="AB68" i="29" s="1"/>
  <c r="S69" i="33" l="1"/>
  <c r="AJ55" i="31"/>
  <c r="AN54" i="31"/>
  <c r="AC55" i="31"/>
  <c r="P69" i="29"/>
  <c r="O70" i="29" s="1"/>
  <c r="W69" i="29"/>
  <c r="I190" i="29"/>
  <c r="P190" i="29"/>
  <c r="O191" i="29" s="1"/>
  <c r="I313" i="29"/>
  <c r="P313" i="29"/>
  <c r="O314" i="29" s="1"/>
  <c r="Y69" i="29"/>
  <c r="I69" i="29"/>
  <c r="V70" i="29"/>
  <c r="V314" i="29"/>
  <c r="V191" i="29"/>
  <c r="T190" i="33" l="1"/>
  <c r="T69" i="33"/>
  <c r="C69" i="33" s="1"/>
  <c r="T313" i="33"/>
  <c r="C313" i="33" s="1"/>
  <c r="Y54" i="31"/>
  <c r="AL55" i="31"/>
  <c r="AO54" i="31"/>
  <c r="AP54" i="31" s="1"/>
  <c r="K54" i="31"/>
  <c r="R54" i="31"/>
  <c r="D54" i="31"/>
  <c r="AF54" i="31"/>
  <c r="Z190" i="29"/>
  <c r="Z69" i="29"/>
  <c r="Z313" i="29"/>
  <c r="H191" i="29"/>
  <c r="H70" i="29"/>
  <c r="H314" i="29"/>
  <c r="M69" i="33" l="1"/>
  <c r="H313" i="33"/>
  <c r="M313" i="33"/>
  <c r="U69" i="33"/>
  <c r="V69" i="33" s="1"/>
  <c r="C190" i="33"/>
  <c r="H69" i="33"/>
  <c r="M190" i="33"/>
  <c r="H190" i="33"/>
  <c r="AK55" i="31"/>
  <c r="AM55" i="31"/>
  <c r="AD55" i="31"/>
  <c r="W55" i="31"/>
  <c r="I55" i="31"/>
  <c r="P55" i="31"/>
  <c r="X314" i="29"/>
  <c r="W314" i="29" s="1"/>
  <c r="P314" i="29"/>
  <c r="X70" i="29"/>
  <c r="X191" i="29"/>
  <c r="W191" i="29" s="1"/>
  <c r="AA69" i="29"/>
  <c r="AB69" i="29" s="1"/>
  <c r="S70" i="33" l="1"/>
  <c r="O56" i="31"/>
  <c r="H56" i="31"/>
  <c r="V56" i="31"/>
  <c r="I314" i="29"/>
  <c r="P70" i="29"/>
  <c r="O71" i="29" s="1"/>
  <c r="W70" i="29"/>
  <c r="I191" i="29"/>
  <c r="P191" i="29"/>
  <c r="O192" i="29" s="1"/>
  <c r="Y70" i="29"/>
  <c r="I70" i="29"/>
  <c r="O315" i="29"/>
  <c r="V192" i="29"/>
  <c r="V71" i="29"/>
  <c r="V315" i="29"/>
  <c r="T70" i="33" l="1"/>
  <c r="H70" i="33" s="1"/>
  <c r="T314" i="33"/>
  <c r="H314" i="33" s="1"/>
  <c r="T191" i="33"/>
  <c r="M191" i="33" s="1"/>
  <c r="AN55" i="31"/>
  <c r="AC56" i="31"/>
  <c r="AJ56" i="31"/>
  <c r="Z191" i="29"/>
  <c r="Z314" i="29"/>
  <c r="Z70" i="29"/>
  <c r="H71" i="29"/>
  <c r="H315" i="29"/>
  <c r="H192" i="29"/>
  <c r="M70" i="33" l="1"/>
  <c r="C191" i="33"/>
  <c r="M314" i="33"/>
  <c r="U70" i="33"/>
  <c r="V70" i="33" s="1"/>
  <c r="C314" i="33"/>
  <c r="H191" i="33"/>
  <c r="C70" i="33"/>
  <c r="AF55" i="31"/>
  <c r="AL56" i="31"/>
  <c r="AO55" i="31"/>
  <c r="AP55" i="31" s="1"/>
  <c r="K55" i="31"/>
  <c r="D55" i="31"/>
  <c r="R55" i="31"/>
  <c r="Y55" i="31"/>
  <c r="X315" i="29"/>
  <c r="W315" i="29" s="1"/>
  <c r="X192" i="29"/>
  <c r="W192" i="29" s="1"/>
  <c r="X71" i="29"/>
  <c r="AA70" i="29"/>
  <c r="AB70" i="29" s="1"/>
  <c r="S71" i="33" l="1"/>
  <c r="AK56" i="31"/>
  <c r="AM56" i="31"/>
  <c r="AD56" i="31"/>
  <c r="W56" i="31"/>
  <c r="P56" i="31"/>
  <c r="I56" i="31"/>
  <c r="P71" i="29"/>
  <c r="W71" i="29"/>
  <c r="I192" i="29"/>
  <c r="P192" i="29"/>
  <c r="O193" i="29" s="1"/>
  <c r="I315" i="29"/>
  <c r="P315" i="29"/>
  <c r="O316" i="29" s="1"/>
  <c r="Y71" i="29"/>
  <c r="I71" i="29"/>
  <c r="O72" i="29"/>
  <c r="V193" i="29"/>
  <c r="V72" i="29"/>
  <c r="V316" i="29"/>
  <c r="T71" i="33" l="1"/>
  <c r="C71" i="33" s="1"/>
  <c r="T315" i="33"/>
  <c r="H315" i="33" s="1"/>
  <c r="T192" i="33"/>
  <c r="M192" i="33" s="1"/>
  <c r="O57" i="31"/>
  <c r="V57" i="31"/>
  <c r="H57" i="31"/>
  <c r="Z71" i="29"/>
  <c r="Z192" i="29"/>
  <c r="Z315" i="29"/>
  <c r="H72" i="29"/>
  <c r="H193" i="29"/>
  <c r="H316" i="29"/>
  <c r="X316" i="29" s="1"/>
  <c r="W316" i="29" s="1"/>
  <c r="H71" i="33" l="1"/>
  <c r="C315" i="33"/>
  <c r="H192" i="33"/>
  <c r="U71" i="33"/>
  <c r="V71" i="33" s="1"/>
  <c r="M315" i="33"/>
  <c r="M71" i="33"/>
  <c r="C192" i="33"/>
  <c r="AN56" i="31"/>
  <c r="AC57" i="31"/>
  <c r="AJ57" i="31"/>
  <c r="I316" i="29"/>
  <c r="P316" i="29"/>
  <c r="X193" i="29"/>
  <c r="W193" i="29" s="1"/>
  <c r="X72" i="29"/>
  <c r="AA71" i="29"/>
  <c r="AB71" i="29" s="1"/>
  <c r="S72" i="33" l="1"/>
  <c r="AL57" i="31"/>
  <c r="AO56" i="31"/>
  <c r="AP56" i="31" s="1"/>
  <c r="K56" i="31"/>
  <c r="R56" i="31"/>
  <c r="D56" i="31"/>
  <c r="AF56" i="31"/>
  <c r="Y56" i="31"/>
  <c r="P72" i="29"/>
  <c r="W72" i="29"/>
  <c r="V73" i="29" s="1"/>
  <c r="I193" i="29"/>
  <c r="P193" i="29"/>
  <c r="O194" i="29" s="1"/>
  <c r="Y72" i="29"/>
  <c r="I72" i="29"/>
  <c r="O73" i="29"/>
  <c r="O317" i="29"/>
  <c r="V194" i="29"/>
  <c r="V317" i="29"/>
  <c r="T72" i="33" l="1"/>
  <c r="H72" i="33" s="1"/>
  <c r="T193" i="33"/>
  <c r="M193" i="33" s="1"/>
  <c r="T316" i="33"/>
  <c r="H316" i="33" s="1"/>
  <c r="AK57" i="31"/>
  <c r="AM57" i="31"/>
  <c r="AD57" i="31"/>
  <c r="W57" i="31"/>
  <c r="I57" i="31"/>
  <c r="P57" i="31"/>
  <c r="Z316" i="29"/>
  <c r="Z193" i="29"/>
  <c r="Z72" i="29"/>
  <c r="H194" i="29"/>
  <c r="H317" i="29"/>
  <c r="H73" i="29"/>
  <c r="M72" i="33" l="1"/>
  <c r="U72" i="33"/>
  <c r="V72" i="33" s="1"/>
  <c r="H193" i="33"/>
  <c r="C193" i="33"/>
  <c r="C316" i="33"/>
  <c r="M316" i="33"/>
  <c r="C72" i="33"/>
  <c r="O58" i="31"/>
  <c r="H58" i="31"/>
  <c r="V58" i="31"/>
  <c r="X194" i="29"/>
  <c r="W194" i="29" s="1"/>
  <c r="I194" i="29"/>
  <c r="P194" i="29"/>
  <c r="X317" i="29"/>
  <c r="W317" i="29" s="1"/>
  <c r="X73" i="29"/>
  <c r="AA72" i="29"/>
  <c r="AB72" i="29" s="1"/>
  <c r="S73" i="33" l="1"/>
  <c r="AN57" i="31"/>
  <c r="AC58" i="31"/>
  <c r="AJ58" i="31"/>
  <c r="P73" i="29"/>
  <c r="W73" i="29"/>
  <c r="I317" i="29"/>
  <c r="P317" i="29"/>
  <c r="O318" i="29" s="1"/>
  <c r="Y73" i="29"/>
  <c r="I73" i="29"/>
  <c r="O195" i="29"/>
  <c r="O74" i="29"/>
  <c r="V318" i="29"/>
  <c r="V195" i="29"/>
  <c r="V74" i="29"/>
  <c r="T73" i="33" l="1"/>
  <c r="C73" i="33" s="1"/>
  <c r="M73" i="33"/>
  <c r="T194" i="33"/>
  <c r="M194" i="33" s="1"/>
  <c r="T317" i="33"/>
  <c r="M317" i="33" s="1"/>
  <c r="Y57" i="31"/>
  <c r="AL58" i="31"/>
  <c r="AF57" i="31"/>
  <c r="D57" i="31"/>
  <c r="AO57" i="31"/>
  <c r="AP57" i="31" s="1"/>
  <c r="K57" i="31"/>
  <c r="R57" i="31"/>
  <c r="Z317" i="29"/>
  <c r="Z194" i="29"/>
  <c r="Z73" i="29"/>
  <c r="H318" i="29"/>
  <c r="H74" i="29"/>
  <c r="H195" i="29"/>
  <c r="H73" i="33" l="1"/>
  <c r="C194" i="33"/>
  <c r="U73" i="33"/>
  <c r="V73" i="33" s="1"/>
  <c r="C317" i="33"/>
  <c r="H317" i="33"/>
  <c r="H194" i="33"/>
  <c r="AK58" i="31"/>
  <c r="AM58" i="31"/>
  <c r="AD58" i="31"/>
  <c r="W58" i="31"/>
  <c r="P58" i="31"/>
  <c r="I58" i="31"/>
  <c r="X74" i="29"/>
  <c r="X195" i="29"/>
  <c r="W195" i="29" s="1"/>
  <c r="X318" i="29"/>
  <c r="W318" i="29" s="1"/>
  <c r="AA73" i="29"/>
  <c r="AB73" i="29" s="1"/>
  <c r="S74" i="33" l="1"/>
  <c r="H59" i="31"/>
  <c r="O59" i="31"/>
  <c r="V59" i="31"/>
  <c r="P74" i="29"/>
  <c r="W74" i="29"/>
  <c r="I318" i="29"/>
  <c r="P318" i="29"/>
  <c r="O319" i="29" s="1"/>
  <c r="I195" i="29"/>
  <c r="P195" i="29"/>
  <c r="O196" i="29" s="1"/>
  <c r="Y74" i="29"/>
  <c r="I74" i="29"/>
  <c r="O75" i="29"/>
  <c r="V196" i="29"/>
  <c r="V75" i="29"/>
  <c r="V319" i="29"/>
  <c r="T195" i="33" l="1"/>
  <c r="M195" i="33" s="1"/>
  <c r="T74" i="33"/>
  <c r="T318" i="33"/>
  <c r="M318" i="33" s="1"/>
  <c r="AJ59" i="31"/>
  <c r="AN58" i="31"/>
  <c r="AC59" i="31"/>
  <c r="Z318" i="29"/>
  <c r="Z195" i="29"/>
  <c r="Z74" i="29"/>
  <c r="H319" i="29"/>
  <c r="H196" i="29"/>
  <c r="H75" i="29"/>
  <c r="X75" i="29" s="1"/>
  <c r="W75" i="29" s="1"/>
  <c r="C318" i="33" l="1"/>
  <c r="U74" i="33"/>
  <c r="V74" i="33" s="1"/>
  <c r="C74" i="33"/>
  <c r="H195" i="33"/>
  <c r="H74" i="33"/>
  <c r="M74" i="33"/>
  <c r="C195" i="33"/>
  <c r="H318" i="33"/>
  <c r="Y58" i="31"/>
  <c r="AL59" i="31"/>
  <c r="AO58" i="31"/>
  <c r="AP58" i="31" s="1"/>
  <c r="D58" i="31"/>
  <c r="R58" i="31"/>
  <c r="K58" i="31"/>
  <c r="AF58" i="31"/>
  <c r="X319" i="29"/>
  <c r="W319" i="29" s="1"/>
  <c r="I75" i="29"/>
  <c r="P75" i="29"/>
  <c r="X196" i="29"/>
  <c r="W196" i="29" s="1"/>
  <c r="AA74" i="29"/>
  <c r="AB74" i="29" s="1"/>
  <c r="AK59" i="31" l="1"/>
  <c r="AM59" i="31"/>
  <c r="AD59" i="31"/>
  <c r="W59" i="31"/>
  <c r="P59" i="31"/>
  <c r="I59" i="31"/>
  <c r="P319" i="29"/>
  <c r="O320" i="29" s="1"/>
  <c r="I319" i="29"/>
  <c r="I196" i="29"/>
  <c r="P196" i="29"/>
  <c r="O197" i="29" s="1"/>
  <c r="O76" i="29"/>
  <c r="V197" i="29"/>
  <c r="V76" i="29"/>
  <c r="V320" i="29"/>
  <c r="T319" i="33" l="1"/>
  <c r="C319" i="33" s="1"/>
  <c r="T196" i="33"/>
  <c r="C196" i="33" s="1"/>
  <c r="T75" i="33"/>
  <c r="H75" i="33" s="1"/>
  <c r="M319" i="33"/>
  <c r="S75" i="33"/>
  <c r="O60" i="31"/>
  <c r="H60" i="31"/>
  <c r="V60" i="31"/>
  <c r="Z196" i="29"/>
  <c r="Y75" i="29"/>
  <c r="Z319" i="29"/>
  <c r="Z75" i="29"/>
  <c r="H320" i="29"/>
  <c r="H197" i="29"/>
  <c r="X197" i="29" s="1"/>
  <c r="W197" i="29" s="1"/>
  <c r="H76" i="29"/>
  <c r="H319" i="33" l="1"/>
  <c r="M196" i="33"/>
  <c r="H196" i="33"/>
  <c r="U75" i="33"/>
  <c r="V75" i="33" s="1"/>
  <c r="M75" i="33"/>
  <c r="C75" i="33"/>
  <c r="AN59" i="31"/>
  <c r="AC60" i="31"/>
  <c r="AJ60" i="31"/>
  <c r="I197" i="29"/>
  <c r="P197" i="29"/>
  <c r="X320" i="29"/>
  <c r="W320" i="29" s="1"/>
  <c r="X76" i="29"/>
  <c r="AA75" i="29"/>
  <c r="AB75" i="29" s="1"/>
  <c r="S76" i="33" l="1"/>
  <c r="Y59" i="31"/>
  <c r="AL60" i="31"/>
  <c r="AF59" i="31"/>
  <c r="K59" i="31"/>
  <c r="AO59" i="31"/>
  <c r="AP59" i="31" s="1"/>
  <c r="D59" i="31"/>
  <c r="R59" i="31"/>
  <c r="P76" i="29"/>
  <c r="W76" i="29"/>
  <c r="I320" i="29"/>
  <c r="P320" i="29"/>
  <c r="O321" i="29" s="1"/>
  <c r="Y76" i="29"/>
  <c r="I76" i="29"/>
  <c r="O198" i="29"/>
  <c r="O77" i="29"/>
  <c r="V77" i="29"/>
  <c r="V198" i="29"/>
  <c r="V321" i="29"/>
  <c r="T197" i="33" l="1"/>
  <c r="C197" i="33" s="1"/>
  <c r="T76" i="33"/>
  <c r="H76" i="33" s="1"/>
  <c r="T320" i="33"/>
  <c r="C320" i="33" s="1"/>
  <c r="AK60" i="31"/>
  <c r="AM60" i="31"/>
  <c r="AD60" i="31"/>
  <c r="W60" i="31"/>
  <c r="I60" i="31"/>
  <c r="P60" i="31"/>
  <c r="Z197" i="29"/>
  <c r="Z76" i="29"/>
  <c r="Z320" i="29"/>
  <c r="H77" i="29"/>
  <c r="H321" i="29"/>
  <c r="H198" i="29"/>
  <c r="H197" i="33" l="1"/>
  <c r="M197" i="33"/>
  <c r="M320" i="33"/>
  <c r="U76" i="33"/>
  <c r="V76" i="33" s="1"/>
  <c r="C76" i="33"/>
  <c r="M76" i="33"/>
  <c r="H320" i="33"/>
  <c r="O61" i="31"/>
  <c r="H61" i="31"/>
  <c r="V61" i="31"/>
  <c r="X321" i="29"/>
  <c r="W321" i="29" s="1"/>
  <c r="X198" i="29"/>
  <c r="W198" i="29" s="1"/>
  <c r="X77" i="29"/>
  <c r="AA76" i="29"/>
  <c r="AB76" i="29" s="1"/>
  <c r="S77" i="33" l="1"/>
  <c r="AN60" i="31"/>
  <c r="AC61" i="31"/>
  <c r="AJ61" i="31"/>
  <c r="P77" i="29"/>
  <c r="W77" i="29"/>
  <c r="I198" i="29"/>
  <c r="P198" i="29"/>
  <c r="O199" i="29" s="1"/>
  <c r="I321" i="29"/>
  <c r="P321" i="29"/>
  <c r="O322" i="29" s="1"/>
  <c r="Y77" i="29"/>
  <c r="I77" i="29"/>
  <c r="O78" i="29"/>
  <c r="V322" i="29"/>
  <c r="V78" i="29"/>
  <c r="V199" i="29"/>
  <c r="T77" i="33" l="1"/>
  <c r="H77" i="33" s="1"/>
  <c r="T198" i="33"/>
  <c r="H198" i="33" s="1"/>
  <c r="T321" i="33"/>
  <c r="H321" i="33" s="1"/>
  <c r="Y60" i="31"/>
  <c r="AL61" i="31"/>
  <c r="AF60" i="31"/>
  <c r="AO60" i="31"/>
  <c r="AP60" i="31" s="1"/>
  <c r="D60" i="31"/>
  <c r="K60" i="31"/>
  <c r="R60" i="31"/>
  <c r="Z77" i="29"/>
  <c r="Z321" i="29"/>
  <c r="Z198" i="29"/>
  <c r="H199" i="29"/>
  <c r="H78" i="29"/>
  <c r="H322" i="29"/>
  <c r="M198" i="33" l="1"/>
  <c r="C77" i="33"/>
  <c r="M77" i="33"/>
  <c r="M321" i="33"/>
  <c r="C198" i="33"/>
  <c r="U77" i="33"/>
  <c r="V77" i="33" s="1"/>
  <c r="C321" i="33"/>
  <c r="AK61" i="31"/>
  <c r="AM61" i="31"/>
  <c r="AD61" i="31"/>
  <c r="W61" i="31"/>
  <c r="I61" i="31"/>
  <c r="P61" i="31"/>
  <c r="X322" i="29"/>
  <c r="W322" i="29" s="1"/>
  <c r="X78" i="29"/>
  <c r="X199" i="29"/>
  <c r="W199" i="29" s="1"/>
  <c r="AA77" i="29"/>
  <c r="AB77" i="29" s="1"/>
  <c r="S78" i="33" l="1"/>
  <c r="O62" i="31"/>
  <c r="H62" i="31"/>
  <c r="V62" i="31"/>
  <c r="P78" i="29"/>
  <c r="W78" i="29"/>
  <c r="I199" i="29"/>
  <c r="P199" i="29"/>
  <c r="O200" i="29" s="1"/>
  <c r="I322" i="29"/>
  <c r="P322" i="29"/>
  <c r="O323" i="29" s="1"/>
  <c r="Y78" i="29"/>
  <c r="I78" i="29"/>
  <c r="O79" i="29"/>
  <c r="V323" i="29"/>
  <c r="V200" i="29"/>
  <c r="V79" i="29"/>
  <c r="T78" i="33" l="1"/>
  <c r="T322" i="33"/>
  <c r="C322" i="33" s="1"/>
  <c r="T199" i="33"/>
  <c r="M199" i="33" s="1"/>
  <c r="AN61" i="31"/>
  <c r="AC62" i="31"/>
  <c r="AJ62" i="31"/>
  <c r="Z199" i="29"/>
  <c r="Z78" i="29"/>
  <c r="Z322" i="29"/>
  <c r="H79" i="29"/>
  <c r="H323" i="29"/>
  <c r="H200" i="29"/>
  <c r="H322" i="33" l="1"/>
  <c r="M322" i="33"/>
  <c r="U78" i="33"/>
  <c r="V78" i="33" s="1"/>
  <c r="C199" i="33"/>
  <c r="H199" i="33"/>
  <c r="H78" i="33"/>
  <c r="M78" i="33"/>
  <c r="C78" i="33"/>
  <c r="AF61" i="31"/>
  <c r="AL62" i="31"/>
  <c r="Y61" i="31"/>
  <c r="D61" i="31"/>
  <c r="AO61" i="31"/>
  <c r="AP61" i="31" s="1"/>
  <c r="R61" i="31"/>
  <c r="K61" i="31"/>
  <c r="X200" i="29"/>
  <c r="W200" i="29" s="1"/>
  <c r="X323" i="29"/>
  <c r="W323" i="29" s="1"/>
  <c r="X79" i="29"/>
  <c r="AA78" i="29"/>
  <c r="AB78" i="29" s="1"/>
  <c r="S79" i="33" l="1"/>
  <c r="AK62" i="31"/>
  <c r="AM62" i="31"/>
  <c r="AD62" i="31"/>
  <c r="W62" i="31"/>
  <c r="P62" i="31"/>
  <c r="I62" i="31"/>
  <c r="P79" i="29"/>
  <c r="W79" i="29"/>
  <c r="I323" i="29"/>
  <c r="P323" i="29"/>
  <c r="O324" i="29" s="1"/>
  <c r="I200" i="29"/>
  <c r="P200" i="29"/>
  <c r="O201" i="29" s="1"/>
  <c r="Y79" i="29"/>
  <c r="I79" i="29"/>
  <c r="O80" i="29"/>
  <c r="V201" i="29"/>
  <c r="V80" i="29"/>
  <c r="V324" i="29"/>
  <c r="T79" i="33" l="1"/>
  <c r="C79" i="33" s="1"/>
  <c r="T200" i="33"/>
  <c r="C200" i="33" s="1"/>
  <c r="T323" i="33"/>
  <c r="M323" i="33" s="1"/>
  <c r="H63" i="31"/>
  <c r="O63" i="31"/>
  <c r="V63" i="31"/>
  <c r="Z79" i="29"/>
  <c r="Z200" i="29"/>
  <c r="Z323" i="29"/>
  <c r="H201" i="29"/>
  <c r="H80" i="29"/>
  <c r="H324" i="29"/>
  <c r="X324" i="29" s="1"/>
  <c r="W324" i="29" s="1"/>
  <c r="H79" i="33" l="1"/>
  <c r="M79" i="33"/>
  <c r="M200" i="33"/>
  <c r="H200" i="33"/>
  <c r="H323" i="33"/>
  <c r="C323" i="33"/>
  <c r="U79" i="33"/>
  <c r="V79" i="33" s="1"/>
  <c r="AJ63" i="31"/>
  <c r="AN62" i="31"/>
  <c r="AC63" i="31"/>
  <c r="I324" i="29"/>
  <c r="P324" i="29"/>
  <c r="X80" i="29"/>
  <c r="X201" i="29"/>
  <c r="W201" i="29" s="1"/>
  <c r="AA79" i="29"/>
  <c r="AB79" i="29" s="1"/>
  <c r="S80" i="33" l="1"/>
  <c r="Y62" i="31"/>
  <c r="AL63" i="31"/>
  <c r="K62" i="31"/>
  <c r="AO62" i="31"/>
  <c r="AP62" i="31" s="1"/>
  <c r="D62" i="31"/>
  <c r="R62" i="31"/>
  <c r="AF62" i="31"/>
  <c r="P80" i="29"/>
  <c r="W80" i="29"/>
  <c r="I201" i="29"/>
  <c r="P201" i="29"/>
  <c r="O202" i="29" s="1"/>
  <c r="Y80" i="29"/>
  <c r="I80" i="29"/>
  <c r="O81" i="29"/>
  <c r="O325" i="29"/>
  <c r="V81" i="29"/>
  <c r="V325" i="29"/>
  <c r="V202" i="29"/>
  <c r="T324" i="33" l="1"/>
  <c r="C324" i="33" s="1"/>
  <c r="T201" i="33"/>
  <c r="H201" i="33" s="1"/>
  <c r="T80" i="33"/>
  <c r="M80" i="33" s="1"/>
  <c r="AK63" i="31"/>
  <c r="AM63" i="31"/>
  <c r="AD63" i="31"/>
  <c r="W63" i="31"/>
  <c r="I63" i="31"/>
  <c r="P63" i="31"/>
  <c r="Z80" i="29"/>
  <c r="Z201" i="29"/>
  <c r="Z324" i="29"/>
  <c r="H81" i="29"/>
  <c r="X81" i="29" s="1"/>
  <c r="H202" i="29"/>
  <c r="H325" i="29"/>
  <c r="C201" i="33" l="1"/>
  <c r="M324" i="33"/>
  <c r="U80" i="33"/>
  <c r="V80" i="33" s="1"/>
  <c r="M201" i="33"/>
  <c r="H80" i="33"/>
  <c r="H324" i="33"/>
  <c r="C80" i="33"/>
  <c r="O64" i="31"/>
  <c r="H64" i="31"/>
  <c r="V64" i="31"/>
  <c r="P81" i="29"/>
  <c r="W81" i="29"/>
  <c r="X325" i="29"/>
  <c r="W325" i="29" s="1"/>
  <c r="Y81" i="29"/>
  <c r="I81" i="29"/>
  <c r="X202" i="29"/>
  <c r="W202" i="29" s="1"/>
  <c r="AA80" i="29"/>
  <c r="AB80" i="29" s="1"/>
  <c r="S81" i="33" l="1"/>
  <c r="AN63" i="31"/>
  <c r="AC64" i="31"/>
  <c r="AJ64" i="31"/>
  <c r="I202" i="29"/>
  <c r="P202" i="29"/>
  <c r="O203" i="29" s="1"/>
  <c r="I325" i="29"/>
  <c r="P325" i="29"/>
  <c r="O326" i="29" s="1"/>
  <c r="O82" i="29"/>
  <c r="V326" i="29"/>
  <c r="V82" i="29"/>
  <c r="V203" i="29"/>
  <c r="T81" i="33" l="1"/>
  <c r="C81" i="33" s="1"/>
  <c r="T325" i="33"/>
  <c r="C325" i="33" s="1"/>
  <c r="T202" i="33"/>
  <c r="M202" i="33" s="1"/>
  <c r="Y63" i="31"/>
  <c r="AL64" i="31"/>
  <c r="AF63" i="31"/>
  <c r="AO63" i="31"/>
  <c r="AP63" i="31" s="1"/>
  <c r="K63" i="31"/>
  <c r="D63" i="31"/>
  <c r="R63" i="31"/>
  <c r="Z81" i="29"/>
  <c r="Z325" i="29"/>
  <c r="Z202" i="29"/>
  <c r="H82" i="29"/>
  <c r="H326" i="29"/>
  <c r="H203" i="29"/>
  <c r="H81" i="33" l="1"/>
  <c r="U81" i="33"/>
  <c r="V81" i="33" s="1"/>
  <c r="M325" i="33"/>
  <c r="H202" i="33"/>
  <c r="H325" i="33"/>
  <c r="C202" i="33"/>
  <c r="M81" i="33"/>
  <c r="AK64" i="31"/>
  <c r="AM64" i="31"/>
  <c r="AD64" i="31"/>
  <c r="W64" i="31"/>
  <c r="I64" i="31"/>
  <c r="P64" i="31"/>
  <c r="X82" i="29"/>
  <c r="Y82" i="29" s="1"/>
  <c r="I82" i="29"/>
  <c r="X326" i="29"/>
  <c r="W326" i="29" s="1"/>
  <c r="X203" i="29"/>
  <c r="W203" i="29" s="1"/>
  <c r="AA81" i="29"/>
  <c r="AB81" i="29" s="1"/>
  <c r="S82" i="33" l="1"/>
  <c r="O65" i="31"/>
  <c r="H65" i="31"/>
  <c r="V65" i="31"/>
  <c r="P82" i="29"/>
  <c r="W82" i="29"/>
  <c r="V83" i="29" s="1"/>
  <c r="I326" i="29"/>
  <c r="P326" i="29"/>
  <c r="O327" i="29" s="1"/>
  <c r="I203" i="29"/>
  <c r="P203" i="29"/>
  <c r="O204" i="29" s="1"/>
  <c r="O83" i="29"/>
  <c r="V327" i="29"/>
  <c r="V204" i="29"/>
  <c r="T203" i="33" l="1"/>
  <c r="H203" i="33" s="1"/>
  <c r="T82" i="33"/>
  <c r="H82" i="33" s="1"/>
  <c r="T326" i="33"/>
  <c r="AN64" i="31"/>
  <c r="AC65" i="31"/>
  <c r="AJ65" i="31"/>
  <c r="Z82" i="29"/>
  <c r="Z326" i="29"/>
  <c r="Z203" i="29"/>
  <c r="H204" i="29"/>
  <c r="H327" i="29"/>
  <c r="H83" i="29"/>
  <c r="M203" i="33" l="1"/>
  <c r="C203" i="33"/>
  <c r="M326" i="33"/>
  <c r="U82" i="33"/>
  <c r="V82" i="33" s="1"/>
  <c r="H326" i="33"/>
  <c r="M82" i="33"/>
  <c r="C82" i="33"/>
  <c r="C326" i="33"/>
  <c r="Y64" i="31"/>
  <c r="AL65" i="31"/>
  <c r="AF64" i="31"/>
  <c r="AO64" i="31"/>
  <c r="AP64" i="31" s="1"/>
  <c r="R64" i="31"/>
  <c r="K64" i="31"/>
  <c r="D64" i="31"/>
  <c r="X83" i="29"/>
  <c r="X204" i="29"/>
  <c r="W204" i="29" s="1"/>
  <c r="X327" i="29"/>
  <c r="W327" i="29" s="1"/>
  <c r="AA82" i="29"/>
  <c r="AB82" i="29" s="1"/>
  <c r="S83" i="33" l="1"/>
  <c r="AK65" i="31"/>
  <c r="AM65" i="31"/>
  <c r="AD65" i="31"/>
  <c r="W65" i="31"/>
  <c r="I65" i="31"/>
  <c r="P65" i="31"/>
  <c r="P83" i="29"/>
  <c r="O84" i="29" s="1"/>
  <c r="W83" i="29"/>
  <c r="I327" i="29"/>
  <c r="P327" i="29"/>
  <c r="O328" i="29" s="1"/>
  <c r="I204" i="29"/>
  <c r="P204" i="29"/>
  <c r="O205" i="29" s="1"/>
  <c r="Y83" i="29"/>
  <c r="I83" i="29"/>
  <c r="V205" i="29"/>
  <c r="V84" i="29"/>
  <c r="V328" i="29"/>
  <c r="T327" i="33" l="1"/>
  <c r="T204" i="33"/>
  <c r="M204" i="33" s="1"/>
  <c r="T83" i="33"/>
  <c r="H83" i="33" s="1"/>
  <c r="O66" i="31"/>
  <c r="H66" i="31"/>
  <c r="V66" i="31"/>
  <c r="Z327" i="29"/>
  <c r="Z83" i="29"/>
  <c r="Z204" i="29"/>
  <c r="H205" i="29"/>
  <c r="H328" i="29"/>
  <c r="H84" i="29"/>
  <c r="M83" i="33" l="1"/>
  <c r="C83" i="33"/>
  <c r="C204" i="33"/>
  <c r="M327" i="33"/>
  <c r="C327" i="33"/>
  <c r="U83" i="33"/>
  <c r="V83" i="33" s="1"/>
  <c r="H204" i="33"/>
  <c r="H327" i="33"/>
  <c r="AN65" i="31"/>
  <c r="AC66" i="31"/>
  <c r="AJ66" i="31"/>
  <c r="X328" i="29"/>
  <c r="W328" i="29" s="1"/>
  <c r="X205" i="29"/>
  <c r="W205" i="29" s="1"/>
  <c r="X84" i="29"/>
  <c r="AA83" i="29"/>
  <c r="AB83" i="29" s="1"/>
  <c r="S84" i="33" l="1"/>
  <c r="AL66" i="31"/>
  <c r="AO65" i="31"/>
  <c r="AP65" i="31" s="1"/>
  <c r="R65" i="31"/>
  <c r="K65" i="31"/>
  <c r="D65" i="31"/>
  <c r="AF65" i="31"/>
  <c r="Y65" i="31"/>
  <c r="P328" i="29"/>
  <c r="O329" i="29" s="1"/>
  <c r="I328" i="29"/>
  <c r="P84" i="29"/>
  <c r="W84" i="29"/>
  <c r="I205" i="29"/>
  <c r="P205" i="29"/>
  <c r="O206" i="29" s="1"/>
  <c r="Y84" i="29"/>
  <c r="I84" i="29"/>
  <c r="O85" i="29"/>
  <c r="V206" i="29"/>
  <c r="V85" i="29"/>
  <c r="V329" i="29"/>
  <c r="T84" i="33" l="1"/>
  <c r="H84" i="33" s="1"/>
  <c r="T328" i="33"/>
  <c r="T205" i="33"/>
  <c r="AK66" i="31"/>
  <c r="AM66" i="31"/>
  <c r="AD66" i="31"/>
  <c r="W66" i="31"/>
  <c r="P66" i="31"/>
  <c r="I66" i="31"/>
  <c r="Z84" i="29"/>
  <c r="Z205" i="29"/>
  <c r="Z328" i="29"/>
  <c r="H206" i="29"/>
  <c r="H329" i="29"/>
  <c r="H85" i="29"/>
  <c r="C84" i="33" l="1"/>
  <c r="M84" i="33"/>
  <c r="H205" i="33"/>
  <c r="M328" i="33"/>
  <c r="C328" i="33"/>
  <c r="H328" i="33"/>
  <c r="M205" i="33"/>
  <c r="C205" i="33"/>
  <c r="U84" i="33"/>
  <c r="V84" i="33" s="1"/>
  <c r="V67" i="31"/>
  <c r="H67" i="31"/>
  <c r="O67" i="31"/>
  <c r="X329" i="29"/>
  <c r="W329" i="29" s="1"/>
  <c r="X206" i="29"/>
  <c r="W206" i="29" s="1"/>
  <c r="X85" i="29"/>
  <c r="AA84" i="29"/>
  <c r="AB84" i="29" s="1"/>
  <c r="S85" i="33" l="1"/>
  <c r="AJ67" i="31"/>
  <c r="AN66" i="31"/>
  <c r="AC67" i="31"/>
  <c r="P85" i="29"/>
  <c r="W85" i="29"/>
  <c r="I206" i="29"/>
  <c r="P206" i="29"/>
  <c r="O207" i="29" s="1"/>
  <c r="I329" i="29"/>
  <c r="P329" i="29"/>
  <c r="O330" i="29" s="1"/>
  <c r="Y85" i="29"/>
  <c r="I85" i="29"/>
  <c r="O86" i="29"/>
  <c r="V86" i="29"/>
  <c r="V207" i="29"/>
  <c r="V330" i="29"/>
  <c r="T206" i="33" l="1"/>
  <c r="T329" i="33"/>
  <c r="M329" i="33" s="1"/>
  <c r="T85" i="33"/>
  <c r="H85" i="33" s="1"/>
  <c r="Y66" i="31"/>
  <c r="AL67" i="31"/>
  <c r="K66" i="31"/>
  <c r="AO66" i="31"/>
  <c r="AP66" i="31" s="1"/>
  <c r="R66" i="31"/>
  <c r="D66" i="31"/>
  <c r="AF66" i="31"/>
  <c r="Z206" i="29"/>
  <c r="Z85" i="29"/>
  <c r="Z329" i="29"/>
  <c r="H207" i="29"/>
  <c r="H330" i="29"/>
  <c r="H86" i="29"/>
  <c r="C329" i="33" l="1"/>
  <c r="C206" i="33"/>
  <c r="U85" i="33"/>
  <c r="V85" i="33" s="1"/>
  <c r="M206" i="33"/>
  <c r="H329" i="33"/>
  <c r="M85" i="33"/>
  <c r="H206" i="33"/>
  <c r="C85" i="33"/>
  <c r="AK67" i="31"/>
  <c r="AM67" i="31"/>
  <c r="AD67" i="31"/>
  <c r="W67" i="31"/>
  <c r="I67" i="31"/>
  <c r="P67" i="31"/>
  <c r="X86" i="29"/>
  <c r="X330" i="29"/>
  <c r="W330" i="29" s="1"/>
  <c r="X207" i="29"/>
  <c r="W207" i="29" s="1"/>
  <c r="AA85" i="29"/>
  <c r="AB85" i="29" s="1"/>
  <c r="S86" i="33" l="1"/>
  <c r="O68" i="31"/>
  <c r="H68" i="31"/>
  <c r="V68" i="31"/>
  <c r="P86" i="29"/>
  <c r="W86" i="29"/>
  <c r="V87" i="29" s="1"/>
  <c r="I207" i="29"/>
  <c r="P207" i="29"/>
  <c r="O208" i="29" s="1"/>
  <c r="I330" i="29"/>
  <c r="P330" i="29"/>
  <c r="O331" i="29" s="1"/>
  <c r="Y86" i="29"/>
  <c r="I86" i="29"/>
  <c r="O87" i="29"/>
  <c r="V208" i="29"/>
  <c r="V331" i="29"/>
  <c r="T330" i="33" l="1"/>
  <c r="M330" i="33" s="1"/>
  <c r="T86" i="33"/>
  <c r="C86" i="33" s="1"/>
  <c r="T207" i="33"/>
  <c r="H207" i="33" s="1"/>
  <c r="AN67" i="31"/>
  <c r="AC68" i="31"/>
  <c r="AJ68" i="31"/>
  <c r="Z207" i="29"/>
  <c r="Z86" i="29"/>
  <c r="Z330" i="29"/>
  <c r="H87" i="29"/>
  <c r="H331" i="29"/>
  <c r="H208" i="29"/>
  <c r="C330" i="33" l="1"/>
  <c r="H330" i="33"/>
  <c r="C207" i="33"/>
  <c r="M86" i="33"/>
  <c r="U86" i="33"/>
  <c r="V86" i="33" s="1"/>
  <c r="M207" i="33"/>
  <c r="H86" i="33"/>
  <c r="AL68" i="31"/>
  <c r="AO67" i="31"/>
  <c r="AP67" i="31" s="1"/>
  <c r="K67" i="31"/>
  <c r="D67" i="31"/>
  <c r="R67" i="31"/>
  <c r="AF67" i="31"/>
  <c r="Y67" i="31"/>
  <c r="X331" i="29"/>
  <c r="W331" i="29" s="1"/>
  <c r="X208" i="29"/>
  <c r="W208" i="29" s="1"/>
  <c r="X87" i="29"/>
  <c r="AA86" i="29"/>
  <c r="AB86" i="29" s="1"/>
  <c r="S87" i="33" l="1"/>
  <c r="AK68" i="31"/>
  <c r="AM68" i="31"/>
  <c r="AD68" i="31"/>
  <c r="W68" i="31"/>
  <c r="P68" i="31"/>
  <c r="I68" i="31"/>
  <c r="P87" i="29"/>
  <c r="W87" i="29"/>
  <c r="I208" i="29"/>
  <c r="P208" i="29"/>
  <c r="O209" i="29" s="1"/>
  <c r="I331" i="29"/>
  <c r="P331" i="29"/>
  <c r="O332" i="29" s="1"/>
  <c r="Y87" i="29"/>
  <c r="I87" i="29"/>
  <c r="V88" i="29"/>
  <c r="V332" i="29"/>
  <c r="V209" i="29"/>
  <c r="O88" i="29"/>
  <c r="T87" i="33" l="1"/>
  <c r="M87" i="33" s="1"/>
  <c r="T208" i="33"/>
  <c r="C208" i="33" s="1"/>
  <c r="T331" i="33"/>
  <c r="M331" i="33" s="1"/>
  <c r="V69" i="31"/>
  <c r="H69" i="31"/>
  <c r="O69" i="31"/>
  <c r="Z87" i="29"/>
  <c r="Z208" i="29"/>
  <c r="Z331" i="29"/>
  <c r="H332" i="29"/>
  <c r="H209" i="29"/>
  <c r="H88" i="29"/>
  <c r="H208" i="33" l="1"/>
  <c r="M208" i="33"/>
  <c r="C331" i="33"/>
  <c r="C87" i="33"/>
  <c r="U87" i="33"/>
  <c r="V87" i="33" s="1"/>
  <c r="H331" i="33"/>
  <c r="H87" i="33"/>
  <c r="AJ69" i="31"/>
  <c r="AN68" i="31"/>
  <c r="AL69" i="31" s="1"/>
  <c r="AC69" i="31"/>
  <c r="X88" i="29"/>
  <c r="X332" i="29"/>
  <c r="W332" i="29" s="1"/>
  <c r="X209" i="29"/>
  <c r="W209" i="29" s="1"/>
  <c r="AA87" i="29"/>
  <c r="AB87" i="29" s="1"/>
  <c r="S88" i="33" l="1"/>
  <c r="AO68" i="31"/>
  <c r="AP68" i="31" s="1"/>
  <c r="R68" i="31"/>
  <c r="D68" i="31"/>
  <c r="K68" i="31"/>
  <c r="AF68" i="31"/>
  <c r="Y68" i="31"/>
  <c r="P88" i="29"/>
  <c r="W88" i="29"/>
  <c r="I209" i="29"/>
  <c r="P209" i="29"/>
  <c r="O210" i="29" s="1"/>
  <c r="I332" i="29"/>
  <c r="P332" i="29"/>
  <c r="O333" i="29" s="1"/>
  <c r="Y88" i="29"/>
  <c r="I88" i="29"/>
  <c r="O89" i="29"/>
  <c r="V210" i="29"/>
  <c r="V89" i="29"/>
  <c r="V333" i="29"/>
  <c r="T88" i="33" l="1"/>
  <c r="H88" i="33" s="1"/>
  <c r="T332" i="33"/>
  <c r="M332" i="33" s="1"/>
  <c r="T209" i="33"/>
  <c r="M209" i="33" s="1"/>
  <c r="AK69" i="31"/>
  <c r="AM69" i="31"/>
  <c r="AD69" i="31"/>
  <c r="W69" i="31"/>
  <c r="I69" i="31"/>
  <c r="P69" i="31"/>
  <c r="Z209" i="29"/>
  <c r="Z332" i="29"/>
  <c r="Z88" i="29"/>
  <c r="H89" i="29"/>
  <c r="H333" i="29"/>
  <c r="H210" i="29"/>
  <c r="M88" i="33" l="1"/>
  <c r="C209" i="33"/>
  <c r="C332" i="33"/>
  <c r="H332" i="33"/>
  <c r="H209" i="33"/>
  <c r="U88" i="33"/>
  <c r="V88" i="33" s="1"/>
  <c r="C88" i="33"/>
  <c r="O70" i="31"/>
  <c r="H70" i="31"/>
  <c r="V70" i="31"/>
  <c r="X210" i="29"/>
  <c r="W210" i="29" s="1"/>
  <c r="X333" i="29"/>
  <c r="W333" i="29" s="1"/>
  <c r="X89" i="29"/>
  <c r="AA88" i="29"/>
  <c r="AB88" i="29" s="1"/>
  <c r="S89" i="33" l="1"/>
  <c r="AN69" i="31"/>
  <c r="AC70" i="31"/>
  <c r="AJ70" i="31"/>
  <c r="P89" i="29"/>
  <c r="W89" i="29"/>
  <c r="I333" i="29"/>
  <c r="P333" i="29"/>
  <c r="O334" i="29" s="1"/>
  <c r="I210" i="29"/>
  <c r="P210" i="29"/>
  <c r="O211" i="29" s="1"/>
  <c r="Y89" i="29"/>
  <c r="I89" i="29"/>
  <c r="O90" i="29"/>
  <c r="V334" i="29"/>
  <c r="V211" i="29"/>
  <c r="V90" i="29"/>
  <c r="T89" i="33" l="1"/>
  <c r="C89" i="33" s="1"/>
  <c r="T333" i="33"/>
  <c r="T210" i="33"/>
  <c r="M210" i="33" s="1"/>
  <c r="Y69" i="31"/>
  <c r="AL70" i="31"/>
  <c r="AF69" i="31"/>
  <c r="AO69" i="31"/>
  <c r="AP69" i="31" s="1"/>
  <c r="R69" i="31"/>
  <c r="K69" i="31"/>
  <c r="D69" i="31"/>
  <c r="Z210" i="29"/>
  <c r="Z89" i="29"/>
  <c r="Z333" i="29"/>
  <c r="H90" i="29"/>
  <c r="H211" i="29"/>
  <c r="H334" i="29"/>
  <c r="H89" i="33" l="1"/>
  <c r="C210" i="33"/>
  <c r="M333" i="33"/>
  <c r="C333" i="33"/>
  <c r="M89" i="33"/>
  <c r="H333" i="33"/>
  <c r="U89" i="33"/>
  <c r="V89" i="33" s="1"/>
  <c r="H210" i="33"/>
  <c r="AK70" i="31"/>
  <c r="AM70" i="31"/>
  <c r="AD70" i="31"/>
  <c r="W70" i="31"/>
  <c r="I70" i="31"/>
  <c r="P70" i="31"/>
  <c r="X334" i="29"/>
  <c r="P334" i="29" s="1"/>
  <c r="X90" i="29"/>
  <c r="X211" i="29"/>
  <c r="W211" i="29" s="1"/>
  <c r="AA89" i="29"/>
  <c r="AB89" i="29" s="1"/>
  <c r="S90" i="33" l="1"/>
  <c r="O71" i="31"/>
  <c r="H71" i="31"/>
  <c r="V71" i="31"/>
  <c r="P90" i="29"/>
  <c r="W90" i="29"/>
  <c r="I334" i="29"/>
  <c r="W334" i="29"/>
  <c r="V335" i="29" s="1"/>
  <c r="I211" i="29"/>
  <c r="P211" i="29"/>
  <c r="O212" i="29" s="1"/>
  <c r="Y90" i="29"/>
  <c r="I90" i="29"/>
  <c r="O91" i="29"/>
  <c r="O335" i="29"/>
  <c r="V91" i="29"/>
  <c r="V212" i="29"/>
  <c r="T90" i="33" l="1"/>
  <c r="C90" i="33" s="1"/>
  <c r="T211" i="33"/>
  <c r="H211" i="33" s="1"/>
  <c r="M90" i="33"/>
  <c r="T334" i="33"/>
  <c r="M334" i="33" s="1"/>
  <c r="AN70" i="31"/>
  <c r="AC71" i="31"/>
  <c r="AJ71" i="31"/>
  <c r="Z211" i="29"/>
  <c r="Z90" i="29"/>
  <c r="Z334" i="29"/>
  <c r="H335" i="29"/>
  <c r="H91" i="29"/>
  <c r="H212" i="29"/>
  <c r="H90" i="33" l="1"/>
  <c r="C334" i="33"/>
  <c r="C211" i="33"/>
  <c r="M211" i="33"/>
  <c r="H334" i="33"/>
  <c r="U90" i="33"/>
  <c r="V90" i="33" s="1"/>
  <c r="AF70" i="31"/>
  <c r="AL71" i="31"/>
  <c r="AO70" i="31"/>
  <c r="AP70" i="31" s="1"/>
  <c r="D70" i="31"/>
  <c r="K70" i="31"/>
  <c r="R70" i="31"/>
  <c r="Y70" i="31"/>
  <c r="X212" i="29"/>
  <c r="W212" i="29" s="1"/>
  <c r="X335" i="29"/>
  <c r="W335" i="29" s="1"/>
  <c r="X91" i="29"/>
  <c r="AA90" i="29"/>
  <c r="AB90" i="29" s="1"/>
  <c r="S91" i="33" l="1"/>
  <c r="AK71" i="31"/>
  <c r="AM71" i="31"/>
  <c r="AD71" i="31"/>
  <c r="W71" i="31"/>
  <c r="I71" i="31"/>
  <c r="P71" i="31"/>
  <c r="P91" i="29"/>
  <c r="W91" i="29"/>
  <c r="I335" i="29"/>
  <c r="P335" i="29"/>
  <c r="O336" i="29" s="1"/>
  <c r="I212" i="29"/>
  <c r="P212" i="29"/>
  <c r="O213" i="29" s="1"/>
  <c r="Y91" i="29"/>
  <c r="I91" i="29"/>
  <c r="O92" i="29"/>
  <c r="V336" i="29"/>
  <c r="V92" i="29"/>
  <c r="V213" i="29"/>
  <c r="T335" i="33" l="1"/>
  <c r="H335" i="33" s="1"/>
  <c r="T212" i="33"/>
  <c r="T91" i="33"/>
  <c r="H91" i="33" s="1"/>
  <c r="V72" i="31"/>
  <c r="O72" i="31"/>
  <c r="H72" i="31"/>
  <c r="Z91" i="29"/>
  <c r="Z335" i="29"/>
  <c r="Z212" i="29"/>
  <c r="H92" i="29"/>
  <c r="H336" i="29"/>
  <c r="H213" i="29"/>
  <c r="M91" i="33" l="1"/>
  <c r="C91" i="33"/>
  <c r="C212" i="33"/>
  <c r="M212" i="33"/>
  <c r="U91" i="33"/>
  <c r="V91" i="33" s="1"/>
  <c r="H212" i="33"/>
  <c r="C335" i="33"/>
  <c r="M335" i="33"/>
  <c r="AN71" i="31"/>
  <c r="AC72" i="31"/>
  <c r="AJ72" i="31"/>
  <c r="X213" i="29"/>
  <c r="W213" i="29" s="1"/>
  <c r="X336" i="29"/>
  <c r="W336" i="29" s="1"/>
  <c r="X92" i="29"/>
  <c r="AA91" i="29"/>
  <c r="AB91" i="29" s="1"/>
  <c r="S92" i="33" l="1"/>
  <c r="Y71" i="31"/>
  <c r="AL72" i="31"/>
  <c r="AF71" i="31"/>
  <c r="D71" i="31"/>
  <c r="AO71" i="31"/>
  <c r="AP71" i="31" s="1"/>
  <c r="R71" i="31"/>
  <c r="K71" i="31"/>
  <c r="P92" i="29"/>
  <c r="O93" i="29" s="1"/>
  <c r="W92" i="29"/>
  <c r="I336" i="29"/>
  <c r="P336" i="29"/>
  <c r="O337" i="29" s="1"/>
  <c r="I213" i="29"/>
  <c r="P213" i="29"/>
  <c r="O214" i="29" s="1"/>
  <c r="Y92" i="29"/>
  <c r="I92" i="29"/>
  <c r="V337" i="29"/>
  <c r="V93" i="29"/>
  <c r="V214" i="29"/>
  <c r="T92" i="33" l="1"/>
  <c r="H92" i="33" s="1"/>
  <c r="T336" i="33"/>
  <c r="H336" i="33" s="1"/>
  <c r="T213" i="33"/>
  <c r="AK72" i="31"/>
  <c r="AM72" i="31"/>
  <c r="AD72" i="31"/>
  <c r="W72" i="31"/>
  <c r="P72" i="31"/>
  <c r="I72" i="31"/>
  <c r="Z92" i="29"/>
  <c r="Z336" i="29"/>
  <c r="Z213" i="29"/>
  <c r="H93" i="29"/>
  <c r="H337" i="29"/>
  <c r="H214" i="29"/>
  <c r="M92" i="33" l="1"/>
  <c r="H213" i="33"/>
  <c r="M336" i="33"/>
  <c r="C336" i="33"/>
  <c r="M213" i="33"/>
  <c r="U92" i="33"/>
  <c r="V92" i="33" s="1"/>
  <c r="C213" i="33"/>
  <c r="C92" i="33"/>
  <c r="H73" i="31"/>
  <c r="O73" i="31"/>
  <c r="V73" i="31"/>
  <c r="X214" i="29"/>
  <c r="W214" i="29" s="1"/>
  <c r="X337" i="29"/>
  <c r="W337" i="29" s="1"/>
  <c r="X93" i="29"/>
  <c r="W93" i="29" s="1"/>
  <c r="AA92" i="29"/>
  <c r="AB92" i="29" s="1"/>
  <c r="AJ73" i="31" l="1"/>
  <c r="AN72" i="31"/>
  <c r="AC73" i="31"/>
  <c r="P214" i="29"/>
  <c r="O215" i="29" s="1"/>
  <c r="I214" i="29"/>
  <c r="I337" i="29"/>
  <c r="P337" i="29"/>
  <c r="O338" i="29" s="1"/>
  <c r="I93" i="29"/>
  <c r="P93" i="29"/>
  <c r="O94" i="29" s="1"/>
  <c r="V94" i="29"/>
  <c r="V215" i="29"/>
  <c r="V338" i="29"/>
  <c r="T337" i="33" l="1"/>
  <c r="C337" i="33" s="1"/>
  <c r="T93" i="33"/>
  <c r="C93" i="33" s="1"/>
  <c r="T214" i="33"/>
  <c r="M214" i="33" s="1"/>
  <c r="S93" i="33"/>
  <c r="AF72" i="31"/>
  <c r="AL73" i="31"/>
  <c r="Y72" i="31"/>
  <c r="D72" i="31"/>
  <c r="AO72" i="31"/>
  <c r="AP72" i="31" s="1"/>
  <c r="K72" i="31"/>
  <c r="R72" i="31"/>
  <c r="Y93" i="29"/>
  <c r="Z214" i="29"/>
  <c r="Z93" i="29"/>
  <c r="Z337" i="29"/>
  <c r="H215" i="29"/>
  <c r="H94" i="29"/>
  <c r="H338" i="29"/>
  <c r="M337" i="33" l="1"/>
  <c r="H337" i="33"/>
  <c r="H214" i="33"/>
  <c r="M93" i="33"/>
  <c r="H93" i="33"/>
  <c r="U93" i="33"/>
  <c r="V93" i="33" s="1"/>
  <c r="C214" i="33"/>
  <c r="AK73" i="31"/>
  <c r="AM73" i="31"/>
  <c r="AD73" i="31"/>
  <c r="W73" i="31"/>
  <c r="I73" i="31"/>
  <c r="P73" i="31"/>
  <c r="X94" i="29"/>
  <c r="W94" i="29" s="1"/>
  <c r="X338" i="29"/>
  <c r="W338" i="29" s="1"/>
  <c r="X215" i="29"/>
  <c r="W215" i="29" s="1"/>
  <c r="AA93" i="29"/>
  <c r="AB93" i="29" s="1"/>
  <c r="S94" i="33" l="1"/>
  <c r="O74" i="31"/>
  <c r="H74" i="31"/>
  <c r="V74" i="31"/>
  <c r="I94" i="29"/>
  <c r="I215" i="29"/>
  <c r="P215" i="29"/>
  <c r="O216" i="29" s="1"/>
  <c r="I338" i="29"/>
  <c r="P338" i="29"/>
  <c r="O339" i="29" s="1"/>
  <c r="Y94" i="29"/>
  <c r="P94" i="29"/>
  <c r="O95" i="29" s="1"/>
  <c r="V216" i="29"/>
  <c r="V95" i="29"/>
  <c r="V339" i="29"/>
  <c r="T215" i="33" l="1"/>
  <c r="H215" i="33" s="1"/>
  <c r="T94" i="33"/>
  <c r="C94" i="33" s="1"/>
  <c r="T338" i="33"/>
  <c r="C338" i="33" s="1"/>
  <c r="AN73" i="31"/>
  <c r="AC74" i="31"/>
  <c r="AJ74" i="31"/>
  <c r="Z94" i="29"/>
  <c r="Z215" i="29"/>
  <c r="Z338" i="29"/>
  <c r="H95" i="29"/>
  <c r="H339" i="29"/>
  <c r="H216" i="29"/>
  <c r="X216" i="29" s="1"/>
  <c r="W216" i="29" s="1"/>
  <c r="M215" i="33" l="1"/>
  <c r="M338" i="33"/>
  <c r="U94" i="33"/>
  <c r="V94" i="33" s="1"/>
  <c r="M94" i="33"/>
  <c r="H94" i="33"/>
  <c r="H338" i="33"/>
  <c r="C215" i="33"/>
  <c r="Y73" i="31"/>
  <c r="AL74" i="31"/>
  <c r="AF73" i="31"/>
  <c r="AO73" i="31"/>
  <c r="AP73" i="31" s="1"/>
  <c r="K73" i="31"/>
  <c r="D73" i="31"/>
  <c r="R73" i="31"/>
  <c r="I216" i="29"/>
  <c r="P216" i="29"/>
  <c r="X339" i="29"/>
  <c r="W339" i="29" s="1"/>
  <c r="X95" i="29"/>
  <c r="AA94" i="29"/>
  <c r="AB94" i="29" s="1"/>
  <c r="S95" i="33" l="1"/>
  <c r="AK74" i="31"/>
  <c r="AM74" i="31"/>
  <c r="AD74" i="31"/>
  <c r="W74" i="31"/>
  <c r="I74" i="31"/>
  <c r="P74" i="31"/>
  <c r="P95" i="29"/>
  <c r="W95" i="29"/>
  <c r="I339" i="29"/>
  <c r="P339" i="29"/>
  <c r="O340" i="29" s="1"/>
  <c r="Y95" i="29"/>
  <c r="I95" i="29"/>
  <c r="O96" i="29"/>
  <c r="O217" i="29"/>
  <c r="V96" i="29"/>
  <c r="V340" i="29"/>
  <c r="V217" i="29"/>
  <c r="T95" i="33" l="1"/>
  <c r="C95" i="33" s="1"/>
  <c r="T339" i="33"/>
  <c r="M339" i="33" s="1"/>
  <c r="T216" i="33"/>
  <c r="C216" i="33" s="1"/>
  <c r="O75" i="31"/>
  <c r="H75" i="31"/>
  <c r="V75" i="31"/>
  <c r="Z339" i="29"/>
  <c r="Z95" i="29"/>
  <c r="Z216" i="29"/>
  <c r="H217" i="29"/>
  <c r="H96" i="29"/>
  <c r="H340" i="29"/>
  <c r="U95" i="33" l="1"/>
  <c r="V95" i="33" s="1"/>
  <c r="C339" i="33"/>
  <c r="M216" i="33"/>
  <c r="H216" i="33"/>
  <c r="M95" i="33"/>
  <c r="H339" i="33"/>
  <c r="H95" i="33"/>
  <c r="AN74" i="31"/>
  <c r="AC75" i="31"/>
  <c r="AJ75" i="31"/>
  <c r="X340" i="29"/>
  <c r="W340" i="29" s="1"/>
  <c r="X96" i="29"/>
  <c r="X217" i="29"/>
  <c r="W217" i="29" s="1"/>
  <c r="AA95" i="29"/>
  <c r="AB95" i="29" s="1"/>
  <c r="S96" i="33" l="1"/>
  <c r="Y74" i="31"/>
  <c r="AL75" i="31"/>
  <c r="AF74" i="31"/>
  <c r="K74" i="31"/>
  <c r="AO74" i="31"/>
  <c r="AP74" i="31" s="1"/>
  <c r="D74" i="31"/>
  <c r="R74" i="31"/>
  <c r="P340" i="29"/>
  <c r="I340" i="29"/>
  <c r="P96" i="29"/>
  <c r="W96" i="29"/>
  <c r="I217" i="29"/>
  <c r="P217" i="29"/>
  <c r="O218" i="29" s="1"/>
  <c r="Y96" i="29"/>
  <c r="I96" i="29"/>
  <c r="O97" i="29"/>
  <c r="O341" i="29"/>
  <c r="V218" i="29"/>
  <c r="V97" i="29"/>
  <c r="V341" i="29"/>
  <c r="T217" i="33" l="1"/>
  <c r="C217" i="33" s="1"/>
  <c r="T96" i="33"/>
  <c r="C96" i="33" s="1"/>
  <c r="M217" i="33"/>
  <c r="T340" i="33"/>
  <c r="AK75" i="31"/>
  <c r="AD75" i="31"/>
  <c r="W75" i="31"/>
  <c r="I75" i="31"/>
  <c r="P75" i="31"/>
  <c r="Z217" i="29"/>
  <c r="Z340" i="29"/>
  <c r="Z96" i="29"/>
  <c r="H218" i="29"/>
  <c r="H97" i="29"/>
  <c r="H341" i="29"/>
  <c r="H217" i="33" l="1"/>
  <c r="M96" i="33"/>
  <c r="H96" i="33"/>
  <c r="U96" i="33"/>
  <c r="V96" i="33" s="1"/>
  <c r="M340" i="33"/>
  <c r="H340" i="33"/>
  <c r="C340" i="33"/>
  <c r="AM75" i="31"/>
  <c r="O76" i="31"/>
  <c r="H76" i="31"/>
  <c r="V76" i="31"/>
  <c r="X341" i="29"/>
  <c r="W341" i="29" s="1"/>
  <c r="X97" i="29"/>
  <c r="X218" i="29"/>
  <c r="W218" i="29" s="1"/>
  <c r="AA96" i="29"/>
  <c r="AB96" i="29" s="1"/>
  <c r="S97" i="33" l="1"/>
  <c r="AN75" i="31"/>
  <c r="AC76" i="31"/>
  <c r="AJ76" i="31"/>
  <c r="P341" i="29"/>
  <c r="I341" i="29"/>
  <c r="P97" i="29"/>
  <c r="W97" i="29"/>
  <c r="I218" i="29"/>
  <c r="P218" i="29"/>
  <c r="O219" i="29" s="1"/>
  <c r="Y97" i="29"/>
  <c r="I97" i="29"/>
  <c r="O342" i="29"/>
  <c r="O98" i="29"/>
  <c r="V342" i="29"/>
  <c r="V219" i="29"/>
  <c r="V98" i="29"/>
  <c r="T341" i="33" l="1"/>
  <c r="C341" i="33" s="1"/>
  <c r="T97" i="33"/>
  <c r="H97" i="33" s="1"/>
  <c r="T218" i="33"/>
  <c r="H218" i="33" s="1"/>
  <c r="Y75" i="31"/>
  <c r="AL76" i="31"/>
  <c r="AF75" i="31"/>
  <c r="K75" i="31"/>
  <c r="AO75" i="31"/>
  <c r="AP75" i="31" s="1"/>
  <c r="D75" i="31"/>
  <c r="R75" i="31"/>
  <c r="Z341" i="29"/>
  <c r="Z97" i="29"/>
  <c r="Z218" i="29"/>
  <c r="H219" i="29"/>
  <c r="H98" i="29"/>
  <c r="X98" i="29"/>
  <c r="H342" i="29"/>
  <c r="M341" i="33" l="1"/>
  <c r="H341" i="33"/>
  <c r="M218" i="33"/>
  <c r="M97" i="33"/>
  <c r="C97" i="33"/>
  <c r="U97" i="33"/>
  <c r="V97" i="33" s="1"/>
  <c r="C218" i="33"/>
  <c r="AK76" i="31"/>
  <c r="AM76" i="31"/>
  <c r="AD76" i="31"/>
  <c r="W76" i="31"/>
  <c r="P76" i="31"/>
  <c r="I76" i="31"/>
  <c r="P98" i="29"/>
  <c r="W98" i="29"/>
  <c r="Y98" i="29"/>
  <c r="I98" i="29"/>
  <c r="X342" i="29"/>
  <c r="W342" i="29" s="1"/>
  <c r="X219" i="29"/>
  <c r="W219" i="29" s="1"/>
  <c r="AA97" i="29"/>
  <c r="AB97" i="29" s="1"/>
  <c r="S98" i="33" l="1"/>
  <c r="H77" i="31"/>
  <c r="O77" i="31"/>
  <c r="V77" i="31"/>
  <c r="I342" i="29"/>
  <c r="P342" i="29"/>
  <c r="O343" i="29" s="1"/>
  <c r="I219" i="29"/>
  <c r="P219" i="29"/>
  <c r="O220" i="29" s="1"/>
  <c r="O99" i="29"/>
  <c r="V343" i="29"/>
  <c r="V220" i="29"/>
  <c r="V99" i="29"/>
  <c r="T98" i="33" l="1"/>
  <c r="C98" i="33" s="1"/>
  <c r="T342" i="33"/>
  <c r="C342" i="33" s="1"/>
  <c r="T219" i="33"/>
  <c r="M219" i="33" s="1"/>
  <c r="AJ77" i="31"/>
  <c r="AN76" i="31"/>
  <c r="AL77" i="31" s="1"/>
  <c r="AC77" i="31"/>
  <c r="Z342" i="29"/>
  <c r="Z98" i="29"/>
  <c r="Z219" i="29"/>
  <c r="H220" i="29"/>
  <c r="H99" i="29"/>
  <c r="H343" i="29"/>
  <c r="M98" i="33" l="1"/>
  <c r="H98" i="33"/>
  <c r="M342" i="33"/>
  <c r="H342" i="33"/>
  <c r="H219" i="33"/>
  <c r="U98" i="33"/>
  <c r="V98" i="33" s="1"/>
  <c r="C219" i="33"/>
  <c r="D76" i="31"/>
  <c r="AO76" i="31"/>
  <c r="AP76" i="31" s="1"/>
  <c r="K76" i="31"/>
  <c r="R76" i="31"/>
  <c r="AF76" i="31"/>
  <c r="Y76" i="31"/>
  <c r="X99" i="29"/>
  <c r="X343" i="29"/>
  <c r="W343" i="29" s="1"/>
  <c r="X220" i="29"/>
  <c r="W220" i="29" s="1"/>
  <c r="AA98" i="29"/>
  <c r="AB98" i="29" s="1"/>
  <c r="S99" i="33" l="1"/>
  <c r="AK77" i="31"/>
  <c r="AM77" i="31"/>
  <c r="AD77" i="31"/>
  <c r="W77" i="31"/>
  <c r="V78" i="31" s="1"/>
  <c r="I77" i="31"/>
  <c r="P77" i="31"/>
  <c r="P99" i="29"/>
  <c r="W99" i="29"/>
  <c r="I220" i="29"/>
  <c r="P220" i="29"/>
  <c r="O221" i="29" s="1"/>
  <c r="I343" i="29"/>
  <c r="P343" i="29"/>
  <c r="O344" i="29" s="1"/>
  <c r="Y99" i="29"/>
  <c r="I99" i="29"/>
  <c r="O100" i="29"/>
  <c r="V221" i="29"/>
  <c r="V100" i="29"/>
  <c r="V344" i="29"/>
  <c r="T99" i="33" l="1"/>
  <c r="C99" i="33" s="1"/>
  <c r="T343" i="33"/>
  <c r="H343" i="33" s="1"/>
  <c r="T220" i="33"/>
  <c r="C220" i="33" s="1"/>
  <c r="O78" i="31"/>
  <c r="H78" i="31"/>
  <c r="Z343" i="29"/>
  <c r="Z220" i="29"/>
  <c r="Z99" i="29"/>
  <c r="H344" i="29"/>
  <c r="H221" i="29"/>
  <c r="H100" i="29"/>
  <c r="H99" i="33" l="1"/>
  <c r="H220" i="33"/>
  <c r="C343" i="33"/>
  <c r="M220" i="33"/>
  <c r="M343" i="33"/>
  <c r="U99" i="33"/>
  <c r="V99" i="33" s="1"/>
  <c r="M99" i="33"/>
  <c r="AN77" i="31"/>
  <c r="AC78" i="31"/>
  <c r="AJ78" i="31"/>
  <c r="X344" i="29"/>
  <c r="W344" i="29" s="1"/>
  <c r="X100" i="29"/>
  <c r="X221" i="29"/>
  <c r="W221" i="29" s="1"/>
  <c r="AA99" i="29"/>
  <c r="AB99" i="29" s="1"/>
  <c r="S100" i="33" l="1"/>
  <c r="Y77" i="31"/>
  <c r="AL78" i="31"/>
  <c r="AF77" i="31"/>
  <c r="R77" i="31"/>
  <c r="AO77" i="31"/>
  <c r="AP77" i="31" s="1"/>
  <c r="D77" i="31"/>
  <c r="K77" i="31"/>
  <c r="P100" i="29"/>
  <c r="O101" i="29" s="1"/>
  <c r="W100" i="29"/>
  <c r="I221" i="29"/>
  <c r="P221" i="29"/>
  <c r="O222" i="29" s="1"/>
  <c r="I344" i="29"/>
  <c r="P344" i="29"/>
  <c r="O345" i="29" s="1"/>
  <c r="Y100" i="29"/>
  <c r="I100" i="29"/>
  <c r="V222" i="29"/>
  <c r="V101" i="29"/>
  <c r="V345" i="29"/>
  <c r="T100" i="33" l="1"/>
  <c r="T344" i="33"/>
  <c r="C344" i="33" s="1"/>
  <c r="T221" i="33"/>
  <c r="C221" i="33" s="1"/>
  <c r="AK78" i="31"/>
  <c r="AM78" i="31"/>
  <c r="AD78" i="31"/>
  <c r="W78" i="31"/>
  <c r="P78" i="31"/>
  <c r="I78" i="31"/>
  <c r="Z344" i="29"/>
  <c r="Z221" i="29"/>
  <c r="Z100" i="29"/>
  <c r="H222" i="29"/>
  <c r="H345" i="29"/>
  <c r="H101" i="29"/>
  <c r="M344" i="33" l="1"/>
  <c r="H344" i="33"/>
  <c r="U100" i="33"/>
  <c r="V100" i="33" s="1"/>
  <c r="M221" i="33"/>
  <c r="M100" i="33"/>
  <c r="C100" i="33"/>
  <c r="H221" i="33"/>
  <c r="H100" i="33"/>
  <c r="H79" i="31"/>
  <c r="O79" i="31"/>
  <c r="V79" i="31"/>
  <c r="X101" i="29"/>
  <c r="X345" i="29"/>
  <c r="W345" i="29" s="1"/>
  <c r="X222" i="29"/>
  <c r="W222" i="29" s="1"/>
  <c r="AA100" i="29"/>
  <c r="AB100" i="29" s="1"/>
  <c r="S101" i="33" l="1"/>
  <c r="AJ79" i="31"/>
  <c r="AN78" i="31"/>
  <c r="AC79" i="31"/>
  <c r="P101" i="29"/>
  <c r="W101" i="29"/>
  <c r="I222" i="29"/>
  <c r="P222" i="29"/>
  <c r="O223" i="29" s="1"/>
  <c r="I345" i="29"/>
  <c r="P345" i="29"/>
  <c r="O346" i="29" s="1"/>
  <c r="Y101" i="29"/>
  <c r="I101" i="29"/>
  <c r="O102" i="29"/>
  <c r="V223" i="29"/>
  <c r="V102" i="29"/>
  <c r="V346" i="29"/>
  <c r="T345" i="33" l="1"/>
  <c r="C345" i="33" s="1"/>
  <c r="T222" i="33"/>
  <c r="T101" i="33"/>
  <c r="C101" i="33" s="1"/>
  <c r="Y78" i="31"/>
  <c r="AL79" i="31"/>
  <c r="AO78" i="31"/>
  <c r="AP78" i="31" s="1"/>
  <c r="D78" i="31"/>
  <c r="K78" i="31"/>
  <c r="R78" i="31"/>
  <c r="AF78" i="31"/>
  <c r="Z345" i="29"/>
  <c r="Z222" i="29"/>
  <c r="Z101" i="29"/>
  <c r="H223" i="29"/>
  <c r="H346" i="29"/>
  <c r="H102" i="29"/>
  <c r="H101" i="33" l="1"/>
  <c r="M101" i="33"/>
  <c r="H345" i="33"/>
  <c r="C222" i="33"/>
  <c r="M222" i="33"/>
  <c r="H222" i="33"/>
  <c r="M345" i="33"/>
  <c r="U101" i="33"/>
  <c r="V101" i="33" s="1"/>
  <c r="AK79" i="31"/>
  <c r="AM79" i="31"/>
  <c r="AD79" i="31"/>
  <c r="W79" i="31"/>
  <c r="I79" i="31"/>
  <c r="P79" i="31"/>
  <c r="X223" i="29"/>
  <c r="W223" i="29" s="1"/>
  <c r="X102" i="29"/>
  <c r="X346" i="29"/>
  <c r="W346" i="29" s="1"/>
  <c r="AA101" i="29"/>
  <c r="AB101" i="29" s="1"/>
  <c r="S102" i="33" l="1"/>
  <c r="O80" i="31"/>
  <c r="H80" i="31"/>
  <c r="V80" i="31"/>
  <c r="P102" i="29"/>
  <c r="W102" i="29"/>
  <c r="I346" i="29"/>
  <c r="P346" i="29"/>
  <c r="O347" i="29" s="1"/>
  <c r="I223" i="29"/>
  <c r="P223" i="29"/>
  <c r="O224" i="29" s="1"/>
  <c r="Y102" i="29"/>
  <c r="I102" i="29"/>
  <c r="O103" i="29"/>
  <c r="V224" i="29"/>
  <c r="V347" i="29"/>
  <c r="V103" i="29"/>
  <c r="T223" i="33" l="1"/>
  <c r="C223" i="33" s="1"/>
  <c r="T346" i="33"/>
  <c r="M346" i="33" s="1"/>
  <c r="T102" i="33"/>
  <c r="M102" i="33" s="1"/>
  <c r="AN79" i="31"/>
  <c r="AC80" i="31"/>
  <c r="AJ80" i="31"/>
  <c r="Z223" i="29"/>
  <c r="Z102" i="29"/>
  <c r="Z346" i="29"/>
  <c r="H103" i="29"/>
  <c r="H347" i="29"/>
  <c r="H224" i="29"/>
  <c r="C346" i="33" l="1"/>
  <c r="H223" i="33"/>
  <c r="M223" i="33"/>
  <c r="C102" i="33"/>
  <c r="U102" i="33"/>
  <c r="V102" i="33" s="1"/>
  <c r="H346" i="33"/>
  <c r="H102" i="33"/>
  <c r="Y79" i="31"/>
  <c r="AL80" i="31"/>
  <c r="AF79" i="31"/>
  <c r="K79" i="31"/>
  <c r="AO79" i="31"/>
  <c r="AP79" i="31" s="1"/>
  <c r="D79" i="31"/>
  <c r="R79" i="31"/>
  <c r="X224" i="29"/>
  <c r="W224" i="29" s="1"/>
  <c r="X347" i="29"/>
  <c r="W347" i="29" s="1"/>
  <c r="X103" i="29"/>
  <c r="AA102" i="29"/>
  <c r="AB102" i="29" s="1"/>
  <c r="S103" i="33" l="1"/>
  <c r="AK80" i="31"/>
  <c r="AM80" i="31"/>
  <c r="AD80" i="31"/>
  <c r="W80" i="31"/>
  <c r="P80" i="31"/>
  <c r="I80" i="31"/>
  <c r="P224" i="29"/>
  <c r="O225" i="29" s="1"/>
  <c r="I224" i="29"/>
  <c r="P103" i="29"/>
  <c r="O104" i="29" s="1"/>
  <c r="W103" i="29"/>
  <c r="I347" i="29"/>
  <c r="P347" i="29"/>
  <c r="O348" i="29" s="1"/>
  <c r="Y103" i="29"/>
  <c r="I103" i="29"/>
  <c r="V104" i="29"/>
  <c r="V348" i="29"/>
  <c r="V225" i="29"/>
  <c r="T224" i="33" l="1"/>
  <c r="H224" i="33" s="1"/>
  <c r="T103" i="33"/>
  <c r="T347" i="33"/>
  <c r="H81" i="31"/>
  <c r="O81" i="31"/>
  <c r="V81" i="31"/>
  <c r="Z347" i="29"/>
  <c r="Z224" i="29"/>
  <c r="Z103" i="29"/>
  <c r="H348" i="29"/>
  <c r="H104" i="29"/>
  <c r="H225" i="29"/>
  <c r="C224" i="33" l="1"/>
  <c r="U103" i="33"/>
  <c r="V103" i="33" s="1"/>
  <c r="H103" i="33"/>
  <c r="M103" i="33"/>
  <c r="C103" i="33"/>
  <c r="M347" i="33"/>
  <c r="H347" i="33"/>
  <c r="C347" i="33"/>
  <c r="M224" i="33"/>
  <c r="AJ81" i="31"/>
  <c r="AN80" i="31"/>
  <c r="AC81" i="31"/>
  <c r="X225" i="29"/>
  <c r="W225" i="29" s="1"/>
  <c r="X348" i="29"/>
  <c r="W348" i="29" s="1"/>
  <c r="X104" i="29"/>
  <c r="AA103" i="29"/>
  <c r="AB103" i="29" s="1"/>
  <c r="S104" i="33" l="1"/>
  <c r="Y80" i="31"/>
  <c r="AL81" i="31"/>
  <c r="D80" i="31"/>
  <c r="AO80" i="31"/>
  <c r="AP80" i="31" s="1"/>
  <c r="K80" i="31"/>
  <c r="R80" i="31"/>
  <c r="AF80" i="31"/>
  <c r="I225" i="29"/>
  <c r="P348" i="29"/>
  <c r="O349" i="29" s="1"/>
  <c r="P225" i="29"/>
  <c r="O226" i="29" s="1"/>
  <c r="I348" i="29"/>
  <c r="P104" i="29"/>
  <c r="W104" i="29"/>
  <c r="V105" i="29" s="1"/>
  <c r="Y104" i="29"/>
  <c r="I104" i="29"/>
  <c r="O105" i="29"/>
  <c r="V349" i="29"/>
  <c r="V226" i="29"/>
  <c r="T348" i="33" l="1"/>
  <c r="C348" i="33" s="1"/>
  <c r="T104" i="33"/>
  <c r="C104" i="33" s="1"/>
  <c r="T225" i="33"/>
  <c r="M225" i="33" s="1"/>
  <c r="AK81" i="31"/>
  <c r="AM81" i="31"/>
  <c r="AD81" i="31"/>
  <c r="W81" i="31"/>
  <c r="P81" i="31"/>
  <c r="I81" i="31"/>
  <c r="Z104" i="29"/>
  <c r="Z348" i="29"/>
  <c r="Z225" i="29"/>
  <c r="H105" i="29"/>
  <c r="H349" i="29"/>
  <c r="H226" i="29"/>
  <c r="M348" i="33" l="1"/>
  <c r="H348" i="33"/>
  <c r="M104" i="33"/>
  <c r="C225" i="33"/>
  <c r="H225" i="33"/>
  <c r="U104" i="33"/>
  <c r="V104" i="33" s="1"/>
  <c r="H104" i="33"/>
  <c r="H82" i="31"/>
  <c r="O82" i="31"/>
  <c r="V82" i="31"/>
  <c r="X226" i="29"/>
  <c r="W226" i="29" s="1"/>
  <c r="X349" i="29"/>
  <c r="W349" i="29" s="1"/>
  <c r="X105" i="29"/>
  <c r="AA104" i="29"/>
  <c r="AB104" i="29" s="1"/>
  <c r="S105" i="33" l="1"/>
  <c r="AJ82" i="31"/>
  <c r="AN81" i="31"/>
  <c r="AC82" i="31"/>
  <c r="P105" i="29"/>
  <c r="W105" i="29"/>
  <c r="V106" i="29" s="1"/>
  <c r="I349" i="29"/>
  <c r="P349" i="29"/>
  <c r="O350" i="29" s="1"/>
  <c r="I226" i="29"/>
  <c r="P226" i="29"/>
  <c r="O227" i="29" s="1"/>
  <c r="Y105" i="29"/>
  <c r="I105" i="29"/>
  <c r="O106" i="29"/>
  <c r="V227" i="29"/>
  <c r="V350" i="29"/>
  <c r="T105" i="33" l="1"/>
  <c r="M105" i="33" s="1"/>
  <c r="T226" i="33"/>
  <c r="T349" i="33"/>
  <c r="H349" i="33" s="1"/>
  <c r="Y81" i="31"/>
  <c r="AL82" i="31"/>
  <c r="AO81" i="31"/>
  <c r="AP81" i="31" s="1"/>
  <c r="D81" i="31"/>
  <c r="K81" i="31"/>
  <c r="R81" i="31"/>
  <c r="AF81" i="31"/>
  <c r="Z226" i="29"/>
  <c r="Z105" i="29"/>
  <c r="Z349" i="29"/>
  <c r="H350" i="29"/>
  <c r="H106" i="29"/>
  <c r="H227" i="29"/>
  <c r="H105" i="33" l="1"/>
  <c r="C349" i="33"/>
  <c r="M349" i="33"/>
  <c r="C105" i="33"/>
  <c r="M226" i="33"/>
  <c r="C226" i="33"/>
  <c r="H226" i="33"/>
  <c r="U105" i="33"/>
  <c r="V105" i="33" s="1"/>
  <c r="AK82" i="31"/>
  <c r="AM82" i="31"/>
  <c r="AD82" i="31"/>
  <c r="W82" i="31"/>
  <c r="I82" i="31"/>
  <c r="P82" i="31"/>
  <c r="X227" i="29"/>
  <c r="W227" i="29" s="1"/>
  <c r="X350" i="29"/>
  <c r="W350" i="29" s="1"/>
  <c r="X106" i="29"/>
  <c r="AA105" i="29"/>
  <c r="AB105" i="29" s="1"/>
  <c r="S106" i="33" l="1"/>
  <c r="O83" i="31"/>
  <c r="H83" i="31"/>
  <c r="V83" i="31"/>
  <c r="P106" i="29"/>
  <c r="W106" i="29"/>
  <c r="I350" i="29"/>
  <c r="P350" i="29"/>
  <c r="O351" i="29" s="1"/>
  <c r="I227" i="29"/>
  <c r="P227" i="29"/>
  <c r="O228" i="29" s="1"/>
  <c r="Y106" i="29"/>
  <c r="I106" i="29"/>
  <c r="O107" i="29"/>
  <c r="V107" i="29"/>
  <c r="V351" i="29"/>
  <c r="V228" i="29"/>
  <c r="T106" i="33" l="1"/>
  <c r="C106" i="33" s="1"/>
  <c r="T350" i="33"/>
  <c r="C350" i="33" s="1"/>
  <c r="T227" i="33"/>
  <c r="AN82" i="31"/>
  <c r="AC83" i="31"/>
  <c r="AJ83" i="31"/>
  <c r="Z350" i="29"/>
  <c r="Z106" i="29"/>
  <c r="Z227" i="29"/>
  <c r="H107" i="29"/>
  <c r="H351" i="29"/>
  <c r="H228" i="29"/>
  <c r="M106" i="33" l="1"/>
  <c r="U106" i="33"/>
  <c r="V106" i="33" s="1"/>
  <c r="M350" i="33"/>
  <c r="M227" i="33"/>
  <c r="H350" i="33"/>
  <c r="H227" i="33"/>
  <c r="H106" i="33"/>
  <c r="C227" i="33"/>
  <c r="AF82" i="31"/>
  <c r="AL83" i="31"/>
  <c r="Y82" i="31"/>
  <c r="AO82" i="31"/>
  <c r="AP82" i="31" s="1"/>
  <c r="K82" i="31"/>
  <c r="D82" i="31"/>
  <c r="R82" i="31"/>
  <c r="X351" i="29"/>
  <c r="W351" i="29" s="1"/>
  <c r="X107" i="29"/>
  <c r="X228" i="29"/>
  <c r="W228" i="29" s="1"/>
  <c r="AA106" i="29"/>
  <c r="AB106" i="29" s="1"/>
  <c r="S107" i="33" l="1"/>
  <c r="AK83" i="31"/>
  <c r="AM83" i="31"/>
  <c r="AD83" i="31"/>
  <c r="W83" i="31"/>
  <c r="P83" i="31"/>
  <c r="I83" i="31"/>
  <c r="P351" i="29"/>
  <c r="O352" i="29" s="1"/>
  <c r="I351" i="29"/>
  <c r="P107" i="29"/>
  <c r="W107" i="29"/>
  <c r="V108" i="29" s="1"/>
  <c r="I228" i="29"/>
  <c r="P228" i="29"/>
  <c r="O229" i="29" s="1"/>
  <c r="Y107" i="29"/>
  <c r="I107" i="29"/>
  <c r="O108" i="29"/>
  <c r="V352" i="29"/>
  <c r="V229" i="29"/>
  <c r="T228" i="33" l="1"/>
  <c r="T351" i="33"/>
  <c r="H351" i="33" s="1"/>
  <c r="T107" i="33"/>
  <c r="H107" i="33" s="1"/>
  <c r="H84" i="31"/>
  <c r="O84" i="31"/>
  <c r="V84" i="31"/>
  <c r="Z228" i="29"/>
  <c r="Z351" i="29"/>
  <c r="Z107" i="29"/>
  <c r="H229" i="29"/>
  <c r="H108" i="29"/>
  <c r="H352" i="29"/>
  <c r="M351" i="33" l="1"/>
  <c r="C351" i="33"/>
  <c r="M107" i="33"/>
  <c r="U107" i="33"/>
  <c r="V107" i="33" s="1"/>
  <c r="H228" i="33"/>
  <c r="C228" i="33"/>
  <c r="M228" i="33"/>
  <c r="C107" i="33"/>
  <c r="AJ84" i="31"/>
  <c r="AN83" i="31"/>
  <c r="AC84" i="31"/>
  <c r="X229" i="29"/>
  <c r="W229" i="29" s="1"/>
  <c r="X108" i="29"/>
  <c r="W108" i="29" s="1"/>
  <c r="X352" i="29"/>
  <c r="W352" i="29" s="1"/>
  <c r="AA107" i="29"/>
  <c r="AB107" i="29" s="1"/>
  <c r="S108" i="33" l="1"/>
  <c r="Y83" i="31"/>
  <c r="AL84" i="31"/>
  <c r="AO83" i="31"/>
  <c r="AP83" i="31" s="1"/>
  <c r="K83" i="31"/>
  <c r="D83" i="31"/>
  <c r="R83" i="31"/>
  <c r="AF83" i="31"/>
  <c r="I229" i="29"/>
  <c r="P229" i="29"/>
  <c r="O230" i="29" s="1"/>
  <c r="Y108" i="29"/>
  <c r="P108" i="29"/>
  <c r="I352" i="29"/>
  <c r="P352" i="29"/>
  <c r="O353" i="29" s="1"/>
  <c r="I108" i="29"/>
  <c r="O109" i="29"/>
  <c r="V353" i="29"/>
  <c r="V109" i="29"/>
  <c r="V230" i="29"/>
  <c r="T352" i="33" l="1"/>
  <c r="C352" i="33" s="1"/>
  <c r="T108" i="33"/>
  <c r="C108" i="33" s="1"/>
  <c r="T229" i="33"/>
  <c r="M229" i="33" s="1"/>
  <c r="AK84" i="31"/>
  <c r="AM84" i="31"/>
  <c r="AD84" i="31"/>
  <c r="W84" i="31"/>
  <c r="P84" i="31"/>
  <c r="I84" i="31"/>
  <c r="Z352" i="29"/>
  <c r="Z229" i="29"/>
  <c r="Z108" i="29"/>
  <c r="H230" i="29"/>
  <c r="H109" i="29"/>
  <c r="H353" i="29"/>
  <c r="H229" i="33" l="1"/>
  <c r="C229" i="33"/>
  <c r="U108" i="33"/>
  <c r="V108" i="33" s="1"/>
  <c r="M108" i="33"/>
  <c r="H108" i="33"/>
  <c r="H352" i="33"/>
  <c r="M352" i="33"/>
  <c r="H85" i="31"/>
  <c r="O85" i="31"/>
  <c r="V85" i="31"/>
  <c r="X230" i="29"/>
  <c r="W230" i="29" s="1"/>
  <c r="X353" i="29"/>
  <c r="W353" i="29" s="1"/>
  <c r="X109" i="29"/>
  <c r="AA108" i="29"/>
  <c r="AB108" i="29" s="1"/>
  <c r="S109" i="33" l="1"/>
  <c r="AJ85" i="31"/>
  <c r="AN84" i="31"/>
  <c r="AC85" i="31"/>
  <c r="P109" i="29"/>
  <c r="W109" i="29"/>
  <c r="I353" i="29"/>
  <c r="P353" i="29"/>
  <c r="O354" i="29" s="1"/>
  <c r="I230" i="29"/>
  <c r="P230" i="29"/>
  <c r="O231" i="29" s="1"/>
  <c r="Y109" i="29"/>
  <c r="I109" i="29"/>
  <c r="O110" i="29"/>
  <c r="V231" i="29"/>
  <c r="V354" i="29"/>
  <c r="V110" i="29"/>
  <c r="T353" i="33" l="1"/>
  <c r="C353" i="33" s="1"/>
  <c r="T230" i="33"/>
  <c r="M230" i="33" s="1"/>
  <c r="T109" i="33"/>
  <c r="Y84" i="31"/>
  <c r="AL85" i="31"/>
  <c r="D84" i="31"/>
  <c r="AO84" i="31"/>
  <c r="AP84" i="31" s="1"/>
  <c r="K84" i="31"/>
  <c r="R84" i="31"/>
  <c r="AF84" i="31"/>
  <c r="Z353" i="29"/>
  <c r="Z109" i="29"/>
  <c r="Z230" i="29"/>
  <c r="H231" i="29"/>
  <c r="H354" i="29"/>
  <c r="H110" i="29"/>
  <c r="X110" i="29" s="1"/>
  <c r="M353" i="33" l="1"/>
  <c r="H353" i="33"/>
  <c r="C230" i="33"/>
  <c r="U109" i="33"/>
  <c r="V109" i="33" s="1"/>
  <c r="C109" i="33"/>
  <c r="H109" i="33"/>
  <c r="M109" i="33"/>
  <c r="H230" i="33"/>
  <c r="AK85" i="31"/>
  <c r="AM85" i="31"/>
  <c r="AD85" i="31"/>
  <c r="W85" i="31"/>
  <c r="I85" i="31"/>
  <c r="P85" i="31"/>
  <c r="X354" i="29"/>
  <c r="W354" i="29" s="1"/>
  <c r="P110" i="29"/>
  <c r="W110" i="29"/>
  <c r="Y110" i="29"/>
  <c r="I110" i="29"/>
  <c r="X231" i="29"/>
  <c r="W231" i="29" s="1"/>
  <c r="AA109" i="29"/>
  <c r="AB109" i="29" s="1"/>
  <c r="S110" i="33" l="1"/>
  <c r="O86" i="31"/>
  <c r="H86" i="31"/>
  <c r="V86" i="31"/>
  <c r="P354" i="29"/>
  <c r="O355" i="29" s="1"/>
  <c r="I354" i="29"/>
  <c r="I231" i="29"/>
  <c r="P231" i="29"/>
  <c r="O232" i="29" s="1"/>
  <c r="O111" i="29"/>
  <c r="V232" i="29"/>
  <c r="V355" i="29"/>
  <c r="V111" i="29"/>
  <c r="T231" i="33" l="1"/>
  <c r="M231" i="33" s="1"/>
  <c r="T110" i="33"/>
  <c r="M110" i="33" s="1"/>
  <c r="T354" i="33"/>
  <c r="C354" i="33" s="1"/>
  <c r="AN85" i="31"/>
  <c r="AC86" i="31"/>
  <c r="AJ86" i="31"/>
  <c r="Z231" i="29"/>
  <c r="Z110" i="29"/>
  <c r="Z354" i="29"/>
  <c r="H355" i="29"/>
  <c r="H111" i="29"/>
  <c r="H232" i="29"/>
  <c r="C231" i="33" l="1"/>
  <c r="C110" i="33"/>
  <c r="H354" i="33"/>
  <c r="U110" i="33"/>
  <c r="V110" i="33" s="1"/>
  <c r="M354" i="33"/>
  <c r="H231" i="33"/>
  <c r="H110" i="33"/>
  <c r="AF85" i="31"/>
  <c r="AL86" i="31"/>
  <c r="Y85" i="31"/>
  <c r="K85" i="31"/>
  <c r="AO85" i="31"/>
  <c r="AP85" i="31" s="1"/>
  <c r="D85" i="31"/>
  <c r="R85" i="31"/>
  <c r="X232" i="29"/>
  <c r="W232" i="29" s="1"/>
  <c r="X355" i="29"/>
  <c r="W355" i="29" s="1"/>
  <c r="X111" i="29"/>
  <c r="AA110" i="29"/>
  <c r="AB110" i="29" s="1"/>
  <c r="S111" i="33" l="1"/>
  <c r="AK86" i="31"/>
  <c r="AM86" i="31"/>
  <c r="AD86" i="31"/>
  <c r="W86" i="31"/>
  <c r="V87" i="31" s="1"/>
  <c r="I86" i="31"/>
  <c r="P86" i="31"/>
  <c r="I232" i="29"/>
  <c r="P232" i="29"/>
  <c r="O233" i="29" s="1"/>
  <c r="P111" i="29"/>
  <c r="W111" i="29"/>
  <c r="V112" i="29" s="1"/>
  <c r="I355" i="29"/>
  <c r="P355" i="29"/>
  <c r="O356" i="29" s="1"/>
  <c r="Y111" i="29"/>
  <c r="I111" i="29"/>
  <c r="O112" i="29"/>
  <c r="V233" i="29"/>
  <c r="V356" i="29"/>
  <c r="T355" i="33" l="1"/>
  <c r="C355" i="33" s="1"/>
  <c r="T232" i="33"/>
  <c r="C232" i="33" s="1"/>
  <c r="T111" i="33"/>
  <c r="O87" i="31"/>
  <c r="H87" i="31"/>
  <c r="Z232" i="29"/>
  <c r="Z355" i="29"/>
  <c r="Z111" i="29"/>
  <c r="H112" i="29"/>
  <c r="H233" i="29"/>
  <c r="H356" i="29"/>
  <c r="U111" i="33" l="1"/>
  <c r="V111" i="33" s="1"/>
  <c r="H355" i="33"/>
  <c r="H111" i="33"/>
  <c r="M232" i="33"/>
  <c r="H232" i="33"/>
  <c r="M355" i="33"/>
  <c r="C111" i="33"/>
  <c r="M111" i="33"/>
  <c r="AN86" i="31"/>
  <c r="AC87" i="31"/>
  <c r="AJ87" i="31"/>
  <c r="X356" i="29"/>
  <c r="W356" i="29" s="1"/>
  <c r="X233" i="29"/>
  <c r="W233" i="29" s="1"/>
  <c r="X112" i="29"/>
  <c r="AA111" i="29"/>
  <c r="AB111" i="29" s="1"/>
  <c r="S112" i="33" l="1"/>
  <c r="Y86" i="31"/>
  <c r="AL87" i="31"/>
  <c r="AF86" i="31"/>
  <c r="R86" i="31"/>
  <c r="AO86" i="31"/>
  <c r="AP86" i="31" s="1"/>
  <c r="D86" i="31"/>
  <c r="K86" i="31"/>
  <c r="P356" i="29"/>
  <c r="O357" i="29" s="1"/>
  <c r="I356" i="29"/>
  <c r="P112" i="29"/>
  <c r="W112" i="29"/>
  <c r="I233" i="29"/>
  <c r="P233" i="29"/>
  <c r="O234" i="29" s="1"/>
  <c r="Y112" i="29"/>
  <c r="I112" i="29"/>
  <c r="O113" i="29"/>
  <c r="V357" i="29"/>
  <c r="V113" i="29"/>
  <c r="V234" i="29"/>
  <c r="T356" i="33" l="1"/>
  <c r="C356" i="33" s="1"/>
  <c r="T112" i="33"/>
  <c r="T233" i="33"/>
  <c r="AK87" i="31"/>
  <c r="AM87" i="31"/>
  <c r="AD87" i="31"/>
  <c r="W87" i="31"/>
  <c r="I87" i="31"/>
  <c r="P87" i="31"/>
  <c r="Z112" i="29"/>
  <c r="Z356" i="29"/>
  <c r="Z233" i="29"/>
  <c r="H113" i="29"/>
  <c r="H234" i="29"/>
  <c r="H357" i="29"/>
  <c r="M356" i="33" l="1"/>
  <c r="H356" i="33"/>
  <c r="U112" i="33"/>
  <c r="V112" i="33" s="1"/>
  <c r="C112" i="33"/>
  <c r="H112" i="33"/>
  <c r="H233" i="33"/>
  <c r="M112" i="33"/>
  <c r="M233" i="33"/>
  <c r="C233" i="33"/>
  <c r="O88" i="31"/>
  <c r="H88" i="31"/>
  <c r="V88" i="31"/>
  <c r="X357" i="29"/>
  <c r="W357" i="29" s="1"/>
  <c r="X113" i="29"/>
  <c r="W113" i="29" s="1"/>
  <c r="X234" i="29"/>
  <c r="W234" i="29" s="1"/>
  <c r="AA112" i="29"/>
  <c r="AB112" i="29" s="1"/>
  <c r="S113" i="33" l="1"/>
  <c r="AJ88" i="31"/>
  <c r="AN87" i="31"/>
  <c r="AC88" i="31"/>
  <c r="P357" i="29"/>
  <c r="O358" i="29" s="1"/>
  <c r="I357" i="29"/>
  <c r="Y113" i="29"/>
  <c r="P113" i="29"/>
  <c r="I234" i="29"/>
  <c r="P234" i="29"/>
  <c r="O235" i="29" s="1"/>
  <c r="I113" i="29"/>
  <c r="O114" i="29"/>
  <c r="V235" i="29"/>
  <c r="V114" i="29"/>
  <c r="V358" i="29"/>
  <c r="T357" i="33" l="1"/>
  <c r="M357" i="33" s="1"/>
  <c r="T113" i="33"/>
  <c r="C113" i="33" s="1"/>
  <c r="T234" i="33"/>
  <c r="H234" i="33" s="1"/>
  <c r="AL88" i="31"/>
  <c r="Y87" i="31"/>
  <c r="AO87" i="31"/>
  <c r="AP87" i="31" s="1"/>
  <c r="K87" i="31"/>
  <c r="D87" i="31"/>
  <c r="R87" i="31"/>
  <c r="AF87" i="31"/>
  <c r="Z113" i="29"/>
  <c r="Z234" i="29"/>
  <c r="Z357" i="29"/>
  <c r="H114" i="29"/>
  <c r="H235" i="29"/>
  <c r="X235" i="29" s="1"/>
  <c r="W235" i="29" s="1"/>
  <c r="H358" i="29"/>
  <c r="X358" i="29" s="1"/>
  <c r="W358" i="29" s="1"/>
  <c r="C357" i="33" l="1"/>
  <c r="H113" i="33"/>
  <c r="M113" i="33"/>
  <c r="M234" i="33"/>
  <c r="H357" i="33"/>
  <c r="U113" i="33"/>
  <c r="V113" i="33" s="1"/>
  <c r="C234" i="33"/>
  <c r="AK88" i="31"/>
  <c r="AM88" i="31"/>
  <c r="AD88" i="31"/>
  <c r="W88" i="31"/>
  <c r="I88" i="31"/>
  <c r="P88" i="31"/>
  <c r="I358" i="29"/>
  <c r="P358" i="29"/>
  <c r="I235" i="29"/>
  <c r="P235" i="29"/>
  <c r="X114" i="29"/>
  <c r="AA113" i="29"/>
  <c r="AB113" i="29" s="1"/>
  <c r="S114" i="33" l="1"/>
  <c r="O89" i="31"/>
  <c r="H89" i="31"/>
  <c r="V89" i="31"/>
  <c r="P114" i="29"/>
  <c r="O115" i="29" s="1"/>
  <c r="W114" i="29"/>
  <c r="Y114" i="29"/>
  <c r="I114" i="29"/>
  <c r="O359" i="29"/>
  <c r="O236" i="29"/>
  <c r="V236" i="29"/>
  <c r="V359" i="29"/>
  <c r="V115" i="29"/>
  <c r="T358" i="33" l="1"/>
  <c r="H358" i="33" s="1"/>
  <c r="T235" i="33"/>
  <c r="C235" i="33" s="1"/>
  <c r="T114" i="33"/>
  <c r="H114" i="33" s="1"/>
  <c r="AN88" i="31"/>
  <c r="AC89" i="31"/>
  <c r="AJ89" i="31"/>
  <c r="Z114" i="29"/>
  <c r="Z235" i="29"/>
  <c r="Z358" i="29"/>
  <c r="H115" i="29"/>
  <c r="H236" i="29"/>
  <c r="H359" i="29"/>
  <c r="X359" i="29" s="1"/>
  <c r="W359" i="29" s="1"/>
  <c r="C358" i="33" l="1"/>
  <c r="M358" i="33"/>
  <c r="U114" i="33"/>
  <c r="V114" i="33" s="1"/>
  <c r="C114" i="33"/>
  <c r="M114" i="33"/>
  <c r="M235" i="33"/>
  <c r="H235" i="33"/>
  <c r="Y88" i="31"/>
  <c r="AL89" i="31"/>
  <c r="AF88" i="31"/>
  <c r="AO88" i="31"/>
  <c r="AP88" i="31" s="1"/>
  <c r="K88" i="31"/>
  <c r="D88" i="31"/>
  <c r="R88" i="31"/>
  <c r="I359" i="29"/>
  <c r="P359" i="29"/>
  <c r="X236" i="29"/>
  <c r="W236" i="29" s="1"/>
  <c r="X115" i="29"/>
  <c r="AA114" i="29"/>
  <c r="AB114" i="29" s="1"/>
  <c r="S115" i="33" l="1"/>
  <c r="AK89" i="31"/>
  <c r="AM89" i="31"/>
  <c r="AD89" i="31"/>
  <c r="W89" i="31"/>
  <c r="I89" i="31"/>
  <c r="P89" i="31"/>
  <c r="P115" i="29"/>
  <c r="W115" i="29"/>
  <c r="I236" i="29"/>
  <c r="P236" i="29"/>
  <c r="O237" i="29" s="1"/>
  <c r="Y115" i="29"/>
  <c r="I115" i="29"/>
  <c r="O360" i="29"/>
  <c r="O116" i="29"/>
  <c r="V360" i="29"/>
  <c r="V116" i="29"/>
  <c r="V237" i="29"/>
  <c r="T236" i="33" l="1"/>
  <c r="T115" i="33"/>
  <c r="M115" i="33" s="1"/>
  <c r="T359" i="33"/>
  <c r="O90" i="31"/>
  <c r="H90" i="31"/>
  <c r="V90" i="31"/>
  <c r="Z236" i="29"/>
  <c r="Z359" i="29"/>
  <c r="Z115" i="29"/>
  <c r="H360" i="29"/>
  <c r="H116" i="29"/>
  <c r="H237" i="29"/>
  <c r="H115" i="33" l="1"/>
  <c r="C115" i="33"/>
  <c r="C236" i="33"/>
  <c r="M236" i="33"/>
  <c r="H236" i="33"/>
  <c r="M359" i="33"/>
  <c r="C359" i="33"/>
  <c r="H359" i="33"/>
  <c r="U115" i="33"/>
  <c r="V115" i="33" s="1"/>
  <c r="AN89" i="31"/>
  <c r="AC90" i="31"/>
  <c r="AJ90" i="31"/>
  <c r="X360" i="29"/>
  <c r="W360" i="29" s="1"/>
  <c r="X237" i="29"/>
  <c r="W237" i="29" s="1"/>
  <c r="X116" i="29"/>
  <c r="AA115" i="29"/>
  <c r="AB115" i="29" s="1"/>
  <c r="S116" i="33" l="1"/>
  <c r="Y89" i="31"/>
  <c r="AL90" i="31"/>
  <c r="AF89" i="31"/>
  <c r="AO89" i="31"/>
  <c r="AP89" i="31" s="1"/>
  <c r="D89" i="31"/>
  <c r="K89" i="31"/>
  <c r="R89" i="31"/>
  <c r="P116" i="29"/>
  <c r="W116" i="29"/>
  <c r="I237" i="29"/>
  <c r="P237" i="29"/>
  <c r="O238" i="29" s="1"/>
  <c r="I360" i="29"/>
  <c r="P360" i="29"/>
  <c r="O361" i="29" s="1"/>
  <c r="Y116" i="29"/>
  <c r="I116" i="29"/>
  <c r="O117" i="29"/>
  <c r="V117" i="29"/>
  <c r="V361" i="29"/>
  <c r="V238" i="29"/>
  <c r="T360" i="33" l="1"/>
  <c r="M360" i="33" s="1"/>
  <c r="T237" i="33"/>
  <c r="H237" i="33" s="1"/>
  <c r="T116" i="33"/>
  <c r="M116" i="33" s="1"/>
  <c r="AK90" i="31"/>
  <c r="AM90" i="31"/>
  <c r="AD90" i="31"/>
  <c r="W90" i="31"/>
  <c r="I90" i="31"/>
  <c r="P90" i="31"/>
  <c r="Z237" i="29"/>
  <c r="Z116" i="29"/>
  <c r="Z360" i="29"/>
  <c r="H361" i="29"/>
  <c r="H238" i="29"/>
  <c r="H117" i="29"/>
  <c r="X117" i="29" s="1"/>
  <c r="C360" i="33" l="1"/>
  <c r="H360" i="33"/>
  <c r="C237" i="33"/>
  <c r="H116" i="33"/>
  <c r="U116" i="33"/>
  <c r="V116" i="33" s="1"/>
  <c r="C116" i="33"/>
  <c r="M237" i="33"/>
  <c r="O91" i="31"/>
  <c r="H91" i="31"/>
  <c r="V91" i="31"/>
  <c r="P117" i="29"/>
  <c r="W117" i="29"/>
  <c r="X238" i="29"/>
  <c r="W238" i="29" s="1"/>
  <c r="Y117" i="29"/>
  <c r="I117" i="29"/>
  <c r="X361" i="29"/>
  <c r="W361" i="29" s="1"/>
  <c r="AA116" i="29"/>
  <c r="AB116" i="29" s="1"/>
  <c r="S117" i="33" l="1"/>
  <c r="AN90" i="31"/>
  <c r="AC91" i="31"/>
  <c r="AJ91" i="31"/>
  <c r="I361" i="29"/>
  <c r="P361" i="29"/>
  <c r="O362" i="29" s="1"/>
  <c r="I238" i="29"/>
  <c r="P238" i="29"/>
  <c r="O239" i="29" s="1"/>
  <c r="O118" i="29"/>
  <c r="V362" i="29"/>
  <c r="V239" i="29"/>
  <c r="V118" i="29"/>
  <c r="T238" i="33" l="1"/>
  <c r="C238" i="33" s="1"/>
  <c r="T361" i="33"/>
  <c r="T117" i="33"/>
  <c r="M117" i="33" s="1"/>
  <c r="Y90" i="31"/>
  <c r="AL91" i="31"/>
  <c r="AF90" i="31"/>
  <c r="K90" i="31"/>
  <c r="AO90" i="31"/>
  <c r="AP90" i="31" s="1"/>
  <c r="D90" i="31"/>
  <c r="R90" i="31"/>
  <c r="Z117" i="29"/>
  <c r="Z238" i="29"/>
  <c r="Z361" i="29"/>
  <c r="H239" i="29"/>
  <c r="H362" i="29"/>
  <c r="H118" i="29"/>
  <c r="C117" i="33" l="1"/>
  <c r="H238" i="33"/>
  <c r="M238" i="33"/>
  <c r="U117" i="33"/>
  <c r="V117" i="33" s="1"/>
  <c r="H117" i="33"/>
  <c r="M361" i="33"/>
  <c r="C361" i="33"/>
  <c r="H361" i="33"/>
  <c r="AK91" i="31"/>
  <c r="AM91" i="31"/>
  <c r="AD91" i="31"/>
  <c r="W91" i="31"/>
  <c r="I91" i="31"/>
  <c r="P91" i="31"/>
  <c r="X118" i="29"/>
  <c r="W118" i="29" s="1"/>
  <c r="X362" i="29"/>
  <c r="W362" i="29" s="1"/>
  <c r="X239" i="29"/>
  <c r="W239" i="29" s="1"/>
  <c r="AA117" i="29"/>
  <c r="AB117" i="29" s="1"/>
  <c r="S118" i="33" l="1"/>
  <c r="O92" i="31"/>
  <c r="H92" i="31"/>
  <c r="V92" i="31"/>
  <c r="I239" i="29"/>
  <c r="P239" i="29"/>
  <c r="O240" i="29" s="1"/>
  <c r="I362" i="29"/>
  <c r="P362" i="29"/>
  <c r="O363" i="29" s="1"/>
  <c r="Y118" i="29"/>
  <c r="P118" i="29"/>
  <c r="O119" i="29" s="1"/>
  <c r="I118" i="29"/>
  <c r="V240" i="29"/>
  <c r="V119" i="29"/>
  <c r="V363" i="29"/>
  <c r="T239" i="33" l="1"/>
  <c r="T118" i="33"/>
  <c r="H118" i="33" s="1"/>
  <c r="T362" i="33"/>
  <c r="H362" i="33" s="1"/>
  <c r="AN91" i="31"/>
  <c r="AC92" i="31"/>
  <c r="AJ92" i="31"/>
  <c r="Z362" i="29"/>
  <c r="Z239" i="29"/>
  <c r="Z118" i="29"/>
  <c r="H240" i="29"/>
  <c r="H119" i="29"/>
  <c r="H363" i="29"/>
  <c r="M362" i="33" l="1"/>
  <c r="C118" i="33"/>
  <c r="M118" i="33"/>
  <c r="M239" i="33"/>
  <c r="H239" i="33"/>
  <c r="U118" i="33"/>
  <c r="V118" i="33" s="1"/>
  <c r="C362" i="33"/>
  <c r="C239" i="33"/>
  <c r="Y91" i="31"/>
  <c r="AL92" i="31"/>
  <c r="AF91" i="31"/>
  <c r="AO91" i="31"/>
  <c r="AP91" i="31" s="1"/>
  <c r="K91" i="31"/>
  <c r="D91" i="31"/>
  <c r="R91" i="31"/>
  <c r="X363" i="29"/>
  <c r="W363" i="29" s="1"/>
  <c r="X119" i="29"/>
  <c r="X240" i="29"/>
  <c r="W240" i="29" s="1"/>
  <c r="AA118" i="29"/>
  <c r="AB118" i="29" s="1"/>
  <c r="S119" i="33" l="1"/>
  <c r="AK92" i="31"/>
  <c r="AM92" i="31"/>
  <c r="AD92" i="31"/>
  <c r="W92" i="31"/>
  <c r="V93" i="31" s="1"/>
  <c r="P92" i="31"/>
  <c r="I92" i="31"/>
  <c r="P119" i="29"/>
  <c r="W119" i="29"/>
  <c r="V120" i="29" s="1"/>
  <c r="I240" i="29"/>
  <c r="P240" i="29"/>
  <c r="O241" i="29" s="1"/>
  <c r="I363" i="29"/>
  <c r="P363" i="29"/>
  <c r="O364" i="29" s="1"/>
  <c r="Y119" i="29"/>
  <c r="I119" i="29"/>
  <c r="O120" i="29"/>
  <c r="V241" i="29"/>
  <c r="V364" i="29"/>
  <c r="T119" i="33" l="1"/>
  <c r="C119" i="33" s="1"/>
  <c r="T240" i="33"/>
  <c r="C240" i="33" s="1"/>
  <c r="T363" i="33"/>
  <c r="C363" i="33" s="1"/>
  <c r="H93" i="31"/>
  <c r="O93" i="31"/>
  <c r="Z363" i="29"/>
  <c r="Z119" i="29"/>
  <c r="Z240" i="29"/>
  <c r="H241" i="29"/>
  <c r="H120" i="29"/>
  <c r="H364" i="29"/>
  <c r="M119" i="33" l="1"/>
  <c r="H119" i="33"/>
  <c r="H240" i="33"/>
  <c r="M240" i="33"/>
  <c r="H363" i="33"/>
  <c r="M363" i="33"/>
  <c r="U119" i="33"/>
  <c r="V119" i="33" s="1"/>
  <c r="AJ93" i="31"/>
  <c r="AN92" i="31"/>
  <c r="AC93" i="31"/>
  <c r="X364" i="29"/>
  <c r="W364" i="29" s="1"/>
  <c r="X120" i="29"/>
  <c r="X241" i="29"/>
  <c r="W241" i="29" s="1"/>
  <c r="AA119" i="29"/>
  <c r="AB119" i="29" s="1"/>
  <c r="S120" i="33" l="1"/>
  <c r="Y92" i="31"/>
  <c r="AL93" i="31"/>
  <c r="R92" i="31"/>
  <c r="AO92" i="31"/>
  <c r="AP92" i="31" s="1"/>
  <c r="D92" i="31"/>
  <c r="K92" i="31"/>
  <c r="AF92" i="31"/>
  <c r="P120" i="29"/>
  <c r="W120" i="29"/>
  <c r="I241" i="29"/>
  <c r="P241" i="29"/>
  <c r="O242" i="29" s="1"/>
  <c r="I364" i="29"/>
  <c r="P364" i="29"/>
  <c r="O365" i="29" s="1"/>
  <c r="Y120" i="29"/>
  <c r="I120" i="29"/>
  <c r="O121" i="29"/>
  <c r="V242" i="29"/>
  <c r="V365" i="29"/>
  <c r="V121" i="29"/>
  <c r="T364" i="33" l="1"/>
  <c r="H364" i="33" s="1"/>
  <c r="T120" i="33"/>
  <c r="H120" i="33" s="1"/>
  <c r="T241" i="33"/>
  <c r="M241" i="33" s="1"/>
  <c r="AK93" i="31"/>
  <c r="AD93" i="31"/>
  <c r="W93" i="31"/>
  <c r="I93" i="31"/>
  <c r="AM93" i="31" s="1"/>
  <c r="P93" i="31"/>
  <c r="Z120" i="29"/>
  <c r="Z241" i="29"/>
  <c r="Z364" i="29"/>
  <c r="H365" i="29"/>
  <c r="H242" i="29"/>
  <c r="H121" i="29"/>
  <c r="M364" i="33" l="1"/>
  <c r="C364" i="33"/>
  <c r="U120" i="33"/>
  <c r="V120" i="33" s="1"/>
  <c r="C120" i="33"/>
  <c r="H241" i="33"/>
  <c r="M120" i="33"/>
  <c r="C241" i="33"/>
  <c r="O94" i="31"/>
  <c r="H94" i="31"/>
  <c r="V94" i="31"/>
  <c r="X242" i="29"/>
  <c r="W242" i="29" s="1"/>
  <c r="X365" i="29"/>
  <c r="W365" i="29" s="1"/>
  <c r="X121" i="29"/>
  <c r="AA120" i="29"/>
  <c r="AB120" i="29" s="1"/>
  <c r="S121" i="33" l="1"/>
  <c r="AN93" i="31"/>
  <c r="AC94" i="31"/>
  <c r="AJ94" i="31"/>
  <c r="P121" i="29"/>
  <c r="W121" i="29"/>
  <c r="I365" i="29"/>
  <c r="P365" i="29"/>
  <c r="O366" i="29" s="1"/>
  <c r="I242" i="29"/>
  <c r="P242" i="29"/>
  <c r="O243" i="29" s="1"/>
  <c r="Y121" i="29"/>
  <c r="I121" i="29"/>
  <c r="O122" i="29"/>
  <c r="V122" i="29"/>
  <c r="V366" i="29"/>
  <c r="V243" i="29"/>
  <c r="T365" i="33" l="1"/>
  <c r="C365" i="33" s="1"/>
  <c r="T121" i="33"/>
  <c r="C121" i="33" s="1"/>
  <c r="T242" i="33"/>
  <c r="M242" i="33" s="1"/>
  <c r="Y93" i="31"/>
  <c r="AL94" i="31"/>
  <c r="AF93" i="31"/>
  <c r="AO93" i="31"/>
  <c r="AP93" i="31" s="1"/>
  <c r="K93" i="31"/>
  <c r="D93" i="31"/>
  <c r="R93" i="31"/>
  <c r="Z121" i="29"/>
  <c r="Z242" i="29"/>
  <c r="Z365" i="29"/>
  <c r="H243" i="29"/>
  <c r="H366" i="29"/>
  <c r="H122" i="29"/>
  <c r="M365" i="33" l="1"/>
  <c r="H365" i="33"/>
  <c r="H121" i="33"/>
  <c r="U121" i="33"/>
  <c r="V121" i="33" s="1"/>
  <c r="M121" i="33"/>
  <c r="C242" i="33"/>
  <c r="H242" i="33"/>
  <c r="AK94" i="31"/>
  <c r="AM94" i="31"/>
  <c r="AD94" i="31"/>
  <c r="W94" i="31"/>
  <c r="I94" i="31"/>
  <c r="P94" i="31"/>
  <c r="X243" i="29"/>
  <c r="W243" i="29" s="1"/>
  <c r="X122" i="29"/>
  <c r="X366" i="29"/>
  <c r="W366" i="29" s="1"/>
  <c r="AA121" i="29"/>
  <c r="AB121" i="29" s="1"/>
  <c r="S122" i="33" l="1"/>
  <c r="O95" i="31"/>
  <c r="H95" i="31"/>
  <c r="V95" i="31"/>
  <c r="P122" i="29"/>
  <c r="W122" i="29"/>
  <c r="V123" i="29" s="1"/>
  <c r="I366" i="29"/>
  <c r="P366" i="29"/>
  <c r="O367" i="29" s="1"/>
  <c r="I243" i="29"/>
  <c r="P243" i="29"/>
  <c r="O244" i="29" s="1"/>
  <c r="Y122" i="29"/>
  <c r="I122" i="29"/>
  <c r="O123" i="29"/>
  <c r="V367" i="29"/>
  <c r="V244" i="29"/>
  <c r="T122" i="33" l="1"/>
  <c r="C122" i="33" s="1"/>
  <c r="T243" i="33"/>
  <c r="T366" i="33"/>
  <c r="M366" i="33" s="1"/>
  <c r="AN94" i="31"/>
  <c r="AC95" i="31"/>
  <c r="AJ95" i="31"/>
  <c r="Z366" i="29"/>
  <c r="Z243" i="29"/>
  <c r="Z122" i="29"/>
  <c r="H244" i="29"/>
  <c r="H123" i="29"/>
  <c r="H367" i="29"/>
  <c r="H122" i="33" l="1"/>
  <c r="H366" i="33"/>
  <c r="M122" i="33"/>
  <c r="M243" i="33"/>
  <c r="U122" i="33"/>
  <c r="V122" i="33" s="1"/>
  <c r="H243" i="33"/>
  <c r="C243" i="33"/>
  <c r="C366" i="33"/>
  <c r="Y94" i="31"/>
  <c r="AL95" i="31"/>
  <c r="AF94" i="31"/>
  <c r="K94" i="31"/>
  <c r="AO94" i="31"/>
  <c r="AP94" i="31" s="1"/>
  <c r="D94" i="31"/>
  <c r="R94" i="31"/>
  <c r="X244" i="29"/>
  <c r="W244" i="29" s="1"/>
  <c r="X367" i="29"/>
  <c r="W367" i="29" s="1"/>
  <c r="X123" i="29"/>
  <c r="AA122" i="29"/>
  <c r="AB122" i="29" s="1"/>
  <c r="S123" i="33" l="1"/>
  <c r="AK95" i="31"/>
  <c r="AM95" i="31"/>
  <c r="AD95" i="31"/>
  <c r="W95" i="31"/>
  <c r="P95" i="31"/>
  <c r="I95" i="31"/>
  <c r="P123" i="29"/>
  <c r="W123" i="29"/>
  <c r="I367" i="29"/>
  <c r="P367" i="29"/>
  <c r="O368" i="29" s="1"/>
  <c r="I244" i="29"/>
  <c r="P244" i="29"/>
  <c r="O245" i="29" s="1"/>
  <c r="Y123" i="29"/>
  <c r="I123" i="29"/>
  <c r="O124" i="29"/>
  <c r="V124" i="29"/>
  <c r="V245" i="29"/>
  <c r="V368" i="29"/>
  <c r="T367" i="33" l="1"/>
  <c r="C367" i="33" s="1"/>
  <c r="T244" i="33"/>
  <c r="C244" i="33" s="1"/>
  <c r="T123" i="33"/>
  <c r="H123" i="33" s="1"/>
  <c r="H96" i="31"/>
  <c r="O96" i="31"/>
  <c r="V96" i="31"/>
  <c r="Z367" i="29"/>
  <c r="Z123" i="29"/>
  <c r="Z244" i="29"/>
  <c r="H245" i="29"/>
  <c r="H124" i="29"/>
  <c r="H368" i="29"/>
  <c r="M123" i="33" l="1"/>
  <c r="C123" i="33"/>
  <c r="H244" i="33"/>
  <c r="H367" i="33"/>
  <c r="M367" i="33"/>
  <c r="S124" i="33"/>
  <c r="U123" i="33"/>
  <c r="V123" i="33" s="1"/>
  <c r="M244" i="33"/>
  <c r="AJ96" i="31"/>
  <c r="AN95" i="31"/>
  <c r="AC96" i="31"/>
  <c r="X368" i="29"/>
  <c r="X124" i="29"/>
  <c r="Y124" i="29" s="1"/>
  <c r="Y125" i="29" s="1"/>
  <c r="Y126" i="29" s="1"/>
  <c r="Y127" i="29" s="1"/>
  <c r="Y128" i="29" s="1"/>
  <c r="Y129" i="29" s="1"/>
  <c r="Y130" i="29" s="1"/>
  <c r="Y131" i="29" s="1"/>
  <c r="Y132" i="29" s="1"/>
  <c r="Y133" i="29" s="1"/>
  <c r="Y134" i="29" s="1"/>
  <c r="Y135" i="29" s="1"/>
  <c r="Y136" i="29" s="1"/>
  <c r="Y137" i="29" s="1"/>
  <c r="Y138" i="29" s="1"/>
  <c r="Y139" i="29" s="1"/>
  <c r="Y140" i="29" s="1"/>
  <c r="Y141" i="29" s="1"/>
  <c r="Y142" i="29" s="1"/>
  <c r="Y143" i="29" s="1"/>
  <c r="Y144" i="29" s="1"/>
  <c r="Y145" i="29" s="1"/>
  <c r="Y146" i="29" s="1"/>
  <c r="Y147" i="29" s="1"/>
  <c r="Y148" i="29" s="1"/>
  <c r="Y149" i="29" s="1"/>
  <c r="Y150" i="29" s="1"/>
  <c r="Y151" i="29" s="1"/>
  <c r="Y152" i="29" s="1"/>
  <c r="Y153" i="29" s="1"/>
  <c r="Y154" i="29" s="1"/>
  <c r="Y155" i="29" s="1"/>
  <c r="Y156" i="29" s="1"/>
  <c r="Y157" i="29" s="1"/>
  <c r="Y158" i="29" s="1"/>
  <c r="Y159" i="29" s="1"/>
  <c r="Y160" i="29" s="1"/>
  <c r="Y161" i="29" s="1"/>
  <c r="Y162" i="29" s="1"/>
  <c r="Y163" i="29" s="1"/>
  <c r="Y164" i="29" s="1"/>
  <c r="Y165" i="29" s="1"/>
  <c r="Y166" i="29" s="1"/>
  <c r="Y167" i="29" s="1"/>
  <c r="Y168" i="29" s="1"/>
  <c r="Y169" i="29" s="1"/>
  <c r="Y170" i="29" s="1"/>
  <c r="Y171" i="29" s="1"/>
  <c r="Y172" i="29" s="1"/>
  <c r="Y173" i="29" s="1"/>
  <c r="Y174" i="29" s="1"/>
  <c r="Y175" i="29" s="1"/>
  <c r="Y176" i="29" s="1"/>
  <c r="Y177" i="29" s="1"/>
  <c r="Y178" i="29" s="1"/>
  <c r="Y179" i="29" s="1"/>
  <c r="Y180" i="29" s="1"/>
  <c r="Y181" i="29" s="1"/>
  <c r="Y182" i="29" s="1"/>
  <c r="Y183" i="29" s="1"/>
  <c r="Y184" i="29" s="1"/>
  <c r="Y185" i="29" s="1"/>
  <c r="Y186" i="29" s="1"/>
  <c r="Y187" i="29" s="1"/>
  <c r="Y188" i="29" s="1"/>
  <c r="Y189" i="29" s="1"/>
  <c r="Y190" i="29" s="1"/>
  <c r="Y191" i="29" s="1"/>
  <c r="Y192" i="29" s="1"/>
  <c r="Y193" i="29" s="1"/>
  <c r="Y194" i="29" s="1"/>
  <c r="Y195" i="29" s="1"/>
  <c r="Y196" i="29" s="1"/>
  <c r="Y197" i="29" s="1"/>
  <c r="Y198" i="29" s="1"/>
  <c r="Y199" i="29" s="1"/>
  <c r="Y200" i="29" s="1"/>
  <c r="Y201" i="29" s="1"/>
  <c r="Y202" i="29" s="1"/>
  <c r="Y203" i="29" s="1"/>
  <c r="Y204" i="29" s="1"/>
  <c r="Y205" i="29" s="1"/>
  <c r="Y206" i="29" s="1"/>
  <c r="Y207" i="29" s="1"/>
  <c r="Y208" i="29" s="1"/>
  <c r="Y209" i="29" s="1"/>
  <c r="Y210" i="29" s="1"/>
  <c r="Y211" i="29" s="1"/>
  <c r="Y212" i="29" s="1"/>
  <c r="Y213" i="29" s="1"/>
  <c r="Y214" i="29" s="1"/>
  <c r="Y215" i="29" s="1"/>
  <c r="Y216" i="29" s="1"/>
  <c r="Y217" i="29" s="1"/>
  <c r="Y218" i="29" s="1"/>
  <c r="Y219" i="29" s="1"/>
  <c r="Y220" i="29" s="1"/>
  <c r="Y221" i="29" s="1"/>
  <c r="Y222" i="29" s="1"/>
  <c r="Y223" i="29" s="1"/>
  <c r="Y224" i="29" s="1"/>
  <c r="Y225" i="29" s="1"/>
  <c r="Y226" i="29" s="1"/>
  <c r="Y227" i="29" s="1"/>
  <c r="Y228" i="29" s="1"/>
  <c r="Y229" i="29" s="1"/>
  <c r="Y230" i="29" s="1"/>
  <c r="Y231" i="29" s="1"/>
  <c r="Y232" i="29" s="1"/>
  <c r="Y233" i="29" s="1"/>
  <c r="Y234" i="29" s="1"/>
  <c r="Y235" i="29" s="1"/>
  <c r="Y236" i="29" s="1"/>
  <c r="Y237" i="29" s="1"/>
  <c r="Y238" i="29" s="1"/>
  <c r="Y239" i="29" s="1"/>
  <c r="Y240" i="29" s="1"/>
  <c r="Y241" i="29" s="1"/>
  <c r="Y242" i="29" s="1"/>
  <c r="Y243" i="29" s="1"/>
  <c r="Y244" i="29" s="1"/>
  <c r="X245" i="29"/>
  <c r="W245" i="29" s="1"/>
  <c r="AA123" i="29"/>
  <c r="AB123" i="29" s="1"/>
  <c r="U124" i="33" l="1"/>
  <c r="V124" i="33" s="1"/>
  <c r="S125" i="33"/>
  <c r="AF95" i="31"/>
  <c r="AL96" i="31"/>
  <c r="Y95" i="31"/>
  <c r="K95" i="31"/>
  <c r="AO95" i="31"/>
  <c r="AP95" i="31" s="1"/>
  <c r="D95" i="31"/>
  <c r="R95" i="31"/>
  <c r="I245" i="29"/>
  <c r="P245" i="29"/>
  <c r="O246" i="29" s="1"/>
  <c r="V246" i="29"/>
  <c r="AA124" i="29"/>
  <c r="AB124" i="29" s="1"/>
  <c r="T245" i="33" l="1"/>
  <c r="M245" i="33" s="1"/>
  <c r="U125" i="33"/>
  <c r="V125" i="33" s="1"/>
  <c r="S126" i="33"/>
  <c r="AK96" i="31"/>
  <c r="AM96" i="31"/>
  <c r="AD96" i="31"/>
  <c r="W96" i="31"/>
  <c r="I96" i="31"/>
  <c r="P96" i="31"/>
  <c r="Y245" i="29"/>
  <c r="Z245" i="29"/>
  <c r="AA125" i="29"/>
  <c r="AB125" i="29" s="1"/>
  <c r="H246" i="29"/>
  <c r="X246" i="29" s="1"/>
  <c r="H245" i="33" l="1"/>
  <c r="U126" i="33"/>
  <c r="V126" i="33" s="1"/>
  <c r="S127" i="33"/>
  <c r="C245" i="33"/>
  <c r="O97" i="31"/>
  <c r="H97" i="31"/>
  <c r="V97" i="31"/>
  <c r="P246" i="29"/>
  <c r="W246" i="29"/>
  <c r="Y246" i="29"/>
  <c r="I246" i="29"/>
  <c r="AA126" i="29"/>
  <c r="AB126" i="29" s="1"/>
  <c r="U127" i="33" l="1"/>
  <c r="V127" i="33" s="1"/>
  <c r="S128" i="33"/>
  <c r="AN96" i="31"/>
  <c r="AC97" i="31"/>
  <c r="AJ97" i="31"/>
  <c r="O247" i="29"/>
  <c r="V247" i="29"/>
  <c r="AA127" i="29"/>
  <c r="AB127" i="29" s="1"/>
  <c r="T246" i="33" l="1"/>
  <c r="U128" i="33"/>
  <c r="V128" i="33" s="1"/>
  <c r="S129" i="33"/>
  <c r="AF96" i="31"/>
  <c r="AL97" i="31"/>
  <c r="Y96" i="31"/>
  <c r="AO96" i="31"/>
  <c r="AP96" i="31" s="1"/>
  <c r="R96" i="31"/>
  <c r="K96" i="31"/>
  <c r="D96" i="31"/>
  <c r="Z246" i="29"/>
  <c r="H247" i="29"/>
  <c r="AA128" i="29"/>
  <c r="AB128" i="29" s="1"/>
  <c r="C246" i="33" l="1"/>
  <c r="M246" i="33"/>
  <c r="H246" i="33"/>
  <c r="U129" i="33"/>
  <c r="V129" i="33" s="1"/>
  <c r="S130" i="33"/>
  <c r="AK97" i="31"/>
  <c r="AM97" i="31"/>
  <c r="AD97" i="31"/>
  <c r="W97" i="31"/>
  <c r="I97" i="31"/>
  <c r="P97" i="31"/>
  <c r="X247" i="29"/>
  <c r="Y247" i="29" s="1"/>
  <c r="Y248" i="29" s="1"/>
  <c r="Y249" i="29" s="1"/>
  <c r="Y250" i="29" s="1"/>
  <c r="Y251" i="29" s="1"/>
  <c r="Y252" i="29" s="1"/>
  <c r="Y253" i="29" s="1"/>
  <c r="Y254" i="29" s="1"/>
  <c r="Y255" i="29" s="1"/>
  <c r="Y256" i="29" s="1"/>
  <c r="Y257" i="29" s="1"/>
  <c r="Y258" i="29" s="1"/>
  <c r="Y259" i="29" s="1"/>
  <c r="Y260" i="29" s="1"/>
  <c r="Y261" i="29" s="1"/>
  <c r="Y262" i="29" s="1"/>
  <c r="Y263" i="29" s="1"/>
  <c r="Y264" i="29" s="1"/>
  <c r="Y265" i="29" s="1"/>
  <c r="Y266" i="29" s="1"/>
  <c r="Y267" i="29" s="1"/>
  <c r="Y268" i="29" s="1"/>
  <c r="Y269" i="29" s="1"/>
  <c r="Y270" i="29" s="1"/>
  <c r="Y271" i="29" s="1"/>
  <c r="Y272" i="29" s="1"/>
  <c r="Y273" i="29" s="1"/>
  <c r="Y274" i="29" s="1"/>
  <c r="Y275" i="29" s="1"/>
  <c r="Y276" i="29" s="1"/>
  <c r="Y277" i="29" s="1"/>
  <c r="Y278" i="29" s="1"/>
  <c r="Y279" i="29" s="1"/>
  <c r="Y280" i="29" s="1"/>
  <c r="Y281" i="29" s="1"/>
  <c r="Y282" i="29" s="1"/>
  <c r="Y283" i="29" s="1"/>
  <c r="Y284" i="29" s="1"/>
  <c r="Y285" i="29" s="1"/>
  <c r="Y286" i="29" s="1"/>
  <c r="Y287" i="29" s="1"/>
  <c r="Y288" i="29" s="1"/>
  <c r="Y289" i="29" s="1"/>
  <c r="Y290" i="29" s="1"/>
  <c r="Y291" i="29" s="1"/>
  <c r="Y292" i="29" s="1"/>
  <c r="Y293" i="29" s="1"/>
  <c r="Y294" i="29" s="1"/>
  <c r="Y295" i="29" s="1"/>
  <c r="Y296" i="29" s="1"/>
  <c r="Y297" i="29" s="1"/>
  <c r="Y298" i="29" s="1"/>
  <c r="Y299" i="29" s="1"/>
  <c r="Y300" i="29" s="1"/>
  <c r="Y301" i="29" s="1"/>
  <c r="Y302" i="29" s="1"/>
  <c r="Y303" i="29" s="1"/>
  <c r="Y304" i="29" s="1"/>
  <c r="Y305" i="29" s="1"/>
  <c r="Y306" i="29" s="1"/>
  <c r="Y307" i="29" s="1"/>
  <c r="Y308" i="29" s="1"/>
  <c r="Y309" i="29" s="1"/>
  <c r="Y310" i="29" s="1"/>
  <c r="Y311" i="29" s="1"/>
  <c r="Y312" i="29" s="1"/>
  <c r="Y313" i="29" s="1"/>
  <c r="Y314" i="29" s="1"/>
  <c r="Y315" i="29" s="1"/>
  <c r="Y316" i="29" s="1"/>
  <c r="Y317" i="29" s="1"/>
  <c r="Y318" i="29" s="1"/>
  <c r="Y319" i="29" s="1"/>
  <c r="Y320" i="29" s="1"/>
  <c r="Y321" i="29" s="1"/>
  <c r="Y322" i="29" s="1"/>
  <c r="Y323" i="29" s="1"/>
  <c r="Y324" i="29" s="1"/>
  <c r="Y325" i="29" s="1"/>
  <c r="Y326" i="29" s="1"/>
  <c r="Y327" i="29" s="1"/>
  <c r="Y328" i="29" s="1"/>
  <c r="Y329" i="29" s="1"/>
  <c r="Y330" i="29" s="1"/>
  <c r="Y331" i="29" s="1"/>
  <c r="Y332" i="29" s="1"/>
  <c r="Y333" i="29" s="1"/>
  <c r="Y334" i="29" s="1"/>
  <c r="Y335" i="29" s="1"/>
  <c r="Y336" i="29" s="1"/>
  <c r="Y337" i="29" s="1"/>
  <c r="Y338" i="29" s="1"/>
  <c r="Y339" i="29" s="1"/>
  <c r="Y340" i="29" s="1"/>
  <c r="Y341" i="29" s="1"/>
  <c r="Y342" i="29" s="1"/>
  <c r="Y343" i="29" s="1"/>
  <c r="Y344" i="29" s="1"/>
  <c r="Y345" i="29" s="1"/>
  <c r="Y346" i="29" s="1"/>
  <c r="Y347" i="29" s="1"/>
  <c r="Y348" i="29" s="1"/>
  <c r="Y349" i="29" s="1"/>
  <c r="Y350" i="29" s="1"/>
  <c r="Y351" i="29" s="1"/>
  <c r="Y352" i="29" s="1"/>
  <c r="Y353" i="29" s="1"/>
  <c r="Y354" i="29" s="1"/>
  <c r="Y355" i="29" s="1"/>
  <c r="Y356" i="29" s="1"/>
  <c r="Y357" i="29" s="1"/>
  <c r="Y358" i="29" s="1"/>
  <c r="Y359" i="29" s="1"/>
  <c r="Y360" i="29" s="1"/>
  <c r="Y361" i="29" s="1"/>
  <c r="Y362" i="29" s="1"/>
  <c r="Y363" i="29" s="1"/>
  <c r="Y364" i="29" s="1"/>
  <c r="Y365" i="29" s="1"/>
  <c r="Y366" i="29" s="1"/>
  <c r="Y367" i="29" s="1"/>
  <c r="Y368" i="29" s="1"/>
  <c r="Y369" i="29" s="1"/>
  <c r="Y370" i="29" s="1"/>
  <c r="Y371" i="29" s="1"/>
  <c r="Y372" i="29" s="1"/>
  <c r="Y373" i="29" s="1"/>
  <c r="Y374" i="29" s="1"/>
  <c r="Y375" i="29" s="1"/>
  <c r="Y376" i="29" s="1"/>
  <c r="Y377" i="29" s="1"/>
  <c r="Y378" i="29" s="1"/>
  <c r="Y379" i="29" s="1"/>
  <c r="Y380" i="29" s="1"/>
  <c r="AA129" i="29"/>
  <c r="AB129" i="29" s="1"/>
  <c r="U130" i="33" l="1"/>
  <c r="V130" i="33" s="1"/>
  <c r="S131" i="33"/>
  <c r="O98" i="31"/>
  <c r="H98" i="31"/>
  <c r="V98" i="31"/>
  <c r="AA130" i="29"/>
  <c r="AB130" i="29" s="1"/>
  <c r="U131" i="33" l="1"/>
  <c r="V131" i="33" s="1"/>
  <c r="S132" i="33"/>
  <c r="AN97" i="31"/>
  <c r="AC98" i="31"/>
  <c r="AJ98" i="31"/>
  <c r="AA131" i="29"/>
  <c r="AB131" i="29" s="1"/>
  <c r="U132" i="33" l="1"/>
  <c r="V132" i="33" s="1"/>
  <c r="S133" i="33"/>
  <c r="AF97" i="31"/>
  <c r="AL98" i="31"/>
  <c r="Y97" i="31"/>
  <c r="D97" i="31"/>
  <c r="AO97" i="31"/>
  <c r="AP97" i="31" s="1"/>
  <c r="R97" i="31"/>
  <c r="K97" i="31"/>
  <c r="AA132" i="29"/>
  <c r="AB132" i="29" s="1"/>
  <c r="U133" i="33" l="1"/>
  <c r="V133" i="33" s="1"/>
  <c r="S134" i="33"/>
  <c r="AK98" i="31"/>
  <c r="AM98" i="31"/>
  <c r="AD98" i="31"/>
  <c r="W98" i="31"/>
  <c r="P98" i="31"/>
  <c r="I98" i="31"/>
  <c r="AA133" i="29"/>
  <c r="AB133" i="29" s="1"/>
  <c r="U134" i="33" l="1"/>
  <c r="V134" i="33" s="1"/>
  <c r="S135" i="33"/>
  <c r="H99" i="31"/>
  <c r="O99" i="31"/>
  <c r="V99" i="31"/>
  <c r="AA134" i="29"/>
  <c r="AB134" i="29" s="1"/>
  <c r="U135" i="33" l="1"/>
  <c r="V135" i="33" s="1"/>
  <c r="S136" i="33"/>
  <c r="AJ99" i="31"/>
  <c r="AN98" i="31"/>
  <c r="AC99" i="31"/>
  <c r="AA135" i="29"/>
  <c r="AB135" i="29" s="1"/>
  <c r="U136" i="33" l="1"/>
  <c r="V136" i="33" s="1"/>
  <c r="S137" i="33"/>
  <c r="Y98" i="31"/>
  <c r="AL99" i="31"/>
  <c r="AO98" i="31"/>
  <c r="AP98" i="31" s="1"/>
  <c r="D98" i="31"/>
  <c r="K98" i="31"/>
  <c r="R98" i="31"/>
  <c r="AF98" i="31"/>
  <c r="AA136" i="29"/>
  <c r="AB136" i="29" s="1"/>
  <c r="U137" i="33" l="1"/>
  <c r="V137" i="33" s="1"/>
  <c r="S138" i="33"/>
  <c r="AK99" i="31"/>
  <c r="AM99" i="31"/>
  <c r="AD99" i="31"/>
  <c r="W99" i="31"/>
  <c r="I99" i="31"/>
  <c r="P99" i="31"/>
  <c r="AA137" i="29"/>
  <c r="AB137" i="29" s="1"/>
  <c r="U138" i="33" l="1"/>
  <c r="V138" i="33" s="1"/>
  <c r="S139" i="33"/>
  <c r="V100" i="31"/>
  <c r="O100" i="31"/>
  <c r="H100" i="31"/>
  <c r="AA138" i="29"/>
  <c r="AB138" i="29" s="1"/>
  <c r="U139" i="33" l="1"/>
  <c r="V139" i="33" s="1"/>
  <c r="S140" i="33"/>
  <c r="AJ100" i="31"/>
  <c r="AN99" i="31"/>
  <c r="AC100" i="31"/>
  <c r="AA139" i="29"/>
  <c r="AB139" i="29" s="1"/>
  <c r="U140" i="33" l="1"/>
  <c r="V140" i="33" s="1"/>
  <c r="S141" i="33"/>
  <c r="AL100" i="31"/>
  <c r="Y99" i="31"/>
  <c r="AO99" i="31"/>
  <c r="AP99" i="31" s="1"/>
  <c r="R99" i="31"/>
  <c r="K99" i="31"/>
  <c r="D99" i="31"/>
  <c r="AF99" i="31"/>
  <c r="AA140" i="29"/>
  <c r="AB140" i="29" s="1"/>
  <c r="U141" i="33" l="1"/>
  <c r="V141" i="33" s="1"/>
  <c r="S142" i="33"/>
  <c r="AK100" i="31"/>
  <c r="AM100" i="31"/>
  <c r="AD100" i="31"/>
  <c r="W100" i="31"/>
  <c r="I100" i="31"/>
  <c r="P100" i="31"/>
  <c r="AA141" i="29"/>
  <c r="AB141" i="29" s="1"/>
  <c r="U142" i="33" l="1"/>
  <c r="V142" i="33" s="1"/>
  <c r="S143" i="33"/>
  <c r="O101" i="31"/>
  <c r="H101" i="31"/>
  <c r="V101" i="31"/>
  <c r="AA142" i="29"/>
  <c r="AB142" i="29" s="1"/>
  <c r="U143" i="33" l="1"/>
  <c r="V143" i="33" s="1"/>
  <c r="S144" i="33"/>
  <c r="AN100" i="31"/>
  <c r="AC101" i="31"/>
  <c r="AJ101" i="31"/>
  <c r="AA143" i="29"/>
  <c r="AB143" i="29" s="1"/>
  <c r="U144" i="33" l="1"/>
  <c r="V144" i="33" s="1"/>
  <c r="S145" i="33"/>
  <c r="AF100" i="31"/>
  <c r="AL101" i="31"/>
  <c r="Y100" i="31"/>
  <c r="D100" i="31"/>
  <c r="AO100" i="31"/>
  <c r="AP100" i="31" s="1"/>
  <c r="R100" i="31"/>
  <c r="K100" i="31"/>
  <c r="AA144" i="29"/>
  <c r="AB144" i="29" s="1"/>
  <c r="U145" i="33" l="1"/>
  <c r="V145" i="33" s="1"/>
  <c r="S146" i="33"/>
  <c r="AK101" i="31"/>
  <c r="AM101" i="31"/>
  <c r="AD101" i="31"/>
  <c r="W101" i="31"/>
  <c r="I101" i="31"/>
  <c r="P101" i="31"/>
  <c r="AA145" i="29"/>
  <c r="AB145" i="29" s="1"/>
  <c r="U146" i="33" l="1"/>
  <c r="V146" i="33" s="1"/>
  <c r="S147" i="33"/>
  <c r="V102" i="31"/>
  <c r="O102" i="31"/>
  <c r="H102" i="31"/>
  <c r="AA146" i="29"/>
  <c r="AB146" i="29" s="1"/>
  <c r="U147" i="33" l="1"/>
  <c r="V147" i="33" s="1"/>
  <c r="S148" i="33"/>
  <c r="AN101" i="31"/>
  <c r="AL102" i="31" s="1"/>
  <c r="AC102" i="31"/>
  <c r="AJ102" i="31"/>
  <c r="AA147" i="29"/>
  <c r="AB147" i="29" s="1"/>
  <c r="U148" i="33" l="1"/>
  <c r="V148" i="33" s="1"/>
  <c r="S149" i="33"/>
  <c r="AO101" i="31"/>
  <c r="AP101" i="31" s="1"/>
  <c r="R101" i="31"/>
  <c r="K101" i="31"/>
  <c r="D101" i="31"/>
  <c r="AF101" i="31"/>
  <c r="Y101" i="31"/>
  <c r="AA148" i="29"/>
  <c r="AB148" i="29" s="1"/>
  <c r="U149" i="33" l="1"/>
  <c r="V149" i="33" s="1"/>
  <c r="S150" i="33"/>
  <c r="AK102" i="31"/>
  <c r="AM102" i="31"/>
  <c r="AD102" i="31"/>
  <c r="W102" i="31"/>
  <c r="P102" i="31"/>
  <c r="I102" i="31"/>
  <c r="AA149" i="29"/>
  <c r="AB149" i="29" s="1"/>
  <c r="U150" i="33" l="1"/>
  <c r="V150" i="33" s="1"/>
  <c r="S151" i="33"/>
  <c r="V103" i="31"/>
  <c r="H103" i="31"/>
  <c r="O103" i="31"/>
  <c r="AA150" i="29"/>
  <c r="AB150" i="29" s="1"/>
  <c r="U151" i="33" l="1"/>
  <c r="V151" i="33" s="1"/>
  <c r="S152" i="33"/>
  <c r="AJ103" i="31"/>
  <c r="AN102" i="31"/>
  <c r="AL103" i="31" s="1"/>
  <c r="AC103" i="31"/>
  <c r="AA151" i="29"/>
  <c r="AB151" i="29" s="1"/>
  <c r="U152" i="33" l="1"/>
  <c r="V152" i="33" s="1"/>
  <c r="S153" i="33"/>
  <c r="AO102" i="31"/>
  <c r="AP102" i="31" s="1"/>
  <c r="R102" i="31"/>
  <c r="D102" i="31"/>
  <c r="K102" i="31"/>
  <c r="AF102" i="31"/>
  <c r="Y102" i="31"/>
  <c r="AA152" i="29"/>
  <c r="AB152" i="29" s="1"/>
  <c r="U153" i="33" l="1"/>
  <c r="V153" i="33" s="1"/>
  <c r="S154" i="33"/>
  <c r="AK103" i="31"/>
  <c r="AM103" i="31"/>
  <c r="AD103" i="31"/>
  <c r="W103" i="31"/>
  <c r="I103" i="31"/>
  <c r="P103" i="31"/>
  <c r="AA153" i="29"/>
  <c r="AB153" i="29" s="1"/>
  <c r="U154" i="33" l="1"/>
  <c r="V154" i="33" s="1"/>
  <c r="S155" i="33"/>
  <c r="V104" i="31"/>
  <c r="O104" i="31"/>
  <c r="H104" i="31"/>
  <c r="AA154" i="29"/>
  <c r="AB154" i="29" s="1"/>
  <c r="U155" i="33" l="1"/>
  <c r="V155" i="33" s="1"/>
  <c r="S156" i="33"/>
  <c r="AJ104" i="31"/>
  <c r="AN103" i="31"/>
  <c r="AC104" i="31"/>
  <c r="AA155" i="29"/>
  <c r="AB155" i="29" s="1"/>
  <c r="U156" i="33" l="1"/>
  <c r="V156" i="33" s="1"/>
  <c r="S157" i="33"/>
  <c r="Y103" i="31"/>
  <c r="AL104" i="31"/>
  <c r="AO103" i="31"/>
  <c r="AP103" i="31" s="1"/>
  <c r="R103" i="31"/>
  <c r="D103" i="31"/>
  <c r="K103" i="31"/>
  <c r="AF103" i="31"/>
  <c r="AA156" i="29"/>
  <c r="AB156" i="29" s="1"/>
  <c r="U157" i="33" l="1"/>
  <c r="V157" i="33" s="1"/>
  <c r="S158" i="33"/>
  <c r="AK104" i="31"/>
  <c r="AM104" i="31"/>
  <c r="AD104" i="31"/>
  <c r="W104" i="31"/>
  <c r="P104" i="31"/>
  <c r="I104" i="31"/>
  <c r="AA157" i="29"/>
  <c r="AB157" i="29" s="1"/>
  <c r="U158" i="33" l="1"/>
  <c r="V158" i="33" s="1"/>
  <c r="S159" i="33"/>
  <c r="V105" i="31"/>
  <c r="H105" i="31"/>
  <c r="O105" i="31"/>
  <c r="AA158" i="29"/>
  <c r="AB158" i="29" s="1"/>
  <c r="U159" i="33" l="1"/>
  <c r="V159" i="33" s="1"/>
  <c r="S160" i="33"/>
  <c r="AJ105" i="31"/>
  <c r="AN104" i="31"/>
  <c r="AC105" i="31"/>
  <c r="Y104" i="31"/>
  <c r="AA159" i="29"/>
  <c r="AB159" i="29" s="1"/>
  <c r="U160" i="33" l="1"/>
  <c r="V160" i="33" s="1"/>
  <c r="S161" i="33"/>
  <c r="AL105" i="31"/>
  <c r="D104" i="31"/>
  <c r="AO104" i="31"/>
  <c r="AP104" i="31" s="1"/>
  <c r="R104" i="31"/>
  <c r="K104" i="31"/>
  <c r="AF104" i="31"/>
  <c r="AA160" i="29"/>
  <c r="AB160" i="29" s="1"/>
  <c r="U161" i="33" l="1"/>
  <c r="V161" i="33" s="1"/>
  <c r="S162" i="33"/>
  <c r="AK105" i="31"/>
  <c r="AM105" i="31"/>
  <c r="AD105" i="31"/>
  <c r="W105" i="31"/>
  <c r="I105" i="31"/>
  <c r="P105" i="31"/>
  <c r="AA161" i="29"/>
  <c r="AB161" i="29" s="1"/>
  <c r="U162" i="33" l="1"/>
  <c r="V162" i="33" s="1"/>
  <c r="S163" i="33"/>
  <c r="V106" i="31"/>
  <c r="O106" i="31"/>
  <c r="H106" i="31"/>
  <c r="AA162" i="29"/>
  <c r="AB162" i="29" s="1"/>
  <c r="U163" i="33" l="1"/>
  <c r="V163" i="33" s="1"/>
  <c r="S164" i="33"/>
  <c r="AN105" i="31"/>
  <c r="AC106" i="31"/>
  <c r="AJ106" i="31"/>
  <c r="AA163" i="29"/>
  <c r="AB163" i="29" s="1"/>
  <c r="U164" i="33" l="1"/>
  <c r="V164" i="33" s="1"/>
  <c r="S165" i="33"/>
  <c r="AL106" i="31"/>
  <c r="K105" i="31"/>
  <c r="AO105" i="31"/>
  <c r="AP105" i="31" s="1"/>
  <c r="R105" i="31"/>
  <c r="D105" i="31"/>
  <c r="AF105" i="31"/>
  <c r="Y105" i="31"/>
  <c r="AA164" i="29"/>
  <c r="AB164" i="29" s="1"/>
  <c r="U165" i="33" l="1"/>
  <c r="V165" i="33" s="1"/>
  <c r="S166" i="33"/>
  <c r="AK106" i="31"/>
  <c r="AM106" i="31"/>
  <c r="AD106" i="31"/>
  <c r="W106" i="31"/>
  <c r="I106" i="31"/>
  <c r="P106" i="31"/>
  <c r="AA165" i="29"/>
  <c r="AB165" i="29" s="1"/>
  <c r="U166" i="33" l="1"/>
  <c r="V166" i="33" s="1"/>
  <c r="S167" i="33"/>
  <c r="V107" i="31"/>
  <c r="O107" i="31"/>
  <c r="H107" i="31"/>
  <c r="AA166" i="29"/>
  <c r="AB166" i="29" s="1"/>
  <c r="U167" i="33" l="1"/>
  <c r="V167" i="33" s="1"/>
  <c r="S168" i="33"/>
  <c r="AN106" i="31"/>
  <c r="AL107" i="31" s="1"/>
  <c r="AC107" i="31"/>
  <c r="AJ107" i="31"/>
  <c r="AA167" i="29"/>
  <c r="AB167" i="29" s="1"/>
  <c r="U168" i="33" l="1"/>
  <c r="V168" i="33" s="1"/>
  <c r="S169" i="33"/>
  <c r="AO106" i="31"/>
  <c r="AP106" i="31" s="1"/>
  <c r="R106" i="31"/>
  <c r="K106" i="31"/>
  <c r="D106" i="31"/>
  <c r="AF106" i="31"/>
  <c r="Y106" i="31"/>
  <c r="AA168" i="29"/>
  <c r="AB168" i="29" s="1"/>
  <c r="U169" i="33" l="1"/>
  <c r="V169" i="33" s="1"/>
  <c r="S170" i="33"/>
  <c r="AK107" i="31"/>
  <c r="AM107" i="31"/>
  <c r="AD107" i="31"/>
  <c r="W107" i="31"/>
  <c r="I107" i="31"/>
  <c r="P107" i="31"/>
  <c r="AA169" i="29"/>
  <c r="AB169" i="29" s="1"/>
  <c r="U170" i="33" l="1"/>
  <c r="V170" i="33" s="1"/>
  <c r="S171" i="33"/>
  <c r="V108" i="31"/>
  <c r="O108" i="31"/>
  <c r="H108" i="31"/>
  <c r="AA170" i="29"/>
  <c r="AB170" i="29" s="1"/>
  <c r="U171" i="33" l="1"/>
  <c r="V171" i="33" s="1"/>
  <c r="S172" i="33"/>
  <c r="AN107" i="31"/>
  <c r="AC108" i="31"/>
  <c r="AJ108" i="31"/>
  <c r="AA171" i="29"/>
  <c r="AB171" i="29" s="1"/>
  <c r="U172" i="33" l="1"/>
  <c r="V172" i="33" s="1"/>
  <c r="S173" i="33"/>
  <c r="AF107" i="31"/>
  <c r="AL108" i="31"/>
  <c r="Y107" i="31"/>
  <c r="AO107" i="31"/>
  <c r="AP107" i="31" s="1"/>
  <c r="R107" i="31"/>
  <c r="K107" i="31"/>
  <c r="D107" i="31"/>
  <c r="AA172" i="29"/>
  <c r="AB172" i="29" s="1"/>
  <c r="U173" i="33" l="1"/>
  <c r="V173" i="33" s="1"/>
  <c r="S174" i="33"/>
  <c r="AK108" i="31"/>
  <c r="AM108" i="31"/>
  <c r="AD108" i="31"/>
  <c r="W108" i="31"/>
  <c r="P108" i="31"/>
  <c r="I108" i="31"/>
  <c r="AA173" i="29"/>
  <c r="AB173" i="29" s="1"/>
  <c r="U174" i="33" l="1"/>
  <c r="V174" i="33" s="1"/>
  <c r="S175" i="33"/>
  <c r="V109" i="31"/>
  <c r="H109" i="31"/>
  <c r="O109" i="31"/>
  <c r="AA174" i="29"/>
  <c r="AB174" i="29" s="1"/>
  <c r="U175" i="33" l="1"/>
  <c r="V175" i="33" s="1"/>
  <c r="S176" i="33"/>
  <c r="AJ109" i="31"/>
  <c r="AN108" i="31"/>
  <c r="AC109" i="31"/>
  <c r="AA175" i="29"/>
  <c r="AB175" i="29" s="1"/>
  <c r="U176" i="33" l="1"/>
  <c r="V176" i="33" s="1"/>
  <c r="S177" i="33"/>
  <c r="Y108" i="31"/>
  <c r="AL109" i="31"/>
  <c r="AO108" i="31"/>
  <c r="AP108" i="31" s="1"/>
  <c r="R108" i="31"/>
  <c r="D108" i="31"/>
  <c r="K108" i="31"/>
  <c r="AF108" i="31"/>
  <c r="AA176" i="29"/>
  <c r="AB176" i="29" s="1"/>
  <c r="U177" i="33" l="1"/>
  <c r="V177" i="33" s="1"/>
  <c r="S178" i="33"/>
  <c r="AK109" i="31"/>
  <c r="AM109" i="31"/>
  <c r="AD109" i="31"/>
  <c r="W109" i="31"/>
  <c r="I109" i="31"/>
  <c r="P109" i="31"/>
  <c r="AA177" i="29"/>
  <c r="AB177" i="29" s="1"/>
  <c r="U178" i="33" l="1"/>
  <c r="V178" i="33" s="1"/>
  <c r="S179" i="33"/>
  <c r="V110" i="31"/>
  <c r="O110" i="31"/>
  <c r="H110" i="31"/>
  <c r="AA178" i="29"/>
  <c r="AB178" i="29" s="1"/>
  <c r="U179" i="33" l="1"/>
  <c r="V179" i="33" s="1"/>
  <c r="S180" i="33"/>
  <c r="AN109" i="31"/>
  <c r="AC110" i="31"/>
  <c r="AJ110" i="31"/>
  <c r="AA179" i="29"/>
  <c r="AB179" i="29" s="1"/>
  <c r="U180" i="33" l="1"/>
  <c r="V180" i="33" s="1"/>
  <c r="S181" i="33"/>
  <c r="AL110" i="31"/>
  <c r="AO109" i="31"/>
  <c r="AP109" i="31" s="1"/>
  <c r="R109" i="31"/>
  <c r="K109" i="31"/>
  <c r="D109" i="31"/>
  <c r="AF109" i="31"/>
  <c r="Y109" i="31"/>
  <c r="AA180" i="29"/>
  <c r="AB180" i="29" s="1"/>
  <c r="U181" i="33" l="1"/>
  <c r="V181" i="33" s="1"/>
  <c r="S182" i="33"/>
  <c r="AK110" i="31"/>
  <c r="AM110" i="31"/>
  <c r="AD110" i="31"/>
  <c r="W110" i="31"/>
  <c r="P110" i="31"/>
  <c r="I110" i="31"/>
  <c r="AA181" i="29"/>
  <c r="AB181" i="29" s="1"/>
  <c r="U182" i="33" l="1"/>
  <c r="V182" i="33" s="1"/>
  <c r="S183" i="33"/>
  <c r="H111" i="31"/>
  <c r="O111" i="31"/>
  <c r="V111" i="31"/>
  <c r="AA182" i="29"/>
  <c r="AB182" i="29" s="1"/>
  <c r="U183" i="33" l="1"/>
  <c r="V183" i="33" s="1"/>
  <c r="S184" i="33"/>
  <c r="AJ111" i="31"/>
  <c r="AN110" i="31"/>
  <c r="AC111" i="31"/>
  <c r="AA183" i="29"/>
  <c r="AB183" i="29" s="1"/>
  <c r="U184" i="33" l="1"/>
  <c r="V184" i="33" s="1"/>
  <c r="S185" i="33"/>
  <c r="AF110" i="31"/>
  <c r="AL111" i="31"/>
  <c r="Y110" i="31"/>
  <c r="AO110" i="31"/>
  <c r="AP110" i="31" s="1"/>
  <c r="D110" i="31"/>
  <c r="K110" i="31"/>
  <c r="R110" i="31"/>
  <c r="AA184" i="29"/>
  <c r="AB184" i="29" s="1"/>
  <c r="U185" i="33" l="1"/>
  <c r="V185" i="33" s="1"/>
  <c r="S186" i="33"/>
  <c r="AK111" i="31"/>
  <c r="AM111" i="31"/>
  <c r="AD111" i="31"/>
  <c r="W111" i="31"/>
  <c r="I111" i="31"/>
  <c r="P111" i="31"/>
  <c r="AA185" i="29"/>
  <c r="AB185" i="29" s="1"/>
  <c r="U186" i="33" l="1"/>
  <c r="V186" i="33" s="1"/>
  <c r="S187" i="33"/>
  <c r="H112" i="31"/>
  <c r="AJ112" i="31"/>
  <c r="O112" i="31"/>
  <c r="V112" i="31"/>
  <c r="AA186" i="29"/>
  <c r="AB186" i="29" s="1"/>
  <c r="U187" i="33" l="1"/>
  <c r="V187" i="33" s="1"/>
  <c r="S188" i="33"/>
  <c r="AN111" i="31"/>
  <c r="AC112" i="31"/>
  <c r="AA187" i="29"/>
  <c r="AB187" i="29" s="1"/>
  <c r="U188" i="33" l="1"/>
  <c r="V188" i="33" s="1"/>
  <c r="S189" i="33"/>
  <c r="Y111" i="31"/>
  <c r="AL112" i="31"/>
  <c r="AF111" i="31"/>
  <c r="AO111" i="31"/>
  <c r="AP111" i="31" s="1"/>
  <c r="R111" i="31"/>
  <c r="D111" i="31"/>
  <c r="K111" i="31"/>
  <c r="AA188" i="29"/>
  <c r="AB188" i="29" s="1"/>
  <c r="U189" i="33" l="1"/>
  <c r="V189" i="33" s="1"/>
  <c r="S190" i="33"/>
  <c r="AK112" i="31"/>
  <c r="AM112" i="31"/>
  <c r="AD112" i="31"/>
  <c r="W112" i="31"/>
  <c r="I112" i="31"/>
  <c r="P112" i="31"/>
  <c r="AA189" i="29"/>
  <c r="AB189" i="29" s="1"/>
  <c r="U190" i="33" l="1"/>
  <c r="V190" i="33" s="1"/>
  <c r="S191" i="33"/>
  <c r="O113" i="31"/>
  <c r="H113" i="31"/>
  <c r="V113" i="31"/>
  <c r="AA190" i="29"/>
  <c r="AB190" i="29" s="1"/>
  <c r="U191" i="33" l="1"/>
  <c r="V191" i="33" s="1"/>
  <c r="S192" i="33"/>
  <c r="AN112" i="31"/>
  <c r="AC113" i="31"/>
  <c r="AJ113" i="31"/>
  <c r="AA191" i="29"/>
  <c r="AB191" i="29" s="1"/>
  <c r="U192" i="33" l="1"/>
  <c r="V192" i="33" s="1"/>
  <c r="S193" i="33"/>
  <c r="AL113" i="31"/>
  <c r="AO112" i="31"/>
  <c r="AP112" i="31" s="1"/>
  <c r="K112" i="31"/>
  <c r="D112" i="31"/>
  <c r="R112" i="31"/>
  <c r="AF112" i="31"/>
  <c r="Y112" i="31"/>
  <c r="AA192" i="29"/>
  <c r="AB192" i="29" s="1"/>
  <c r="U193" i="33" l="1"/>
  <c r="V193" i="33" s="1"/>
  <c r="S194" i="33"/>
  <c r="AK113" i="31"/>
  <c r="AM113" i="31"/>
  <c r="AD113" i="31"/>
  <c r="W113" i="31"/>
  <c r="I113" i="31"/>
  <c r="P113" i="31"/>
  <c r="AA193" i="29"/>
  <c r="AB193" i="29" s="1"/>
  <c r="U194" i="33" l="1"/>
  <c r="V194" i="33" s="1"/>
  <c r="S195" i="33"/>
  <c r="V114" i="31"/>
  <c r="O114" i="31"/>
  <c r="H114" i="31"/>
  <c r="AA194" i="29"/>
  <c r="AB194" i="29" s="1"/>
  <c r="U195" i="33" l="1"/>
  <c r="V195" i="33" s="1"/>
  <c r="S196" i="33"/>
  <c r="AN113" i="31"/>
  <c r="AC114" i="31"/>
  <c r="AJ114" i="31"/>
  <c r="AA195" i="29"/>
  <c r="AB195" i="29" s="1"/>
  <c r="U196" i="33" l="1"/>
  <c r="V196" i="33" s="1"/>
  <c r="S197" i="33"/>
  <c r="AL114" i="31"/>
  <c r="D113" i="31"/>
  <c r="AO113" i="31"/>
  <c r="AP113" i="31" s="1"/>
  <c r="R113" i="31"/>
  <c r="K113" i="31"/>
  <c r="AF113" i="31"/>
  <c r="Y113" i="31"/>
  <c r="AA196" i="29"/>
  <c r="AB196" i="29" s="1"/>
  <c r="U197" i="33" l="1"/>
  <c r="V197" i="33" s="1"/>
  <c r="S198" i="33"/>
  <c r="AK114" i="31"/>
  <c r="AM114" i="31"/>
  <c r="AD114" i="31"/>
  <c r="W114" i="31"/>
  <c r="I114" i="31"/>
  <c r="P114" i="31"/>
  <c r="AA197" i="29"/>
  <c r="AB197" i="29" s="1"/>
  <c r="U198" i="33" l="1"/>
  <c r="V198" i="33" s="1"/>
  <c r="S199" i="33"/>
  <c r="V115" i="31"/>
  <c r="O115" i="31"/>
  <c r="H115" i="31"/>
  <c r="AA198" i="29"/>
  <c r="AB198" i="29" s="1"/>
  <c r="U199" i="33" l="1"/>
  <c r="V199" i="33" s="1"/>
  <c r="S200" i="33"/>
  <c r="AN114" i="31"/>
  <c r="AC115" i="31"/>
  <c r="AJ115" i="31"/>
  <c r="AA199" i="29"/>
  <c r="AB199" i="29" s="1"/>
  <c r="U200" i="33" l="1"/>
  <c r="V200" i="33" s="1"/>
  <c r="S201" i="33"/>
  <c r="AF114" i="31"/>
  <c r="AL115" i="31"/>
  <c r="Y114" i="31"/>
  <c r="AO114" i="31"/>
  <c r="AP114" i="31" s="1"/>
  <c r="R114" i="31"/>
  <c r="D114" i="31"/>
  <c r="K114" i="31"/>
  <c r="AA200" i="29"/>
  <c r="AB200" i="29" s="1"/>
  <c r="U201" i="33" l="1"/>
  <c r="V201" i="33" s="1"/>
  <c r="S202" i="33"/>
  <c r="AK115" i="31"/>
  <c r="AM115" i="31"/>
  <c r="AD115" i="31"/>
  <c r="W115" i="31"/>
  <c r="I115" i="31"/>
  <c r="P115" i="31"/>
  <c r="AA201" i="29"/>
  <c r="AB201" i="29" s="1"/>
  <c r="U202" i="33" l="1"/>
  <c r="V202" i="33" s="1"/>
  <c r="S203" i="33"/>
  <c r="V116" i="31"/>
  <c r="O116" i="31"/>
  <c r="H116" i="31"/>
  <c r="AA202" i="29"/>
  <c r="AB202" i="29" s="1"/>
  <c r="U203" i="33" l="1"/>
  <c r="V203" i="33" s="1"/>
  <c r="S204" i="33"/>
  <c r="AN115" i="31"/>
  <c r="AC116" i="31"/>
  <c r="AJ116" i="31"/>
  <c r="AA203" i="29"/>
  <c r="AB203" i="29" s="1"/>
  <c r="U204" i="33" l="1"/>
  <c r="V204" i="33" s="1"/>
  <c r="S205" i="33"/>
  <c r="AL116" i="31"/>
  <c r="AO115" i="31"/>
  <c r="AP115" i="31" s="1"/>
  <c r="R115" i="31"/>
  <c r="K115" i="31"/>
  <c r="D115" i="31"/>
  <c r="AF115" i="31"/>
  <c r="Y115" i="31"/>
  <c r="AA204" i="29"/>
  <c r="AB204" i="29" s="1"/>
  <c r="U205" i="33" l="1"/>
  <c r="V205" i="33" s="1"/>
  <c r="S206" i="33"/>
  <c r="AK116" i="31"/>
  <c r="AM116" i="31"/>
  <c r="AD116" i="31"/>
  <c r="W116" i="31"/>
  <c r="I116" i="31"/>
  <c r="P116" i="31"/>
  <c r="AA205" i="29"/>
  <c r="AB205" i="29" s="1"/>
  <c r="U206" i="33" l="1"/>
  <c r="V206" i="33" s="1"/>
  <c r="S207" i="33"/>
  <c r="O117" i="31"/>
  <c r="V117" i="31"/>
  <c r="H117" i="31"/>
  <c r="AA206" i="29"/>
  <c r="AB206" i="29" s="1"/>
  <c r="U207" i="33" l="1"/>
  <c r="V207" i="33" s="1"/>
  <c r="S208" i="33"/>
  <c r="AN116" i="31"/>
  <c r="AL117" i="31" s="1"/>
  <c r="AC117" i="31"/>
  <c r="AJ117" i="31"/>
  <c r="AA207" i="29"/>
  <c r="AB207" i="29" s="1"/>
  <c r="U208" i="33" l="1"/>
  <c r="V208" i="33" s="1"/>
  <c r="S209" i="33"/>
  <c r="AO116" i="31"/>
  <c r="AP116" i="31" s="1"/>
  <c r="K116" i="31"/>
  <c r="D116" i="31"/>
  <c r="R116" i="31"/>
  <c r="AF116" i="31"/>
  <c r="Y116" i="31"/>
  <c r="AA208" i="29"/>
  <c r="AB208" i="29" s="1"/>
  <c r="U209" i="33" l="1"/>
  <c r="V209" i="33" s="1"/>
  <c r="S210" i="33"/>
  <c r="AK117" i="31"/>
  <c r="AM117" i="31"/>
  <c r="AD117" i="31"/>
  <c r="W117" i="31"/>
  <c r="P117" i="31"/>
  <c r="I117" i="31"/>
  <c r="AA209" i="29"/>
  <c r="AB209" i="29" s="1"/>
  <c r="U210" i="33" l="1"/>
  <c r="V210" i="33" s="1"/>
  <c r="S211" i="33"/>
  <c r="V118" i="31"/>
  <c r="H118" i="31"/>
  <c r="O118" i="31"/>
  <c r="AA210" i="29"/>
  <c r="AB210" i="29" s="1"/>
  <c r="U211" i="33" l="1"/>
  <c r="V211" i="33" s="1"/>
  <c r="S212" i="33"/>
  <c r="AN117" i="31"/>
  <c r="AL118" i="31" s="1"/>
  <c r="AC118" i="31"/>
  <c r="AJ118" i="31"/>
  <c r="AA211" i="29"/>
  <c r="AB211" i="29" s="1"/>
  <c r="U212" i="33" l="1"/>
  <c r="V212" i="33" s="1"/>
  <c r="S213" i="33"/>
  <c r="Y117" i="31"/>
  <c r="AO117" i="31"/>
  <c r="AP117" i="31" s="1"/>
  <c r="D117" i="31"/>
  <c r="K117" i="31"/>
  <c r="R117" i="31"/>
  <c r="AF117" i="31"/>
  <c r="AA212" i="29"/>
  <c r="AB212" i="29" s="1"/>
  <c r="U213" i="33" l="1"/>
  <c r="V213" i="33" s="1"/>
  <c r="S214" i="33"/>
  <c r="AK118" i="31"/>
  <c r="AM118" i="31"/>
  <c r="AD118" i="31"/>
  <c r="W118" i="31"/>
  <c r="I118" i="31"/>
  <c r="P118" i="31"/>
  <c r="AA213" i="29"/>
  <c r="AB213" i="29" s="1"/>
  <c r="U214" i="33" l="1"/>
  <c r="V214" i="33" s="1"/>
  <c r="S215" i="33"/>
  <c r="V119" i="31"/>
  <c r="O119" i="31"/>
  <c r="H119" i="31"/>
  <c r="AA214" i="29"/>
  <c r="AB214" i="29" s="1"/>
  <c r="U215" i="33" l="1"/>
  <c r="V215" i="33" s="1"/>
  <c r="S216" i="33"/>
  <c r="AN118" i="31"/>
  <c r="AL119" i="31" s="1"/>
  <c r="AC119" i="31"/>
  <c r="AJ119" i="31"/>
  <c r="AA215" i="29"/>
  <c r="AB215" i="29" s="1"/>
  <c r="U216" i="33" l="1"/>
  <c r="V216" i="33" s="1"/>
  <c r="S217" i="33"/>
  <c r="D118" i="31"/>
  <c r="AO118" i="31"/>
  <c r="AP118" i="31" s="1"/>
  <c r="R118" i="31"/>
  <c r="K118" i="31"/>
  <c r="AF118" i="31"/>
  <c r="Y118" i="31"/>
  <c r="AA216" i="29"/>
  <c r="AB216" i="29" s="1"/>
  <c r="U217" i="33" l="1"/>
  <c r="V217" i="33" s="1"/>
  <c r="S218" i="33"/>
  <c r="AK119" i="31"/>
  <c r="AM119" i="31"/>
  <c r="AD119" i="31"/>
  <c r="W119" i="31"/>
  <c r="P119" i="31"/>
  <c r="I119" i="31"/>
  <c r="AA217" i="29"/>
  <c r="AB217" i="29" s="1"/>
  <c r="U218" i="33" l="1"/>
  <c r="V218" i="33" s="1"/>
  <c r="S219" i="33"/>
  <c r="V120" i="31"/>
  <c r="H120" i="31"/>
  <c r="O120" i="31"/>
  <c r="AA218" i="29"/>
  <c r="AB218" i="29" s="1"/>
  <c r="U219" i="33" l="1"/>
  <c r="V219" i="33" s="1"/>
  <c r="S220" i="33"/>
  <c r="AJ120" i="31"/>
  <c r="AN119" i="31"/>
  <c r="AC120" i="31"/>
  <c r="AA219" i="29"/>
  <c r="AB219" i="29" s="1"/>
  <c r="U220" i="33" l="1"/>
  <c r="V220" i="33" s="1"/>
  <c r="S221" i="33"/>
  <c r="Y119" i="31"/>
  <c r="AL120" i="31"/>
  <c r="AO119" i="31"/>
  <c r="AP119" i="31" s="1"/>
  <c r="R119" i="31"/>
  <c r="D119" i="31"/>
  <c r="K119" i="31"/>
  <c r="AF119" i="31"/>
  <c r="AA220" i="29"/>
  <c r="AB220" i="29" s="1"/>
  <c r="U221" i="33" l="1"/>
  <c r="V221" i="33" s="1"/>
  <c r="S222" i="33"/>
  <c r="AK120" i="31"/>
  <c r="AM120" i="31"/>
  <c r="AD120" i="31"/>
  <c r="W120" i="31"/>
  <c r="P120" i="31"/>
  <c r="I120" i="31"/>
  <c r="AA221" i="29"/>
  <c r="AB221" i="29" s="1"/>
  <c r="U222" i="33" l="1"/>
  <c r="V222" i="33" s="1"/>
  <c r="S223" i="33"/>
  <c r="V121" i="31"/>
  <c r="H121" i="31"/>
  <c r="O121" i="31"/>
  <c r="AA222" i="29"/>
  <c r="AB222" i="29" s="1"/>
  <c r="U223" i="33" l="1"/>
  <c r="V223" i="33" s="1"/>
  <c r="S224" i="33"/>
  <c r="AJ121" i="31"/>
  <c r="AN120" i="31"/>
  <c r="AC121" i="31"/>
  <c r="AA223" i="29"/>
  <c r="AB223" i="29" s="1"/>
  <c r="U224" i="33" l="1"/>
  <c r="V224" i="33" s="1"/>
  <c r="S225" i="33"/>
  <c r="Y120" i="31"/>
  <c r="AL121" i="31"/>
  <c r="AO120" i="31"/>
  <c r="AP120" i="31" s="1"/>
  <c r="R120" i="31"/>
  <c r="K120" i="31"/>
  <c r="D120" i="31"/>
  <c r="AF120" i="31"/>
  <c r="AA224" i="29"/>
  <c r="AB224" i="29" s="1"/>
  <c r="U225" i="33" l="1"/>
  <c r="V225" i="33" s="1"/>
  <c r="S226" i="33"/>
  <c r="AK121" i="31"/>
  <c r="AM121" i="31"/>
  <c r="AD121" i="31"/>
  <c r="W121" i="31"/>
  <c r="I121" i="31"/>
  <c r="P121" i="31"/>
  <c r="AA225" i="29"/>
  <c r="AB225" i="29" s="1"/>
  <c r="U226" i="33" l="1"/>
  <c r="V226" i="33" s="1"/>
  <c r="S227" i="33"/>
  <c r="V122" i="31"/>
  <c r="O122" i="31"/>
  <c r="H122" i="31"/>
  <c r="AC122" i="31"/>
  <c r="AA226" i="29"/>
  <c r="AB226" i="29" s="1"/>
  <c r="U227" i="33" l="1"/>
  <c r="V227" i="33" s="1"/>
  <c r="S228" i="33"/>
  <c r="AN121" i="31"/>
  <c r="AJ122" i="31"/>
  <c r="AA227" i="29"/>
  <c r="AB227" i="29" s="1"/>
  <c r="U228" i="33" l="1"/>
  <c r="V228" i="33" s="1"/>
  <c r="S229" i="33"/>
  <c r="AF121" i="31"/>
  <c r="AL122" i="31"/>
  <c r="Y121" i="31"/>
  <c r="AO121" i="31"/>
  <c r="AP121" i="31" s="1"/>
  <c r="R121" i="31"/>
  <c r="K121" i="31"/>
  <c r="D121" i="31"/>
  <c r="AA228" i="29"/>
  <c r="AB228" i="29" s="1"/>
  <c r="U229" i="33" l="1"/>
  <c r="V229" i="33" s="1"/>
  <c r="S230" i="33"/>
  <c r="AK122" i="31"/>
  <c r="AM122" i="31"/>
  <c r="AD122" i="31"/>
  <c r="W122" i="31"/>
  <c r="I122" i="31"/>
  <c r="P122" i="31"/>
  <c r="AA229" i="29"/>
  <c r="AB229" i="29" s="1"/>
  <c r="U230" i="33" l="1"/>
  <c r="V230" i="33" s="1"/>
  <c r="S231" i="33"/>
  <c r="O123" i="31"/>
  <c r="V123" i="31"/>
  <c r="H123" i="31"/>
  <c r="AA230" i="29"/>
  <c r="AB230" i="29" s="1"/>
  <c r="U231" i="33" l="1"/>
  <c r="V231" i="33" s="1"/>
  <c r="S232" i="33"/>
  <c r="AC123" i="31"/>
  <c r="AN122" i="31"/>
  <c r="AJ123" i="31"/>
  <c r="AA231" i="29"/>
  <c r="AB231" i="29" s="1"/>
  <c r="U232" i="33" l="1"/>
  <c r="V232" i="33" s="1"/>
  <c r="S233" i="33"/>
  <c r="AF122" i="31"/>
  <c r="AL123" i="31"/>
  <c r="AO122" i="31"/>
  <c r="AP122" i="31" s="1"/>
  <c r="K122" i="31"/>
  <c r="D122" i="31"/>
  <c r="R122" i="31"/>
  <c r="Y122" i="31"/>
  <c r="AA232" i="29"/>
  <c r="AB232" i="29" s="1"/>
  <c r="U233" i="33" l="1"/>
  <c r="V233" i="33" s="1"/>
  <c r="S234" i="33"/>
  <c r="AK123" i="31"/>
  <c r="AM123" i="31"/>
  <c r="AD123" i="31"/>
  <c r="W123" i="31"/>
  <c r="I123" i="31"/>
  <c r="P123" i="31"/>
  <c r="AA233" i="29"/>
  <c r="AB233" i="29" s="1"/>
  <c r="U234" i="33" l="1"/>
  <c r="V234" i="33" s="1"/>
  <c r="S235" i="33"/>
  <c r="V124" i="31"/>
  <c r="AJ124" i="31"/>
  <c r="O124" i="31"/>
  <c r="AN123" i="31"/>
  <c r="H124" i="31"/>
  <c r="AA234" i="29"/>
  <c r="AB234" i="29" s="1"/>
  <c r="U235" i="33" l="1"/>
  <c r="V235" i="33" s="1"/>
  <c r="S236" i="33"/>
  <c r="AF123" i="31"/>
  <c r="AO123" i="31"/>
  <c r="AP123" i="31" s="1"/>
  <c r="R123" i="31"/>
  <c r="D123" i="31"/>
  <c r="K123" i="31"/>
  <c r="AC124" i="31"/>
  <c r="AL124" i="31" s="1"/>
  <c r="AM124" i="31" s="1"/>
  <c r="Y123" i="31"/>
  <c r="AJ125" i="31"/>
  <c r="AA235" i="29"/>
  <c r="AB235" i="29" s="1"/>
  <c r="U236" i="33" l="1"/>
  <c r="V236" i="33" s="1"/>
  <c r="S237" i="33"/>
  <c r="AN124" i="31"/>
  <c r="AC125" i="31"/>
  <c r="AA236" i="29"/>
  <c r="AB236" i="29" s="1"/>
  <c r="U237" i="33" l="1"/>
  <c r="V237" i="33" s="1"/>
  <c r="S238" i="33"/>
  <c r="AL125" i="31"/>
  <c r="Y124" i="31"/>
  <c r="R124" i="31"/>
  <c r="K124" i="31"/>
  <c r="D124" i="31"/>
  <c r="AF124" i="31"/>
  <c r="AO124" i="31"/>
  <c r="AP124" i="31" s="1"/>
  <c r="AA237" i="29"/>
  <c r="AB237" i="29" s="1"/>
  <c r="U238" i="33" l="1"/>
  <c r="V238" i="33" s="1"/>
  <c r="S239" i="33"/>
  <c r="AK125" i="31"/>
  <c r="AM125" i="31"/>
  <c r="AD125" i="31"/>
  <c r="W125" i="31"/>
  <c r="I125" i="31"/>
  <c r="P125" i="31"/>
  <c r="AA238" i="29"/>
  <c r="AB238" i="29" s="1"/>
  <c r="U239" i="33" l="1"/>
  <c r="V239" i="33" s="1"/>
  <c r="S240" i="33"/>
  <c r="V126" i="31"/>
  <c r="O126" i="31"/>
  <c r="H126" i="31"/>
  <c r="AA239" i="29"/>
  <c r="AB239" i="29" s="1"/>
  <c r="U240" i="33" l="1"/>
  <c r="V240" i="33" s="1"/>
  <c r="S241" i="33"/>
  <c r="AC126" i="31"/>
  <c r="AN125" i="31"/>
  <c r="AJ126" i="31"/>
  <c r="AA240" i="29"/>
  <c r="AB240" i="29" s="1"/>
  <c r="U241" i="33" l="1"/>
  <c r="V241" i="33" s="1"/>
  <c r="S242" i="33"/>
  <c r="AF125" i="31"/>
  <c r="AL126" i="31"/>
  <c r="AO125" i="31"/>
  <c r="AP125" i="31" s="1"/>
  <c r="R125" i="31"/>
  <c r="D125" i="31"/>
  <c r="K125" i="31"/>
  <c r="Y125" i="31"/>
  <c r="AA241" i="29"/>
  <c r="AB241" i="29" s="1"/>
  <c r="U242" i="33" l="1"/>
  <c r="V242" i="33" s="1"/>
  <c r="S243" i="33"/>
  <c r="AK126" i="31"/>
  <c r="AM126" i="31"/>
  <c r="AD126" i="31"/>
  <c r="W126" i="31"/>
  <c r="I126" i="31"/>
  <c r="P126" i="31"/>
  <c r="AA242" i="29"/>
  <c r="AB242" i="29" s="1"/>
  <c r="U243" i="33" l="1"/>
  <c r="V243" i="33" s="1"/>
  <c r="S244" i="33"/>
  <c r="V127" i="31"/>
  <c r="O127" i="31"/>
  <c r="H127" i="31"/>
  <c r="AC127" i="31"/>
  <c r="AA243" i="29"/>
  <c r="AB243" i="29" s="1"/>
  <c r="U244" i="33" l="1"/>
  <c r="V244" i="33" s="1"/>
  <c r="S245" i="33"/>
  <c r="AJ127" i="31"/>
  <c r="AN126" i="31"/>
  <c r="AL127" i="31" s="1"/>
  <c r="AA244" i="29"/>
  <c r="AB244" i="29" s="1"/>
  <c r="U245" i="33" l="1"/>
  <c r="V245" i="33" s="1"/>
  <c r="S246" i="33"/>
  <c r="Y126" i="31"/>
  <c r="AO126" i="31"/>
  <c r="AP126" i="31" s="1"/>
  <c r="D126" i="31"/>
  <c r="K126" i="31"/>
  <c r="R126" i="31"/>
  <c r="AF126" i="31"/>
  <c r="AA245" i="29"/>
  <c r="AB245" i="29" s="1"/>
  <c r="U246" i="33" l="1"/>
  <c r="V246" i="33" s="1"/>
  <c r="S247" i="33"/>
  <c r="AK127" i="31"/>
  <c r="AM127" i="31"/>
  <c r="AD127" i="31"/>
  <c r="W127" i="31"/>
  <c r="P127" i="31"/>
  <c r="I127" i="31"/>
  <c r="AA246" i="29"/>
  <c r="AB246" i="29" s="1"/>
  <c r="U247" i="33" l="1"/>
  <c r="V247" i="33" s="1"/>
  <c r="S248" i="33"/>
  <c r="V128" i="31"/>
  <c r="H128" i="31"/>
  <c r="AN127" i="31"/>
  <c r="O128" i="31"/>
  <c r="AA247" i="29"/>
  <c r="AB247" i="29" s="1"/>
  <c r="U248" i="33" l="1"/>
  <c r="V248" i="33" s="1"/>
  <c r="S249" i="33"/>
  <c r="AO127" i="31"/>
  <c r="AP127" i="31" s="1"/>
  <c r="R127" i="31"/>
  <c r="D127" i="31"/>
  <c r="K127" i="31"/>
  <c r="AJ128" i="31"/>
  <c r="AF127" i="31"/>
  <c r="AC128" i="31"/>
  <c r="AL128" i="31" s="1"/>
  <c r="AM128" i="31" s="1"/>
  <c r="Y127" i="31"/>
  <c r="AA248" i="29"/>
  <c r="AB248" i="29" s="1"/>
  <c r="U249" i="33" l="1"/>
  <c r="V249" i="33" s="1"/>
  <c r="S250" i="33"/>
  <c r="AK128" i="31"/>
  <c r="AD128" i="31"/>
  <c r="W128" i="31"/>
  <c r="P128" i="31"/>
  <c r="I128" i="31"/>
  <c r="AA249" i="29"/>
  <c r="AB249" i="29" s="1"/>
  <c r="U250" i="33" l="1"/>
  <c r="V250" i="33" s="1"/>
  <c r="S251" i="33"/>
  <c r="V129" i="31"/>
  <c r="H129" i="31"/>
  <c r="O129" i="31"/>
  <c r="AA250" i="29"/>
  <c r="AB250" i="29" s="1"/>
  <c r="U251" i="33" l="1"/>
  <c r="V251" i="33" s="1"/>
  <c r="S252" i="33"/>
  <c r="AJ129" i="31"/>
  <c r="AN128" i="31"/>
  <c r="AC129" i="31"/>
  <c r="AA251" i="29"/>
  <c r="AB251" i="29" s="1"/>
  <c r="U252" i="33" l="1"/>
  <c r="V252" i="33" s="1"/>
  <c r="S253" i="33"/>
  <c r="Y128" i="31"/>
  <c r="AL129" i="31"/>
  <c r="AO128" i="31"/>
  <c r="AP128" i="31" s="1"/>
  <c r="D128" i="31"/>
  <c r="R128" i="31"/>
  <c r="K128" i="31"/>
  <c r="AF128" i="31"/>
  <c r="AA252" i="29"/>
  <c r="AB252" i="29" s="1"/>
  <c r="U253" i="33" l="1"/>
  <c r="V253" i="33" s="1"/>
  <c r="S254" i="33"/>
  <c r="AK129" i="31"/>
  <c r="AM129" i="31"/>
  <c r="AD129" i="31"/>
  <c r="W129" i="31"/>
  <c r="I129" i="31"/>
  <c r="P129" i="31"/>
  <c r="AA253" i="29"/>
  <c r="AB253" i="29" s="1"/>
  <c r="U254" i="33" l="1"/>
  <c r="V254" i="33" s="1"/>
  <c r="S255" i="33"/>
  <c r="V130" i="31"/>
  <c r="O130" i="31"/>
  <c r="H130" i="31"/>
  <c r="AA254" i="29"/>
  <c r="AB254" i="29" s="1"/>
  <c r="U255" i="33" l="1"/>
  <c r="V255" i="33" s="1"/>
  <c r="S256" i="33"/>
  <c r="AC130" i="31"/>
  <c r="AN129" i="31"/>
  <c r="AJ130" i="31"/>
  <c r="AA255" i="29"/>
  <c r="AB255" i="29" s="1"/>
  <c r="U256" i="33" l="1"/>
  <c r="V256" i="33" s="1"/>
  <c r="S257" i="33"/>
  <c r="AF129" i="31"/>
  <c r="AL130" i="31"/>
  <c r="AO129" i="31"/>
  <c r="AP129" i="31" s="1"/>
  <c r="R129" i="31"/>
  <c r="K129" i="31"/>
  <c r="D129" i="31"/>
  <c r="Y129" i="31"/>
  <c r="AA256" i="29"/>
  <c r="AB256" i="29" s="1"/>
  <c r="U257" i="33" l="1"/>
  <c r="V257" i="33" s="1"/>
  <c r="S258" i="33"/>
  <c r="AK130" i="31"/>
  <c r="AM130" i="31"/>
  <c r="AD130" i="31"/>
  <c r="W130" i="31"/>
  <c r="P130" i="31"/>
  <c r="I130" i="31"/>
  <c r="AA257" i="29"/>
  <c r="AB257" i="29" s="1"/>
  <c r="U258" i="33" l="1"/>
  <c r="V258" i="33" s="1"/>
  <c r="S259" i="33"/>
  <c r="V131" i="31"/>
  <c r="H131" i="31"/>
  <c r="O131" i="31"/>
  <c r="AA258" i="29"/>
  <c r="AB258" i="29" s="1"/>
  <c r="U259" i="33" l="1"/>
  <c r="V259" i="33" s="1"/>
  <c r="S260" i="33"/>
  <c r="AN130" i="31"/>
  <c r="AJ131" i="31"/>
  <c r="AC131" i="31"/>
  <c r="AA259" i="29"/>
  <c r="AB259" i="29" s="1"/>
  <c r="U260" i="33" l="1"/>
  <c r="V260" i="33" s="1"/>
  <c r="S261" i="33"/>
  <c r="AL131" i="31"/>
  <c r="AM131" i="31" s="1"/>
  <c r="AF130" i="31"/>
  <c r="K130" i="31"/>
  <c r="AO130" i="31"/>
  <c r="AP130" i="31" s="1"/>
  <c r="D130" i="31"/>
  <c r="R130" i="31"/>
  <c r="Y130" i="31"/>
  <c r="AA260" i="29"/>
  <c r="AB260" i="29" s="1"/>
  <c r="U261" i="33" l="1"/>
  <c r="V261" i="33" s="1"/>
  <c r="S262" i="33"/>
  <c r="I131" i="31"/>
  <c r="AD131" i="31"/>
  <c r="P131" i="31"/>
  <c r="W131" i="31"/>
  <c r="V132" i="31" s="1"/>
  <c r="AK131" i="31"/>
  <c r="H132" i="31"/>
  <c r="O132" i="31"/>
  <c r="AA261" i="29"/>
  <c r="AB261" i="29" s="1"/>
  <c r="U262" i="33" l="1"/>
  <c r="V262" i="33" s="1"/>
  <c r="S263" i="33"/>
  <c r="AN131" i="31"/>
  <c r="K131" i="31"/>
  <c r="AO131" i="31"/>
  <c r="AP131" i="31" s="1"/>
  <c r="D131" i="31"/>
  <c r="R131" i="31"/>
  <c r="AJ132" i="31"/>
  <c r="AF131" i="31"/>
  <c r="AC132" i="31"/>
  <c r="Y131" i="31"/>
  <c r="AA262" i="29"/>
  <c r="AB262" i="29" s="1"/>
  <c r="U263" i="33" l="1"/>
  <c r="V263" i="33" s="1"/>
  <c r="S264" i="33"/>
  <c r="AL132" i="31"/>
  <c r="AM132" i="31" s="1"/>
  <c r="AD132" i="31"/>
  <c r="W132" i="31"/>
  <c r="I132" i="31"/>
  <c r="P132" i="31"/>
  <c r="AA263" i="29"/>
  <c r="AB263" i="29" s="1"/>
  <c r="U264" i="33" l="1"/>
  <c r="V264" i="33" s="1"/>
  <c r="S265" i="33"/>
  <c r="AK132" i="31"/>
  <c r="O133" i="31"/>
  <c r="H133" i="31"/>
  <c r="V133" i="31"/>
  <c r="AA264" i="29"/>
  <c r="AB264" i="29" s="1"/>
  <c r="U265" i="33" l="1"/>
  <c r="V265" i="33" s="1"/>
  <c r="S266" i="33"/>
  <c r="AC133" i="31"/>
  <c r="AN132" i="31"/>
  <c r="AJ133" i="31"/>
  <c r="AA265" i="29"/>
  <c r="AB265" i="29" s="1"/>
  <c r="U266" i="33" l="1"/>
  <c r="V266" i="33" s="1"/>
  <c r="S267" i="33"/>
  <c r="Y132" i="31"/>
  <c r="AL133" i="31"/>
  <c r="AF132" i="31"/>
  <c r="D132" i="31"/>
  <c r="AO132" i="31"/>
  <c r="AP132" i="31" s="1"/>
  <c r="K132" i="31"/>
  <c r="R132" i="31"/>
  <c r="AA266" i="29"/>
  <c r="AB266" i="29" s="1"/>
  <c r="U267" i="33" l="1"/>
  <c r="V267" i="33" s="1"/>
  <c r="S268" i="33"/>
  <c r="AK133" i="31"/>
  <c r="AM133" i="31"/>
  <c r="AD133" i="31"/>
  <c r="W133" i="31"/>
  <c r="P133" i="31"/>
  <c r="I133" i="31"/>
  <c r="AA267" i="29"/>
  <c r="AB267" i="29" s="1"/>
  <c r="U268" i="33" l="1"/>
  <c r="V268" i="33" s="1"/>
  <c r="S269" i="33"/>
  <c r="H134" i="31"/>
  <c r="O134" i="31"/>
  <c r="V134" i="31"/>
  <c r="AA268" i="29"/>
  <c r="AB268" i="29" s="1"/>
  <c r="U269" i="33" l="1"/>
  <c r="V269" i="33" s="1"/>
  <c r="S270" i="33"/>
  <c r="AJ134" i="31"/>
  <c r="AN133" i="31"/>
  <c r="AC134" i="31"/>
  <c r="AA269" i="29"/>
  <c r="AB269" i="29" s="1"/>
  <c r="U270" i="33" l="1"/>
  <c r="V270" i="33" s="1"/>
  <c r="S271" i="33"/>
  <c r="AF133" i="31"/>
  <c r="AL134" i="31"/>
  <c r="Y133" i="31"/>
  <c r="AO133" i="31"/>
  <c r="AP133" i="31" s="1"/>
  <c r="K133" i="31"/>
  <c r="R133" i="31"/>
  <c r="D133" i="31"/>
  <c r="AA270" i="29"/>
  <c r="AB270" i="29" s="1"/>
  <c r="U271" i="33" l="1"/>
  <c r="V271" i="33" s="1"/>
  <c r="S272" i="33"/>
  <c r="AK134" i="31"/>
  <c r="AM134" i="31"/>
  <c r="AD134" i="31"/>
  <c r="W134" i="31"/>
  <c r="I134" i="31"/>
  <c r="P134" i="31"/>
  <c r="AA271" i="29"/>
  <c r="AB271" i="29" s="1"/>
  <c r="U272" i="33" l="1"/>
  <c r="V272" i="33" s="1"/>
  <c r="S273" i="33"/>
  <c r="H135" i="31"/>
  <c r="AN134" i="31"/>
  <c r="O135" i="31"/>
  <c r="V135" i="31"/>
  <c r="AA272" i="29"/>
  <c r="AB272" i="29" s="1"/>
  <c r="U273" i="33" l="1"/>
  <c r="V273" i="33" s="1"/>
  <c r="S274" i="33"/>
  <c r="AO134" i="31"/>
  <c r="AP134" i="31" s="1"/>
  <c r="R134" i="31"/>
  <c r="D134" i="31"/>
  <c r="K134" i="31"/>
  <c r="AC135" i="31"/>
  <c r="AL135" i="31" s="1"/>
  <c r="AM135" i="31" s="1"/>
  <c r="Y134" i="31"/>
  <c r="AJ135" i="31"/>
  <c r="AF134" i="31"/>
  <c r="AA273" i="29"/>
  <c r="AB273" i="29" s="1"/>
  <c r="U274" i="33" l="1"/>
  <c r="V274" i="33" s="1"/>
  <c r="S275" i="33"/>
  <c r="AK135" i="31"/>
  <c r="AD135" i="31"/>
  <c r="W135" i="31"/>
  <c r="P135" i="31"/>
  <c r="I135" i="31"/>
  <c r="AA274" i="29"/>
  <c r="AB274" i="29" s="1"/>
  <c r="U275" i="33" l="1"/>
  <c r="V275" i="33" s="1"/>
  <c r="S276" i="33"/>
  <c r="H136" i="31"/>
  <c r="AJ136" i="31"/>
  <c r="O136" i="31"/>
  <c r="V136" i="31"/>
  <c r="AA275" i="29"/>
  <c r="AB275" i="29" s="1"/>
  <c r="U276" i="33" l="1"/>
  <c r="V276" i="33" s="1"/>
  <c r="S277" i="33"/>
  <c r="AN135" i="31"/>
  <c r="AC136" i="31"/>
  <c r="AA276" i="29"/>
  <c r="AB276" i="29" s="1"/>
  <c r="U277" i="33" l="1"/>
  <c r="V277" i="33" s="1"/>
  <c r="S278" i="33"/>
  <c r="Y135" i="31"/>
  <c r="AL136" i="31"/>
  <c r="AF135" i="31"/>
  <c r="AO135" i="31"/>
  <c r="AP135" i="31" s="1"/>
  <c r="R135" i="31"/>
  <c r="K135" i="31"/>
  <c r="D135" i="31"/>
  <c r="AA277" i="29"/>
  <c r="AB277" i="29" s="1"/>
  <c r="U278" i="33" l="1"/>
  <c r="V278" i="33" s="1"/>
  <c r="S279" i="33"/>
  <c r="AK136" i="31"/>
  <c r="AM136" i="31"/>
  <c r="AD136" i="31"/>
  <c r="W136" i="31"/>
  <c r="P136" i="31"/>
  <c r="I136" i="31"/>
  <c r="AA278" i="29"/>
  <c r="AB278" i="29" s="1"/>
  <c r="U279" i="33" l="1"/>
  <c r="V279" i="33" s="1"/>
  <c r="S280" i="33"/>
  <c r="H137" i="31"/>
  <c r="O137" i="31"/>
  <c r="V137" i="31"/>
  <c r="AA279" i="29"/>
  <c r="AB279" i="29" s="1"/>
  <c r="U280" i="33" l="1"/>
  <c r="V280" i="33" s="1"/>
  <c r="S281" i="33"/>
  <c r="AJ137" i="31"/>
  <c r="AN136" i="31"/>
  <c r="AL137" i="31" s="1"/>
  <c r="AC137" i="31"/>
  <c r="AA280" i="29"/>
  <c r="AB280" i="29" s="1"/>
  <c r="U281" i="33" l="1"/>
  <c r="V281" i="33" s="1"/>
  <c r="S282" i="33"/>
  <c r="AO136" i="31"/>
  <c r="AP136" i="31" s="1"/>
  <c r="R136" i="31"/>
  <c r="D136" i="31"/>
  <c r="K136" i="31"/>
  <c r="Y136" i="31"/>
  <c r="AF136" i="31"/>
  <c r="AA281" i="29"/>
  <c r="AB281" i="29" s="1"/>
  <c r="U282" i="33" l="1"/>
  <c r="V282" i="33" s="1"/>
  <c r="S283" i="33"/>
  <c r="AK137" i="31"/>
  <c r="AM137" i="31"/>
  <c r="AD137" i="31"/>
  <c r="W137" i="31"/>
  <c r="P137" i="31"/>
  <c r="I137" i="31"/>
  <c r="AA282" i="29"/>
  <c r="AB282" i="29" s="1"/>
  <c r="U283" i="33" l="1"/>
  <c r="V283" i="33" s="1"/>
  <c r="S284" i="33"/>
  <c r="AC138" i="31"/>
  <c r="H138" i="31"/>
  <c r="O138" i="31"/>
  <c r="V138" i="31"/>
  <c r="AA283" i="29"/>
  <c r="AB283" i="29" s="1"/>
  <c r="U284" i="33" l="1"/>
  <c r="V284" i="33" s="1"/>
  <c r="S285" i="33"/>
  <c r="AJ138" i="31"/>
  <c r="AN137" i="31"/>
  <c r="AL138" i="31" s="1"/>
  <c r="AA284" i="29"/>
  <c r="AB284" i="29" s="1"/>
  <c r="U285" i="33" l="1"/>
  <c r="V285" i="33" s="1"/>
  <c r="S286" i="33"/>
  <c r="Y137" i="31"/>
  <c r="AO137" i="31"/>
  <c r="AP137" i="31" s="1"/>
  <c r="R137" i="31"/>
  <c r="D137" i="31"/>
  <c r="K137" i="31"/>
  <c r="AF137" i="31"/>
  <c r="AA285" i="29"/>
  <c r="AB285" i="29" s="1"/>
  <c r="U286" i="33" l="1"/>
  <c r="V286" i="33" s="1"/>
  <c r="S287" i="33"/>
  <c r="AK138" i="31"/>
  <c r="AM138" i="31"/>
  <c r="AD138" i="31"/>
  <c r="W138" i="31"/>
  <c r="P138" i="31"/>
  <c r="I138" i="31"/>
  <c r="AA286" i="29"/>
  <c r="AB286" i="29" s="1"/>
  <c r="U287" i="33" l="1"/>
  <c r="V287" i="33" s="1"/>
  <c r="S288" i="33"/>
  <c r="H139" i="31"/>
  <c r="AC139" i="31"/>
  <c r="O139" i="31"/>
  <c r="V139" i="31"/>
  <c r="AA287" i="29"/>
  <c r="AB287" i="29" s="1"/>
  <c r="U288" i="33" l="1"/>
  <c r="V288" i="33" s="1"/>
  <c r="S289" i="33"/>
  <c r="AJ139" i="31"/>
  <c r="AN138" i="31"/>
  <c r="AL139" i="31" s="1"/>
  <c r="AA288" i="29"/>
  <c r="AB288" i="29" s="1"/>
  <c r="U289" i="33" l="1"/>
  <c r="V289" i="33" s="1"/>
  <c r="S290" i="33"/>
  <c r="Y138" i="31"/>
  <c r="AO138" i="31"/>
  <c r="AP138" i="31" s="1"/>
  <c r="R138" i="31"/>
  <c r="D138" i="31"/>
  <c r="K138" i="31"/>
  <c r="AF138" i="31"/>
  <c r="AA289" i="29"/>
  <c r="AB289" i="29" s="1"/>
  <c r="U290" i="33" l="1"/>
  <c r="V290" i="33" s="1"/>
  <c r="S291" i="33"/>
  <c r="AK139" i="31"/>
  <c r="AM139" i="31"/>
  <c r="AD139" i="31"/>
  <c r="W139" i="31"/>
  <c r="P139" i="31"/>
  <c r="I139" i="31"/>
  <c r="AA290" i="29"/>
  <c r="AB290" i="29" s="1"/>
  <c r="U291" i="33" l="1"/>
  <c r="V291" i="33" s="1"/>
  <c r="S292" i="33"/>
  <c r="H140" i="31"/>
  <c r="AJ140" i="31"/>
  <c r="O140" i="31"/>
  <c r="V140" i="31"/>
  <c r="AA291" i="29"/>
  <c r="AB291" i="29" s="1"/>
  <c r="U292" i="33" l="1"/>
  <c r="V292" i="33" s="1"/>
  <c r="S293" i="33"/>
  <c r="AN139" i="31"/>
  <c r="AC140" i="31"/>
  <c r="AA292" i="29"/>
  <c r="AB292" i="29" s="1"/>
  <c r="U293" i="33" l="1"/>
  <c r="V293" i="33" s="1"/>
  <c r="S294" i="33"/>
  <c r="AF139" i="31"/>
  <c r="AL140" i="31"/>
  <c r="Y139" i="31"/>
  <c r="D139" i="31"/>
  <c r="K139" i="31"/>
  <c r="R139" i="31"/>
  <c r="AO139" i="31"/>
  <c r="AP139" i="31" s="1"/>
  <c r="AA293" i="29"/>
  <c r="AB293" i="29" s="1"/>
  <c r="U294" i="33" l="1"/>
  <c r="V294" i="33" s="1"/>
  <c r="S295" i="33"/>
  <c r="AK140" i="31"/>
  <c r="AM140" i="31"/>
  <c r="P140" i="31"/>
  <c r="AD140" i="31"/>
  <c r="W140" i="31"/>
  <c r="V141" i="31" s="1"/>
  <c r="I140" i="31"/>
  <c r="O141" i="31"/>
  <c r="AA294" i="29"/>
  <c r="AB294" i="29" s="1"/>
  <c r="U295" i="33" l="1"/>
  <c r="V295" i="33" s="1"/>
  <c r="S296" i="33"/>
  <c r="AN140" i="31"/>
  <c r="H141" i="31"/>
  <c r="AJ141" i="31"/>
  <c r="AC141" i="31"/>
  <c r="AA295" i="29"/>
  <c r="AB295" i="29" s="1"/>
  <c r="U296" i="33" l="1"/>
  <c r="V296" i="33" s="1"/>
  <c r="S297" i="33"/>
  <c r="AL141" i="31"/>
  <c r="K140" i="31"/>
  <c r="D140" i="31"/>
  <c r="R140" i="31"/>
  <c r="AF140" i="31"/>
  <c r="AO140" i="31"/>
  <c r="AP140" i="31" s="1"/>
  <c r="Y140" i="31"/>
  <c r="AA296" i="29"/>
  <c r="AB296" i="29" s="1"/>
  <c r="U297" i="33" l="1"/>
  <c r="V297" i="33" s="1"/>
  <c r="S298" i="33"/>
  <c r="AK141" i="31"/>
  <c r="AM141" i="31"/>
  <c r="AD141" i="31"/>
  <c r="I141" i="31"/>
  <c r="H142" i="31" s="1"/>
  <c r="P141" i="31"/>
  <c r="W141" i="31"/>
  <c r="V142" i="31" s="1"/>
  <c r="AA297" i="29"/>
  <c r="AB297" i="29" s="1"/>
  <c r="U298" i="33" l="1"/>
  <c r="V298" i="33" s="1"/>
  <c r="S299" i="33"/>
  <c r="AC142" i="31"/>
  <c r="O142" i="31"/>
  <c r="AN141" i="31"/>
  <c r="AJ142" i="31"/>
  <c r="AA298" i="29"/>
  <c r="AB298" i="29" s="1"/>
  <c r="U299" i="33" l="1"/>
  <c r="V299" i="33" s="1"/>
  <c r="S300" i="33"/>
  <c r="AF141" i="31"/>
  <c r="AL142" i="31"/>
  <c r="Y141" i="31"/>
  <c r="AO141" i="31"/>
  <c r="AP141" i="31" s="1"/>
  <c r="R141" i="31"/>
  <c r="K141" i="31"/>
  <c r="D141" i="31"/>
  <c r="AA299" i="29"/>
  <c r="AB299" i="29" s="1"/>
  <c r="U300" i="33" l="1"/>
  <c r="V300" i="33" s="1"/>
  <c r="S301" i="33"/>
  <c r="AK142" i="31"/>
  <c r="AM142" i="31"/>
  <c r="AD142" i="31"/>
  <c r="W142" i="31"/>
  <c r="I142" i="31"/>
  <c r="P142" i="31"/>
  <c r="AA300" i="29"/>
  <c r="AB300" i="29" s="1"/>
  <c r="U301" i="33" l="1"/>
  <c r="V301" i="33" s="1"/>
  <c r="S302" i="33"/>
  <c r="AJ143" i="31"/>
  <c r="O143" i="31"/>
  <c r="H143" i="31"/>
  <c r="V143" i="31"/>
  <c r="AA301" i="29"/>
  <c r="AB301" i="29" s="1"/>
  <c r="U302" i="33" l="1"/>
  <c r="V302" i="33" s="1"/>
  <c r="S303" i="33"/>
  <c r="AN142" i="31"/>
  <c r="AC143" i="31"/>
  <c r="AA302" i="29"/>
  <c r="AB302" i="29" s="1"/>
  <c r="U303" i="33" l="1"/>
  <c r="V303" i="33" s="1"/>
  <c r="S304" i="33"/>
  <c r="AF142" i="31"/>
  <c r="AL143" i="31"/>
  <c r="Y142" i="31"/>
  <c r="D142" i="31"/>
  <c r="K142" i="31"/>
  <c r="R142" i="31"/>
  <c r="AO142" i="31"/>
  <c r="AP142" i="31" s="1"/>
  <c r="AA303" i="29"/>
  <c r="AB303" i="29" s="1"/>
  <c r="U304" i="33" l="1"/>
  <c r="V304" i="33" s="1"/>
  <c r="S305" i="33"/>
  <c r="AK143" i="31"/>
  <c r="AM143" i="31"/>
  <c r="W143" i="31"/>
  <c r="V144" i="31" s="1"/>
  <c r="I143" i="31"/>
  <c r="H144" i="31" s="1"/>
  <c r="AD143" i="31"/>
  <c r="P143" i="31"/>
  <c r="AJ144" i="31" s="1"/>
  <c r="AA304" i="29"/>
  <c r="AB304" i="29" s="1"/>
  <c r="U305" i="33" l="1"/>
  <c r="V305" i="33" s="1"/>
  <c r="S306" i="33"/>
  <c r="O144" i="31"/>
  <c r="AN143" i="31"/>
  <c r="D143" i="31"/>
  <c r="AC144" i="31"/>
  <c r="Y143" i="31"/>
  <c r="AA305" i="29"/>
  <c r="AB305" i="29" s="1"/>
  <c r="U306" i="33" l="1"/>
  <c r="V306" i="33" s="1"/>
  <c r="S307" i="33"/>
  <c r="AF143" i="31"/>
  <c r="AL144" i="31"/>
  <c r="R143" i="31"/>
  <c r="K143" i="31"/>
  <c r="AO143" i="31"/>
  <c r="AP143" i="31" s="1"/>
  <c r="P144" i="31"/>
  <c r="AA306" i="29"/>
  <c r="AB306" i="29" s="1"/>
  <c r="U307" i="33" l="1"/>
  <c r="V307" i="33" s="1"/>
  <c r="S308" i="33"/>
  <c r="AK144" i="31"/>
  <c r="AM144" i="31"/>
  <c r="W144" i="31"/>
  <c r="V145" i="31" s="1"/>
  <c r="AD144" i="31"/>
  <c r="I144" i="31"/>
  <c r="O145" i="31"/>
  <c r="AA307" i="29"/>
  <c r="AB307" i="29" s="1"/>
  <c r="U308" i="33" l="1"/>
  <c r="V308" i="33" s="1"/>
  <c r="S309" i="33"/>
  <c r="H145" i="31"/>
  <c r="AN144" i="31"/>
  <c r="AC145" i="31"/>
  <c r="AJ145" i="31"/>
  <c r="AA308" i="29"/>
  <c r="AB308" i="29" s="1"/>
  <c r="U309" i="33" l="1"/>
  <c r="V309" i="33" s="1"/>
  <c r="S310" i="33"/>
  <c r="AO144" i="31"/>
  <c r="AP144" i="31" s="1"/>
  <c r="AL145" i="31"/>
  <c r="I145" i="31" s="1"/>
  <c r="Y144" i="31"/>
  <c r="D144" i="31"/>
  <c r="K144" i="31"/>
  <c r="R144" i="31"/>
  <c r="AF144" i="31"/>
  <c r="W145" i="31"/>
  <c r="AA309" i="29"/>
  <c r="AB309" i="29" s="1"/>
  <c r="U310" i="33" l="1"/>
  <c r="V310" i="33" s="1"/>
  <c r="S311" i="33"/>
  <c r="AK145" i="31"/>
  <c r="AM145" i="31"/>
  <c r="AD145" i="31"/>
  <c r="P145" i="31"/>
  <c r="H146" i="31"/>
  <c r="V146" i="31"/>
  <c r="AA310" i="29"/>
  <c r="AB310" i="29" s="1"/>
  <c r="U311" i="33" l="1"/>
  <c r="V311" i="33" s="1"/>
  <c r="S312" i="33"/>
  <c r="AJ146" i="31"/>
  <c r="O146" i="31"/>
  <c r="AC146" i="31"/>
  <c r="AN145" i="31"/>
  <c r="AL146" i="31" s="1"/>
  <c r="AA311" i="29"/>
  <c r="AB311" i="29" s="1"/>
  <c r="U312" i="33" l="1"/>
  <c r="V312" i="33" s="1"/>
  <c r="S313" i="33"/>
  <c r="AF145" i="31"/>
  <c r="AO145" i="31"/>
  <c r="AP145" i="31" s="1"/>
  <c r="R145" i="31"/>
  <c r="D145" i="31"/>
  <c r="K145" i="31"/>
  <c r="Y145" i="31"/>
  <c r="AA312" i="29"/>
  <c r="AB312" i="29" s="1"/>
  <c r="U313" i="33" l="1"/>
  <c r="V313" i="33" s="1"/>
  <c r="S314" i="33"/>
  <c r="AK146" i="31"/>
  <c r="AM146" i="31"/>
  <c r="AD146" i="31"/>
  <c r="W146" i="31"/>
  <c r="I146" i="31"/>
  <c r="P146" i="31"/>
  <c r="AA313" i="29"/>
  <c r="AB313" i="29" s="1"/>
  <c r="U314" i="33" l="1"/>
  <c r="V314" i="33" s="1"/>
  <c r="S315" i="33"/>
  <c r="AJ147" i="31"/>
  <c r="O147" i="31"/>
  <c r="H147" i="31"/>
  <c r="V147" i="31"/>
  <c r="AA314" i="29"/>
  <c r="AB314" i="29" s="1"/>
  <c r="U315" i="33" l="1"/>
  <c r="V315" i="33" s="1"/>
  <c r="S316" i="33"/>
  <c r="AN146" i="31"/>
  <c r="AC147" i="31"/>
  <c r="AA315" i="29"/>
  <c r="AB315" i="29" s="1"/>
  <c r="U316" i="33" l="1"/>
  <c r="V316" i="33" s="1"/>
  <c r="S317" i="33"/>
  <c r="AF146" i="31"/>
  <c r="AL147" i="31"/>
  <c r="Y146" i="31"/>
  <c r="D146" i="31"/>
  <c r="R146" i="31"/>
  <c r="AO146" i="31"/>
  <c r="AP146" i="31" s="1"/>
  <c r="K146" i="31"/>
  <c r="AA316" i="29"/>
  <c r="AB316" i="29" s="1"/>
  <c r="U317" i="33" l="1"/>
  <c r="V317" i="33" s="1"/>
  <c r="S318" i="33"/>
  <c r="AK147" i="31"/>
  <c r="AM147" i="31"/>
  <c r="AD147" i="31"/>
  <c r="P147" i="31"/>
  <c r="W147" i="31"/>
  <c r="V148" i="31" s="1"/>
  <c r="I147" i="31"/>
  <c r="AA317" i="29"/>
  <c r="AB317" i="29" s="1"/>
  <c r="U318" i="33" l="1"/>
  <c r="V318" i="33" s="1"/>
  <c r="S319" i="33"/>
  <c r="O148" i="31"/>
  <c r="H148" i="31"/>
  <c r="AN147" i="31"/>
  <c r="AC148" i="31"/>
  <c r="AJ148" i="31"/>
  <c r="AA318" i="29"/>
  <c r="AB318" i="29" s="1"/>
  <c r="U319" i="33" l="1"/>
  <c r="V319" i="33" s="1"/>
  <c r="S320" i="33"/>
  <c r="Y147" i="31"/>
  <c r="AL148" i="31"/>
  <c r="AF147" i="31"/>
  <c r="AO147" i="31"/>
  <c r="AP147" i="31" s="1"/>
  <c r="K147" i="31"/>
  <c r="D147" i="31"/>
  <c r="R147" i="31"/>
  <c r="AA319" i="29"/>
  <c r="AB319" i="29" s="1"/>
  <c r="U320" i="33" l="1"/>
  <c r="V320" i="33" s="1"/>
  <c r="S321" i="33"/>
  <c r="AK148" i="31"/>
  <c r="AM148" i="31"/>
  <c r="AD148" i="31"/>
  <c r="W148" i="31"/>
  <c r="I148" i="31"/>
  <c r="P148" i="31"/>
  <c r="AA320" i="29"/>
  <c r="AB320" i="29" s="1"/>
  <c r="U321" i="33" l="1"/>
  <c r="V321" i="33" s="1"/>
  <c r="S322" i="33"/>
  <c r="O149" i="31"/>
  <c r="H149" i="31"/>
  <c r="V149" i="31"/>
  <c r="AA321" i="29"/>
  <c r="AB321" i="29" s="1"/>
  <c r="U322" i="33" l="1"/>
  <c r="V322" i="33" s="1"/>
  <c r="S323" i="33"/>
  <c r="AC149" i="31"/>
  <c r="AN148" i="31"/>
  <c r="AL149" i="31" s="1"/>
  <c r="AJ149" i="31"/>
  <c r="AA322" i="29"/>
  <c r="AB322" i="29" s="1"/>
  <c r="U323" i="33" l="1"/>
  <c r="V323" i="33" s="1"/>
  <c r="S324" i="33"/>
  <c r="AO148" i="31"/>
  <c r="AP148" i="31" s="1"/>
  <c r="R148" i="31"/>
  <c r="K148" i="31"/>
  <c r="D148" i="31"/>
  <c r="AF148" i="31"/>
  <c r="Y148" i="31"/>
  <c r="AA323" i="29"/>
  <c r="AB323" i="29" s="1"/>
  <c r="U324" i="33" l="1"/>
  <c r="V324" i="33" s="1"/>
  <c r="S325" i="33"/>
  <c r="AK149" i="31"/>
  <c r="AM149" i="31"/>
  <c r="AD149" i="31"/>
  <c r="W149" i="31"/>
  <c r="I149" i="31"/>
  <c r="P149" i="31"/>
  <c r="AA324" i="29"/>
  <c r="AB324" i="29" s="1"/>
  <c r="U325" i="33" l="1"/>
  <c r="V325" i="33" s="1"/>
  <c r="S326" i="33"/>
  <c r="O150" i="31"/>
  <c r="H150" i="31"/>
  <c r="AN149" i="31"/>
  <c r="V150" i="31"/>
  <c r="AA325" i="29"/>
  <c r="AB325" i="29" s="1"/>
  <c r="U326" i="33" l="1"/>
  <c r="V326" i="33" s="1"/>
  <c r="S327" i="33"/>
  <c r="AO149" i="31"/>
  <c r="AP149" i="31" s="1"/>
  <c r="R149" i="31"/>
  <c r="K149" i="31"/>
  <c r="D149" i="31"/>
  <c r="AC150" i="31"/>
  <c r="AL150" i="31" s="1"/>
  <c r="AM150" i="31" s="1"/>
  <c r="Y149" i="31"/>
  <c r="AJ150" i="31"/>
  <c r="AF149" i="31"/>
  <c r="AA326" i="29"/>
  <c r="AB326" i="29" s="1"/>
  <c r="U327" i="33" l="1"/>
  <c r="V327" i="33" s="1"/>
  <c r="S328" i="33"/>
  <c r="AK150" i="31"/>
  <c r="AD150" i="31"/>
  <c r="W150" i="31"/>
  <c r="I150" i="31"/>
  <c r="P150" i="31"/>
  <c r="AA327" i="29"/>
  <c r="AB327" i="29" s="1"/>
  <c r="U328" i="33" l="1"/>
  <c r="V328" i="33" s="1"/>
  <c r="S329" i="33"/>
  <c r="O151" i="31"/>
  <c r="H151" i="31"/>
  <c r="V151" i="31"/>
  <c r="AA328" i="29"/>
  <c r="AB328" i="29" s="1"/>
  <c r="U329" i="33" l="1"/>
  <c r="V329" i="33" s="1"/>
  <c r="S330" i="33"/>
  <c r="AC151" i="31"/>
  <c r="AN150" i="31"/>
  <c r="AJ151" i="31"/>
  <c r="AA329" i="29"/>
  <c r="AB329" i="29" s="1"/>
  <c r="U330" i="33" l="1"/>
  <c r="V330" i="33" s="1"/>
  <c r="S331" i="33"/>
  <c r="AF150" i="31"/>
  <c r="AL151" i="31"/>
  <c r="AO150" i="31"/>
  <c r="AP150" i="31" s="1"/>
  <c r="R150" i="31"/>
  <c r="K150" i="31"/>
  <c r="D150" i="31"/>
  <c r="Y150" i="31"/>
  <c r="AA330" i="29"/>
  <c r="AB330" i="29" s="1"/>
  <c r="U331" i="33" l="1"/>
  <c r="V331" i="33" s="1"/>
  <c r="S332" i="33"/>
  <c r="AK151" i="31"/>
  <c r="AM151" i="31"/>
  <c r="AD151" i="31"/>
  <c r="W151" i="31"/>
  <c r="P151" i="31"/>
  <c r="I151" i="31"/>
  <c r="AA331" i="29"/>
  <c r="AB331" i="29" s="1"/>
  <c r="U332" i="33" l="1"/>
  <c r="V332" i="33" s="1"/>
  <c r="S333" i="33"/>
  <c r="H152" i="31"/>
  <c r="O152" i="31"/>
  <c r="V152" i="31"/>
  <c r="AA332" i="29"/>
  <c r="AB332" i="29" s="1"/>
  <c r="U333" i="33" l="1"/>
  <c r="V333" i="33" s="1"/>
  <c r="S334" i="33"/>
  <c r="AN151" i="31"/>
  <c r="AJ152" i="31"/>
  <c r="AC152" i="31"/>
  <c r="AA333" i="29"/>
  <c r="AB333" i="29" s="1"/>
  <c r="U334" i="33" l="1"/>
  <c r="V334" i="33" s="1"/>
  <c r="S335" i="33"/>
  <c r="AL152" i="31"/>
  <c r="AM152" i="31" s="1"/>
  <c r="AK152" i="31"/>
  <c r="AD152" i="31"/>
  <c r="AF151" i="31"/>
  <c r="K151" i="31"/>
  <c r="D151" i="31"/>
  <c r="R151" i="31"/>
  <c r="AO151" i="31"/>
  <c r="AP151" i="31" s="1"/>
  <c r="Y151" i="31"/>
  <c r="W152" i="31"/>
  <c r="I152" i="31"/>
  <c r="P152" i="31"/>
  <c r="AA334" i="29"/>
  <c r="AB334" i="29" s="1"/>
  <c r="U335" i="33" l="1"/>
  <c r="V335" i="33" s="1"/>
  <c r="S336" i="33"/>
  <c r="AJ153" i="31"/>
  <c r="O153" i="31"/>
  <c r="H153" i="31"/>
  <c r="V153" i="31"/>
  <c r="AA335" i="29"/>
  <c r="AB335" i="29" s="1"/>
  <c r="U336" i="33" l="1"/>
  <c r="V336" i="33" s="1"/>
  <c r="S337" i="33"/>
  <c r="AC153" i="31"/>
  <c r="AN152" i="31"/>
  <c r="AL153" i="31" s="1"/>
  <c r="AA336" i="29"/>
  <c r="AB336" i="29" s="1"/>
  <c r="U337" i="33" l="1"/>
  <c r="V337" i="33" s="1"/>
  <c r="S338" i="33"/>
  <c r="AF152" i="31"/>
  <c r="AO152" i="31"/>
  <c r="AP152" i="31" s="1"/>
  <c r="R152" i="31"/>
  <c r="K152" i="31"/>
  <c r="D152" i="31"/>
  <c r="Y152" i="31"/>
  <c r="AA337" i="29"/>
  <c r="AB337" i="29" s="1"/>
  <c r="U338" i="33" l="1"/>
  <c r="V338" i="33" s="1"/>
  <c r="S339" i="33"/>
  <c r="AK153" i="31"/>
  <c r="AM153" i="31"/>
  <c r="AD153" i="31"/>
  <c r="W153" i="31"/>
  <c r="I153" i="31"/>
  <c r="P153" i="31"/>
  <c r="AA338" i="29"/>
  <c r="AB338" i="29" s="1"/>
  <c r="U339" i="33" l="1"/>
  <c r="V339" i="33" s="1"/>
  <c r="S340" i="33"/>
  <c r="AJ154" i="31"/>
  <c r="O154" i="31"/>
  <c r="H154" i="31"/>
  <c r="V154" i="31"/>
  <c r="AA339" i="29"/>
  <c r="AB339" i="29" s="1"/>
  <c r="U340" i="33" l="1"/>
  <c r="V340" i="33" s="1"/>
  <c r="S341" i="33"/>
  <c r="AN153" i="31"/>
  <c r="AC154" i="31"/>
  <c r="AA340" i="29"/>
  <c r="AB340" i="29" s="1"/>
  <c r="U341" i="33" l="1"/>
  <c r="V341" i="33" s="1"/>
  <c r="S342" i="33"/>
  <c r="AF153" i="31"/>
  <c r="AL154" i="31"/>
  <c r="Y153" i="31"/>
  <c r="R153" i="31"/>
  <c r="K153" i="31"/>
  <c r="D153" i="31"/>
  <c r="AO153" i="31"/>
  <c r="AP153" i="31" s="1"/>
  <c r="AA341" i="29"/>
  <c r="AB341" i="29" s="1"/>
  <c r="U342" i="33" l="1"/>
  <c r="V342" i="33" s="1"/>
  <c r="S343" i="33"/>
  <c r="AK154" i="31"/>
  <c r="AM154" i="31"/>
  <c r="W154" i="31"/>
  <c r="V155" i="31" s="1"/>
  <c r="I154" i="31"/>
  <c r="AD154" i="31"/>
  <c r="P154" i="31"/>
  <c r="H155" i="31"/>
  <c r="AA342" i="29"/>
  <c r="AB342" i="29" s="1"/>
  <c r="U343" i="33" l="1"/>
  <c r="V343" i="33" s="1"/>
  <c r="S344" i="33"/>
  <c r="AN154" i="31"/>
  <c r="O155" i="31"/>
  <c r="AC155" i="31"/>
  <c r="AJ155" i="31"/>
  <c r="AA343" i="29"/>
  <c r="AB343" i="29" s="1"/>
  <c r="U344" i="33" l="1"/>
  <c r="V344" i="33" s="1"/>
  <c r="S345" i="33"/>
  <c r="AF154" i="31"/>
  <c r="AL155" i="31"/>
  <c r="D154" i="31"/>
  <c r="K154" i="31"/>
  <c r="Y154" i="31"/>
  <c r="R154" i="31"/>
  <c r="AO154" i="31"/>
  <c r="AP154" i="31" s="1"/>
  <c r="AM155" i="31"/>
  <c r="AA344" i="29"/>
  <c r="AB344" i="29" s="1"/>
  <c r="U345" i="33" l="1"/>
  <c r="V345" i="33" s="1"/>
  <c r="S346" i="33"/>
  <c r="I155" i="31"/>
  <c r="AK155" i="31"/>
  <c r="W155" i="31"/>
  <c r="V156" i="31" s="1"/>
  <c r="AD155" i="31"/>
  <c r="P155" i="31"/>
  <c r="O156" i="31" s="1"/>
  <c r="H156" i="31"/>
  <c r="AA345" i="29"/>
  <c r="AB345" i="29" s="1"/>
  <c r="U346" i="33" l="1"/>
  <c r="V346" i="33" s="1"/>
  <c r="S347" i="33"/>
  <c r="AN155" i="31"/>
  <c r="AC156" i="31"/>
  <c r="AJ156" i="31"/>
  <c r="AA346" i="29"/>
  <c r="AB346" i="29" s="1"/>
  <c r="U347" i="33" l="1"/>
  <c r="V347" i="33" s="1"/>
  <c r="S348" i="33"/>
  <c r="AL156" i="31"/>
  <c r="AK156" i="31" s="1"/>
  <c r="AD156" i="31"/>
  <c r="D155" i="31"/>
  <c r="R155" i="31"/>
  <c r="AO155" i="31"/>
  <c r="AP155" i="31" s="1"/>
  <c r="Y155" i="31"/>
  <c r="K155" i="31"/>
  <c r="AF155" i="31"/>
  <c r="W156" i="31"/>
  <c r="I156" i="31"/>
  <c r="P156" i="31"/>
  <c r="AA347" i="29"/>
  <c r="AB347" i="29" s="1"/>
  <c r="U348" i="33" l="1"/>
  <c r="V348" i="33" s="1"/>
  <c r="S349" i="33"/>
  <c r="AM156" i="31"/>
  <c r="O157" i="31"/>
  <c r="H157" i="31"/>
  <c r="V157" i="31"/>
  <c r="AA348" i="29"/>
  <c r="AB348" i="29" s="1"/>
  <c r="U349" i="33" l="1"/>
  <c r="V349" i="33" s="1"/>
  <c r="S350" i="33"/>
  <c r="AN156" i="31"/>
  <c r="AC157" i="31"/>
  <c r="AJ157" i="31"/>
  <c r="AA349" i="29"/>
  <c r="AB349" i="29" s="1"/>
  <c r="U350" i="33" l="1"/>
  <c r="V350" i="33" s="1"/>
  <c r="S351" i="33"/>
  <c r="Y156" i="31"/>
  <c r="AL157" i="31"/>
  <c r="AF156" i="31"/>
  <c r="AO156" i="31"/>
  <c r="AP156" i="31" s="1"/>
  <c r="K156" i="31"/>
  <c r="R156" i="31"/>
  <c r="D156" i="31"/>
  <c r="AA350" i="29"/>
  <c r="AB350" i="29" s="1"/>
  <c r="U351" i="33" l="1"/>
  <c r="V351" i="33" s="1"/>
  <c r="S352" i="33"/>
  <c r="AK157" i="31"/>
  <c r="AM157" i="31"/>
  <c r="AD157" i="31"/>
  <c r="W157" i="31"/>
  <c r="I157" i="31"/>
  <c r="P157" i="31"/>
  <c r="AA351" i="29"/>
  <c r="AB351" i="29" s="1"/>
  <c r="U352" i="33" l="1"/>
  <c r="V352" i="33" s="1"/>
  <c r="S353" i="33"/>
  <c r="O158" i="31"/>
  <c r="H158" i="31"/>
  <c r="V158" i="31"/>
  <c r="AA352" i="29"/>
  <c r="AB352" i="29" s="1"/>
  <c r="U353" i="33" l="1"/>
  <c r="V353" i="33" s="1"/>
  <c r="S354" i="33"/>
  <c r="AN157" i="31"/>
  <c r="AL158" i="31" s="1"/>
  <c r="AC158" i="31"/>
  <c r="AJ158" i="31"/>
  <c r="AA353" i="29"/>
  <c r="AB353" i="29" s="1"/>
  <c r="U354" i="33" l="1"/>
  <c r="V354" i="33" s="1"/>
  <c r="S355" i="33"/>
  <c r="AO157" i="31"/>
  <c r="AP157" i="31" s="1"/>
  <c r="K157" i="31"/>
  <c r="R157" i="31"/>
  <c r="D157" i="31"/>
  <c r="AF157" i="31"/>
  <c r="Y157" i="31"/>
  <c r="AA354" i="29"/>
  <c r="AB354" i="29" s="1"/>
  <c r="U355" i="33" l="1"/>
  <c r="V355" i="33" s="1"/>
  <c r="S356" i="33"/>
  <c r="AK158" i="31"/>
  <c r="AM158" i="31"/>
  <c r="AD158" i="31"/>
  <c r="W158" i="31"/>
  <c r="I158" i="31"/>
  <c r="P158" i="31"/>
  <c r="AA355" i="29"/>
  <c r="AB355" i="29" s="1"/>
  <c r="U356" i="33" l="1"/>
  <c r="V356" i="33" s="1"/>
  <c r="S357" i="33"/>
  <c r="V159" i="31"/>
  <c r="O159" i="31"/>
  <c r="H159" i="31"/>
  <c r="AC159" i="31"/>
  <c r="AA356" i="29"/>
  <c r="AB356" i="29" s="1"/>
  <c r="U357" i="33" l="1"/>
  <c r="V357" i="33" s="1"/>
  <c r="S358" i="33"/>
  <c r="AN158" i="31"/>
  <c r="AL159" i="31" s="1"/>
  <c r="AJ159" i="31"/>
  <c r="AA357" i="29"/>
  <c r="AB357" i="29" s="1"/>
  <c r="U358" i="33" l="1"/>
  <c r="V358" i="33" s="1"/>
  <c r="S359" i="33"/>
  <c r="Y158" i="31"/>
  <c r="AO158" i="31"/>
  <c r="AP158" i="31" s="1"/>
  <c r="R158" i="31"/>
  <c r="D158" i="31"/>
  <c r="K158" i="31"/>
  <c r="AF158" i="31"/>
  <c r="AA358" i="29"/>
  <c r="AB358" i="29" s="1"/>
  <c r="U359" i="33" l="1"/>
  <c r="V359" i="33" s="1"/>
  <c r="S360" i="33"/>
  <c r="AK159" i="31"/>
  <c r="AM159" i="31"/>
  <c r="AD159" i="31"/>
  <c r="W159" i="31"/>
  <c r="I159" i="31"/>
  <c r="P159" i="31"/>
  <c r="AA359" i="29"/>
  <c r="AB359" i="29" s="1"/>
  <c r="U360" i="33" l="1"/>
  <c r="V360" i="33" s="1"/>
  <c r="S361" i="33"/>
  <c r="V160" i="31"/>
  <c r="O160" i="31"/>
  <c r="H160" i="31"/>
  <c r="AA360" i="29"/>
  <c r="AB360" i="29" s="1"/>
  <c r="U361" i="33" l="1"/>
  <c r="V361" i="33" s="1"/>
  <c r="S362" i="33"/>
  <c r="AC160" i="31"/>
  <c r="AN159" i="31"/>
  <c r="AJ160" i="31"/>
  <c r="AA361" i="29"/>
  <c r="AB361" i="29" s="1"/>
  <c r="U362" i="33" l="1"/>
  <c r="V362" i="33" s="1"/>
  <c r="S363" i="33"/>
  <c r="AF159" i="31"/>
  <c r="AL160" i="31"/>
  <c r="AO159" i="31"/>
  <c r="AP159" i="31" s="1"/>
  <c r="R159" i="31"/>
  <c r="K159" i="31"/>
  <c r="D159" i="31"/>
  <c r="Y159" i="31"/>
  <c r="AA362" i="29"/>
  <c r="AB362" i="29" s="1"/>
  <c r="U363" i="33" l="1"/>
  <c r="V363" i="33" s="1"/>
  <c r="S364" i="33"/>
  <c r="AK160" i="31"/>
  <c r="AM160" i="31"/>
  <c r="AD160" i="31"/>
  <c r="W160" i="31"/>
  <c r="I160" i="31"/>
  <c r="P160" i="31"/>
  <c r="AA363" i="29"/>
  <c r="AB363" i="29" s="1"/>
  <c r="U364" i="33" l="1"/>
  <c r="V364" i="33" s="1"/>
  <c r="S365" i="33"/>
  <c r="AN160" i="31"/>
  <c r="O161" i="31"/>
  <c r="H161" i="31"/>
  <c r="V161" i="31"/>
  <c r="AA364" i="29"/>
  <c r="AB364" i="29" s="1"/>
  <c r="U365" i="33" l="1"/>
  <c r="V365" i="33" s="1"/>
  <c r="S366" i="33"/>
  <c r="AO160" i="31"/>
  <c r="AP160" i="31" s="1"/>
  <c r="K160" i="31"/>
  <c r="R160" i="31"/>
  <c r="D160" i="31"/>
  <c r="AJ161" i="31"/>
  <c r="AF160" i="31"/>
  <c r="AC161" i="31"/>
  <c r="AL161" i="31" s="1"/>
  <c r="AM161" i="31" s="1"/>
  <c r="Y160" i="31"/>
  <c r="AA365" i="29"/>
  <c r="AB365" i="29" s="1"/>
  <c r="U366" i="33" l="1"/>
  <c r="V366" i="33" s="1"/>
  <c r="S367" i="33"/>
  <c r="AK161" i="31"/>
  <c r="AD161" i="31"/>
  <c r="W161" i="31"/>
  <c r="I161" i="31"/>
  <c r="P161" i="31"/>
  <c r="AA366" i="29"/>
  <c r="AB366" i="29" s="1"/>
  <c r="U367" i="33" l="1"/>
  <c r="V367" i="33" s="1"/>
  <c r="S368" i="33"/>
  <c r="V162" i="31"/>
  <c r="O162" i="31"/>
  <c r="H162" i="31"/>
  <c r="AA367" i="29"/>
  <c r="AB367" i="29" s="1"/>
  <c r="U368" i="33" l="1"/>
  <c r="V368" i="33" s="1"/>
  <c r="S369" i="33"/>
  <c r="AC162" i="31"/>
  <c r="AN161" i="31"/>
  <c r="AJ162" i="31"/>
  <c r="AA368" i="29"/>
  <c r="AB368" i="29" s="1"/>
  <c r="U369" i="33" l="1"/>
  <c r="V369" i="33" s="1"/>
  <c r="S370" i="33"/>
  <c r="AF161" i="31"/>
  <c r="AL162" i="31"/>
  <c r="D161" i="31"/>
  <c r="AO161" i="31"/>
  <c r="AP161" i="31" s="1"/>
  <c r="R161" i="31"/>
  <c r="K161" i="31"/>
  <c r="Y161" i="31"/>
  <c r="AA369" i="29"/>
  <c r="AB369" i="29" s="1"/>
  <c r="U370" i="33" l="1"/>
  <c r="V370" i="33" s="1"/>
  <c r="S371" i="33"/>
  <c r="AK162" i="31"/>
  <c r="AM162" i="31"/>
  <c r="AD162" i="31"/>
  <c r="W162" i="31"/>
  <c r="I162" i="31"/>
  <c r="P162" i="31"/>
  <c r="AA370" i="29"/>
  <c r="AB370" i="29" s="1"/>
  <c r="U371" i="33" l="1"/>
  <c r="V371" i="33" s="1"/>
  <c r="S372" i="33"/>
  <c r="V163" i="31"/>
  <c r="AN162" i="31"/>
  <c r="O163" i="31"/>
  <c r="H163" i="31"/>
  <c r="AA371" i="29"/>
  <c r="AB371" i="29" s="1"/>
  <c r="U372" i="33" l="1"/>
  <c r="V372" i="33" s="1"/>
  <c r="S373" i="33"/>
  <c r="AO162" i="31"/>
  <c r="AP162" i="31" s="1"/>
  <c r="R162" i="31"/>
  <c r="K162" i="31"/>
  <c r="D162" i="31"/>
  <c r="AC163" i="31"/>
  <c r="AL163" i="31" s="1"/>
  <c r="AM163" i="31" s="1"/>
  <c r="Y162" i="31"/>
  <c r="AJ163" i="31"/>
  <c r="AF162" i="31"/>
  <c r="AA372" i="29"/>
  <c r="AB372" i="29" s="1"/>
  <c r="U373" i="33" l="1"/>
  <c r="V373" i="33" s="1"/>
  <c r="S374" i="33"/>
  <c r="AK163" i="31"/>
  <c r="AD163" i="31"/>
  <c r="W163" i="31"/>
  <c r="V164" i="31" s="1"/>
  <c r="I163" i="31"/>
  <c r="P163" i="31"/>
  <c r="AA373" i="29"/>
  <c r="AB373" i="29" s="1"/>
  <c r="U374" i="33" l="1"/>
  <c r="V374" i="33" s="1"/>
  <c r="S375" i="33"/>
  <c r="AN163" i="31"/>
  <c r="O164" i="31"/>
  <c r="H164" i="31"/>
  <c r="AA374" i="29"/>
  <c r="AB374" i="29" s="1"/>
  <c r="U375" i="33" l="1"/>
  <c r="V375" i="33" s="1"/>
  <c r="S376" i="33"/>
  <c r="AL164" i="31"/>
  <c r="R163" i="31"/>
  <c r="AO163" i="31"/>
  <c r="AP163" i="31" s="1"/>
  <c r="K163" i="31"/>
  <c r="D163" i="31"/>
  <c r="AJ164" i="31"/>
  <c r="AF163" i="31"/>
  <c r="AC164" i="31"/>
  <c r="Y163" i="31"/>
  <c r="AA375" i="29"/>
  <c r="AB375" i="29" s="1"/>
  <c r="U376" i="33" l="1"/>
  <c r="V376" i="33" s="1"/>
  <c r="S377" i="33"/>
  <c r="AK164" i="31"/>
  <c r="AM164" i="31"/>
  <c r="AD164" i="31"/>
  <c r="W164" i="31"/>
  <c r="P164" i="31"/>
  <c r="I164" i="31"/>
  <c r="AA376" i="29"/>
  <c r="AB376" i="29" s="1"/>
  <c r="U377" i="33" l="1"/>
  <c r="V377" i="33" s="1"/>
  <c r="S378" i="33"/>
  <c r="V165" i="31"/>
  <c r="H165" i="31"/>
  <c r="O165" i="31"/>
  <c r="AN164" i="31"/>
  <c r="AA377" i="29"/>
  <c r="AB377" i="29" s="1"/>
  <c r="U378" i="33" l="1"/>
  <c r="V378" i="33" s="1"/>
  <c r="S379" i="33"/>
  <c r="AO164" i="31"/>
  <c r="AP164" i="31" s="1"/>
  <c r="K164" i="31"/>
  <c r="R164" i="31"/>
  <c r="D164" i="31"/>
  <c r="AJ165" i="31"/>
  <c r="AF164" i="31"/>
  <c r="AC165" i="31"/>
  <c r="AL165" i="31" s="1"/>
  <c r="AM165" i="31" s="1"/>
  <c r="Y164" i="31"/>
  <c r="AA378" i="29"/>
  <c r="AB378" i="29" s="1"/>
  <c r="U379" i="33" l="1"/>
  <c r="V379" i="33" s="1"/>
  <c r="S380" i="33"/>
  <c r="U380" i="33" s="1"/>
  <c r="V380" i="33" s="1"/>
  <c r="AK165" i="31"/>
  <c r="AD165" i="31"/>
  <c r="W165" i="31"/>
  <c r="P165" i="31"/>
  <c r="I165" i="31"/>
  <c r="AA379" i="29"/>
  <c r="AB379" i="29" s="1"/>
  <c r="AA380" i="29"/>
  <c r="H166" i="31" l="1"/>
  <c r="O166" i="31"/>
  <c r="V166" i="31"/>
  <c r="AB380" i="29"/>
  <c r="AC166" i="31" l="1"/>
  <c r="AJ166" i="31"/>
  <c r="AN165" i="31"/>
  <c r="AL166" i="31" s="1"/>
  <c r="AO165" i="31" l="1"/>
  <c r="AP165" i="31" s="1"/>
  <c r="R165" i="31"/>
  <c r="K165" i="31"/>
  <c r="D165" i="31"/>
  <c r="Y165" i="31"/>
  <c r="AF165" i="31"/>
  <c r="AK166" i="31" l="1"/>
  <c r="AM166" i="31"/>
  <c r="AD166" i="31"/>
  <c r="W166" i="31"/>
  <c r="I166" i="31"/>
  <c r="P166" i="31"/>
  <c r="AJ167" i="31" l="1"/>
  <c r="O167" i="31"/>
  <c r="H167" i="31"/>
  <c r="V167" i="31"/>
  <c r="AN166" i="31" l="1"/>
  <c r="AC167" i="31"/>
  <c r="D166" i="31" l="1"/>
  <c r="AL167" i="31"/>
  <c r="R166" i="31"/>
  <c r="K166" i="31"/>
  <c r="AO166" i="31"/>
  <c r="AP166" i="31" s="1"/>
  <c r="AF166" i="31"/>
  <c r="Y166" i="31"/>
  <c r="AK167" i="31" l="1"/>
  <c r="AM167" i="31"/>
  <c r="P167" i="31"/>
  <c r="O168" i="31" s="1"/>
  <c r="AD167" i="31"/>
  <c r="I167" i="31"/>
  <c r="H168" i="31" s="1"/>
  <c r="W167" i="31"/>
  <c r="V168" i="31" s="1"/>
  <c r="AC168" i="31" l="1"/>
  <c r="AN167" i="31"/>
  <c r="AJ168" i="31"/>
  <c r="AF167" i="31" l="1"/>
  <c r="AL168" i="31"/>
  <c r="Y167" i="31"/>
  <c r="AO167" i="31"/>
  <c r="AP167" i="31" s="1"/>
  <c r="R167" i="31"/>
  <c r="K167" i="31"/>
  <c r="D167" i="31"/>
  <c r="AK168" i="31" l="1"/>
  <c r="AM168" i="31"/>
  <c r="AD168" i="31"/>
  <c r="W168" i="31"/>
  <c r="I168" i="31"/>
  <c r="P168" i="31"/>
  <c r="V169" i="31" l="1"/>
  <c r="AJ169" i="31"/>
  <c r="O169" i="31"/>
  <c r="H169" i="31"/>
  <c r="AN168" i="31" l="1"/>
  <c r="K168" i="31"/>
  <c r="AC169" i="31"/>
  <c r="Y168" i="31"/>
  <c r="AF168" i="31" l="1"/>
  <c r="AL169" i="31"/>
  <c r="R168" i="31"/>
  <c r="D168" i="31"/>
  <c r="AO168" i="31"/>
  <c r="AP168" i="31" s="1"/>
  <c r="AK169" i="31" l="1"/>
  <c r="AM169" i="31"/>
  <c r="W169" i="31"/>
  <c r="AD169" i="31"/>
  <c r="I169" i="31"/>
  <c r="P169" i="31"/>
  <c r="AJ170" i="31" s="1"/>
  <c r="V170" i="31"/>
  <c r="H170" i="31" l="1"/>
  <c r="O170" i="31"/>
  <c r="AC170" i="31"/>
  <c r="AN169" i="31"/>
  <c r="AL170" i="31" s="1"/>
  <c r="AF169" i="31" l="1"/>
  <c r="AO169" i="31"/>
  <c r="AP169" i="31" s="1"/>
  <c r="D169" i="31"/>
  <c r="R169" i="31"/>
  <c r="K169" i="31"/>
  <c r="Y169" i="31"/>
  <c r="AK170" i="31" l="1"/>
  <c r="AM170" i="31"/>
  <c r="AD170" i="31"/>
  <c r="W170" i="31"/>
  <c r="I170" i="31"/>
  <c r="P170" i="31"/>
  <c r="V171" i="31" l="1"/>
  <c r="O171" i="31"/>
  <c r="H171" i="31"/>
  <c r="AN170" i="31" l="1"/>
  <c r="AC171" i="31"/>
  <c r="AJ171" i="31"/>
  <c r="AF170" i="31" l="1"/>
  <c r="AL171" i="31"/>
  <c r="AO170" i="31"/>
  <c r="AP170" i="31" s="1"/>
  <c r="R170" i="31"/>
  <c r="K170" i="31"/>
  <c r="D170" i="31"/>
  <c r="Y170" i="31"/>
  <c r="AK171" i="31" l="1"/>
  <c r="AM171" i="31"/>
  <c r="AD171" i="31"/>
  <c r="W171" i="31"/>
  <c r="I171" i="31"/>
  <c r="P171" i="31"/>
  <c r="AN171" i="31" l="1"/>
  <c r="O172" i="31"/>
  <c r="H172" i="31"/>
  <c r="V172" i="31"/>
  <c r="AO171" i="31" l="1"/>
  <c r="AP171" i="31" s="1"/>
  <c r="K171" i="31"/>
  <c r="R171" i="31"/>
  <c r="D171" i="31"/>
  <c r="AC172" i="31"/>
  <c r="Y171" i="31"/>
  <c r="AJ172" i="31"/>
  <c r="AL172" i="31" s="1"/>
  <c r="AM172" i="31" s="1"/>
  <c r="AF171" i="31"/>
  <c r="AK172" i="31" l="1"/>
  <c r="AD172" i="31"/>
  <c r="W172" i="31"/>
  <c r="P172" i="31"/>
  <c r="I172" i="31"/>
  <c r="V173" i="31" l="1"/>
  <c r="H173" i="31"/>
  <c r="AN172" i="31"/>
  <c r="O173" i="31"/>
  <c r="AL173" i="31" l="1"/>
  <c r="AM173" i="31" s="1"/>
  <c r="AO172" i="31"/>
  <c r="AP172" i="31" s="1"/>
  <c r="K172" i="31"/>
  <c r="R172" i="31"/>
  <c r="D172" i="31"/>
  <c r="AJ173" i="31"/>
  <c r="AF172" i="31"/>
  <c r="AC173" i="31"/>
  <c r="Y172" i="31"/>
  <c r="AK173" i="31" l="1"/>
  <c r="AD173" i="31"/>
  <c r="W173" i="31"/>
  <c r="I173" i="31"/>
  <c r="P173" i="31"/>
  <c r="V174" i="31" l="1"/>
  <c r="H174" i="31"/>
  <c r="O174" i="31"/>
  <c r="AJ174" i="31" l="1"/>
  <c r="AN173" i="31"/>
  <c r="AC174" i="31"/>
  <c r="Y173" i="31" l="1"/>
  <c r="AL174" i="31"/>
  <c r="AO173" i="31"/>
  <c r="AP173" i="31" s="1"/>
  <c r="R173" i="31"/>
  <c r="D173" i="31"/>
  <c r="K173" i="31"/>
  <c r="AF173" i="31"/>
  <c r="AK174" i="31" l="1"/>
  <c r="AM174" i="31"/>
  <c r="AD174" i="31"/>
  <c r="W174" i="31"/>
  <c r="I174" i="31"/>
  <c r="P174" i="31"/>
  <c r="V175" i="31" l="1"/>
  <c r="AN174" i="31"/>
  <c r="O175" i="31"/>
  <c r="H175" i="31"/>
  <c r="K174" i="31" l="1"/>
  <c r="AC175" i="31"/>
  <c r="AL175" i="31" s="1"/>
  <c r="Y174" i="31"/>
  <c r="AJ175" i="31"/>
  <c r="AF174" i="31"/>
  <c r="AO174" i="31"/>
  <c r="AP174" i="31" s="1"/>
  <c r="R174" i="31"/>
  <c r="D174" i="31"/>
  <c r="AK175" i="31" l="1"/>
  <c r="AM175" i="31"/>
  <c r="AD175" i="31"/>
  <c r="W175" i="31"/>
  <c r="P175" i="31"/>
  <c r="I175" i="31"/>
  <c r="H176" i="31" l="1"/>
  <c r="AJ176" i="31"/>
  <c r="O176" i="31"/>
  <c r="V176" i="31"/>
  <c r="AN175" i="31" l="1"/>
  <c r="AC176" i="31"/>
  <c r="AF175" i="31" l="1"/>
  <c r="AL176" i="31"/>
  <c r="Y175" i="31"/>
  <c r="K175" i="31"/>
  <c r="R175" i="31"/>
  <c r="D175" i="31"/>
  <c r="AO175" i="31"/>
  <c r="AP175" i="31" s="1"/>
  <c r="AK176" i="31" l="1"/>
  <c r="AJ177" i="31" s="1"/>
  <c r="AM176" i="31"/>
  <c r="P176" i="31"/>
  <c r="O177" i="31" s="1"/>
  <c r="AD176" i="31"/>
  <c r="I176" i="31"/>
  <c r="W176" i="31"/>
  <c r="V177" i="31" s="1"/>
  <c r="AN176" i="31" l="1"/>
  <c r="H177" i="31"/>
  <c r="AC177" i="31"/>
  <c r="AO176" i="31" l="1"/>
  <c r="AP176" i="31" s="1"/>
  <c r="AL177" i="31"/>
  <c r="Y176" i="31"/>
  <c r="K176" i="31"/>
  <c r="R176" i="31"/>
  <c r="AF176" i="31"/>
  <c r="D176" i="31"/>
  <c r="AD177" i="31"/>
  <c r="W177" i="31"/>
  <c r="P177" i="31"/>
  <c r="AK177" i="31" l="1"/>
  <c r="AM177" i="31"/>
  <c r="I177" i="31"/>
  <c r="V178" i="31"/>
  <c r="AC178" i="31"/>
  <c r="H178" i="31"/>
  <c r="O178" i="31"/>
  <c r="AJ178" i="31" l="1"/>
  <c r="AN177" i="31"/>
  <c r="AL178" i="31" s="1"/>
  <c r="Y177" i="31" l="1"/>
  <c r="AO177" i="31"/>
  <c r="AP177" i="31" s="1"/>
  <c r="R177" i="31"/>
  <c r="D177" i="31"/>
  <c r="K177" i="31"/>
  <c r="AF177" i="31"/>
  <c r="AK178" i="31" l="1"/>
  <c r="AM178" i="31"/>
  <c r="AD178" i="31"/>
  <c r="W178" i="31"/>
  <c r="I178" i="31"/>
  <c r="P178" i="31"/>
  <c r="AJ179" i="31" l="1"/>
  <c r="O179" i="31"/>
  <c r="H179" i="31"/>
  <c r="V179" i="31"/>
  <c r="AN178" i="31" l="1"/>
  <c r="AC179" i="31"/>
  <c r="AF178" i="31" l="1"/>
  <c r="AL179" i="31"/>
  <c r="I179" i="31" s="1"/>
  <c r="Y178" i="31"/>
  <c r="D178" i="31"/>
  <c r="R178" i="31"/>
  <c r="K178" i="31"/>
  <c r="AO178" i="31"/>
  <c r="AP178" i="31" s="1"/>
  <c r="W179" i="31"/>
  <c r="AK179" i="31" l="1"/>
  <c r="AM179" i="31"/>
  <c r="AD179" i="31"/>
  <c r="P179" i="31"/>
  <c r="V180" i="31"/>
  <c r="H180" i="31"/>
  <c r="AN179" i="31" l="1"/>
  <c r="O180" i="31"/>
  <c r="AC180" i="31"/>
  <c r="AJ180" i="31"/>
  <c r="Y179" i="31" l="1"/>
  <c r="AL180" i="31"/>
  <c r="K179" i="31"/>
  <c r="R179" i="31"/>
  <c r="AO179" i="31"/>
  <c r="AP179" i="31" s="1"/>
  <c r="D179" i="31"/>
  <c r="W180" i="31"/>
  <c r="AF179" i="31"/>
  <c r="AK180" i="31" l="1"/>
  <c r="AM180" i="31"/>
  <c r="P180" i="31"/>
  <c r="AD180" i="31"/>
  <c r="I180" i="31"/>
  <c r="AN180" i="31" s="1"/>
  <c r="O181" i="31"/>
  <c r="V181" i="31"/>
  <c r="D180" i="31" l="1"/>
  <c r="H181" i="31"/>
  <c r="AO180" i="31"/>
  <c r="AP180" i="31" s="1"/>
  <c r="AC181" i="31"/>
  <c r="Y180" i="31"/>
  <c r="K180" i="31"/>
  <c r="R180" i="31"/>
  <c r="AJ181" i="31"/>
  <c r="AF180" i="31"/>
  <c r="AL181" i="31" l="1"/>
  <c r="AM181" i="31" s="1"/>
  <c r="AK181" i="31"/>
  <c r="AD181" i="31"/>
  <c r="W181" i="31"/>
  <c r="I181" i="31"/>
  <c r="P181" i="31"/>
  <c r="V182" i="31" l="1"/>
  <c r="O182" i="31"/>
  <c r="H182" i="31"/>
  <c r="AN181" i="31" l="1"/>
  <c r="AC182" i="31"/>
  <c r="AJ182" i="31"/>
  <c r="Y181" i="31" l="1"/>
  <c r="AL182" i="31"/>
  <c r="AF181" i="31"/>
  <c r="AO181" i="31"/>
  <c r="AP181" i="31" s="1"/>
  <c r="R181" i="31"/>
  <c r="D181" i="31"/>
  <c r="K181" i="31"/>
  <c r="AK182" i="31" l="1"/>
  <c r="AM182" i="31"/>
  <c r="AD182" i="31"/>
  <c r="W182" i="31"/>
  <c r="I182" i="31"/>
  <c r="P182" i="31"/>
  <c r="AJ183" i="31" l="1"/>
  <c r="O183" i="31"/>
  <c r="H183" i="31"/>
  <c r="V183" i="31"/>
  <c r="AN182" i="31" l="1"/>
  <c r="AC183" i="31"/>
  <c r="AF182" i="31" l="1"/>
  <c r="AL183" i="31"/>
  <c r="R182" i="31"/>
  <c r="D182" i="31"/>
  <c r="AM183" i="31"/>
  <c r="K182" i="31"/>
  <c r="AO182" i="31"/>
  <c r="AP182" i="31" s="1"/>
  <c r="Y182" i="31"/>
  <c r="AK183" i="31" l="1"/>
  <c r="W183" i="31"/>
  <c r="V184" i="31" s="1"/>
  <c r="I183" i="31"/>
  <c r="H184" i="31" s="1"/>
  <c r="AD183" i="31"/>
  <c r="P183" i="31"/>
  <c r="O184" i="31" s="1"/>
  <c r="AN183" i="31" l="1"/>
  <c r="AL184" i="31" s="1"/>
  <c r="AC184" i="31"/>
  <c r="AJ184" i="31"/>
  <c r="Y183" i="31" l="1"/>
  <c r="K183" i="31"/>
  <c r="AO183" i="31"/>
  <c r="AP183" i="31" s="1"/>
  <c r="R183" i="31"/>
  <c r="D183" i="31"/>
  <c r="AF183" i="31"/>
  <c r="W184" i="31"/>
  <c r="AK184" i="31" l="1"/>
  <c r="AM184" i="31"/>
  <c r="I184" i="31"/>
  <c r="H185" i="31" s="1"/>
  <c r="AD184" i="31"/>
  <c r="AC185" i="31" s="1"/>
  <c r="P184" i="31"/>
  <c r="O185" i="31" s="1"/>
  <c r="V185" i="31"/>
  <c r="AJ185" i="31" l="1"/>
  <c r="AN184" i="31"/>
  <c r="AL185" i="31" s="1"/>
  <c r="Y184" i="31" l="1"/>
  <c r="AO184" i="31"/>
  <c r="AP184" i="31" s="1"/>
  <c r="D184" i="31"/>
  <c r="R184" i="31"/>
  <c r="K184" i="31"/>
  <c r="AF184" i="31"/>
  <c r="AK185" i="31" l="1"/>
  <c r="AM185" i="31"/>
  <c r="AD185" i="31"/>
  <c r="W185" i="31"/>
  <c r="I185" i="31"/>
  <c r="P185" i="31"/>
  <c r="AN185" i="31" l="1"/>
  <c r="O186" i="31"/>
  <c r="H186" i="31"/>
  <c r="V186" i="31"/>
  <c r="AO185" i="31" l="1"/>
  <c r="AP185" i="31" s="1"/>
  <c r="K185" i="31"/>
  <c r="R185" i="31"/>
  <c r="D185" i="31"/>
  <c r="AC186" i="31"/>
  <c r="AL186" i="31" s="1"/>
  <c r="AM186" i="31" s="1"/>
  <c r="Y185" i="31"/>
  <c r="AJ186" i="31"/>
  <c r="AF185" i="31"/>
  <c r="AK186" i="31" l="1"/>
  <c r="AD186" i="31"/>
  <c r="W186" i="31"/>
  <c r="I186" i="31"/>
  <c r="P186" i="31"/>
  <c r="AJ187" i="31" l="1"/>
  <c r="O187" i="31"/>
  <c r="H187" i="31"/>
  <c r="V187" i="31"/>
  <c r="AN186" i="31" l="1"/>
  <c r="AC187" i="31"/>
  <c r="AF186" i="31" l="1"/>
  <c r="AL187" i="31"/>
  <c r="D186" i="31"/>
  <c r="K186" i="31"/>
  <c r="R186" i="31"/>
  <c r="AO186" i="31"/>
  <c r="AP186" i="31" s="1"/>
  <c r="Y186" i="31"/>
  <c r="AK187" i="31" l="1"/>
  <c r="AM187" i="31"/>
  <c r="I187" i="31"/>
  <c r="H188" i="31" s="1"/>
  <c r="AD187" i="31"/>
  <c r="P187" i="31"/>
  <c r="W187" i="31"/>
  <c r="V188" i="31" s="1"/>
  <c r="AJ188" i="31" l="1"/>
  <c r="O188" i="31"/>
  <c r="AN187" i="31"/>
  <c r="AC188" i="31"/>
  <c r="AF187" i="31" l="1"/>
  <c r="AL188" i="31"/>
  <c r="Y187" i="31"/>
  <c r="K187" i="31"/>
  <c r="AO187" i="31"/>
  <c r="AP187" i="31" s="1"/>
  <c r="D187" i="31"/>
  <c r="R187" i="31"/>
  <c r="W188" i="31"/>
  <c r="AK188" i="31" l="1"/>
  <c r="AM188" i="31"/>
  <c r="I188" i="31"/>
  <c r="H189" i="31" s="1"/>
  <c r="AD188" i="31"/>
  <c r="P188" i="31"/>
  <c r="O189" i="31" s="1"/>
  <c r="V189" i="31"/>
  <c r="AJ189" i="31" l="1"/>
  <c r="AN188" i="31"/>
  <c r="AC189" i="31"/>
  <c r="Y188" i="31" l="1"/>
  <c r="AL189" i="31"/>
  <c r="AO188" i="31"/>
  <c r="AP188" i="31" s="1"/>
  <c r="K188" i="31"/>
  <c r="D188" i="31"/>
  <c r="R188" i="31"/>
  <c r="AF188" i="31"/>
  <c r="AK189" i="31" l="1"/>
  <c r="AM189" i="31"/>
  <c r="AD189" i="31"/>
  <c r="W189" i="31"/>
  <c r="I189" i="31"/>
  <c r="P189" i="31"/>
  <c r="O190" i="31" l="1"/>
  <c r="H190" i="31"/>
  <c r="V190" i="31"/>
  <c r="AC190" i="31" l="1"/>
  <c r="AN189" i="31"/>
  <c r="AJ190" i="31"/>
  <c r="AF189" i="31" l="1"/>
  <c r="AL190" i="31"/>
  <c r="AO189" i="31"/>
  <c r="AP189" i="31" s="1"/>
  <c r="R189" i="31"/>
  <c r="D189" i="31"/>
  <c r="K189" i="31"/>
  <c r="Y189" i="31"/>
  <c r="AK190" i="31" l="1"/>
  <c r="AM190" i="31"/>
  <c r="AD190" i="31"/>
  <c r="W190" i="31"/>
  <c r="I190" i="31"/>
  <c r="P190" i="31"/>
  <c r="O191" i="31" l="1"/>
  <c r="H191" i="31"/>
  <c r="AC191" i="31"/>
  <c r="V191" i="31"/>
  <c r="AN190" i="31" l="1"/>
  <c r="AJ191" i="31"/>
  <c r="AF190" i="31" l="1"/>
  <c r="AL191" i="31"/>
  <c r="Y190" i="31"/>
  <c r="AO190" i="31"/>
  <c r="AP190" i="31" s="1"/>
  <c r="R190" i="31"/>
  <c r="K190" i="31"/>
  <c r="D190" i="31"/>
  <c r="AK191" i="31" l="1"/>
  <c r="AM191" i="31"/>
  <c r="AD191" i="31"/>
  <c r="W191" i="31"/>
  <c r="P191" i="31"/>
  <c r="I191" i="31"/>
  <c r="H192" i="31" l="1"/>
  <c r="AJ192" i="31"/>
  <c r="O192" i="31"/>
  <c r="V192" i="31"/>
  <c r="AN191" i="31" l="1"/>
  <c r="AC192" i="31"/>
  <c r="AF191" i="31" l="1"/>
  <c r="AL192" i="31"/>
  <c r="K191" i="31"/>
  <c r="D191" i="31"/>
  <c r="R191" i="31"/>
  <c r="AO191" i="31"/>
  <c r="AP191" i="31" s="1"/>
  <c r="Y191" i="31"/>
  <c r="AK192" i="31" l="1"/>
  <c r="AM192" i="31"/>
  <c r="P192" i="31"/>
  <c r="O193" i="31" s="1"/>
  <c r="AD192" i="31"/>
  <c r="W192" i="31"/>
  <c r="V193" i="31" s="1"/>
  <c r="I192" i="31"/>
  <c r="H193" i="31" l="1"/>
  <c r="AC193" i="31"/>
  <c r="AN192" i="31"/>
  <c r="AJ193" i="31"/>
  <c r="AF192" i="31" l="1"/>
  <c r="AL193" i="31"/>
  <c r="AO192" i="31"/>
  <c r="AP192" i="31" s="1"/>
  <c r="R192" i="31"/>
  <c r="D192" i="31"/>
  <c r="K192" i="31"/>
  <c r="Y192" i="31"/>
  <c r="AK193" i="31" l="1"/>
  <c r="AM193" i="31"/>
  <c r="AD193" i="31"/>
  <c r="W193" i="31"/>
  <c r="I193" i="31"/>
  <c r="P193" i="31"/>
  <c r="O194" i="31" l="1"/>
  <c r="H194" i="31"/>
  <c r="AC194" i="31"/>
  <c r="V194" i="31"/>
  <c r="AN193" i="31" l="1"/>
  <c r="AJ194" i="31"/>
  <c r="AF193" i="31" l="1"/>
  <c r="AL194" i="31"/>
  <c r="Y193" i="31"/>
  <c r="AO193" i="31"/>
  <c r="AP193" i="31" s="1"/>
  <c r="R193" i="31"/>
  <c r="K193" i="31"/>
  <c r="D193" i="31"/>
  <c r="AK194" i="31" l="1"/>
  <c r="AM194" i="31"/>
  <c r="AD194" i="31"/>
  <c r="W194" i="31"/>
  <c r="I194" i="31"/>
  <c r="P194" i="31"/>
  <c r="O195" i="31" l="1"/>
  <c r="H195" i="31"/>
  <c r="V195" i="31"/>
  <c r="AC195" i="31" l="1"/>
  <c r="AN194" i="31"/>
  <c r="AJ195" i="31"/>
  <c r="AF194" i="31" l="1"/>
  <c r="AL195" i="31"/>
  <c r="AO194" i="31"/>
  <c r="AP194" i="31" s="1"/>
  <c r="R194" i="31"/>
  <c r="K194" i="31"/>
  <c r="D194" i="31"/>
  <c r="Y194" i="31"/>
  <c r="AK195" i="31" l="1"/>
  <c r="AM195" i="31"/>
  <c r="AD195" i="31"/>
  <c r="W195" i="31"/>
  <c r="I195" i="31"/>
  <c r="P195" i="31"/>
  <c r="O196" i="31" l="1"/>
  <c r="H196" i="31"/>
  <c r="V196" i="31"/>
  <c r="AN195" i="31" l="1"/>
  <c r="AC196" i="31"/>
  <c r="AJ196" i="31"/>
  <c r="AF195" i="31" l="1"/>
  <c r="AL196" i="31"/>
  <c r="Y195" i="31"/>
  <c r="D195" i="31"/>
  <c r="AO195" i="31"/>
  <c r="AP195" i="31" s="1"/>
  <c r="K195" i="31"/>
  <c r="R195" i="31"/>
  <c r="AK196" i="31" l="1"/>
  <c r="AM196" i="31"/>
  <c r="AD196" i="31"/>
  <c r="W196" i="31"/>
  <c r="I196" i="31"/>
  <c r="P196" i="31"/>
  <c r="O197" i="31" l="1"/>
  <c r="H197" i="31"/>
  <c r="V197" i="31"/>
  <c r="AN196" i="31" l="1"/>
  <c r="AC197" i="31"/>
  <c r="AJ197" i="31"/>
  <c r="AL197" i="31" l="1"/>
  <c r="AK197" i="31"/>
  <c r="AM197" i="31"/>
  <c r="AD197" i="31"/>
  <c r="Y196" i="31"/>
  <c r="AF196" i="31"/>
  <c r="D196" i="31"/>
  <c r="R196" i="31"/>
  <c r="K196" i="31"/>
  <c r="AO196" i="31"/>
  <c r="AP196" i="31" s="1"/>
  <c r="W197" i="31"/>
  <c r="I197" i="31"/>
  <c r="P197" i="31"/>
  <c r="AN197" i="31" l="1"/>
  <c r="O198" i="31"/>
  <c r="H198" i="31"/>
  <c r="V198" i="31"/>
  <c r="AO197" i="31" l="1"/>
  <c r="AP197" i="31" s="1"/>
  <c r="R197" i="31"/>
  <c r="K197" i="31"/>
  <c r="D197" i="31"/>
  <c r="AC198" i="31"/>
  <c r="AL198" i="31" s="1"/>
  <c r="AM198" i="31" s="1"/>
  <c r="Y197" i="31"/>
  <c r="AJ198" i="31"/>
  <c r="AF197" i="31"/>
  <c r="AK198" i="31" l="1"/>
  <c r="AD198" i="31"/>
  <c r="W198" i="31"/>
  <c r="I198" i="31"/>
  <c r="P198" i="31"/>
  <c r="AN198" i="31" l="1"/>
  <c r="O199" i="31"/>
  <c r="H199" i="31"/>
  <c r="V199" i="31"/>
  <c r="K198" i="31" l="1"/>
  <c r="AL199" i="31"/>
  <c r="AC199" i="31"/>
  <c r="Y198" i="31"/>
  <c r="D198" i="31"/>
  <c r="AM199" i="31"/>
  <c r="AO198" i="31"/>
  <c r="AP198" i="31" s="1"/>
  <c r="R198" i="31"/>
  <c r="AJ199" i="31"/>
  <c r="AF198" i="31"/>
  <c r="AK199" i="31" l="1"/>
  <c r="AD199" i="31"/>
  <c r="W199" i="31"/>
  <c r="I199" i="31"/>
  <c r="P199" i="31"/>
  <c r="O200" i="31" l="1"/>
  <c r="H200" i="31"/>
  <c r="AC200" i="31"/>
  <c r="V200" i="31"/>
  <c r="AN199" i="31" l="1"/>
  <c r="AJ200" i="31"/>
  <c r="AF199" i="31" l="1"/>
  <c r="AL200" i="31"/>
  <c r="Y199" i="31"/>
  <c r="AO199" i="31"/>
  <c r="AP199" i="31" s="1"/>
  <c r="R199" i="31"/>
  <c r="K199" i="31"/>
  <c r="D199" i="31"/>
  <c r="AK200" i="31" l="1"/>
  <c r="AM200" i="31"/>
  <c r="AD200" i="31"/>
  <c r="W200" i="31"/>
  <c r="I200" i="31"/>
  <c r="P200" i="31"/>
  <c r="O201" i="31" l="1"/>
  <c r="H201" i="31"/>
  <c r="V201" i="31"/>
  <c r="AC201" i="31" l="1"/>
  <c r="AN200" i="31"/>
  <c r="AJ201" i="31"/>
  <c r="AF200" i="31" l="1"/>
  <c r="AL201" i="31"/>
  <c r="AO200" i="31"/>
  <c r="AP200" i="31" s="1"/>
  <c r="R200" i="31"/>
  <c r="K200" i="31"/>
  <c r="D200" i="31"/>
  <c r="Y200" i="31"/>
  <c r="AK201" i="31" l="1"/>
  <c r="AM201" i="31"/>
  <c r="AD201" i="31"/>
  <c r="W201" i="31"/>
  <c r="I201" i="31"/>
  <c r="P201" i="31"/>
  <c r="O202" i="31" l="1"/>
  <c r="H202" i="31"/>
  <c r="V202" i="31"/>
  <c r="AC202" i="31" l="1"/>
  <c r="AN201" i="31"/>
  <c r="AJ202" i="31"/>
  <c r="AF201" i="31" l="1"/>
  <c r="AL202" i="31"/>
  <c r="AO201" i="31"/>
  <c r="AP201" i="31" s="1"/>
  <c r="R201" i="31"/>
  <c r="K201" i="31"/>
  <c r="D201" i="31"/>
  <c r="Y201" i="31"/>
  <c r="AK202" i="31" l="1"/>
  <c r="AM202" i="31"/>
  <c r="AD202" i="31"/>
  <c r="W202" i="31"/>
  <c r="I202" i="31"/>
  <c r="P202" i="31"/>
  <c r="O203" i="31" l="1"/>
  <c r="H203" i="31"/>
  <c r="V203" i="31"/>
  <c r="AN202" i="31" l="1"/>
  <c r="AC203" i="31"/>
  <c r="AJ203" i="31"/>
  <c r="AF202" i="31" l="1"/>
  <c r="AL203" i="31"/>
  <c r="Y202" i="31"/>
  <c r="AO202" i="31"/>
  <c r="AP202" i="31" s="1"/>
  <c r="K202" i="31"/>
  <c r="R202" i="31"/>
  <c r="D202" i="31"/>
  <c r="AK203" i="31" l="1"/>
  <c r="AM203" i="31"/>
  <c r="AD203" i="31"/>
  <c r="W203" i="31"/>
  <c r="I203" i="31"/>
  <c r="P203" i="31"/>
  <c r="O204" i="31" l="1"/>
  <c r="H204" i="31"/>
  <c r="AC204" i="31"/>
  <c r="V204" i="31"/>
  <c r="AN203" i="31" l="1"/>
  <c r="AJ204" i="31"/>
  <c r="AF203" i="31" l="1"/>
  <c r="AL204" i="31"/>
  <c r="Y203" i="31"/>
  <c r="AO203" i="31"/>
  <c r="AP203" i="31" s="1"/>
  <c r="R203" i="31"/>
  <c r="K203" i="31"/>
  <c r="D203" i="31"/>
  <c r="AK204" i="31" l="1"/>
  <c r="AM204" i="31"/>
  <c r="AD204" i="31"/>
  <c r="W204" i="31"/>
  <c r="I204" i="31"/>
  <c r="P204" i="31"/>
  <c r="O205" i="31" l="1"/>
  <c r="H205" i="31"/>
  <c r="V205" i="31"/>
  <c r="AC205" i="31" l="1"/>
  <c r="AN204" i="31"/>
  <c r="AJ205" i="31"/>
  <c r="AF204" i="31" l="1"/>
  <c r="AL205" i="31"/>
  <c r="AO204" i="31"/>
  <c r="AP204" i="31" s="1"/>
  <c r="R204" i="31"/>
  <c r="K204" i="31"/>
  <c r="D204" i="31"/>
  <c r="Y204" i="31"/>
  <c r="AK205" i="31" l="1"/>
  <c r="AM205" i="31"/>
  <c r="AD205" i="31"/>
  <c r="W205" i="31"/>
  <c r="P205" i="31"/>
  <c r="I205" i="31"/>
  <c r="AC206" i="31" l="1"/>
  <c r="H206" i="31"/>
  <c r="O206" i="31"/>
  <c r="V206" i="31"/>
  <c r="AJ206" i="31" l="1"/>
  <c r="AN205" i="31"/>
  <c r="AL206" i="31" s="1"/>
  <c r="Y205" i="31" l="1"/>
  <c r="AO205" i="31"/>
  <c r="AP205" i="31" s="1"/>
  <c r="R205" i="31"/>
  <c r="D205" i="31"/>
  <c r="K205" i="31"/>
  <c r="AF205" i="31"/>
  <c r="AK206" i="31" l="1"/>
  <c r="AM206" i="31"/>
  <c r="AD206" i="31"/>
  <c r="W206" i="31"/>
  <c r="P206" i="31"/>
  <c r="I206" i="31"/>
  <c r="H207" i="31" l="1"/>
  <c r="AN206" i="31"/>
  <c r="O207" i="31"/>
  <c r="V207" i="31"/>
  <c r="AO206" i="31" l="1"/>
  <c r="AP206" i="31" s="1"/>
  <c r="R206" i="31"/>
  <c r="D206" i="31"/>
  <c r="K206" i="31"/>
  <c r="AJ207" i="31"/>
  <c r="AF206" i="31"/>
  <c r="AC207" i="31"/>
  <c r="AL207" i="31" s="1"/>
  <c r="AM207" i="31" s="1"/>
  <c r="Y206" i="31"/>
  <c r="AK207" i="31" l="1"/>
  <c r="AD207" i="31"/>
  <c r="W207" i="31"/>
  <c r="I207" i="31"/>
  <c r="P207" i="31"/>
  <c r="H208" i="31" l="1"/>
  <c r="AN207" i="31"/>
  <c r="O208" i="31"/>
  <c r="V208" i="31"/>
  <c r="AL208" i="31" l="1"/>
  <c r="AM208" i="31" s="1"/>
  <c r="AO207" i="31"/>
  <c r="AP207" i="31" s="1"/>
  <c r="R207" i="31"/>
  <c r="D207" i="31"/>
  <c r="K207" i="31"/>
  <c r="AJ208" i="31"/>
  <c r="AF207" i="31"/>
  <c r="AC208" i="31"/>
  <c r="Y207" i="31"/>
  <c r="AK208" i="31" l="1"/>
  <c r="AD208" i="31"/>
  <c r="W208" i="31"/>
  <c r="I208" i="31"/>
  <c r="P208" i="31"/>
  <c r="O209" i="31" l="1"/>
  <c r="H209" i="31"/>
  <c r="V209" i="31"/>
  <c r="AN208" i="31" l="1"/>
  <c r="AC209" i="31"/>
  <c r="AJ209" i="31"/>
  <c r="AF208" i="31" l="1"/>
  <c r="AL209" i="31"/>
  <c r="Y208" i="31"/>
  <c r="K208" i="31"/>
  <c r="AO208" i="31"/>
  <c r="AP208" i="31" s="1"/>
  <c r="D208" i="31"/>
  <c r="R208" i="31"/>
  <c r="AK209" i="31" l="1"/>
  <c r="AM209" i="31"/>
  <c r="AD209" i="31"/>
  <c r="W209" i="31"/>
  <c r="I209" i="31"/>
  <c r="P209" i="31"/>
  <c r="AN209" i="31" l="1"/>
  <c r="O210" i="31"/>
  <c r="H210" i="31"/>
  <c r="V210" i="31"/>
  <c r="AL210" i="31" l="1"/>
  <c r="AM210" i="31" s="1"/>
  <c r="AO209" i="31"/>
  <c r="AP209" i="31" s="1"/>
  <c r="R209" i="31"/>
  <c r="K209" i="31"/>
  <c r="D209" i="31"/>
  <c r="AC210" i="31"/>
  <c r="Y209" i="31"/>
  <c r="AJ210" i="31"/>
  <c r="AF209" i="31"/>
  <c r="AK210" i="31" l="1"/>
  <c r="AD210" i="31"/>
  <c r="W210" i="31"/>
  <c r="P210" i="31"/>
  <c r="I210" i="31"/>
  <c r="H211" i="31" l="1"/>
  <c r="AN210" i="31"/>
  <c r="O211" i="31"/>
  <c r="V211" i="31"/>
  <c r="AO210" i="31" l="1"/>
  <c r="AP210" i="31" s="1"/>
  <c r="R210" i="31"/>
  <c r="D210" i="31"/>
  <c r="K210" i="31"/>
  <c r="AJ211" i="31"/>
  <c r="AF210" i="31"/>
  <c r="AC211" i="31"/>
  <c r="AL211" i="31" s="1"/>
  <c r="AM211" i="31" s="1"/>
  <c r="Y210" i="31"/>
  <c r="AK211" i="31" l="1"/>
  <c r="AD211" i="31"/>
  <c r="W211" i="31"/>
  <c r="V212" i="31" s="1"/>
  <c r="I211" i="31"/>
  <c r="P211" i="31"/>
  <c r="O212" i="31" l="1"/>
  <c r="H212" i="31"/>
  <c r="AN211" i="31" l="1"/>
  <c r="AC212" i="31"/>
  <c r="AJ212" i="31"/>
  <c r="Y211" i="31" l="1"/>
  <c r="AL212" i="31"/>
  <c r="AF211" i="31"/>
  <c r="R211" i="31"/>
  <c r="AO211" i="31"/>
  <c r="AP211" i="31" s="1"/>
  <c r="D211" i="31"/>
  <c r="K211" i="31"/>
  <c r="AK212" i="31" l="1"/>
  <c r="AM212" i="31"/>
  <c r="AD212" i="31"/>
  <c r="W212" i="31"/>
  <c r="I212" i="31"/>
  <c r="P212" i="31"/>
  <c r="O213" i="31" l="1"/>
  <c r="H213" i="31"/>
  <c r="AC213" i="31"/>
  <c r="V213" i="31"/>
  <c r="AN212" i="31" l="1"/>
  <c r="AJ213" i="31"/>
  <c r="AF212" i="31" l="1"/>
  <c r="AL213" i="31"/>
  <c r="Y212" i="31"/>
  <c r="AO212" i="31"/>
  <c r="AP212" i="31" s="1"/>
  <c r="R212" i="31"/>
  <c r="K212" i="31"/>
  <c r="D212" i="31"/>
  <c r="AK213" i="31" l="1"/>
  <c r="AM213" i="31"/>
  <c r="AD213" i="31"/>
  <c r="W213" i="31"/>
  <c r="I213" i="31"/>
  <c r="P213" i="31"/>
  <c r="AN213" i="31" l="1"/>
  <c r="O214" i="31"/>
  <c r="H214" i="31"/>
  <c r="V214" i="31"/>
  <c r="AO213" i="31" l="1"/>
  <c r="AP213" i="31" s="1"/>
  <c r="R213" i="31"/>
  <c r="K213" i="31"/>
  <c r="D213" i="31"/>
  <c r="AC214" i="31"/>
  <c r="AL214" i="31" s="1"/>
  <c r="AM214" i="31" s="1"/>
  <c r="Y213" i="31"/>
  <c r="AJ214" i="31"/>
  <c r="AF213" i="31"/>
  <c r="AK214" i="31" l="1"/>
  <c r="AD214" i="31"/>
  <c r="W214" i="31"/>
  <c r="P214" i="31"/>
  <c r="I214" i="31"/>
  <c r="H215" i="31" l="1"/>
  <c r="AJ215" i="31"/>
  <c r="O215" i="31"/>
  <c r="V215" i="31"/>
  <c r="AN214" i="31" l="1"/>
  <c r="AC215" i="31"/>
  <c r="Y214" i="31" l="1"/>
  <c r="AL215" i="31"/>
  <c r="AF214" i="31"/>
  <c r="AO214" i="31"/>
  <c r="AP214" i="31" s="1"/>
  <c r="R214" i="31"/>
  <c r="D214" i="31"/>
  <c r="K214" i="31"/>
  <c r="AK215" i="31" l="1"/>
  <c r="AM215" i="31"/>
  <c r="AD215" i="31"/>
  <c r="W215" i="31"/>
  <c r="P215" i="31"/>
  <c r="I215" i="31"/>
  <c r="H216" i="31" l="1"/>
  <c r="O216" i="31"/>
  <c r="V216" i="31"/>
  <c r="AJ216" i="31" l="1"/>
  <c r="AN215" i="31"/>
  <c r="AC216" i="31"/>
  <c r="Y215" i="31" l="1"/>
  <c r="AL216" i="31"/>
  <c r="AO215" i="31"/>
  <c r="AP215" i="31" s="1"/>
  <c r="K215" i="31"/>
  <c r="D215" i="31"/>
  <c r="R215" i="31"/>
  <c r="AF215" i="31"/>
  <c r="AK216" i="31" l="1"/>
  <c r="AD216" i="31"/>
  <c r="W216" i="31"/>
  <c r="I216" i="31"/>
  <c r="AM216" i="31" s="1"/>
  <c r="P216" i="31"/>
  <c r="O217" i="31" l="1"/>
  <c r="H217" i="31"/>
  <c r="V217" i="31"/>
  <c r="AC217" i="31" l="1"/>
  <c r="AN216" i="31"/>
  <c r="AJ217" i="31"/>
  <c r="AF216" i="31" l="1"/>
  <c r="AL217" i="31"/>
  <c r="AO216" i="31"/>
  <c r="AP216" i="31" s="1"/>
  <c r="R216" i="31"/>
  <c r="K216" i="31"/>
  <c r="D216" i="31"/>
  <c r="Y216" i="31"/>
  <c r="AK217" i="31" l="1"/>
  <c r="AM217" i="31"/>
  <c r="AD217" i="31"/>
  <c r="W217" i="31"/>
  <c r="P217" i="31"/>
  <c r="I217" i="31"/>
  <c r="H218" i="31" l="1"/>
  <c r="AJ218" i="31"/>
  <c r="O218" i="31"/>
  <c r="V218" i="31"/>
  <c r="AN217" i="31" l="1"/>
  <c r="AC218" i="31"/>
  <c r="AF217" i="31" l="1"/>
  <c r="AL218" i="31"/>
  <c r="D217" i="31"/>
  <c r="Y217" i="31"/>
  <c r="R217" i="31"/>
  <c r="K217" i="31"/>
  <c r="AO217" i="31"/>
  <c r="AP217" i="31" s="1"/>
  <c r="W218" i="31"/>
  <c r="AK218" i="31" l="1"/>
  <c r="AM218" i="31"/>
  <c r="I218" i="31"/>
  <c r="H219" i="31" s="1"/>
  <c r="AD218" i="31"/>
  <c r="P218" i="31"/>
  <c r="V219" i="31"/>
  <c r="AN218" i="31" l="1"/>
  <c r="R218" i="31" s="1"/>
  <c r="O219" i="31"/>
  <c r="AC219" i="31"/>
  <c r="AJ219" i="31"/>
  <c r="AF218" i="31" l="1"/>
  <c r="D218" i="31"/>
  <c r="AL219" i="31"/>
  <c r="W219" i="31" s="1"/>
  <c r="Y218" i="31"/>
  <c r="K218" i="31"/>
  <c r="AO218" i="31"/>
  <c r="AP218" i="31" s="1"/>
  <c r="AD219" i="31"/>
  <c r="P219" i="31"/>
  <c r="AK219" i="31" l="1"/>
  <c r="AM219" i="31"/>
  <c r="I219" i="31"/>
  <c r="H220" i="31" s="1"/>
  <c r="O220" i="31"/>
  <c r="V220" i="31"/>
  <c r="AJ220" i="31" l="1"/>
  <c r="AN219" i="31"/>
  <c r="AC220" i="31"/>
  <c r="Y219" i="31" l="1"/>
  <c r="AL220" i="31"/>
  <c r="AO219" i="31"/>
  <c r="AP219" i="31" s="1"/>
  <c r="R219" i="31"/>
  <c r="D219" i="31"/>
  <c r="K219" i="31"/>
  <c r="AF219" i="31"/>
  <c r="AK220" i="31" l="1"/>
  <c r="AM220" i="31"/>
  <c r="AD220" i="31"/>
  <c r="W220" i="31"/>
  <c r="P220" i="31"/>
  <c r="I220" i="31"/>
  <c r="H221" i="31" l="1"/>
  <c r="O221" i="31"/>
  <c r="V221" i="31"/>
  <c r="AJ221" i="31" l="1"/>
  <c r="AN220" i="31"/>
  <c r="AC221" i="31"/>
  <c r="Y220" i="31" l="1"/>
  <c r="AL221" i="31"/>
  <c r="AO220" i="31"/>
  <c r="AP220" i="31" s="1"/>
  <c r="R220" i="31"/>
  <c r="D220" i="31"/>
  <c r="K220" i="31"/>
  <c r="AF220" i="31"/>
  <c r="AK221" i="31" l="1"/>
  <c r="AM221" i="31"/>
  <c r="AD221" i="31"/>
  <c r="W221" i="31"/>
  <c r="P221" i="31"/>
  <c r="I221" i="31"/>
  <c r="H222" i="31" l="1"/>
  <c r="O222" i="31"/>
  <c r="V222" i="31"/>
  <c r="AJ222" i="31" l="1"/>
  <c r="AN221" i="31"/>
  <c r="AC222" i="31"/>
  <c r="Y221" i="31" l="1"/>
  <c r="AL222" i="31"/>
  <c r="AO221" i="31"/>
  <c r="AP221" i="31" s="1"/>
  <c r="R221" i="31"/>
  <c r="D221" i="31"/>
  <c r="K221" i="31"/>
  <c r="AF221" i="31"/>
  <c r="AK222" i="31" l="1"/>
  <c r="AM222" i="31"/>
  <c r="AD222" i="31"/>
  <c r="W222" i="31"/>
  <c r="I222" i="31"/>
  <c r="P222" i="31"/>
  <c r="O223" i="31" l="1"/>
  <c r="H223" i="31"/>
  <c r="V223" i="31"/>
  <c r="AN222" i="31" l="1"/>
  <c r="AC223" i="31"/>
  <c r="AJ223" i="31"/>
  <c r="Y222" i="31" l="1"/>
  <c r="AL223" i="31"/>
  <c r="AF222" i="31"/>
  <c r="D222" i="31"/>
  <c r="AO222" i="31"/>
  <c r="AP222" i="31" s="1"/>
  <c r="K222" i="31"/>
  <c r="R222" i="31"/>
  <c r="AK223" i="31" l="1"/>
  <c r="AM223" i="31"/>
  <c r="AD223" i="31"/>
  <c r="W223" i="31"/>
  <c r="P223" i="31"/>
  <c r="I223" i="31"/>
  <c r="H224" i="31" l="1"/>
  <c r="O224" i="31"/>
  <c r="V224" i="31"/>
  <c r="AJ224" i="31" l="1"/>
  <c r="AN223" i="31"/>
  <c r="AL224" i="31" s="1"/>
  <c r="AC224" i="31"/>
  <c r="K223" i="31" l="1"/>
  <c r="AO223" i="31"/>
  <c r="AP223" i="31" s="1"/>
  <c r="D223" i="31"/>
  <c r="R223" i="31"/>
  <c r="Y223" i="31"/>
  <c r="AF223" i="31"/>
  <c r="AK224" i="31" l="1"/>
  <c r="AM224" i="31"/>
  <c r="AD224" i="31"/>
  <c r="W224" i="31"/>
  <c r="I224" i="31"/>
  <c r="P224" i="31"/>
  <c r="O225" i="31" l="1"/>
  <c r="H225" i="31"/>
  <c r="V225" i="31"/>
  <c r="AN224" i="31" l="1"/>
  <c r="AC225" i="31"/>
  <c r="AJ225" i="31"/>
  <c r="Y224" i="31" l="1"/>
  <c r="AL225" i="31"/>
  <c r="AF224" i="31"/>
  <c r="AO224" i="31"/>
  <c r="AP224" i="31" s="1"/>
  <c r="K224" i="31"/>
  <c r="R224" i="31"/>
  <c r="D224" i="31"/>
  <c r="AK225" i="31" l="1"/>
  <c r="AM225" i="31"/>
  <c r="AD225" i="31"/>
  <c r="W225" i="31"/>
  <c r="P225" i="31"/>
  <c r="I225" i="31"/>
  <c r="H226" i="31" l="1"/>
  <c r="O226" i="31"/>
  <c r="V226" i="31"/>
  <c r="AJ226" i="31" l="1"/>
  <c r="AN225" i="31"/>
  <c r="AC226" i="31"/>
  <c r="Y225" i="31" l="1"/>
  <c r="AL226" i="31"/>
  <c r="D225" i="31"/>
  <c r="AO225" i="31"/>
  <c r="AP225" i="31" s="1"/>
  <c r="K225" i="31"/>
  <c r="R225" i="31"/>
  <c r="AF225" i="31"/>
  <c r="AK226" i="31" l="1"/>
  <c r="AM226" i="31"/>
  <c r="AD226" i="31"/>
  <c r="W226" i="31"/>
  <c r="P226" i="31"/>
  <c r="I226" i="31"/>
  <c r="H227" i="31" l="1"/>
  <c r="O227" i="31"/>
  <c r="V227" i="31"/>
  <c r="AN226" i="31" l="1"/>
  <c r="AJ227" i="31"/>
  <c r="AC227" i="31"/>
  <c r="AO226" i="31" l="1"/>
  <c r="AP226" i="31" s="1"/>
  <c r="AL227" i="31"/>
  <c r="AF226" i="31"/>
  <c r="K226" i="31"/>
  <c r="D226" i="31"/>
  <c r="R226" i="31"/>
  <c r="Y226" i="31"/>
  <c r="I227" i="31"/>
  <c r="AK227" i="31" l="1"/>
  <c r="AM227" i="31"/>
  <c r="AD227" i="31"/>
  <c r="W227" i="31"/>
  <c r="V228" i="31" s="1"/>
  <c r="P227" i="31"/>
  <c r="H228" i="31"/>
  <c r="O228" i="31" l="1"/>
  <c r="AN227" i="31"/>
  <c r="AJ228" i="31"/>
  <c r="AC228" i="31"/>
  <c r="AO227" i="31" l="1"/>
  <c r="AP227" i="31" s="1"/>
  <c r="AL228" i="31"/>
  <c r="D227" i="31"/>
  <c r="AF227" i="31"/>
  <c r="K227" i="31"/>
  <c r="R227" i="31"/>
  <c r="Y227" i="31"/>
  <c r="AK228" i="31" l="1"/>
  <c r="AM228" i="31"/>
  <c r="W228" i="31"/>
  <c r="V229" i="31" s="1"/>
  <c r="I228" i="31"/>
  <c r="H229" i="31" s="1"/>
  <c r="AD228" i="31"/>
  <c r="AC229" i="31" s="1"/>
  <c r="P228" i="31"/>
  <c r="O229" i="31" l="1"/>
  <c r="AN228" i="31"/>
  <c r="AJ229" i="31"/>
  <c r="AF228" i="31" l="1"/>
  <c r="AL229" i="31"/>
  <c r="Y228" i="31"/>
  <c r="AO228" i="31"/>
  <c r="AP228" i="31" s="1"/>
  <c r="R228" i="31"/>
  <c r="K228" i="31"/>
  <c r="D228" i="31"/>
  <c r="AK229" i="31" l="1"/>
  <c r="AM229" i="31"/>
  <c r="AD229" i="31"/>
  <c r="W229" i="31"/>
  <c r="P229" i="31"/>
  <c r="I229" i="31"/>
  <c r="H230" i="31" l="1"/>
  <c r="O230" i="31"/>
  <c r="V230" i="31"/>
  <c r="AN229" i="31" l="1"/>
  <c r="AL230" i="31" s="1"/>
  <c r="AJ230" i="31"/>
  <c r="AC230" i="31"/>
  <c r="AK230" i="31" l="1"/>
  <c r="AM230" i="31"/>
  <c r="AD230" i="31"/>
  <c r="AF229" i="31"/>
  <c r="K229" i="31"/>
  <c r="R229" i="31"/>
  <c r="Y229" i="31"/>
  <c r="D229" i="31"/>
  <c r="AO229" i="31"/>
  <c r="AP229" i="31" s="1"/>
  <c r="W230" i="31"/>
  <c r="P230" i="31"/>
  <c r="I230" i="31"/>
  <c r="H231" i="31" l="1"/>
  <c r="AC231" i="31"/>
  <c r="O231" i="31"/>
  <c r="V231" i="31"/>
  <c r="AJ231" i="31" l="1"/>
  <c r="AN230" i="31"/>
  <c r="AL231" i="31" l="1"/>
  <c r="Y230" i="31"/>
  <c r="AO230" i="31"/>
  <c r="AP230" i="31" s="1"/>
  <c r="R230" i="31"/>
  <c r="D230" i="31"/>
  <c r="K230" i="31"/>
  <c r="AF230" i="31"/>
  <c r="AK231" i="31" l="1"/>
  <c r="AM231" i="31"/>
  <c r="AD231" i="31"/>
  <c r="W231" i="31"/>
  <c r="I231" i="31"/>
  <c r="P231" i="31"/>
  <c r="O232" i="31" l="1"/>
  <c r="H232" i="31"/>
  <c r="V232" i="31"/>
  <c r="AN231" i="31" l="1"/>
  <c r="AC232" i="31"/>
  <c r="AJ232" i="31"/>
  <c r="AL232" i="31" l="1"/>
  <c r="AK232" i="31" s="1"/>
  <c r="AM232" i="31"/>
  <c r="AD232" i="31"/>
  <c r="Y231" i="31"/>
  <c r="D231" i="31"/>
  <c r="K231" i="31"/>
  <c r="R231" i="31"/>
  <c r="AO231" i="31"/>
  <c r="AP231" i="31" s="1"/>
  <c r="AF231" i="31"/>
  <c r="W232" i="31"/>
  <c r="P232" i="31"/>
  <c r="I232" i="31"/>
  <c r="H233" i="31" l="1"/>
  <c r="O233" i="31"/>
  <c r="V233" i="31"/>
  <c r="AJ233" i="31" l="1"/>
  <c r="AC233" i="31"/>
  <c r="AN232" i="31"/>
  <c r="AL233" i="31" s="1"/>
  <c r="AO232" i="31" l="1"/>
  <c r="AP232" i="31" s="1"/>
  <c r="R232" i="31"/>
  <c r="D232" i="31"/>
  <c r="K232" i="31"/>
  <c r="Y232" i="31"/>
  <c r="AF232" i="31"/>
  <c r="AK233" i="31" l="1"/>
  <c r="AM233" i="31"/>
  <c r="AD233" i="31"/>
  <c r="W233" i="31"/>
  <c r="I233" i="31"/>
  <c r="P233" i="31"/>
  <c r="AN233" i="31" l="1"/>
  <c r="O234" i="31"/>
  <c r="H234" i="31"/>
  <c r="V234" i="31"/>
  <c r="AO233" i="31" l="1"/>
  <c r="AP233" i="31" s="1"/>
  <c r="R233" i="31"/>
  <c r="K233" i="31"/>
  <c r="D233" i="31"/>
  <c r="AC234" i="31"/>
  <c r="AL234" i="31" s="1"/>
  <c r="AM234" i="31" s="1"/>
  <c r="Y233" i="31"/>
  <c r="AJ234" i="31"/>
  <c r="AF233" i="31"/>
  <c r="AK234" i="31" l="1"/>
  <c r="AD234" i="31"/>
  <c r="W234" i="31"/>
  <c r="I234" i="31"/>
  <c r="P234" i="31"/>
  <c r="H235" i="31" l="1"/>
  <c r="AN234" i="31"/>
  <c r="O235" i="31"/>
  <c r="V235" i="31"/>
  <c r="AO234" i="31" l="1"/>
  <c r="AP234" i="31" s="1"/>
  <c r="R234" i="31"/>
  <c r="D234" i="31"/>
  <c r="K234" i="31"/>
  <c r="AJ235" i="31"/>
  <c r="AF234" i="31"/>
  <c r="AC235" i="31"/>
  <c r="AL235" i="31" s="1"/>
  <c r="Y234" i="31"/>
  <c r="AK235" i="31" l="1"/>
  <c r="AD235" i="31"/>
  <c r="W235" i="31"/>
  <c r="I235" i="31"/>
  <c r="AM235" i="31" s="1"/>
  <c r="P235" i="31"/>
  <c r="AJ236" i="31" l="1"/>
  <c r="O236" i="31"/>
  <c r="H236" i="31"/>
  <c r="V236" i="31"/>
  <c r="AN235" i="31" l="1"/>
  <c r="AC236" i="31"/>
  <c r="AF235" i="31" l="1"/>
  <c r="AL236" i="31"/>
  <c r="D235" i="31"/>
  <c r="K235" i="31"/>
  <c r="R235" i="31"/>
  <c r="Y235" i="31"/>
  <c r="AO235" i="31"/>
  <c r="AP235" i="31" s="1"/>
  <c r="AK236" i="31" l="1"/>
  <c r="AM236" i="31"/>
  <c r="W236" i="31"/>
  <c r="V237" i="31" s="1"/>
  <c r="I236" i="31"/>
  <c r="H237" i="31" s="1"/>
  <c r="P236" i="31"/>
  <c r="AD236" i="31"/>
  <c r="O237" i="31" l="1"/>
  <c r="AN236" i="31"/>
  <c r="AC237" i="31"/>
  <c r="AJ237" i="31"/>
  <c r="Y236" i="31" l="1"/>
  <c r="AL237" i="31"/>
  <c r="AF236" i="31"/>
  <c r="D236" i="31"/>
  <c r="AO236" i="31"/>
  <c r="AP236" i="31" s="1"/>
  <c r="K236" i="31"/>
  <c r="R236" i="31"/>
  <c r="AK237" i="31" l="1"/>
  <c r="AM237" i="31"/>
  <c r="AD237" i="31"/>
  <c r="W237" i="31"/>
  <c r="I237" i="31"/>
  <c r="P237" i="31"/>
  <c r="AJ238" i="31" l="1"/>
  <c r="O238" i="31"/>
  <c r="H238" i="31"/>
  <c r="V238" i="31"/>
  <c r="AN237" i="31" l="1"/>
  <c r="AC238" i="31"/>
  <c r="AF237" i="31" l="1"/>
  <c r="AL238" i="31"/>
  <c r="Y237" i="31"/>
  <c r="D237" i="31"/>
  <c r="K237" i="31"/>
  <c r="R237" i="31"/>
  <c r="AO237" i="31"/>
  <c r="AP237" i="31" s="1"/>
  <c r="I238" i="31"/>
  <c r="AK238" i="31" l="1"/>
  <c r="AM238" i="31"/>
  <c r="W238" i="31"/>
  <c r="AD238" i="31"/>
  <c r="P238" i="31"/>
  <c r="AN238" i="31" s="1"/>
  <c r="H239" i="31"/>
  <c r="V239" i="31"/>
  <c r="O239" i="31" l="1"/>
  <c r="AO238" i="31"/>
  <c r="AP238" i="31" s="1"/>
  <c r="R238" i="31"/>
  <c r="K238" i="31"/>
  <c r="D238" i="31"/>
  <c r="AC239" i="31"/>
  <c r="Y238" i="31"/>
  <c r="AJ239" i="31"/>
  <c r="AF238" i="31"/>
  <c r="AL239" i="31" l="1"/>
  <c r="AM239" i="31" s="1"/>
  <c r="AK239" i="31"/>
  <c r="AD239" i="31"/>
  <c r="W239" i="31"/>
  <c r="P239" i="31"/>
  <c r="I239" i="31"/>
  <c r="H240" i="31" l="1"/>
  <c r="AN239" i="31"/>
  <c r="O240" i="31"/>
  <c r="V240" i="31"/>
  <c r="AO239" i="31" l="1"/>
  <c r="AP239" i="31" s="1"/>
  <c r="R239" i="31"/>
  <c r="D239" i="31"/>
  <c r="K239" i="31"/>
  <c r="AJ240" i="31"/>
  <c r="AF239" i="31"/>
  <c r="AC240" i="31"/>
  <c r="AL240" i="31" s="1"/>
  <c r="AM240" i="31" s="1"/>
  <c r="Y239" i="31"/>
  <c r="AK240" i="31" l="1"/>
  <c r="AD240" i="31"/>
  <c r="W240" i="31"/>
  <c r="P240" i="31"/>
  <c r="I240" i="31"/>
  <c r="H241" i="31" l="1"/>
  <c r="O241" i="31"/>
  <c r="V241" i="31"/>
  <c r="AJ241" i="31" l="1"/>
  <c r="AN240" i="31"/>
  <c r="AC241" i="31"/>
  <c r="Y240" i="31" l="1"/>
  <c r="AL241" i="31"/>
  <c r="AO240" i="31"/>
  <c r="AP240" i="31" s="1"/>
  <c r="R240" i="31"/>
  <c r="D240" i="31"/>
  <c r="K240" i="31"/>
  <c r="AF240" i="31"/>
  <c r="AK241" i="31" l="1"/>
  <c r="AM241" i="31"/>
  <c r="AD241" i="31"/>
  <c r="W241" i="31"/>
  <c r="V242" i="31" s="1"/>
  <c r="P241" i="31"/>
  <c r="I241" i="31"/>
  <c r="H242" i="31" l="1"/>
  <c r="O242" i="31"/>
  <c r="AJ242" i="31" l="1"/>
  <c r="AN241" i="31"/>
  <c r="AC242" i="31"/>
  <c r="Y241" i="31" l="1"/>
  <c r="AL242" i="31"/>
  <c r="R241" i="31"/>
  <c r="AO241" i="31"/>
  <c r="AP241" i="31" s="1"/>
  <c r="D241" i="31"/>
  <c r="K241" i="31"/>
  <c r="AF241" i="31"/>
  <c r="AK242" i="31" l="1"/>
  <c r="AM242" i="31"/>
  <c r="AD242" i="31"/>
  <c r="W242" i="31"/>
  <c r="I242" i="31"/>
  <c r="P242" i="31"/>
  <c r="AN242" i="31" l="1"/>
  <c r="O243" i="31"/>
  <c r="H243" i="31"/>
  <c r="V243" i="31"/>
  <c r="AO242" i="31" l="1"/>
  <c r="AP242" i="31" s="1"/>
  <c r="R242" i="31"/>
  <c r="K242" i="31"/>
  <c r="D242" i="31"/>
  <c r="AC243" i="31"/>
  <c r="AL243" i="31" s="1"/>
  <c r="Y242" i="31"/>
  <c r="AJ243" i="31"/>
  <c r="AF242" i="31"/>
  <c r="AK243" i="31" l="1"/>
  <c r="AM243" i="31"/>
  <c r="AD243" i="31"/>
  <c r="W243" i="31"/>
  <c r="P243" i="31"/>
  <c r="I243" i="31"/>
  <c r="H244" i="31" l="1"/>
  <c r="AC244" i="31"/>
  <c r="O244" i="31"/>
  <c r="V244" i="31"/>
  <c r="AJ244" i="31" l="1"/>
  <c r="AN243" i="31"/>
  <c r="AL244" i="31" s="1"/>
  <c r="Y243" i="31" l="1"/>
  <c r="AO243" i="31"/>
  <c r="AP243" i="31" s="1"/>
  <c r="R243" i="31"/>
  <c r="D243" i="31"/>
  <c r="K243" i="31"/>
  <c r="AF243" i="31"/>
  <c r="AK244" i="31" l="1"/>
  <c r="AM244" i="31"/>
  <c r="AD244" i="31"/>
  <c r="W244" i="31"/>
  <c r="P244" i="31"/>
  <c r="I244" i="31"/>
  <c r="H245" i="31" l="1"/>
  <c r="O245" i="31"/>
  <c r="V245" i="31"/>
  <c r="AJ245" i="31" l="1"/>
  <c r="AN244" i="31"/>
  <c r="AC245" i="31"/>
  <c r="Y244" i="31" l="1"/>
  <c r="AL245" i="31"/>
  <c r="AO244" i="31"/>
  <c r="AP244" i="31" s="1"/>
  <c r="R244" i="31"/>
  <c r="D244" i="31"/>
  <c r="K244" i="31"/>
  <c r="AF244" i="31"/>
  <c r="AK245" i="31" l="1"/>
  <c r="AD245" i="31"/>
  <c r="W245" i="31"/>
  <c r="I245" i="31"/>
  <c r="P245" i="31"/>
  <c r="AM245" i="31" l="1"/>
  <c r="O246" i="31"/>
  <c r="H246" i="31"/>
  <c r="V246" i="31"/>
  <c r="AC246" i="31" l="1"/>
  <c r="AN245" i="31"/>
  <c r="AL246" i="31" s="1"/>
  <c r="AJ246" i="31"/>
  <c r="AF245" i="31"/>
  <c r="AO245" i="31" l="1"/>
  <c r="AP245" i="31" s="1"/>
  <c r="R245" i="31"/>
  <c r="K245" i="31"/>
  <c r="D245" i="31"/>
  <c r="Y245" i="31"/>
  <c r="AK246" i="31" l="1"/>
  <c r="AM246" i="31"/>
  <c r="AD246" i="31"/>
  <c r="W246" i="31"/>
  <c r="I246" i="31"/>
  <c r="P246" i="31"/>
  <c r="AJ247" i="31" l="1"/>
  <c r="O247" i="31"/>
  <c r="H247" i="31"/>
  <c r="V247" i="31"/>
  <c r="AN246" i="31" l="1"/>
  <c r="AL247" i="31" s="1"/>
  <c r="AC247" i="31"/>
  <c r="AJ248" i="31"/>
  <c r="D246" i="31" l="1"/>
  <c r="K246" i="31"/>
  <c r="AO246" i="31"/>
  <c r="AP246" i="31" s="1"/>
  <c r="AM247" i="31"/>
  <c r="Y246" i="31"/>
  <c r="R246" i="31"/>
  <c r="AF246" i="31"/>
  <c r="AC248" i="31"/>
  <c r="AN247" i="31"/>
  <c r="AL248" i="31" l="1"/>
  <c r="Y247" i="31"/>
  <c r="R247" i="31"/>
  <c r="K247" i="31"/>
  <c r="AO247" i="31"/>
  <c r="AP247" i="31" s="1"/>
  <c r="D247" i="31"/>
  <c r="AK248" i="31"/>
  <c r="AF247" i="31"/>
  <c r="AM248" i="31" l="1"/>
  <c r="AD248" i="31"/>
  <c r="W248" i="31"/>
  <c r="V249" i="31" s="1"/>
  <c r="P248" i="31"/>
  <c r="I248" i="31"/>
  <c r="H249" i="31" l="1"/>
  <c r="O249" i="31"/>
  <c r="AJ249" i="31" l="1"/>
  <c r="AN248" i="31"/>
  <c r="AC249" i="31"/>
  <c r="Y248" i="31" l="1"/>
  <c r="AL249" i="31"/>
  <c r="R248" i="31"/>
  <c r="AO248" i="31"/>
  <c r="AP248" i="31" s="1"/>
  <c r="K248" i="31"/>
  <c r="D248" i="31"/>
  <c r="AF248" i="31"/>
  <c r="AK249" i="31" l="1"/>
  <c r="AD249" i="31"/>
  <c r="W249" i="31"/>
  <c r="I249" i="31"/>
  <c r="AM249" i="31" s="1"/>
  <c r="P249" i="31"/>
  <c r="AN249" i="31" l="1"/>
  <c r="O250" i="31"/>
  <c r="H250" i="31"/>
  <c r="V250" i="31"/>
  <c r="AO249" i="31" l="1"/>
  <c r="AP249" i="31" s="1"/>
  <c r="R249" i="31"/>
  <c r="K249" i="31"/>
  <c r="D249" i="31"/>
  <c r="AC250" i="31"/>
  <c r="Y249" i="31"/>
  <c r="AJ250" i="31"/>
  <c r="AL250" i="31" s="1"/>
  <c r="AF249" i="31"/>
  <c r="AK250" i="31" l="1"/>
  <c r="AD250" i="31"/>
  <c r="W250" i="31"/>
  <c r="P250" i="31"/>
  <c r="I250" i="31"/>
  <c r="AM250" i="31" s="1"/>
  <c r="H251" i="31" l="1"/>
  <c r="O251" i="31"/>
  <c r="V251" i="31"/>
  <c r="AJ251" i="31" l="1"/>
  <c r="AN250" i="31"/>
  <c r="AC251" i="31"/>
  <c r="Y250" i="31" l="1"/>
  <c r="AL251" i="31"/>
  <c r="D250" i="31"/>
  <c r="AO250" i="31"/>
  <c r="AP250" i="31" s="1"/>
  <c r="K250" i="31"/>
  <c r="R250" i="31"/>
  <c r="AF250" i="31"/>
  <c r="AK251" i="31" l="1"/>
  <c r="AD251" i="31"/>
  <c r="W251" i="31"/>
  <c r="P251" i="31"/>
  <c r="I251" i="31"/>
  <c r="AM251" i="31" l="1"/>
  <c r="H252" i="31"/>
  <c r="AN251" i="31"/>
  <c r="O252" i="31"/>
  <c r="V252" i="31"/>
  <c r="AO251" i="31" l="1"/>
  <c r="AP251" i="31" s="1"/>
  <c r="R251" i="31"/>
  <c r="D251" i="31"/>
  <c r="K251" i="31"/>
  <c r="AJ252" i="31"/>
  <c r="AF251" i="31"/>
  <c r="AC252" i="31"/>
  <c r="AL252" i="31" s="1"/>
  <c r="Y251" i="31"/>
  <c r="AK252" i="31" l="1"/>
  <c r="AD252" i="31"/>
  <c r="W252" i="31"/>
  <c r="P252" i="31"/>
  <c r="I252" i="31"/>
  <c r="AM252" i="31" s="1"/>
  <c r="H253" i="31" l="1"/>
  <c r="AN252" i="31"/>
  <c r="O253" i="31"/>
  <c r="V253" i="31"/>
  <c r="AO252" i="31" l="1"/>
  <c r="AP252" i="31" s="1"/>
  <c r="R252" i="31"/>
  <c r="D252" i="31"/>
  <c r="K252" i="31"/>
  <c r="AJ253" i="31"/>
  <c r="AF252" i="31"/>
  <c r="AC253" i="31"/>
  <c r="AL253" i="31" s="1"/>
  <c r="Y252" i="31"/>
  <c r="AK253" i="31" l="1"/>
  <c r="AD253" i="31"/>
  <c r="W253" i="31"/>
  <c r="I253" i="31"/>
  <c r="AM253" i="31" s="1"/>
  <c r="P253" i="31"/>
  <c r="O254" i="31" l="1"/>
  <c r="H254" i="31"/>
  <c r="AC254" i="31"/>
  <c r="V254" i="31"/>
  <c r="AN253" i="31" l="1"/>
  <c r="AJ254" i="31"/>
  <c r="AF253" i="31" l="1"/>
  <c r="AL254" i="31"/>
  <c r="Y253" i="31"/>
  <c r="AO253" i="31"/>
  <c r="AP253" i="31" s="1"/>
  <c r="R253" i="31"/>
  <c r="K253" i="31"/>
  <c r="D253" i="31"/>
  <c r="AK254" i="31" l="1"/>
  <c r="AD254" i="31"/>
  <c r="W254" i="31"/>
  <c r="P254" i="31"/>
  <c r="I254" i="31"/>
  <c r="AM254" i="31" s="1"/>
  <c r="H255" i="31" l="1"/>
  <c r="O255" i="31"/>
  <c r="V255" i="31"/>
  <c r="AJ255" i="31" l="1"/>
  <c r="AN254" i="31"/>
  <c r="AC255" i="31"/>
  <c r="Y254" i="31" l="1"/>
  <c r="AL255" i="31"/>
  <c r="AO254" i="31"/>
  <c r="AP254" i="31" s="1"/>
  <c r="R254" i="31"/>
  <c r="D254" i="31"/>
  <c r="K254" i="31"/>
  <c r="AF254" i="31"/>
  <c r="AK255" i="31" l="1"/>
  <c r="AD255" i="31"/>
  <c r="W255" i="31"/>
  <c r="I255" i="31"/>
  <c r="AM255" i="31" s="1"/>
  <c r="P255" i="31"/>
  <c r="AJ256" i="31" l="1"/>
  <c r="O256" i="31"/>
  <c r="H256" i="31"/>
  <c r="V256" i="31"/>
  <c r="AN255" i="31" l="1"/>
  <c r="AC256" i="31"/>
  <c r="AF255" i="31" l="1"/>
  <c r="AL256" i="31"/>
  <c r="Y255" i="31"/>
  <c r="D255" i="31"/>
  <c r="R255" i="31"/>
  <c r="K255" i="31"/>
  <c r="AO255" i="31"/>
  <c r="AP255" i="31" s="1"/>
  <c r="AK256" i="31" l="1"/>
  <c r="W256" i="31"/>
  <c r="V257" i="31" s="1"/>
  <c r="P256" i="31"/>
  <c r="AD256" i="31"/>
  <c r="I256" i="31"/>
  <c r="AM256" i="31" s="1"/>
  <c r="O257" i="31" l="1"/>
  <c r="AC257" i="31"/>
  <c r="H257" i="31"/>
  <c r="AN256" i="31"/>
  <c r="AJ257" i="31"/>
  <c r="AF256" i="31" l="1"/>
  <c r="AL257" i="31"/>
  <c r="Y256" i="31"/>
  <c r="AO256" i="31"/>
  <c r="AP256" i="31" s="1"/>
  <c r="R256" i="31"/>
  <c r="K256" i="31"/>
  <c r="D256" i="31"/>
  <c r="AK257" i="31" l="1"/>
  <c r="AD257" i="31"/>
  <c r="W257" i="31"/>
  <c r="I257" i="31"/>
  <c r="AM257" i="31" s="1"/>
  <c r="P257" i="31"/>
  <c r="O258" i="31" l="1"/>
  <c r="H258" i="31"/>
  <c r="AC258" i="31"/>
  <c r="V258" i="31"/>
  <c r="AN257" i="31" l="1"/>
  <c r="AJ258" i="31"/>
  <c r="AF257" i="31" l="1"/>
  <c r="AL258" i="31"/>
  <c r="Y257" i="31"/>
  <c r="AO257" i="31"/>
  <c r="AP257" i="31" s="1"/>
  <c r="R257" i="31"/>
  <c r="K257" i="31"/>
  <c r="D257" i="31"/>
  <c r="AK258" i="31" l="1"/>
  <c r="AD258" i="31"/>
  <c r="W258" i="31"/>
  <c r="I258" i="31"/>
  <c r="AM258" i="31" s="1"/>
  <c r="P258" i="31"/>
  <c r="O259" i="31" l="1"/>
  <c r="H259" i="31"/>
  <c r="V259" i="31"/>
  <c r="AN258" i="31" l="1"/>
  <c r="AC259" i="31"/>
  <c r="AJ259" i="31"/>
  <c r="Y258" i="31" l="1"/>
  <c r="AL259" i="31"/>
  <c r="AF258" i="31"/>
  <c r="AO258" i="31"/>
  <c r="AP258" i="31" s="1"/>
  <c r="K258" i="31"/>
  <c r="D258" i="31"/>
  <c r="R258" i="31"/>
  <c r="AK259" i="31" l="1"/>
  <c r="AD259" i="31"/>
  <c r="W259" i="31"/>
  <c r="I259" i="31"/>
  <c r="AM259" i="31" s="1"/>
  <c r="P259" i="31"/>
  <c r="O260" i="31" l="1"/>
  <c r="H260" i="31"/>
  <c r="V260" i="31"/>
  <c r="AC260" i="31" l="1"/>
  <c r="AN259" i="31"/>
  <c r="AJ260" i="31"/>
  <c r="AF259" i="31" l="1"/>
  <c r="AL260" i="31"/>
  <c r="AO259" i="31"/>
  <c r="AP259" i="31" s="1"/>
  <c r="R259" i="31"/>
  <c r="K259" i="31"/>
  <c r="D259" i="31"/>
  <c r="Y259" i="31"/>
  <c r="AK260" i="31" l="1"/>
  <c r="AD260" i="31"/>
  <c r="W260" i="31"/>
  <c r="I260" i="31"/>
  <c r="AM260" i="31" s="1"/>
  <c r="P260" i="31"/>
  <c r="AN260" i="31" l="1"/>
  <c r="O261" i="31"/>
  <c r="H261" i="31"/>
  <c r="V261" i="31"/>
  <c r="D260" i="31" l="1"/>
  <c r="AO260" i="31"/>
  <c r="AP260" i="31" s="1"/>
  <c r="K260" i="31"/>
  <c r="R260" i="31"/>
  <c r="AC261" i="31"/>
  <c r="Y260" i="31"/>
  <c r="AJ261" i="31"/>
  <c r="AF260" i="31"/>
  <c r="AL261" i="31" l="1"/>
  <c r="AK261" i="31"/>
  <c r="AD261" i="31"/>
  <c r="W261" i="31"/>
  <c r="I261" i="31"/>
  <c r="AM261" i="31" s="1"/>
  <c r="P261" i="31"/>
  <c r="O262" i="31" l="1"/>
  <c r="H262" i="31"/>
  <c r="AC262" i="31"/>
  <c r="V262" i="31"/>
  <c r="AN261" i="31" l="1"/>
  <c r="AJ262" i="31"/>
  <c r="AF261" i="31" l="1"/>
  <c r="AL262" i="31"/>
  <c r="Y261" i="31"/>
  <c r="AO261" i="31"/>
  <c r="AP261" i="31" s="1"/>
  <c r="R261" i="31"/>
  <c r="K261" i="31"/>
  <c r="D261" i="31"/>
  <c r="AK262" i="31" l="1"/>
  <c r="AD262" i="31"/>
  <c r="W262" i="31"/>
  <c r="P262" i="31"/>
  <c r="I262" i="31"/>
  <c r="AM262" i="31" s="1"/>
  <c r="H263" i="31" l="1"/>
  <c r="O263" i="31"/>
  <c r="V263" i="31"/>
  <c r="AJ263" i="31" l="1"/>
  <c r="AN262" i="31"/>
  <c r="AC263" i="31"/>
  <c r="Y262" i="31" l="1"/>
  <c r="AL263" i="31"/>
  <c r="AO262" i="31"/>
  <c r="AP262" i="31" s="1"/>
  <c r="D262" i="31"/>
  <c r="R262" i="31"/>
  <c r="K262" i="31"/>
  <c r="AF262" i="31"/>
  <c r="AK263" i="31" l="1"/>
  <c r="AD263" i="31"/>
  <c r="W263" i="31"/>
  <c r="I263" i="31"/>
  <c r="AM263" i="31" s="1"/>
  <c r="P263" i="31"/>
  <c r="AN263" i="31" l="1"/>
  <c r="O264" i="31"/>
  <c r="H264" i="31"/>
  <c r="V264" i="31"/>
  <c r="AO263" i="31" l="1"/>
  <c r="AP263" i="31" s="1"/>
  <c r="R263" i="31"/>
  <c r="D263" i="31"/>
  <c r="K263" i="31"/>
  <c r="AC264" i="31"/>
  <c r="AL264" i="31" s="1"/>
  <c r="Y263" i="31"/>
  <c r="AJ264" i="31"/>
  <c r="AF263" i="31"/>
  <c r="AK264" i="31" l="1"/>
  <c r="AD264" i="31"/>
  <c r="W264" i="31"/>
  <c r="V265" i="31" s="1"/>
  <c r="I264" i="31"/>
  <c r="AM264" i="31" s="1"/>
  <c r="P264" i="31"/>
  <c r="O265" i="31" l="1"/>
  <c r="H265" i="31"/>
  <c r="AN264" i="31" l="1"/>
  <c r="AC265" i="31"/>
  <c r="AJ265" i="31"/>
  <c r="Y264" i="31" l="1"/>
  <c r="AL265" i="31"/>
  <c r="AF264" i="31"/>
  <c r="R264" i="31"/>
  <c r="AO264" i="31"/>
  <c r="AP264" i="31" s="1"/>
  <c r="K264" i="31"/>
  <c r="D264" i="31"/>
  <c r="AK265" i="31" l="1"/>
  <c r="AD265" i="31"/>
  <c r="W265" i="31"/>
  <c r="I265" i="31"/>
  <c r="AM265" i="31" s="1"/>
  <c r="P265" i="31"/>
  <c r="AN265" i="31" l="1"/>
  <c r="O266" i="31"/>
  <c r="H266" i="31"/>
  <c r="V266" i="31"/>
  <c r="AO265" i="31" l="1"/>
  <c r="AP265" i="31" s="1"/>
  <c r="R265" i="31"/>
  <c r="K265" i="31"/>
  <c r="D265" i="31"/>
  <c r="AC266" i="31"/>
  <c r="AL266" i="31" s="1"/>
  <c r="Y265" i="31"/>
  <c r="AJ266" i="31"/>
  <c r="AF265" i="31"/>
  <c r="AK266" i="31" l="1"/>
  <c r="AD266" i="31"/>
  <c r="W266" i="31"/>
  <c r="I266" i="31"/>
  <c r="AM266" i="31" s="1"/>
  <c r="P266" i="31"/>
  <c r="O267" i="31" l="1"/>
  <c r="H267" i="31"/>
  <c r="V267" i="31"/>
  <c r="AN266" i="31" l="1"/>
  <c r="AC267" i="31"/>
  <c r="AJ267" i="31"/>
  <c r="AF266" i="31" l="1"/>
  <c r="AL267" i="31"/>
  <c r="Y266" i="31"/>
  <c r="K266" i="31"/>
  <c r="AO266" i="31"/>
  <c r="AP266" i="31" s="1"/>
  <c r="D266" i="31"/>
  <c r="R266" i="31"/>
  <c r="AK267" i="31" l="1"/>
  <c r="AD267" i="31"/>
  <c r="W267" i="31"/>
  <c r="I267" i="31"/>
  <c r="AM267" i="31" s="1"/>
  <c r="P267" i="31"/>
  <c r="AN267" i="31" l="1"/>
  <c r="O268" i="31"/>
  <c r="H268" i="31"/>
  <c r="V268" i="31"/>
  <c r="AO267" i="31" l="1"/>
  <c r="AP267" i="31" s="1"/>
  <c r="R267" i="31"/>
  <c r="K267" i="31"/>
  <c r="D267" i="31"/>
  <c r="AC268" i="31"/>
  <c r="AL268" i="31" s="1"/>
  <c r="Y267" i="31"/>
  <c r="AJ268" i="31"/>
  <c r="AF267" i="31"/>
  <c r="AK268" i="31" l="1"/>
  <c r="AD268" i="31"/>
  <c r="W268" i="31"/>
  <c r="P268" i="31"/>
  <c r="I268" i="31"/>
  <c r="AM268" i="31" s="1"/>
  <c r="H269" i="31" l="1"/>
  <c r="AJ269" i="31"/>
  <c r="O269" i="31"/>
  <c r="V269" i="31"/>
  <c r="AN268" i="31" l="1"/>
  <c r="AC269" i="31"/>
  <c r="Y268" i="31" l="1"/>
  <c r="AL269" i="31"/>
  <c r="AF268" i="31"/>
  <c r="AO268" i="31"/>
  <c r="AP268" i="31" s="1"/>
  <c r="R268" i="31"/>
  <c r="D268" i="31"/>
  <c r="K268" i="31"/>
  <c r="AK269" i="31" l="1"/>
  <c r="AD269" i="31"/>
  <c r="W269" i="31"/>
  <c r="I269" i="31"/>
  <c r="AM269" i="31" s="1"/>
  <c r="P269" i="31"/>
  <c r="AN269" i="31" l="1"/>
  <c r="O270" i="31"/>
  <c r="H270" i="31"/>
  <c r="V270" i="31"/>
  <c r="AO269" i="31" l="1"/>
  <c r="AP269" i="31" s="1"/>
  <c r="R269" i="31"/>
  <c r="K269" i="31"/>
  <c r="D269" i="31"/>
  <c r="AC270" i="31"/>
  <c r="AL270" i="31" s="1"/>
  <c r="Y269" i="31"/>
  <c r="AJ270" i="31"/>
  <c r="AF269" i="31"/>
  <c r="AK270" i="31" l="1"/>
  <c r="AD270" i="31"/>
  <c r="W270" i="31"/>
  <c r="V271" i="31" s="1"/>
  <c r="I270" i="31"/>
  <c r="AM270" i="31" s="1"/>
  <c r="P270" i="31"/>
  <c r="O271" i="31" l="1"/>
  <c r="H271" i="31"/>
  <c r="AN270" i="31" l="1"/>
  <c r="AC271" i="31"/>
  <c r="AJ271" i="31"/>
  <c r="Y270" i="31" l="1"/>
  <c r="AL271" i="31"/>
  <c r="AF270" i="31"/>
  <c r="R270" i="31"/>
  <c r="AO270" i="31"/>
  <c r="AP270" i="31" s="1"/>
  <c r="D270" i="31"/>
  <c r="K270" i="31"/>
  <c r="AK271" i="31" l="1"/>
  <c r="AD271" i="31"/>
  <c r="W271" i="31"/>
  <c r="I271" i="31"/>
  <c r="AM271" i="31" s="1"/>
  <c r="P271" i="31"/>
  <c r="O272" i="31" l="1"/>
  <c r="AC272" i="31"/>
  <c r="H272" i="31"/>
  <c r="V272" i="31"/>
  <c r="AN271" i="31" l="1"/>
  <c r="AJ272" i="31"/>
  <c r="AF271" i="31" l="1"/>
  <c r="AL272" i="31"/>
  <c r="Y271" i="31"/>
  <c r="AO271" i="31"/>
  <c r="AP271" i="31" s="1"/>
  <c r="R271" i="31"/>
  <c r="K271" i="31"/>
  <c r="D271" i="31"/>
  <c r="AK272" i="31" l="1"/>
  <c r="AD272" i="31"/>
  <c r="W272" i="31"/>
  <c r="I272" i="31"/>
  <c r="AM272" i="31" s="1"/>
  <c r="P272" i="31"/>
  <c r="H273" i="31" l="1"/>
  <c r="O273" i="31"/>
  <c r="V273" i="31"/>
  <c r="AN272" i="31" l="1"/>
  <c r="AL273" i="31" s="1"/>
  <c r="AC273" i="31"/>
  <c r="AJ273" i="31"/>
  <c r="AK273" i="31" l="1"/>
  <c r="AD273" i="31"/>
  <c r="AF272" i="31"/>
  <c r="Y272" i="31"/>
  <c r="K272" i="31"/>
  <c r="R272" i="31"/>
  <c r="D272" i="31"/>
  <c r="AO272" i="31"/>
  <c r="AP272" i="31" s="1"/>
  <c r="W273" i="31"/>
  <c r="I273" i="31"/>
  <c r="AM273" i="31" s="1"/>
  <c r="P273" i="31"/>
  <c r="O274" i="31" l="1"/>
  <c r="H274" i="31"/>
  <c r="V274" i="31"/>
  <c r="AC274" i="31" l="1"/>
  <c r="AN273" i="31"/>
  <c r="AJ274" i="31"/>
  <c r="AL274" i="31" l="1"/>
  <c r="AO273" i="31"/>
  <c r="AP273" i="31" s="1"/>
  <c r="R273" i="31"/>
  <c r="K273" i="31"/>
  <c r="D273" i="31"/>
  <c r="Y273" i="31"/>
  <c r="AF273" i="31"/>
  <c r="AK274" i="31" l="1"/>
  <c r="AD274" i="31"/>
  <c r="W274" i="31"/>
  <c r="P274" i="31"/>
  <c r="I274" i="31"/>
  <c r="AM274" i="31" s="1"/>
  <c r="H275" i="31" l="1"/>
  <c r="O275" i="31"/>
  <c r="V275" i="31"/>
  <c r="AN274" i="31" l="1"/>
  <c r="AC275" i="31"/>
  <c r="AJ275" i="31"/>
  <c r="Y274" i="31" l="1"/>
  <c r="AL275" i="31"/>
  <c r="AF274" i="31"/>
  <c r="AO274" i="31"/>
  <c r="AP274" i="31" s="1"/>
  <c r="D274" i="31"/>
  <c r="K274" i="31"/>
  <c r="R274" i="31"/>
  <c r="AK275" i="31" l="1"/>
  <c r="AD275" i="31"/>
  <c r="W275" i="31"/>
  <c r="I275" i="31"/>
  <c r="P275" i="31"/>
  <c r="AM275" i="31" l="1"/>
  <c r="H276" i="31"/>
  <c r="AJ276" i="31"/>
  <c r="O276" i="31"/>
  <c r="V276" i="31"/>
  <c r="AN275" i="31" l="1"/>
  <c r="AC276" i="31"/>
  <c r="AF275" i="31" l="1"/>
  <c r="AL276" i="31"/>
  <c r="K275" i="31"/>
  <c r="Y275" i="31"/>
  <c r="D275" i="31"/>
  <c r="R275" i="31"/>
  <c r="AO275" i="31"/>
  <c r="AP275" i="31" s="1"/>
  <c r="AK276" i="31" l="1"/>
  <c r="I276" i="31"/>
  <c r="H277" i="31" s="1"/>
  <c r="W276" i="31"/>
  <c r="V277" i="31" s="1"/>
  <c r="AD276" i="31"/>
  <c r="P276" i="31"/>
  <c r="O277" i="31" s="1"/>
  <c r="AM276" i="31" l="1"/>
  <c r="AN276" i="31"/>
  <c r="AC277" i="31"/>
  <c r="AF276" i="31" l="1"/>
  <c r="AJ277" i="31"/>
  <c r="AL277" i="31" s="1"/>
  <c r="AK277" i="31" s="1"/>
  <c r="Y276" i="31"/>
  <c r="AO276" i="31"/>
  <c r="AP276" i="31" s="1"/>
  <c r="R276" i="31"/>
  <c r="D276" i="31"/>
  <c r="K276" i="31"/>
  <c r="AD277" i="31" l="1"/>
  <c r="W277" i="31"/>
  <c r="P277" i="31"/>
  <c r="I277" i="31"/>
  <c r="AM277" i="31" s="1"/>
  <c r="O278" i="31" l="1"/>
  <c r="H278" i="31"/>
  <c r="V278" i="31"/>
  <c r="AC278" i="31" l="1"/>
  <c r="AN277" i="31"/>
  <c r="AJ278" i="31"/>
  <c r="AF277" i="31" l="1"/>
  <c r="AL278" i="31"/>
  <c r="AO277" i="31"/>
  <c r="AP277" i="31" s="1"/>
  <c r="R277" i="31"/>
  <c r="K277" i="31"/>
  <c r="D277" i="31"/>
  <c r="Y277" i="31"/>
  <c r="AK278" i="31" l="1"/>
  <c r="AD278" i="31"/>
  <c r="W278" i="31"/>
  <c r="I278" i="31"/>
  <c r="AM278" i="31" s="1"/>
  <c r="P278" i="31"/>
  <c r="H279" i="31" l="1"/>
  <c r="AC279" i="31"/>
  <c r="O279" i="31"/>
  <c r="V279" i="31"/>
  <c r="AN278" i="31" l="1"/>
  <c r="AJ279" i="31"/>
  <c r="AF278" i="31" l="1"/>
  <c r="AL279" i="31"/>
  <c r="Y278" i="31"/>
  <c r="AO278" i="31"/>
  <c r="AP278" i="31" s="1"/>
  <c r="R278" i="31"/>
  <c r="D278" i="31"/>
  <c r="K278" i="31"/>
  <c r="AK279" i="31" l="1"/>
  <c r="AD279" i="31"/>
  <c r="W279" i="31"/>
  <c r="P279" i="31"/>
  <c r="I279" i="31"/>
  <c r="AM279" i="31" s="1"/>
  <c r="H280" i="31" l="1"/>
  <c r="O280" i="31"/>
  <c r="V280" i="31"/>
  <c r="AJ280" i="31" l="1"/>
  <c r="AN279" i="31"/>
  <c r="AC280" i="31"/>
  <c r="AL280" i="31" l="1"/>
  <c r="D279" i="31"/>
  <c r="AO279" i="31"/>
  <c r="AP279" i="31" s="1"/>
  <c r="K279" i="31"/>
  <c r="R279" i="31"/>
  <c r="Y279" i="31"/>
  <c r="AF279" i="31"/>
  <c r="AK280" i="31" l="1"/>
  <c r="AD280" i="31"/>
  <c r="W280" i="31"/>
  <c r="P280" i="31"/>
  <c r="I280" i="31"/>
  <c r="AM280" i="31" s="1"/>
  <c r="H281" i="31" l="1"/>
  <c r="AN280" i="31"/>
  <c r="O281" i="31"/>
  <c r="V281" i="31"/>
  <c r="AO280" i="31" l="1"/>
  <c r="AP280" i="31" s="1"/>
  <c r="R280" i="31"/>
  <c r="D280" i="31"/>
  <c r="K280" i="31"/>
  <c r="AJ281" i="31"/>
  <c r="AF280" i="31"/>
  <c r="AC281" i="31"/>
  <c r="AL281" i="31" s="1"/>
  <c r="Y280" i="31"/>
  <c r="AK281" i="31" l="1"/>
  <c r="AD281" i="31"/>
  <c r="W281" i="31"/>
  <c r="V282" i="31" s="1"/>
  <c r="I281" i="31"/>
  <c r="AM281" i="31" s="1"/>
  <c r="P281" i="31"/>
  <c r="O282" i="31" l="1"/>
  <c r="H282" i="31"/>
  <c r="AN281" i="31" l="1"/>
  <c r="AC282" i="31"/>
  <c r="AJ282" i="31"/>
  <c r="AF281" i="31" l="1"/>
  <c r="AL282" i="31"/>
  <c r="Y281" i="31"/>
  <c r="R281" i="31"/>
  <c r="AO281" i="31"/>
  <c r="AP281" i="31" s="1"/>
  <c r="D281" i="31"/>
  <c r="K281" i="31"/>
  <c r="AK282" i="31" l="1"/>
  <c r="AD282" i="31"/>
  <c r="W282" i="31"/>
  <c r="I282" i="31"/>
  <c r="AM282" i="31" s="1"/>
  <c r="P282" i="31"/>
  <c r="O283" i="31" l="1"/>
  <c r="H283" i="31"/>
  <c r="AC283" i="31"/>
  <c r="V283" i="31"/>
  <c r="AN282" i="31" l="1"/>
  <c r="AJ283" i="31"/>
  <c r="AF282" i="31" l="1"/>
  <c r="AL283" i="31"/>
  <c r="Y282" i="31"/>
  <c r="AO282" i="31"/>
  <c r="AP282" i="31" s="1"/>
  <c r="R282" i="31"/>
  <c r="D282" i="31"/>
  <c r="K282" i="31"/>
  <c r="AK283" i="31" l="1"/>
  <c r="AD283" i="31"/>
  <c r="W283" i="31"/>
  <c r="I283" i="31"/>
  <c r="AM283" i="31" s="1"/>
  <c r="P283" i="31"/>
  <c r="H284" i="31" l="1"/>
  <c r="AJ284" i="31"/>
  <c r="O284" i="31"/>
  <c r="V284" i="31"/>
  <c r="AN283" i="31" l="1"/>
  <c r="AC284" i="31"/>
  <c r="Y283" i="31" l="1"/>
  <c r="AL284" i="31"/>
  <c r="AF283" i="31"/>
  <c r="AO283" i="31"/>
  <c r="AP283" i="31" s="1"/>
  <c r="R283" i="31"/>
  <c r="K283" i="31"/>
  <c r="D283" i="31"/>
  <c r="AK284" i="31" l="1"/>
  <c r="AD284" i="31"/>
  <c r="W284" i="31"/>
  <c r="P284" i="31"/>
  <c r="I284" i="31"/>
  <c r="AM284" i="31" s="1"/>
  <c r="H285" i="31" l="1"/>
  <c r="AN284" i="31"/>
  <c r="O285" i="31"/>
  <c r="V285" i="31"/>
  <c r="AO284" i="31" l="1"/>
  <c r="AP284" i="31" s="1"/>
  <c r="R284" i="31"/>
  <c r="D284" i="31"/>
  <c r="K284" i="31"/>
  <c r="AJ285" i="31"/>
  <c r="AF284" i="31"/>
  <c r="AC285" i="31"/>
  <c r="AL285" i="31" s="1"/>
  <c r="Y284" i="31"/>
  <c r="AK285" i="31" l="1"/>
  <c r="AD285" i="31"/>
  <c r="W285" i="31"/>
  <c r="I285" i="31"/>
  <c r="P285" i="31"/>
  <c r="AM285" i="31" l="1"/>
  <c r="AJ286" i="31"/>
  <c r="O286" i="31"/>
  <c r="H286" i="31"/>
  <c r="V286" i="31"/>
  <c r="AC286" i="31" l="1"/>
  <c r="AN285" i="31"/>
  <c r="Y285" i="31" l="1"/>
  <c r="AL286" i="31"/>
  <c r="AF285" i="31"/>
  <c r="AO285" i="31"/>
  <c r="AP285" i="31" s="1"/>
  <c r="R285" i="31"/>
  <c r="D285" i="31"/>
  <c r="K285" i="31"/>
  <c r="AK286" i="31" l="1"/>
  <c r="AD286" i="31"/>
  <c r="W286" i="31"/>
  <c r="P286" i="31"/>
  <c r="I286" i="31"/>
  <c r="AM286" i="31" s="1"/>
  <c r="H287" i="31" l="1"/>
  <c r="O287" i="31"/>
  <c r="V287" i="31"/>
  <c r="AN286" i="31" l="1"/>
  <c r="AC287" i="31"/>
  <c r="AJ287" i="31"/>
  <c r="Y286" i="31" l="1"/>
  <c r="AL287" i="31"/>
  <c r="AF286" i="31"/>
  <c r="AO286" i="31"/>
  <c r="AP286" i="31" s="1"/>
  <c r="D286" i="31"/>
  <c r="K286" i="31"/>
  <c r="R286" i="31"/>
  <c r="AK287" i="31" l="1"/>
  <c r="AD287" i="31"/>
  <c r="W287" i="31"/>
  <c r="I287" i="31"/>
  <c r="AM287" i="31" s="1"/>
  <c r="P287" i="31"/>
  <c r="O288" i="31" l="1"/>
  <c r="H288" i="31"/>
  <c r="V288" i="31"/>
  <c r="AN287" i="31" l="1"/>
  <c r="AC288" i="31"/>
  <c r="AJ288" i="31"/>
  <c r="Y287" i="31" l="1"/>
  <c r="AL288" i="31"/>
  <c r="AF287" i="31"/>
  <c r="D287" i="31"/>
  <c r="AO287" i="31"/>
  <c r="AP287" i="31" s="1"/>
  <c r="R287" i="31"/>
  <c r="K287" i="31"/>
  <c r="AK288" i="31" l="1"/>
  <c r="AD288" i="31"/>
  <c r="W288" i="31"/>
  <c r="P288" i="31"/>
  <c r="I288" i="31"/>
  <c r="AM288" i="31" s="1"/>
  <c r="H289" i="31" l="1"/>
  <c r="AN288" i="31"/>
  <c r="O289" i="31"/>
  <c r="V289" i="31"/>
  <c r="AO288" i="31" l="1"/>
  <c r="AP288" i="31" s="1"/>
  <c r="R288" i="31"/>
  <c r="D288" i="31"/>
  <c r="K288" i="31"/>
  <c r="AJ289" i="31"/>
  <c r="AF288" i="31"/>
  <c r="AC289" i="31"/>
  <c r="AL289" i="31" s="1"/>
  <c r="Y288" i="31"/>
  <c r="AK289" i="31" l="1"/>
  <c r="AD289" i="31"/>
  <c r="W289" i="31"/>
  <c r="P289" i="31"/>
  <c r="I289" i="31"/>
  <c r="AM289" i="31" s="1"/>
  <c r="O290" i="31" l="1"/>
  <c r="H290" i="31"/>
  <c r="V290" i="31"/>
  <c r="AC290" i="31" l="1"/>
  <c r="AN289" i="31"/>
  <c r="AJ290" i="31"/>
  <c r="Y289" i="31" l="1"/>
  <c r="AL290" i="31"/>
  <c r="AF289" i="31"/>
  <c r="AO289" i="31"/>
  <c r="AP289" i="31" s="1"/>
  <c r="R289" i="31"/>
  <c r="K289" i="31"/>
  <c r="D289" i="31"/>
  <c r="AK290" i="31" l="1"/>
  <c r="AD290" i="31"/>
  <c r="W290" i="31"/>
  <c r="I290" i="31"/>
  <c r="AM290" i="31" s="1"/>
  <c r="P290" i="31"/>
  <c r="H291" i="31" l="1"/>
  <c r="O291" i="31"/>
  <c r="V291" i="31"/>
  <c r="AJ291" i="31" l="1"/>
  <c r="AN290" i="31"/>
  <c r="AC291" i="31"/>
  <c r="Y290" i="31" l="1"/>
  <c r="AL291" i="31"/>
  <c r="AO290" i="31"/>
  <c r="AP290" i="31" s="1"/>
  <c r="R290" i="31"/>
  <c r="K290" i="31"/>
  <c r="D290" i="31"/>
  <c r="AF290" i="31"/>
  <c r="AK291" i="31" l="1"/>
  <c r="AD291" i="31"/>
  <c r="W291" i="31"/>
  <c r="I291" i="31"/>
  <c r="P291" i="31"/>
  <c r="AM291" i="31" l="1"/>
  <c r="H292" i="31"/>
  <c r="AC292" i="31"/>
  <c r="O292" i="31"/>
  <c r="V292" i="31"/>
  <c r="AJ292" i="31" l="1"/>
  <c r="AN291" i="31"/>
  <c r="AF291" i="31" l="1"/>
  <c r="AL292" i="31"/>
  <c r="Y291" i="31"/>
  <c r="AO291" i="31"/>
  <c r="AP291" i="31" s="1"/>
  <c r="R291" i="31"/>
  <c r="D291" i="31"/>
  <c r="K291" i="31"/>
  <c r="AK292" i="31" l="1"/>
  <c r="AD292" i="31"/>
  <c r="W292" i="31"/>
  <c r="P292" i="31"/>
  <c r="I292" i="31"/>
  <c r="AM292" i="31" s="1"/>
  <c r="H293" i="31" l="1"/>
  <c r="O293" i="31"/>
  <c r="V293" i="31"/>
  <c r="AN292" i="31" l="1"/>
  <c r="AC293" i="31"/>
  <c r="AJ293" i="31"/>
  <c r="Y292" i="31" l="1"/>
  <c r="AL293" i="31"/>
  <c r="AF292" i="31"/>
  <c r="AO292" i="31"/>
  <c r="AP292" i="31" s="1"/>
  <c r="D292" i="31"/>
  <c r="R292" i="31"/>
  <c r="K292" i="31"/>
  <c r="AK293" i="31" l="1"/>
  <c r="AD293" i="31"/>
  <c r="W293" i="31"/>
  <c r="I293" i="31"/>
  <c r="AM293" i="31" s="1"/>
  <c r="P293" i="31"/>
  <c r="AJ294" i="31" l="1"/>
  <c r="O294" i="31"/>
  <c r="H294" i="31"/>
  <c r="V294" i="31"/>
  <c r="AN293" i="31" l="1"/>
  <c r="AC294" i="31"/>
  <c r="AF293" i="31" l="1"/>
  <c r="AL294" i="31"/>
  <c r="Y293" i="31"/>
  <c r="K293" i="31"/>
  <c r="R293" i="31"/>
  <c r="AO293" i="31"/>
  <c r="AP293" i="31" s="1"/>
  <c r="D293" i="31"/>
  <c r="AK294" i="31" l="1"/>
  <c r="W294" i="31"/>
  <c r="V295" i="31" s="1"/>
  <c r="P294" i="31"/>
  <c r="AD294" i="31"/>
  <c r="I294" i="31"/>
  <c r="AM294" i="31" s="1"/>
  <c r="O295" i="31" l="1"/>
  <c r="H295" i="31"/>
  <c r="AN294" i="31"/>
  <c r="AC295" i="31"/>
  <c r="AJ295" i="31"/>
  <c r="Y294" i="31" l="1"/>
  <c r="AL295" i="31"/>
  <c r="R294" i="31"/>
  <c r="K294" i="31"/>
  <c r="D294" i="31"/>
  <c r="AF294" i="31"/>
  <c r="AO294" i="31"/>
  <c r="AP294" i="31" s="1"/>
  <c r="AK295" i="31" l="1"/>
  <c r="AD295" i="31"/>
  <c r="P295" i="31"/>
  <c r="I295" i="31"/>
  <c r="AM295" i="31" s="1"/>
  <c r="W295" i="31"/>
  <c r="V296" i="31" s="1"/>
  <c r="AJ296" i="31" l="1"/>
  <c r="H296" i="31"/>
  <c r="O296" i="31"/>
  <c r="AN295" i="31"/>
  <c r="AC296" i="31"/>
  <c r="AF295" i="31" l="1"/>
  <c r="AL296" i="31"/>
  <c r="Y295" i="31"/>
  <c r="K295" i="31"/>
  <c r="R295" i="31"/>
  <c r="AO295" i="31"/>
  <c r="AP295" i="31" s="1"/>
  <c r="D295" i="31"/>
  <c r="AK296" i="31" l="1"/>
  <c r="P296" i="31"/>
  <c r="AD296" i="31"/>
  <c r="W296" i="31"/>
  <c r="V297" i="31" s="1"/>
  <c r="I296" i="31"/>
  <c r="AM296" i="31" s="1"/>
  <c r="O297" i="31" l="1"/>
  <c r="H297" i="31"/>
  <c r="AN296" i="31"/>
  <c r="AC297" i="31"/>
  <c r="AJ297" i="31"/>
  <c r="AF296" i="31" l="1"/>
  <c r="AL297" i="31"/>
  <c r="Y296" i="31"/>
  <c r="D296" i="31"/>
  <c r="AO296" i="31"/>
  <c r="AP296" i="31" s="1"/>
  <c r="K296" i="31"/>
  <c r="R296" i="31"/>
  <c r="AK297" i="31" l="1"/>
  <c r="AD297" i="31"/>
  <c r="W297" i="31"/>
  <c r="I297" i="31"/>
  <c r="AM297" i="31" s="1"/>
  <c r="P297" i="31"/>
  <c r="H298" i="31" l="1"/>
  <c r="AN297" i="31"/>
  <c r="O298" i="31"/>
  <c r="V298" i="31"/>
  <c r="AO297" i="31" l="1"/>
  <c r="AP297" i="31" s="1"/>
  <c r="R297" i="31"/>
  <c r="D297" i="31"/>
  <c r="K297" i="31"/>
  <c r="AJ298" i="31"/>
  <c r="AF297" i="31"/>
  <c r="AC298" i="31"/>
  <c r="AL298" i="31" s="1"/>
  <c r="Y297" i="31"/>
  <c r="AK298" i="31" l="1"/>
  <c r="AD298" i="31"/>
  <c r="W298" i="31"/>
  <c r="I298" i="31"/>
  <c r="P298" i="31"/>
  <c r="AM298" i="31" l="1"/>
  <c r="H299" i="31"/>
  <c r="O299" i="31"/>
  <c r="V299" i="31"/>
  <c r="AJ299" i="31" l="1"/>
  <c r="AN298" i="31"/>
  <c r="AC299" i="31"/>
  <c r="AF298" i="31" l="1"/>
  <c r="AL299" i="31"/>
  <c r="Y298" i="31"/>
  <c r="AO298" i="31"/>
  <c r="AP298" i="31" s="1"/>
  <c r="R298" i="31"/>
  <c r="K298" i="31"/>
  <c r="D298" i="31"/>
  <c r="AK299" i="31" l="1"/>
  <c r="AD299" i="31"/>
  <c r="W299" i="31"/>
  <c r="P299" i="31"/>
  <c r="I299" i="31"/>
  <c r="AM299" i="31" s="1"/>
  <c r="O300" i="31" l="1"/>
  <c r="H300" i="31"/>
  <c r="V300" i="31"/>
  <c r="AN299" i="31" l="1"/>
  <c r="AC300" i="31"/>
  <c r="AJ300" i="31"/>
  <c r="AL300" i="31" l="1"/>
  <c r="AK300" i="31"/>
  <c r="AD300" i="31"/>
  <c r="D299" i="31"/>
  <c r="R299" i="31"/>
  <c r="AO299" i="31"/>
  <c r="AP299" i="31" s="1"/>
  <c r="Y299" i="31"/>
  <c r="K299" i="31"/>
  <c r="AF299" i="31"/>
  <c r="W300" i="31"/>
  <c r="I300" i="31"/>
  <c r="AM300" i="31" s="1"/>
  <c r="P300" i="31"/>
  <c r="AN300" i="31" l="1"/>
  <c r="O301" i="31"/>
  <c r="H301" i="31"/>
  <c r="V301" i="31"/>
  <c r="K300" i="31" l="1"/>
  <c r="D300" i="31"/>
  <c r="AO300" i="31"/>
  <c r="AP300" i="31" s="1"/>
  <c r="AC301" i="31"/>
  <c r="Y300" i="31"/>
  <c r="R300" i="31"/>
  <c r="AJ301" i="31"/>
  <c r="AF300" i="31"/>
  <c r="AL301" i="31" l="1"/>
  <c r="AK301" i="31"/>
  <c r="AD301" i="31"/>
  <c r="W301" i="31"/>
  <c r="I301" i="31"/>
  <c r="AM301" i="31" s="1"/>
  <c r="P301" i="31"/>
  <c r="AN301" i="31" l="1"/>
  <c r="O302" i="31"/>
  <c r="H302" i="31"/>
  <c r="V302" i="31"/>
  <c r="AO301" i="31" l="1"/>
  <c r="AP301" i="31" s="1"/>
  <c r="R301" i="31"/>
  <c r="D301" i="31"/>
  <c r="K301" i="31"/>
  <c r="AC302" i="31"/>
  <c r="AL302" i="31" s="1"/>
  <c r="Y301" i="31"/>
  <c r="AJ302" i="31"/>
  <c r="AF301" i="31"/>
  <c r="AK302" i="31" l="1"/>
  <c r="AD302" i="31"/>
  <c r="W302" i="31"/>
  <c r="I302" i="31"/>
  <c r="AM302" i="31" s="1"/>
  <c r="P302" i="31"/>
  <c r="AJ303" i="31" l="1"/>
  <c r="O303" i="31"/>
  <c r="H303" i="31"/>
  <c r="V303" i="31"/>
  <c r="AN302" i="31" l="1"/>
  <c r="AC303" i="31"/>
  <c r="AF302" i="31" l="1"/>
  <c r="AL303" i="31"/>
  <c r="Y302" i="31"/>
  <c r="R302" i="31"/>
  <c r="AO302" i="31"/>
  <c r="AP302" i="31" s="1"/>
  <c r="K302" i="31"/>
  <c r="D302" i="31"/>
  <c r="AK303" i="31" l="1"/>
  <c r="AD303" i="31"/>
  <c r="AC304" i="31" s="1"/>
  <c r="W303" i="31"/>
  <c r="V304" i="31" s="1"/>
  <c r="I303" i="31"/>
  <c r="H304" i="31" s="1"/>
  <c r="P303" i="31"/>
  <c r="AM303" i="31" l="1"/>
  <c r="O304" i="31"/>
  <c r="AN303" i="31"/>
  <c r="AJ304" i="31"/>
  <c r="AF303" i="31" l="1"/>
  <c r="AL304" i="31"/>
  <c r="AK304" i="31" s="1"/>
  <c r="Y303" i="31"/>
  <c r="AO303" i="31"/>
  <c r="AP303" i="31" s="1"/>
  <c r="R303" i="31"/>
  <c r="D303" i="31"/>
  <c r="K303" i="31"/>
  <c r="AD304" i="31" l="1"/>
  <c r="W304" i="31"/>
  <c r="P304" i="31"/>
  <c r="I304" i="31"/>
  <c r="AM304" i="31" s="1"/>
  <c r="H305" i="31" l="1"/>
  <c r="AC305" i="31"/>
  <c r="O305" i="31"/>
  <c r="V305" i="31"/>
  <c r="AN304" i="31" l="1"/>
  <c r="AJ305" i="31"/>
  <c r="AF304" i="31" l="1"/>
  <c r="AL305" i="31"/>
  <c r="Y304" i="31"/>
  <c r="AO304" i="31"/>
  <c r="AP304" i="31" s="1"/>
  <c r="R304" i="31"/>
  <c r="D304" i="31"/>
  <c r="K304" i="31"/>
  <c r="AK305" i="31" l="1"/>
  <c r="AD305" i="31"/>
  <c r="W305" i="31"/>
  <c r="I305" i="31"/>
  <c r="AM305" i="31" s="1"/>
  <c r="P305" i="31"/>
  <c r="H306" i="31" l="1"/>
  <c r="AJ306" i="31"/>
  <c r="O306" i="31"/>
  <c r="V306" i="31"/>
  <c r="AN305" i="31" l="1"/>
  <c r="AC306" i="31"/>
  <c r="AF305" i="31" l="1"/>
  <c r="AL306" i="31"/>
  <c r="P306" i="31" s="1"/>
  <c r="Y305" i="31"/>
  <c r="K305" i="31"/>
  <c r="D305" i="31"/>
  <c r="R305" i="31"/>
  <c r="AO305" i="31"/>
  <c r="AP305" i="31" s="1"/>
  <c r="W306" i="31"/>
  <c r="AK306" i="31" l="1"/>
  <c r="I306" i="31"/>
  <c r="AM306" i="31" s="1"/>
  <c r="AD306" i="31"/>
  <c r="O307" i="31"/>
  <c r="V307" i="31"/>
  <c r="H307" i="31" l="1"/>
  <c r="AC307" i="31"/>
  <c r="AN306" i="31"/>
  <c r="AJ307" i="31"/>
  <c r="Y306" i="31" l="1"/>
  <c r="AL307" i="31"/>
  <c r="AF306" i="31"/>
  <c r="AO306" i="31"/>
  <c r="AP306" i="31" s="1"/>
  <c r="R306" i="31"/>
  <c r="K306" i="31"/>
  <c r="D306" i="31"/>
  <c r="AK307" i="31" l="1"/>
  <c r="AD307" i="31"/>
  <c r="W307" i="31"/>
  <c r="I307" i="31"/>
  <c r="AM307" i="31" s="1"/>
  <c r="P307" i="31"/>
  <c r="H308" i="31" l="1"/>
  <c r="AN307" i="31"/>
  <c r="O308" i="31"/>
  <c r="V308" i="31"/>
  <c r="AO307" i="31" l="1"/>
  <c r="AP307" i="31" s="1"/>
  <c r="R307" i="31"/>
  <c r="D307" i="31"/>
  <c r="K307" i="31"/>
  <c r="AC308" i="31"/>
  <c r="AL308" i="31" s="1"/>
  <c r="Y307" i="31"/>
  <c r="AJ308" i="31"/>
  <c r="AF307" i="31"/>
  <c r="AK308" i="31" l="1"/>
  <c r="AD308" i="31"/>
  <c r="W308" i="31"/>
  <c r="I308" i="31"/>
  <c r="AM308" i="31" s="1"/>
  <c r="P308" i="31"/>
  <c r="H309" i="31" l="1"/>
  <c r="AN308" i="31"/>
  <c r="O309" i="31"/>
  <c r="V309" i="31"/>
  <c r="AL309" i="31" l="1"/>
  <c r="AO308" i="31"/>
  <c r="AP308" i="31" s="1"/>
  <c r="R308" i="31"/>
  <c r="K308" i="31"/>
  <c r="D308" i="31"/>
  <c r="AJ309" i="31"/>
  <c r="AF308" i="31"/>
  <c r="AC309" i="31"/>
  <c r="Y308" i="31"/>
  <c r="AK309" i="31" l="1"/>
  <c r="AD309" i="31"/>
  <c r="W309" i="31"/>
  <c r="V310" i="31" s="1"/>
  <c r="I309" i="31"/>
  <c r="AM309" i="31" s="1"/>
  <c r="P309" i="31"/>
  <c r="H310" i="31" l="1"/>
  <c r="O310" i="31"/>
  <c r="AN309" i="31" l="1"/>
  <c r="AC310" i="31"/>
  <c r="AJ310" i="31"/>
  <c r="Y309" i="31" l="1"/>
  <c r="AL310" i="31"/>
  <c r="AF309" i="31"/>
  <c r="R309" i="31"/>
  <c r="AO309" i="31"/>
  <c r="AP309" i="31" s="1"/>
  <c r="K309" i="31"/>
  <c r="D309" i="31"/>
  <c r="AK310" i="31" l="1"/>
  <c r="AD310" i="31"/>
  <c r="W310" i="31"/>
  <c r="P310" i="31"/>
  <c r="I310" i="31"/>
  <c r="AM310" i="31" s="1"/>
  <c r="H311" i="31" l="1"/>
  <c r="AJ311" i="31"/>
  <c r="O311" i="31"/>
  <c r="V311" i="31"/>
  <c r="AN310" i="31" l="1"/>
  <c r="AC311" i="31"/>
  <c r="AF310" i="31" l="1"/>
  <c r="AL311" i="31"/>
  <c r="Y310" i="31"/>
  <c r="K310" i="31"/>
  <c r="R310" i="31"/>
  <c r="AO310" i="31"/>
  <c r="AP310" i="31" s="1"/>
  <c r="D310" i="31"/>
  <c r="AK311" i="31" l="1"/>
  <c r="I311" i="31"/>
  <c r="H312" i="31" s="1"/>
  <c r="P311" i="31"/>
  <c r="O312" i="31" s="1"/>
  <c r="AD311" i="31"/>
  <c r="W311" i="31"/>
  <c r="V312" i="31" s="1"/>
  <c r="AM311" i="31" l="1"/>
  <c r="AJ312" i="31"/>
  <c r="AC312" i="31"/>
  <c r="AN311" i="31" l="1"/>
  <c r="AF311" i="31" l="1"/>
  <c r="AL312" i="31"/>
  <c r="AO311" i="31"/>
  <c r="AP311" i="31" s="1"/>
  <c r="D311" i="31"/>
  <c r="K311" i="31"/>
  <c r="Y311" i="31"/>
  <c r="R311" i="31"/>
  <c r="AK312" i="31" l="1"/>
  <c r="AD312" i="31"/>
  <c r="AC313" i="31" s="1"/>
  <c r="I312" i="31"/>
  <c r="H313" i="31" s="1"/>
  <c r="P312" i="31"/>
  <c r="W312" i="31"/>
  <c r="V313" i="31" s="1"/>
  <c r="AM312" i="31" l="1"/>
  <c r="AJ313" i="31"/>
  <c r="O313" i="31"/>
  <c r="AN312" i="31" l="1"/>
  <c r="AF312" i="31" l="1"/>
  <c r="AL313" i="31"/>
  <c r="K312" i="31"/>
  <c r="Y312" i="31"/>
  <c r="R312" i="31"/>
  <c r="AO312" i="31"/>
  <c r="AP312" i="31" s="1"/>
  <c r="D312" i="31"/>
  <c r="AK313" i="31" l="1"/>
  <c r="AD313" i="31"/>
  <c r="AC314" i="31" s="1"/>
  <c r="I313" i="31"/>
  <c r="H314" i="31" s="1"/>
  <c r="W313" i="31"/>
  <c r="P313" i="31"/>
  <c r="AM313" i="31" l="1"/>
  <c r="AN313" i="31"/>
  <c r="AJ314" i="31"/>
  <c r="O314" i="31"/>
  <c r="V314" i="31"/>
  <c r="AF313" i="31" l="1"/>
  <c r="AL314" i="31"/>
  <c r="Y313" i="31"/>
  <c r="K313" i="31"/>
  <c r="R313" i="31"/>
  <c r="D313" i="31"/>
  <c r="AO313" i="31"/>
  <c r="AP313" i="31" s="1"/>
  <c r="AK314" i="31"/>
  <c r="I314" i="31" l="1"/>
  <c r="H315" i="31" s="1"/>
  <c r="W314" i="31"/>
  <c r="V315" i="31" s="1"/>
  <c r="P314" i="31"/>
  <c r="AD314" i="31"/>
  <c r="AC315" i="31" s="1"/>
  <c r="AM314" i="31" l="1"/>
  <c r="AJ315" i="31"/>
  <c r="AN314" i="31"/>
  <c r="O315" i="31"/>
  <c r="AF314" i="31" l="1"/>
  <c r="AL315" i="31"/>
  <c r="R314" i="31"/>
  <c r="D314" i="31"/>
  <c r="K314" i="31"/>
  <c r="AK315" i="31"/>
  <c r="AO314" i="31"/>
  <c r="AP314" i="31" s="1"/>
  <c r="Y314" i="31"/>
  <c r="AD315" i="31" l="1"/>
  <c r="AC316" i="31" s="1"/>
  <c r="W315" i="31"/>
  <c r="V316" i="31" s="1"/>
  <c r="I315" i="31"/>
  <c r="H316" i="31" s="1"/>
  <c r="P315" i="31"/>
  <c r="O316" i="31" s="1"/>
  <c r="AJ316" i="31"/>
  <c r="AM315" i="31" l="1"/>
  <c r="AN315" i="31"/>
  <c r="AF315" i="31" l="1"/>
  <c r="AL316" i="31"/>
  <c r="AD316" i="31" s="1"/>
  <c r="D315" i="31"/>
  <c r="K315" i="31"/>
  <c r="R315" i="31"/>
  <c r="AK316" i="31"/>
  <c r="AO315" i="31"/>
  <c r="AP315" i="31" s="1"/>
  <c r="Y315" i="31"/>
  <c r="W316" i="31" l="1"/>
  <c r="V317" i="31" s="1"/>
  <c r="I316" i="31"/>
  <c r="H317" i="31" s="1"/>
  <c r="P316" i="31"/>
  <c r="AM316" i="31" s="1"/>
  <c r="O317" i="31" l="1"/>
  <c r="AJ317" i="31"/>
  <c r="AN316" i="31"/>
  <c r="AC317" i="31"/>
  <c r="Y316" i="31" l="1"/>
  <c r="AL317" i="31"/>
  <c r="AO316" i="31"/>
  <c r="AP316" i="31" s="1"/>
  <c r="D316" i="31"/>
  <c r="K316" i="31"/>
  <c r="R316" i="31"/>
  <c r="AF316" i="31"/>
  <c r="AK317" i="31" l="1"/>
  <c r="AD317" i="31"/>
  <c r="W317" i="31"/>
  <c r="I317" i="31"/>
  <c r="AM317" i="31" s="1"/>
  <c r="P317" i="31"/>
  <c r="AJ318" i="31" l="1"/>
  <c r="O318" i="31"/>
  <c r="H318" i="31"/>
  <c r="V318" i="31"/>
  <c r="AC318" i="31" l="1"/>
  <c r="AN317" i="31"/>
  <c r="AL318" i="31" s="1"/>
  <c r="AF317" i="31" l="1"/>
  <c r="AO317" i="31"/>
  <c r="AP317" i="31" s="1"/>
  <c r="R317" i="31"/>
  <c r="D317" i="31"/>
  <c r="K317" i="31"/>
  <c r="Y317" i="31"/>
  <c r="AK318" i="31" l="1"/>
  <c r="AD318" i="31"/>
  <c r="W318" i="31"/>
  <c r="P318" i="31"/>
  <c r="I318" i="31"/>
  <c r="AM318" i="31" s="1"/>
  <c r="H319" i="31" l="1"/>
  <c r="O319" i="31"/>
  <c r="V319" i="31"/>
  <c r="AJ319" i="31" l="1"/>
  <c r="AC319" i="31"/>
  <c r="AN318" i="31"/>
  <c r="AL319" i="31" s="1"/>
  <c r="AO318" i="31" l="1"/>
  <c r="AP318" i="31" s="1"/>
  <c r="R318" i="31"/>
  <c r="K318" i="31"/>
  <c r="D318" i="31"/>
  <c r="AF318" i="31"/>
  <c r="Y318" i="31"/>
  <c r="AK319" i="31" l="1"/>
  <c r="AD319" i="31"/>
  <c r="W319" i="31"/>
  <c r="I319" i="31"/>
  <c r="AM319" i="31" s="1"/>
  <c r="P319" i="31"/>
  <c r="AN319" i="31" l="1"/>
  <c r="O320" i="31"/>
  <c r="H320" i="31"/>
  <c r="V320" i="31"/>
  <c r="AO319" i="31" l="1"/>
  <c r="AP319" i="31" s="1"/>
  <c r="R319" i="31"/>
  <c r="K319" i="31"/>
  <c r="D319" i="31"/>
  <c r="AC320" i="31"/>
  <c r="AL320" i="31" s="1"/>
  <c r="Y319" i="31"/>
  <c r="AJ320" i="31"/>
  <c r="AF319" i="31"/>
  <c r="AK320" i="31" l="1"/>
  <c r="AD320" i="31"/>
  <c r="W320" i="31"/>
  <c r="I320" i="31"/>
  <c r="AM320" i="31" s="1"/>
  <c r="P320" i="31"/>
  <c r="O321" i="31" l="1"/>
  <c r="H321" i="31"/>
  <c r="V321" i="31"/>
  <c r="AN320" i="31" l="1"/>
  <c r="AC321" i="31"/>
  <c r="AJ321" i="31"/>
  <c r="Y320" i="31" l="1"/>
  <c r="AL321" i="31"/>
  <c r="AF320" i="31"/>
  <c r="AO320" i="31"/>
  <c r="AP320" i="31" s="1"/>
  <c r="D320" i="31"/>
  <c r="R320" i="31"/>
  <c r="K320" i="31"/>
  <c r="AK321" i="31" l="1"/>
  <c r="AD321" i="31"/>
  <c r="W321" i="31"/>
  <c r="I321" i="31"/>
  <c r="AM321" i="31" s="1"/>
  <c r="P321" i="31"/>
  <c r="O322" i="31" l="1"/>
  <c r="H322" i="31"/>
  <c r="V322" i="31"/>
  <c r="AN321" i="31" l="1"/>
  <c r="AC322" i="31"/>
  <c r="AJ322" i="31"/>
  <c r="Y321" i="31" l="1"/>
  <c r="AL322" i="31"/>
  <c r="AF321" i="31"/>
  <c r="AO321" i="31"/>
  <c r="AP321" i="31" s="1"/>
  <c r="K321" i="31"/>
  <c r="R321" i="31"/>
  <c r="D321" i="31"/>
  <c r="AK322" i="31" l="1"/>
  <c r="AD322" i="31"/>
  <c r="W322" i="31"/>
  <c r="P322" i="31"/>
  <c r="I322" i="31"/>
  <c r="AM322" i="31" s="1"/>
  <c r="H323" i="31" l="1"/>
  <c r="AC323" i="31"/>
  <c r="O323" i="31"/>
  <c r="V323" i="31"/>
  <c r="AN322" i="31" l="1"/>
  <c r="AJ323" i="31"/>
  <c r="AF322" i="31" l="1"/>
  <c r="AL323" i="31"/>
  <c r="Y322" i="31"/>
  <c r="AO322" i="31"/>
  <c r="AP322" i="31" s="1"/>
  <c r="R322" i="31"/>
  <c r="D322" i="31"/>
  <c r="K322" i="31"/>
  <c r="AK323" i="31" l="1"/>
  <c r="AD323" i="31"/>
  <c r="W323" i="31"/>
  <c r="I323" i="31"/>
  <c r="P323" i="31"/>
  <c r="AM323" i="31" l="1"/>
  <c r="O324" i="31"/>
  <c r="H324" i="31"/>
  <c r="V324" i="31"/>
  <c r="AN323" i="31" l="1"/>
  <c r="AC324" i="31"/>
  <c r="AJ324" i="31"/>
  <c r="AL324" i="31" l="1"/>
  <c r="AK324" i="31"/>
  <c r="AD324" i="31"/>
  <c r="Y323" i="31"/>
  <c r="D323" i="31"/>
  <c r="AO323" i="31"/>
  <c r="AP323" i="31" s="1"/>
  <c r="K323" i="31"/>
  <c r="R323" i="31"/>
  <c r="AF323" i="31"/>
  <c r="W324" i="31"/>
  <c r="P324" i="31"/>
  <c r="I324" i="31"/>
  <c r="AM324" i="31" s="1"/>
  <c r="H325" i="31" l="1"/>
  <c r="AN324" i="31"/>
  <c r="O325" i="31"/>
  <c r="V325" i="31"/>
  <c r="AO324" i="31" l="1"/>
  <c r="AP324" i="31" s="1"/>
  <c r="R324" i="31"/>
  <c r="D324" i="31"/>
  <c r="K324" i="31"/>
  <c r="AC325" i="31"/>
  <c r="AL325" i="31" s="1"/>
  <c r="Y324" i="31"/>
  <c r="AJ325" i="31"/>
  <c r="AF324" i="31"/>
  <c r="AK325" i="31" l="1"/>
  <c r="AD325" i="31"/>
  <c r="W325" i="31"/>
  <c r="I325" i="31"/>
  <c r="AM325" i="31" s="1"/>
  <c r="P325" i="31"/>
  <c r="O326" i="31" l="1"/>
  <c r="AC326" i="31"/>
  <c r="H326" i="31"/>
  <c r="V326" i="31"/>
  <c r="AN325" i="31" l="1"/>
  <c r="AJ326" i="31"/>
  <c r="AF325" i="31" l="1"/>
  <c r="AL326" i="31"/>
  <c r="Y325" i="31"/>
  <c r="AO325" i="31"/>
  <c r="AP325" i="31" s="1"/>
  <c r="R325" i="31"/>
  <c r="K325" i="31"/>
  <c r="D325" i="31"/>
  <c r="AK326" i="31" l="1"/>
  <c r="AD326" i="31"/>
  <c r="W326" i="31"/>
  <c r="P326" i="31"/>
  <c r="I326" i="31"/>
  <c r="AM326" i="31" s="1"/>
  <c r="H327" i="31" l="1"/>
  <c r="AN326" i="31"/>
  <c r="O327" i="31"/>
  <c r="V327" i="31"/>
  <c r="D326" i="31" l="1"/>
  <c r="R326" i="31"/>
  <c r="AJ327" i="31"/>
  <c r="AF326" i="31"/>
  <c r="K326" i="31"/>
  <c r="AO326" i="31"/>
  <c r="AP326" i="31" s="1"/>
  <c r="AC327" i="31"/>
  <c r="AL327" i="31" s="1"/>
  <c r="Y326" i="31"/>
  <c r="AK327" i="31" l="1"/>
  <c r="AD327" i="31"/>
  <c r="W327" i="31"/>
  <c r="I327" i="31"/>
  <c r="AM327" i="31" s="1"/>
  <c r="P327" i="31"/>
  <c r="O328" i="31" l="1"/>
  <c r="H328" i="31"/>
  <c r="V328" i="31"/>
  <c r="AC328" i="31" l="1"/>
  <c r="AN327" i="31"/>
  <c r="AJ328" i="31"/>
  <c r="AF327" i="31" l="1"/>
  <c r="AL328" i="31"/>
  <c r="AO327" i="31"/>
  <c r="AP327" i="31" s="1"/>
  <c r="R327" i="31"/>
  <c r="K327" i="31"/>
  <c r="D327" i="31"/>
  <c r="Y327" i="31"/>
  <c r="AK328" i="31" l="1"/>
  <c r="AD328" i="31"/>
  <c r="W328" i="31"/>
  <c r="P328" i="31"/>
  <c r="I328" i="31"/>
  <c r="AM328" i="31" s="1"/>
  <c r="H329" i="31" l="1"/>
  <c r="AJ329" i="31"/>
  <c r="O329" i="31"/>
  <c r="V329" i="31"/>
  <c r="AN328" i="31" l="1"/>
  <c r="AC329" i="31"/>
  <c r="AF328" i="31" l="1"/>
  <c r="AL329" i="31"/>
  <c r="K328" i="31"/>
  <c r="Y328" i="31"/>
  <c r="D328" i="31"/>
  <c r="R328" i="31"/>
  <c r="AO328" i="31"/>
  <c r="AP328" i="31" s="1"/>
  <c r="AK329" i="31" l="1"/>
  <c r="W329" i="31"/>
  <c r="V330" i="31" s="1"/>
  <c r="AD329" i="31"/>
  <c r="I329" i="31"/>
  <c r="AM329" i="31" s="1"/>
  <c r="P329" i="31"/>
  <c r="H330" i="31" l="1"/>
  <c r="O330" i="31"/>
  <c r="AN329" i="31"/>
  <c r="AC330" i="31"/>
  <c r="AJ330" i="31"/>
  <c r="Y329" i="31" l="1"/>
  <c r="AL330" i="31"/>
  <c r="AF329" i="31"/>
  <c r="AO329" i="31"/>
  <c r="AP329" i="31" s="1"/>
  <c r="D329" i="31"/>
  <c r="R329" i="31"/>
  <c r="K329" i="31"/>
  <c r="AK330" i="31" l="1"/>
  <c r="AD330" i="31"/>
  <c r="W330" i="31"/>
  <c r="I330" i="31"/>
  <c r="AM330" i="31" s="1"/>
  <c r="P330" i="31"/>
  <c r="O331" i="31" l="1"/>
  <c r="AC331" i="31"/>
  <c r="H331" i="31"/>
  <c r="V331" i="31"/>
  <c r="AN330" i="31" l="1"/>
  <c r="AJ331" i="31"/>
  <c r="D330" i="31" l="1"/>
  <c r="AL331" i="31"/>
  <c r="I331" i="31" s="1"/>
  <c r="AF330" i="31"/>
  <c r="R330" i="31"/>
  <c r="K330" i="31"/>
  <c r="AO330" i="31"/>
  <c r="AP330" i="31" s="1"/>
  <c r="Y330" i="31"/>
  <c r="W331" i="31"/>
  <c r="AK331" i="31" l="1"/>
  <c r="P331" i="31"/>
  <c r="AM331" i="31" s="1"/>
  <c r="AD331" i="31"/>
  <c r="H332" i="31"/>
  <c r="V332" i="31"/>
  <c r="O332" i="31" l="1"/>
  <c r="AN331" i="31"/>
  <c r="AC332" i="31"/>
  <c r="AJ332" i="31"/>
  <c r="Y331" i="31" l="1"/>
  <c r="AL332" i="31"/>
  <c r="AF331" i="31"/>
  <c r="AO331" i="31"/>
  <c r="AP331" i="31" s="1"/>
  <c r="K331" i="31"/>
  <c r="R331" i="31"/>
  <c r="D331" i="31"/>
  <c r="AK332" i="31" l="1"/>
  <c r="AD332" i="31"/>
  <c r="W332" i="31"/>
  <c r="I332" i="31"/>
  <c r="AM332" i="31" s="1"/>
  <c r="P332" i="31"/>
  <c r="H333" i="31" l="1"/>
  <c r="AJ333" i="31"/>
  <c r="O333" i="31"/>
  <c r="V333" i="31"/>
  <c r="AN332" i="31" l="1"/>
  <c r="AC333" i="31"/>
  <c r="AO332" i="31" l="1"/>
  <c r="AP332" i="31" s="1"/>
  <c r="AL333" i="31"/>
  <c r="Y332" i="31"/>
  <c r="D332" i="31"/>
  <c r="K332" i="31"/>
  <c r="R332" i="31"/>
  <c r="AF332" i="31"/>
  <c r="AK333" i="31" l="1"/>
  <c r="AD333" i="31"/>
  <c r="I333" i="31"/>
  <c r="AM333" i="31" s="1"/>
  <c r="W333" i="31"/>
  <c r="V334" i="31" s="1"/>
  <c r="P333" i="31"/>
  <c r="H334" i="31" l="1"/>
  <c r="O334" i="31"/>
  <c r="AC334" i="31"/>
  <c r="AN333" i="31"/>
  <c r="AJ334" i="31"/>
  <c r="AF333" i="31" l="1"/>
  <c r="AL334" i="31"/>
  <c r="K333" i="31"/>
  <c r="AO333" i="31"/>
  <c r="AP333" i="31" s="1"/>
  <c r="R333" i="31"/>
  <c r="D333" i="31"/>
  <c r="Y333" i="31"/>
  <c r="AK334" i="31" l="1"/>
  <c r="AD334" i="31"/>
  <c r="W334" i="31"/>
  <c r="I334" i="31"/>
  <c r="AM334" i="31" s="1"/>
  <c r="P334" i="31"/>
  <c r="H335" i="31" l="1"/>
  <c r="O335" i="31"/>
  <c r="AN334" i="31"/>
  <c r="V335" i="31"/>
  <c r="AO334" i="31" l="1"/>
  <c r="AP334" i="31" s="1"/>
  <c r="R334" i="31"/>
  <c r="D334" i="31"/>
  <c r="K334" i="31"/>
  <c r="AJ335" i="31"/>
  <c r="AF334" i="31"/>
  <c r="AC335" i="31"/>
  <c r="AL335" i="31" s="1"/>
  <c r="Y334" i="31"/>
  <c r="AK335" i="31" l="1"/>
  <c r="AD335" i="31"/>
  <c r="W335" i="31"/>
  <c r="P335" i="31"/>
  <c r="I335" i="31"/>
  <c r="AM335" i="31" s="1"/>
  <c r="H336" i="31" l="1"/>
  <c r="AN335" i="31"/>
  <c r="O336" i="31"/>
  <c r="V336" i="31"/>
  <c r="AO335" i="31" l="1"/>
  <c r="AP335" i="31" s="1"/>
  <c r="R335" i="31"/>
  <c r="K335" i="31"/>
  <c r="D335" i="31"/>
  <c r="AJ336" i="31"/>
  <c r="AF335" i="31"/>
  <c r="AC336" i="31"/>
  <c r="AL336" i="31" s="1"/>
  <c r="Y335" i="31"/>
  <c r="AK336" i="31" l="1"/>
  <c r="AD336" i="31"/>
  <c r="W336" i="31"/>
  <c r="P336" i="31"/>
  <c r="I336" i="31"/>
  <c r="AM336" i="31" s="1"/>
  <c r="H337" i="31" l="1"/>
  <c r="AJ337" i="31"/>
  <c r="O337" i="31"/>
  <c r="V337" i="31"/>
  <c r="AN336" i="31" l="1"/>
  <c r="AC337" i="31"/>
  <c r="AF336" i="31" l="1"/>
  <c r="AL337" i="31"/>
  <c r="R336" i="31"/>
  <c r="Y336" i="31"/>
  <c r="D336" i="31"/>
  <c r="K336" i="31"/>
  <c r="AO336" i="31"/>
  <c r="AP336" i="31" s="1"/>
  <c r="AK337" i="31" l="1"/>
  <c r="AD337" i="31"/>
  <c r="I337" i="31"/>
  <c r="AM337" i="31" s="1"/>
  <c r="P337" i="31"/>
  <c r="O338" i="31" s="1"/>
  <c r="W337" i="31"/>
  <c r="V338" i="31" s="1"/>
  <c r="H338" i="31" l="1"/>
  <c r="AJ338" i="31"/>
  <c r="AC338" i="31"/>
  <c r="AN337" i="31" l="1"/>
  <c r="D337" i="31" l="1"/>
  <c r="AL338" i="31"/>
  <c r="AF337" i="31"/>
  <c r="Y337" i="31"/>
  <c r="R337" i="31"/>
  <c r="AO337" i="31"/>
  <c r="AP337" i="31" s="1"/>
  <c r="K337" i="31"/>
  <c r="AK338" i="31" l="1"/>
  <c r="W338" i="31"/>
  <c r="V339" i="31" s="1"/>
  <c r="AD338" i="31"/>
  <c r="I338" i="31"/>
  <c r="P338" i="31"/>
  <c r="AM338" i="31" l="1"/>
  <c r="AC339" i="31"/>
  <c r="H339" i="31"/>
  <c r="AJ339" i="31"/>
  <c r="O339" i="31"/>
  <c r="AN338" i="31" l="1"/>
  <c r="AF338" i="31" l="1"/>
  <c r="AL339" i="31"/>
  <c r="D338" i="31"/>
  <c r="Y338" i="31"/>
  <c r="AO338" i="31"/>
  <c r="AP338" i="31" s="1"/>
  <c r="R338" i="31"/>
  <c r="K338" i="31"/>
  <c r="AK339" i="31" l="1"/>
  <c r="AD339" i="31"/>
  <c r="P339" i="31"/>
  <c r="W339" i="31"/>
  <c r="V340" i="31" s="1"/>
  <c r="I339" i="31"/>
  <c r="AM339" i="31" s="1"/>
  <c r="H340" i="31" l="1"/>
  <c r="O340" i="31"/>
  <c r="AN339" i="31" l="1"/>
  <c r="AJ340" i="31"/>
  <c r="AC340" i="31"/>
  <c r="AO339" i="31" l="1"/>
  <c r="AP339" i="31" s="1"/>
  <c r="AL340" i="31"/>
  <c r="AF339" i="31"/>
  <c r="R339" i="31"/>
  <c r="Y339" i="31"/>
  <c r="K339" i="31"/>
  <c r="D339" i="31"/>
  <c r="AD340" i="31" l="1"/>
  <c r="I340" i="31"/>
  <c r="H341" i="31" s="1"/>
  <c r="P340" i="31"/>
  <c r="AK340" i="31"/>
  <c r="AJ341" i="31" s="1"/>
  <c r="W340" i="31"/>
  <c r="V341" i="31" s="1"/>
  <c r="AM340" i="31" l="1"/>
  <c r="O341" i="31"/>
  <c r="AN340" i="31"/>
  <c r="AC341" i="31"/>
  <c r="K340" i="31" l="1"/>
  <c r="AL341" i="31"/>
  <c r="I341" i="31" s="1"/>
  <c r="Y340" i="31"/>
  <c r="D340" i="31"/>
  <c r="AF340" i="31"/>
  <c r="AO340" i="31"/>
  <c r="AP340" i="31" s="1"/>
  <c r="R340" i="31"/>
  <c r="AK341" i="31" l="1"/>
  <c r="W341" i="31"/>
  <c r="V342" i="31" s="1"/>
  <c r="AD341" i="31"/>
  <c r="AC342" i="31" s="1"/>
  <c r="P341" i="31"/>
  <c r="O342" i="31" s="1"/>
  <c r="H342" i="31"/>
  <c r="AM341" i="31" l="1"/>
  <c r="AN341" i="31"/>
  <c r="Y341" i="31" l="1"/>
  <c r="R341" i="31"/>
  <c r="D341" i="31"/>
  <c r="AF341" i="31"/>
  <c r="K341" i="31"/>
  <c r="AO341" i="31"/>
  <c r="AP341" i="31" s="1"/>
  <c r="AJ342" i="31"/>
  <c r="AL342" i="31" s="1"/>
  <c r="AK342" i="31" l="1"/>
  <c r="P342" i="31"/>
  <c r="AD342" i="31"/>
  <c r="W342" i="31"/>
  <c r="I342" i="31"/>
  <c r="AM342" i="31" s="1"/>
  <c r="O343" i="31"/>
  <c r="V343" i="31"/>
  <c r="H343" i="31" l="1"/>
  <c r="AN342" i="31"/>
  <c r="AC343" i="31"/>
  <c r="AJ343" i="31"/>
  <c r="Y342" i="31" l="1"/>
  <c r="AL343" i="31"/>
  <c r="AF342" i="31"/>
  <c r="D342" i="31"/>
  <c r="AO342" i="31"/>
  <c r="AP342" i="31" s="1"/>
  <c r="R342" i="31"/>
  <c r="K342" i="31"/>
  <c r="AK343" i="31" l="1"/>
  <c r="AD343" i="31"/>
  <c r="W343" i="31"/>
  <c r="P343" i="31"/>
  <c r="I343" i="31"/>
  <c r="AM343" i="31" s="1"/>
  <c r="AN343" i="31" l="1"/>
  <c r="O344" i="31"/>
  <c r="H344" i="31"/>
  <c r="V344" i="31"/>
  <c r="AO343" i="31" l="1"/>
  <c r="AP343" i="31" s="1"/>
  <c r="R343" i="31"/>
  <c r="K343" i="31"/>
  <c r="D343" i="31"/>
  <c r="AC344" i="31"/>
  <c r="AL344" i="31" s="1"/>
  <c r="Y343" i="31"/>
  <c r="AJ344" i="31"/>
  <c r="AF343" i="31"/>
  <c r="AK344" i="31" l="1"/>
  <c r="AD344" i="31"/>
  <c r="W344" i="31"/>
  <c r="P344" i="31"/>
  <c r="I344" i="31"/>
  <c r="AM344" i="31" s="1"/>
  <c r="H345" i="31" l="1"/>
  <c r="O345" i="31"/>
  <c r="V345" i="31"/>
  <c r="AJ345" i="31" l="1"/>
  <c r="AN344" i="31"/>
  <c r="AC345" i="31"/>
  <c r="Y344" i="31" l="1"/>
  <c r="AL345" i="31"/>
  <c r="AO344" i="31"/>
  <c r="AP344" i="31" s="1"/>
  <c r="R344" i="31"/>
  <c r="D344" i="31"/>
  <c r="K344" i="31"/>
  <c r="AF344" i="31"/>
  <c r="AK345" i="31" l="1"/>
  <c r="AD345" i="31"/>
  <c r="W345" i="31"/>
  <c r="P345" i="31"/>
  <c r="I345" i="31"/>
  <c r="AM345" i="31" s="1"/>
  <c r="H346" i="31" l="1"/>
  <c r="AN345" i="31"/>
  <c r="O346" i="31"/>
  <c r="V346" i="31"/>
  <c r="AO345" i="31" l="1"/>
  <c r="AP345" i="31" s="1"/>
  <c r="R345" i="31"/>
  <c r="D345" i="31"/>
  <c r="K345" i="31"/>
  <c r="AJ346" i="31"/>
  <c r="AF345" i="31"/>
  <c r="AC346" i="31"/>
  <c r="AL346" i="31" s="1"/>
  <c r="Y345" i="31"/>
  <c r="AK346" i="31" l="1"/>
  <c r="AD346" i="31"/>
  <c r="W346" i="31"/>
  <c r="I346" i="31"/>
  <c r="AM346" i="31" s="1"/>
  <c r="P346" i="31"/>
  <c r="AJ347" i="31" l="1"/>
  <c r="O347" i="31"/>
  <c r="H347" i="31"/>
  <c r="V347" i="31"/>
  <c r="AN346" i="31" l="1"/>
  <c r="AC347" i="31"/>
  <c r="AF346" i="31" l="1"/>
  <c r="AL347" i="31"/>
  <c r="I347" i="31" s="1"/>
  <c r="D346" i="31"/>
  <c r="R346" i="31"/>
  <c r="Y346" i="31"/>
  <c r="K346" i="31"/>
  <c r="AO346" i="31"/>
  <c r="AP346" i="31" s="1"/>
  <c r="W347" i="31"/>
  <c r="AK347" i="31" l="1"/>
  <c r="AD347" i="31"/>
  <c r="P347" i="31"/>
  <c r="AM347" i="31" s="1"/>
  <c r="H348" i="31"/>
  <c r="V348" i="31"/>
  <c r="AN347" i="31" l="1"/>
  <c r="O348" i="31"/>
  <c r="AC348" i="31"/>
  <c r="AJ348" i="31"/>
  <c r="AF347" i="31" l="1"/>
  <c r="AL348" i="31"/>
  <c r="W348" i="31" s="1"/>
  <c r="Y347" i="31"/>
  <c r="K347" i="31"/>
  <c r="D347" i="31"/>
  <c r="R347" i="31"/>
  <c r="AO347" i="31"/>
  <c r="AP347" i="31" s="1"/>
  <c r="AD348" i="31"/>
  <c r="I348" i="31" l="1"/>
  <c r="H349" i="31" s="1"/>
  <c r="AK348" i="31"/>
  <c r="P348" i="31"/>
  <c r="V349" i="31"/>
  <c r="AM348" i="31" l="1"/>
  <c r="AN348" i="31"/>
  <c r="O349" i="31"/>
  <c r="AJ349" i="31"/>
  <c r="AC349" i="31"/>
  <c r="Y348" i="31" l="1"/>
  <c r="AL349" i="31"/>
  <c r="AD349" i="31" s="1"/>
  <c r="K348" i="31"/>
  <c r="D348" i="31"/>
  <c r="AF348" i="31"/>
  <c r="R348" i="31"/>
  <c r="AK349" i="31"/>
  <c r="AO348" i="31"/>
  <c r="AP348" i="31" s="1"/>
  <c r="W349" i="31" l="1"/>
  <c r="V350" i="31" s="1"/>
  <c r="I349" i="31"/>
  <c r="H350" i="31" s="1"/>
  <c r="P349" i="31"/>
  <c r="AM349" i="31" s="1"/>
  <c r="O350" i="31" l="1"/>
  <c r="AN349" i="31"/>
  <c r="AJ350" i="31"/>
  <c r="AC350" i="31"/>
  <c r="Y349" i="31"/>
  <c r="AF349" i="31" l="1"/>
  <c r="AL350" i="31"/>
  <c r="P350" i="31" s="1"/>
  <c r="D349" i="31"/>
  <c r="K349" i="31"/>
  <c r="R349" i="31"/>
  <c r="AO349" i="31"/>
  <c r="AP349" i="31" s="1"/>
  <c r="AD350" i="31"/>
  <c r="W350" i="31"/>
  <c r="AK350" i="31" l="1"/>
  <c r="I350" i="31"/>
  <c r="H351" i="31" s="1"/>
  <c r="O351" i="31"/>
  <c r="V351" i="31"/>
  <c r="AM350" i="31" l="1"/>
  <c r="AN350" i="31"/>
  <c r="AC351" i="31"/>
  <c r="AJ351" i="31"/>
  <c r="AF350" i="31" l="1"/>
  <c r="AL351" i="31"/>
  <c r="AK351" i="31" s="1"/>
  <c r="Y350" i="31"/>
  <c r="AO350" i="31"/>
  <c r="AP350" i="31" s="1"/>
  <c r="D350" i="31"/>
  <c r="K350" i="31"/>
  <c r="R350" i="31"/>
  <c r="AD351" i="31" l="1"/>
  <c r="W351" i="31"/>
  <c r="I351" i="31"/>
  <c r="AM351" i="31" s="1"/>
  <c r="P351" i="31"/>
  <c r="O352" i="31" l="1"/>
  <c r="H352" i="31"/>
  <c r="V352" i="31"/>
  <c r="AC352" i="31" l="1"/>
  <c r="AN351" i="31"/>
  <c r="AJ352" i="31"/>
  <c r="Y351" i="31" l="1"/>
  <c r="AL352" i="31"/>
  <c r="AF351" i="31"/>
  <c r="AO351" i="31"/>
  <c r="AP351" i="31" s="1"/>
  <c r="R351" i="31"/>
  <c r="K351" i="31"/>
  <c r="D351" i="31"/>
  <c r="AK352" i="31" l="1"/>
  <c r="AD352" i="31"/>
  <c r="W352" i="31"/>
  <c r="I352" i="31"/>
  <c r="AM352" i="31" s="1"/>
  <c r="P352" i="31"/>
  <c r="H353" i="31" l="1"/>
  <c r="AN352" i="31"/>
  <c r="O353" i="31"/>
  <c r="V353" i="31"/>
  <c r="AO352" i="31" l="1"/>
  <c r="AP352" i="31" s="1"/>
  <c r="R352" i="31"/>
  <c r="D352" i="31"/>
  <c r="K352" i="31"/>
  <c r="AC353" i="31"/>
  <c r="AL353" i="31" s="1"/>
  <c r="Y352" i="31"/>
  <c r="AJ353" i="31"/>
  <c r="AF352" i="31"/>
  <c r="AK353" i="31" l="1"/>
  <c r="AD353" i="31"/>
  <c r="W353" i="31"/>
  <c r="P353" i="31"/>
  <c r="I353" i="31"/>
  <c r="AM353" i="31" s="1"/>
  <c r="O354" i="31" l="1"/>
  <c r="H354" i="31"/>
  <c r="V354" i="31"/>
  <c r="AN353" i="31" l="1"/>
  <c r="AC354" i="31"/>
  <c r="AJ354" i="31"/>
  <c r="AF353" i="31" l="1"/>
  <c r="AL354" i="31"/>
  <c r="Y353" i="31"/>
  <c r="AO353" i="31"/>
  <c r="AP353" i="31" s="1"/>
  <c r="K353" i="31"/>
  <c r="D353" i="31"/>
  <c r="R353" i="31"/>
  <c r="AK354" i="31" l="1"/>
  <c r="AD354" i="31"/>
  <c r="W354" i="31"/>
  <c r="I354" i="31"/>
  <c r="AM354" i="31" s="1"/>
  <c r="P354" i="31"/>
  <c r="AN354" i="31" l="1"/>
  <c r="O355" i="31"/>
  <c r="H355" i="31"/>
  <c r="V355" i="31"/>
  <c r="AO354" i="31" l="1"/>
  <c r="AP354" i="31" s="1"/>
  <c r="R354" i="31"/>
  <c r="K354" i="31"/>
  <c r="D354" i="31"/>
  <c r="AC355" i="31"/>
  <c r="AL355" i="31" s="1"/>
  <c r="Y354" i="31"/>
  <c r="AJ355" i="31"/>
  <c r="AF354" i="31"/>
  <c r="AK355" i="31" l="1"/>
  <c r="AD355" i="31"/>
  <c r="W355" i="31"/>
  <c r="I355" i="31"/>
  <c r="AM355" i="31" s="1"/>
  <c r="P355" i="31"/>
  <c r="H356" i="31" l="1"/>
  <c r="O356" i="31"/>
  <c r="V356" i="31"/>
  <c r="AC356" i="31" l="1"/>
  <c r="AJ356" i="31"/>
  <c r="AN355" i="31"/>
  <c r="AF355" i="31" l="1"/>
  <c r="AL356" i="31"/>
  <c r="AO355" i="31"/>
  <c r="AP355" i="31" s="1"/>
  <c r="R355" i="31"/>
  <c r="D355" i="31"/>
  <c r="K355" i="31"/>
  <c r="Y355" i="31"/>
  <c r="AK356" i="31" l="1"/>
  <c r="AD356" i="31"/>
  <c r="W356" i="31"/>
  <c r="I356" i="31"/>
  <c r="AM356" i="31" s="1"/>
  <c r="P356" i="31"/>
  <c r="H357" i="31" l="1"/>
  <c r="O357" i="31"/>
  <c r="V357" i="31"/>
  <c r="AC357" i="31" l="1"/>
  <c r="AJ357" i="31"/>
  <c r="AN356" i="31"/>
  <c r="AL357" i="31" l="1"/>
  <c r="AO356" i="31"/>
  <c r="AP356" i="31" s="1"/>
  <c r="R356" i="31"/>
  <c r="D356" i="31"/>
  <c r="K356" i="31"/>
  <c r="Y356" i="31"/>
  <c r="AF356" i="31"/>
  <c r="AK357" i="31" l="1"/>
  <c r="AD357" i="31"/>
  <c r="W357" i="31"/>
  <c r="P357" i="31"/>
  <c r="I357" i="31"/>
  <c r="AM357" i="31" s="1"/>
  <c r="O358" i="31" l="1"/>
  <c r="H358" i="31"/>
  <c r="V358" i="31"/>
  <c r="AC358" i="31" l="1"/>
  <c r="AN357" i="31"/>
  <c r="AJ358" i="31"/>
  <c r="AL358" i="31" l="1"/>
  <c r="AO357" i="31"/>
  <c r="AP357" i="31" s="1"/>
  <c r="R357" i="31"/>
  <c r="K357" i="31"/>
  <c r="D357" i="31"/>
  <c r="AF357" i="31"/>
  <c r="Y357" i="31"/>
  <c r="AK358" i="31" l="1"/>
  <c r="AD358" i="31"/>
  <c r="W358" i="31"/>
  <c r="I358" i="31"/>
  <c r="AM358" i="31" s="1"/>
  <c r="P358" i="31"/>
  <c r="H359" i="31" l="1"/>
  <c r="O359" i="31"/>
  <c r="V359" i="31"/>
  <c r="AC359" i="31" l="1"/>
  <c r="AJ359" i="31"/>
  <c r="AN358" i="31"/>
  <c r="AF358" i="31" l="1"/>
  <c r="AL359" i="31"/>
  <c r="AO358" i="31"/>
  <c r="AP358" i="31" s="1"/>
  <c r="R358" i="31"/>
  <c r="D358" i="31"/>
  <c r="K358" i="31"/>
  <c r="Y358" i="31"/>
  <c r="AK359" i="31" l="1"/>
  <c r="AD359" i="31"/>
  <c r="W359" i="31"/>
  <c r="I359" i="31"/>
  <c r="AM359" i="31" s="1"/>
  <c r="P359" i="31"/>
  <c r="AJ360" i="31" l="1"/>
  <c r="O360" i="31"/>
  <c r="H360" i="31"/>
  <c r="V360" i="31"/>
  <c r="AN359" i="31" l="1"/>
  <c r="AC360" i="31"/>
  <c r="AF359" i="31" l="1"/>
  <c r="AL360" i="31"/>
  <c r="Y359" i="31"/>
  <c r="D359" i="31"/>
  <c r="K359" i="31"/>
  <c r="R359" i="31"/>
  <c r="AO359" i="31"/>
  <c r="AP359" i="31" s="1"/>
  <c r="AK360" i="31" l="1"/>
  <c r="AD360" i="31"/>
  <c r="W360" i="31"/>
  <c r="V361" i="31" s="1"/>
  <c r="I360" i="31"/>
  <c r="H361" i="31" s="1"/>
  <c r="P360" i="31"/>
  <c r="AM360" i="31" l="1"/>
  <c r="O361" i="31"/>
  <c r="AC361" i="31"/>
  <c r="AJ361" i="31"/>
  <c r="AN360" i="31"/>
  <c r="AF360" i="31" l="1"/>
  <c r="AL361" i="31"/>
  <c r="AO360" i="31"/>
  <c r="AP360" i="31" s="1"/>
  <c r="AK361" i="31"/>
  <c r="R360" i="31"/>
  <c r="D360" i="31"/>
  <c r="K360" i="31"/>
  <c r="Y360" i="31"/>
  <c r="AD361" i="31" l="1"/>
  <c r="W361" i="31"/>
  <c r="I361" i="31"/>
  <c r="AM361" i="31" s="1"/>
  <c r="P361" i="31"/>
  <c r="H362" i="31" l="1"/>
  <c r="AN361" i="31"/>
  <c r="O362" i="31"/>
  <c r="V362" i="31"/>
  <c r="AO361" i="31" l="1"/>
  <c r="AP361" i="31" s="1"/>
  <c r="R361" i="31"/>
  <c r="D361" i="31"/>
  <c r="K361" i="31"/>
  <c r="AJ362" i="31"/>
  <c r="AF361" i="31"/>
  <c r="AC362" i="31"/>
  <c r="AL362" i="31" s="1"/>
  <c r="Y361" i="31"/>
  <c r="AK362" i="31" l="1"/>
  <c r="AD362" i="31"/>
  <c r="W362" i="31"/>
  <c r="P362" i="31"/>
  <c r="I362" i="31"/>
  <c r="AM362" i="31" s="1"/>
  <c r="H363" i="31" l="1"/>
  <c r="O363" i="31"/>
  <c r="V363" i="31"/>
  <c r="AN362" i="31" l="1"/>
  <c r="AJ363" i="31"/>
  <c r="AC363" i="31"/>
  <c r="AF362" i="31" l="1"/>
  <c r="AL363" i="31"/>
  <c r="Y362" i="31"/>
  <c r="AO362" i="31"/>
  <c r="AP362" i="31" s="1"/>
  <c r="D362" i="31"/>
  <c r="K362" i="31"/>
  <c r="R362" i="31"/>
  <c r="AK363" i="31" l="1"/>
  <c r="AD363" i="31"/>
  <c r="W363" i="31"/>
  <c r="P363" i="31"/>
  <c r="I363" i="31"/>
  <c r="AM363" i="31" s="1"/>
  <c r="AJ364" i="31" l="1"/>
  <c r="O364" i="31"/>
  <c r="H364" i="31"/>
  <c r="V364" i="31"/>
  <c r="AN363" i="31" l="1"/>
  <c r="AC364" i="31"/>
  <c r="AF363" i="31" l="1"/>
  <c r="AL364" i="31"/>
  <c r="K363" i="31"/>
  <c r="Y363" i="31"/>
  <c r="D363" i="31"/>
  <c r="R363" i="31"/>
  <c r="AO363" i="31"/>
  <c r="AP363" i="31" s="1"/>
  <c r="AK364" i="31" l="1"/>
  <c r="P364" i="31"/>
  <c r="O365" i="31" s="1"/>
  <c r="W364" i="31"/>
  <c r="V365" i="31" s="1"/>
  <c r="AD364" i="31"/>
  <c r="I364" i="31"/>
  <c r="AM364" i="31" s="1"/>
  <c r="H365" i="31" l="1"/>
  <c r="AJ365" i="31"/>
  <c r="AN364" i="31"/>
  <c r="AC365" i="31"/>
  <c r="AF364" i="31" l="1"/>
  <c r="AL365" i="31"/>
  <c r="Y364" i="31"/>
  <c r="AO364" i="31"/>
  <c r="AP364" i="31" s="1"/>
  <c r="R364" i="31"/>
  <c r="K364" i="31"/>
  <c r="D364" i="31"/>
  <c r="AK365" i="31" l="1"/>
  <c r="AD365" i="31"/>
  <c r="W365" i="31"/>
  <c r="I365" i="31"/>
  <c r="AM365" i="31" s="1"/>
  <c r="P365" i="31"/>
  <c r="AN365" i="31" l="1"/>
  <c r="O366" i="31"/>
  <c r="H366" i="31"/>
  <c r="V366" i="31"/>
  <c r="AO365" i="31" l="1"/>
  <c r="AP365" i="31" s="1"/>
  <c r="R365" i="31"/>
  <c r="D365" i="31"/>
  <c r="K365" i="31"/>
  <c r="AC366" i="31"/>
  <c r="AL366" i="31" s="1"/>
  <c r="Y365" i="31"/>
  <c r="AJ366" i="31"/>
  <c r="AF365" i="31"/>
  <c r="AK366" i="31" l="1"/>
  <c r="AD366" i="31"/>
  <c r="W366" i="31"/>
  <c r="P366" i="31"/>
  <c r="I366" i="31"/>
  <c r="AM366" i="31" s="1"/>
  <c r="H367" i="31" l="1"/>
  <c r="AJ367" i="31"/>
  <c r="O367" i="31"/>
  <c r="V367" i="31"/>
  <c r="AN366" i="31" l="1"/>
  <c r="AC367" i="31"/>
  <c r="AF366" i="31" l="1"/>
  <c r="AL367" i="31"/>
  <c r="Y366" i="31"/>
  <c r="K366" i="31"/>
  <c r="D366" i="31"/>
  <c r="R366" i="31"/>
  <c r="AO366" i="31"/>
  <c r="AP366" i="31" s="1"/>
  <c r="P367" i="31"/>
  <c r="AK367" i="31" l="1"/>
  <c r="I367" i="31"/>
  <c r="H368" i="31" s="1"/>
  <c r="AD367" i="31"/>
  <c r="W367" i="31"/>
  <c r="AM367" i="31" s="1"/>
  <c r="O368" i="31"/>
  <c r="V368" i="31" l="1"/>
  <c r="AN367" i="31"/>
  <c r="AC368" i="31"/>
  <c r="AJ368" i="31"/>
  <c r="Y367" i="31" l="1"/>
  <c r="AL368" i="31"/>
  <c r="AM368" i="31" s="1"/>
  <c r="AF367" i="31"/>
  <c r="AJ369" i="31"/>
  <c r="AC369" i="31"/>
  <c r="AN368" i="31"/>
  <c r="AO367" i="31"/>
  <c r="AP367" i="31" s="1"/>
  <c r="D367" i="31"/>
  <c r="K367" i="31"/>
  <c r="R367" i="31"/>
  <c r="AF368" i="31" l="1"/>
  <c r="AL369" i="31"/>
  <c r="Y368" i="31"/>
  <c r="AO368" i="31"/>
  <c r="AP368" i="31" s="1"/>
  <c r="K368" i="31"/>
  <c r="R368" i="31"/>
  <c r="AK369" i="31"/>
  <c r="D368" i="31"/>
  <c r="AM369" i="31" l="1"/>
  <c r="AD369" i="31"/>
  <c r="W369" i="31"/>
  <c r="I369" i="31"/>
  <c r="P369" i="31"/>
  <c r="AJ370" i="31" l="1"/>
  <c r="O370" i="31"/>
  <c r="H370" i="31"/>
  <c r="V370" i="31"/>
  <c r="AN369" i="31" l="1"/>
  <c r="AC370" i="31"/>
  <c r="AF369" i="31" l="1"/>
  <c r="AL370" i="31"/>
  <c r="R369" i="31"/>
  <c r="Y369" i="31"/>
  <c r="D369" i="31"/>
  <c r="AO369" i="31"/>
  <c r="AP369" i="31" s="1"/>
  <c r="K369" i="31"/>
  <c r="P370" i="31"/>
  <c r="AK370" i="31" l="1"/>
  <c r="AJ371" i="31" s="1"/>
  <c r="AM370" i="31"/>
  <c r="W370" i="31"/>
  <c r="V371" i="31" s="1"/>
  <c r="AD370" i="31"/>
  <c r="I370" i="31"/>
  <c r="O371" i="31"/>
  <c r="H371" i="31" l="1"/>
  <c r="AN370" i="31"/>
  <c r="AC371" i="31"/>
  <c r="AF370" i="31" l="1"/>
  <c r="AL371" i="31"/>
  <c r="Y370" i="31"/>
  <c r="D370" i="31"/>
  <c r="K370" i="31"/>
  <c r="R370" i="31"/>
  <c r="AO370" i="31"/>
  <c r="AP370" i="31" s="1"/>
  <c r="AK371" i="31" l="1"/>
  <c r="AM371" i="31"/>
  <c r="I371" i="31"/>
  <c r="H372" i="31" s="1"/>
  <c r="W371" i="31"/>
  <c r="V372" i="31" s="1"/>
  <c r="AD371" i="31"/>
  <c r="P371" i="31"/>
  <c r="O372" i="31" l="1"/>
  <c r="AN371" i="31"/>
  <c r="AC372" i="31"/>
  <c r="AJ372" i="31"/>
  <c r="Y371" i="31" l="1"/>
  <c r="AL372" i="31"/>
  <c r="AF371" i="31"/>
  <c r="AO371" i="31"/>
  <c r="AP371" i="31" s="1"/>
  <c r="D371" i="31"/>
  <c r="K371" i="31"/>
  <c r="R371" i="31"/>
  <c r="AK372" i="31" l="1"/>
  <c r="AM372" i="31"/>
  <c r="AD372" i="31"/>
  <c r="W372" i="31"/>
  <c r="I372" i="31"/>
  <c r="P372" i="31"/>
  <c r="O373" i="31" l="1"/>
  <c r="H373" i="31"/>
  <c r="V373" i="31"/>
  <c r="AC373" i="31" l="1"/>
  <c r="AN372" i="31"/>
  <c r="AJ373" i="31"/>
  <c r="AF372" i="31" l="1"/>
  <c r="AL373" i="31"/>
  <c r="AO372" i="31"/>
  <c r="AP372" i="31" s="1"/>
  <c r="R372" i="31"/>
  <c r="K372" i="31"/>
  <c r="D372" i="31"/>
  <c r="Y372" i="31"/>
  <c r="AK373" i="31" l="1"/>
  <c r="AM373" i="31"/>
  <c r="AD373" i="31"/>
  <c r="W373" i="31"/>
  <c r="I373" i="31"/>
  <c r="P373" i="31"/>
  <c r="H374" i="31" l="1"/>
  <c r="O374" i="31"/>
  <c r="V374" i="31"/>
  <c r="AJ374" i="31" l="1"/>
  <c r="AN373" i="31"/>
  <c r="AC374" i="31"/>
  <c r="AF373" i="31" l="1"/>
  <c r="AL374" i="31"/>
  <c r="Y373" i="31"/>
  <c r="AO373" i="31"/>
  <c r="AP373" i="31" s="1"/>
  <c r="R373" i="31"/>
  <c r="D373" i="31"/>
  <c r="K373" i="31"/>
  <c r="AK374" i="31" l="1"/>
  <c r="AM374" i="31"/>
  <c r="AD374" i="31"/>
  <c r="W374" i="31"/>
  <c r="I374" i="31"/>
  <c r="P374" i="31"/>
  <c r="H375" i="31" l="1"/>
  <c r="O375" i="31"/>
  <c r="V375" i="31"/>
  <c r="AC375" i="31" l="1"/>
  <c r="AJ375" i="31"/>
  <c r="AN374" i="31"/>
  <c r="AL375" i="31" l="1"/>
  <c r="AO374" i="31"/>
  <c r="AP374" i="31" s="1"/>
  <c r="R374" i="31"/>
  <c r="D374" i="31"/>
  <c r="K374" i="31"/>
  <c r="Y374" i="31"/>
  <c r="AF374" i="31"/>
  <c r="AK375" i="31" l="1"/>
  <c r="AM375" i="31"/>
  <c r="AD375" i="31"/>
  <c r="W375" i="31"/>
  <c r="I375" i="31"/>
  <c r="P375" i="31"/>
  <c r="O376" i="31" l="1"/>
  <c r="H376" i="31"/>
  <c r="V376" i="31"/>
  <c r="AC376" i="31" l="1"/>
  <c r="AN375" i="31"/>
  <c r="AJ376" i="31"/>
  <c r="Y375" i="31" l="1"/>
  <c r="AL376" i="31"/>
  <c r="AF375" i="31"/>
  <c r="AO375" i="31"/>
  <c r="AP375" i="31" s="1"/>
  <c r="R375" i="31"/>
  <c r="K375" i="31"/>
  <c r="D375" i="31"/>
  <c r="AK376" i="31" l="1"/>
  <c r="AM376" i="31"/>
  <c r="AD376" i="31"/>
  <c r="W376" i="31"/>
  <c r="I376" i="31"/>
  <c r="P376" i="31"/>
  <c r="AN376" i="31" l="1"/>
  <c r="O377" i="31"/>
  <c r="H377" i="31"/>
  <c r="V377" i="31"/>
  <c r="AO376" i="31" l="1"/>
  <c r="AP376" i="31" s="1"/>
  <c r="R376" i="31"/>
  <c r="K376" i="31"/>
  <c r="D376" i="31"/>
  <c r="AC377" i="31"/>
  <c r="Y376" i="31"/>
  <c r="AJ377" i="31"/>
  <c r="AF376" i="31"/>
  <c r="AL377" i="31" l="1"/>
  <c r="AM377" i="31" s="1"/>
  <c r="P377" i="31" l="1"/>
  <c r="O378" i="31" s="1"/>
  <c r="I377" i="31"/>
  <c r="H378" i="31" s="1"/>
  <c r="W377" i="31"/>
  <c r="V378" i="31" s="1"/>
  <c r="AD377" i="31"/>
  <c r="AK377" i="31"/>
  <c r="AC378" i="31" l="1"/>
  <c r="AN377" i="31"/>
  <c r="AJ378" i="31"/>
  <c r="AF377" i="31" l="1"/>
  <c r="AL378" i="31"/>
  <c r="AO377" i="31"/>
  <c r="AP377" i="31" s="1"/>
  <c r="R377" i="31"/>
  <c r="K377" i="31"/>
  <c r="D377" i="31"/>
  <c r="Y377" i="31"/>
  <c r="AK378" i="31" l="1"/>
  <c r="AM378" i="31"/>
  <c r="AD378" i="31"/>
  <c r="W378" i="31"/>
  <c r="I378" i="31"/>
  <c r="P378" i="31"/>
  <c r="H379" i="31" l="1"/>
  <c r="AN378" i="31"/>
  <c r="O379" i="31"/>
  <c r="V379" i="31"/>
  <c r="AO378" i="31" l="1"/>
  <c r="AP378" i="31" s="1"/>
  <c r="R378" i="31"/>
  <c r="D378" i="31"/>
  <c r="K378" i="31"/>
  <c r="AC379" i="31"/>
  <c r="Y378" i="31"/>
  <c r="AJ379" i="31"/>
  <c r="AF378" i="31"/>
  <c r="AL379" i="31" l="1"/>
  <c r="AM379" i="31" s="1"/>
  <c r="W379" i="31" l="1"/>
  <c r="V380" i="31" s="1"/>
  <c r="P379" i="31"/>
  <c r="O380" i="31" s="1"/>
  <c r="AD379" i="31"/>
  <c r="I379" i="31"/>
  <c r="H380" i="31" s="1"/>
  <c r="AK379" i="31"/>
  <c r="AJ380" i="31" l="1"/>
  <c r="AN379" i="31"/>
  <c r="AC380" i="31"/>
  <c r="AL380" i="31" l="1"/>
  <c r="AO379" i="31"/>
  <c r="AP379" i="31" s="1"/>
  <c r="R379" i="31"/>
  <c r="D379" i="31"/>
  <c r="K379" i="31"/>
  <c r="Y379" i="31"/>
  <c r="AF379" i="31"/>
  <c r="AK380" i="31" l="1"/>
  <c r="AM380" i="31"/>
  <c r="AD380" i="31"/>
  <c r="W380" i="31"/>
  <c r="I380" i="31"/>
  <c r="P380" i="31"/>
  <c r="AN380" i="31" l="1"/>
  <c r="Y380" i="31" s="1"/>
  <c r="AO380" i="31" l="1"/>
  <c r="AP380" i="31" s="1"/>
  <c r="R380" i="31"/>
  <c r="K380" i="31"/>
  <c r="D380" i="31"/>
  <c r="AF380" i="31"/>
  <c r="AC4" i="25" l="1"/>
  <c r="AA4" i="25"/>
  <c r="Q4" i="25"/>
  <c r="L4" i="25"/>
  <c r="G4" i="25"/>
  <c r="AA125" i="25" l="1"/>
  <c r="AA3" i="25"/>
  <c r="Z3" i="25"/>
  <c r="V369" i="25"/>
  <c r="U370" i="25" s="1"/>
  <c r="V248" i="25"/>
  <c r="U248" i="25"/>
  <c r="Q369" i="25"/>
  <c r="P370" i="25" s="1"/>
  <c r="Q248" i="25"/>
  <c r="P249" i="25" s="1"/>
  <c r="Q125" i="25"/>
  <c r="Q3" i="25"/>
  <c r="P3" i="25"/>
  <c r="L369" i="25"/>
  <c r="K370" i="25" s="1"/>
  <c r="L248" i="25"/>
  <c r="K249" i="25" s="1"/>
  <c r="L125" i="25"/>
  <c r="L3" i="25"/>
  <c r="K3" i="25"/>
  <c r="G369" i="25"/>
  <c r="G248" i="25"/>
  <c r="G125" i="25"/>
  <c r="F126" i="25" s="1"/>
  <c r="F3" i="25"/>
  <c r="G3" i="25"/>
  <c r="AJ381" i="25"/>
  <c r="AI381" i="25"/>
  <c r="AH381" i="25"/>
  <c r="AG381" i="25"/>
  <c r="Z381" i="25"/>
  <c r="AJ380" i="25"/>
  <c r="AI380" i="25"/>
  <c r="AH380" i="25"/>
  <c r="AG380" i="25"/>
  <c r="Z380" i="25"/>
  <c r="AJ379" i="25"/>
  <c r="AI379" i="25"/>
  <c r="AH379" i="25"/>
  <c r="AG379" i="25"/>
  <c r="Z379" i="25"/>
  <c r="AJ378" i="25"/>
  <c r="AI378" i="25"/>
  <c r="AH378" i="25"/>
  <c r="AG378" i="25"/>
  <c r="Z378" i="25"/>
  <c r="AJ377" i="25"/>
  <c r="AI377" i="25"/>
  <c r="AH377" i="25"/>
  <c r="AG377" i="25"/>
  <c r="Z377" i="25"/>
  <c r="AJ376" i="25"/>
  <c r="AI376" i="25"/>
  <c r="AH376" i="25"/>
  <c r="AG376" i="25"/>
  <c r="Z376" i="25"/>
  <c r="AJ375" i="25"/>
  <c r="AI375" i="25"/>
  <c r="AH375" i="25"/>
  <c r="AG375" i="25"/>
  <c r="Z375" i="25"/>
  <c r="AJ374" i="25"/>
  <c r="AI374" i="25"/>
  <c r="AH374" i="25"/>
  <c r="AG374" i="25"/>
  <c r="Z374" i="25"/>
  <c r="AJ373" i="25"/>
  <c r="AI373" i="25"/>
  <c r="AH373" i="25"/>
  <c r="AG373" i="25"/>
  <c r="Z373" i="25"/>
  <c r="AJ372" i="25"/>
  <c r="AI372" i="25"/>
  <c r="AH372" i="25"/>
  <c r="AG372" i="25"/>
  <c r="Z372" i="25"/>
  <c r="AJ371" i="25"/>
  <c r="AI371" i="25"/>
  <c r="AH371" i="25"/>
  <c r="AG371" i="25"/>
  <c r="Z371" i="25"/>
  <c r="AJ370" i="25"/>
  <c r="AI370" i="25"/>
  <c r="AH370" i="25"/>
  <c r="AG370" i="25"/>
  <c r="Z370" i="25"/>
  <c r="AJ369" i="25"/>
  <c r="AI369" i="25"/>
  <c r="AH369" i="25"/>
  <c r="AG369" i="25"/>
  <c r="Z369" i="25"/>
  <c r="AJ368" i="25"/>
  <c r="AI368" i="25"/>
  <c r="AH368" i="25"/>
  <c r="AG368" i="25"/>
  <c r="Z368" i="25"/>
  <c r="AJ367" i="25"/>
  <c r="AI367" i="25"/>
  <c r="AH367" i="25"/>
  <c r="AG367" i="25"/>
  <c r="Z367" i="25"/>
  <c r="AJ366" i="25"/>
  <c r="AI366" i="25"/>
  <c r="AH366" i="25"/>
  <c r="AG366" i="25"/>
  <c r="Z366" i="25"/>
  <c r="AJ365" i="25"/>
  <c r="AI365" i="25"/>
  <c r="AH365" i="25"/>
  <c r="AG365" i="25"/>
  <c r="Z365" i="25"/>
  <c r="AJ364" i="25"/>
  <c r="AI364" i="25"/>
  <c r="AH364" i="25"/>
  <c r="AG364" i="25"/>
  <c r="Z364" i="25"/>
  <c r="AJ363" i="25"/>
  <c r="AI363" i="25"/>
  <c r="AH363" i="25"/>
  <c r="AG363" i="25"/>
  <c r="Z363" i="25"/>
  <c r="AJ362" i="25"/>
  <c r="AI362" i="25"/>
  <c r="AH362" i="25"/>
  <c r="AG362" i="25"/>
  <c r="Z362" i="25"/>
  <c r="AJ361" i="25"/>
  <c r="AI361" i="25"/>
  <c r="AH361" i="25"/>
  <c r="AG361" i="25"/>
  <c r="Z361" i="25"/>
  <c r="AJ360" i="25"/>
  <c r="AI360" i="25"/>
  <c r="AH360" i="25"/>
  <c r="AG360" i="25"/>
  <c r="Z360" i="25"/>
  <c r="AJ359" i="25"/>
  <c r="AI359" i="25"/>
  <c r="AH359" i="25"/>
  <c r="AG359" i="25"/>
  <c r="Z359" i="25"/>
  <c r="AJ358" i="25"/>
  <c r="AI358" i="25"/>
  <c r="AH358" i="25"/>
  <c r="AG358" i="25"/>
  <c r="Z358" i="25"/>
  <c r="AJ357" i="25"/>
  <c r="AI357" i="25"/>
  <c r="AH357" i="25"/>
  <c r="AG357" i="25"/>
  <c r="Z357" i="25"/>
  <c r="AJ356" i="25"/>
  <c r="AI356" i="25"/>
  <c r="AH356" i="25"/>
  <c r="AG356" i="25"/>
  <c r="Z356" i="25"/>
  <c r="AJ355" i="25"/>
  <c r="AI355" i="25"/>
  <c r="AH355" i="25"/>
  <c r="AG355" i="25"/>
  <c r="Z355" i="25"/>
  <c r="AJ354" i="25"/>
  <c r="AI354" i="25"/>
  <c r="AH354" i="25"/>
  <c r="AG354" i="25"/>
  <c r="Z354" i="25"/>
  <c r="AJ353" i="25"/>
  <c r="AI353" i="25"/>
  <c r="AH353" i="25"/>
  <c r="AG353" i="25"/>
  <c r="Z353" i="25"/>
  <c r="AJ352" i="25"/>
  <c r="AI352" i="25"/>
  <c r="AH352" i="25"/>
  <c r="AG352" i="25"/>
  <c r="Z352" i="25"/>
  <c r="AJ351" i="25"/>
  <c r="AI351" i="25"/>
  <c r="AH351" i="25"/>
  <c r="AG351" i="25"/>
  <c r="Z351" i="25"/>
  <c r="AJ350" i="25"/>
  <c r="AI350" i="25"/>
  <c r="AH350" i="25"/>
  <c r="AG350" i="25"/>
  <c r="Z350" i="25"/>
  <c r="AJ349" i="25"/>
  <c r="AI349" i="25"/>
  <c r="AH349" i="25"/>
  <c r="AG349" i="25"/>
  <c r="Z349" i="25"/>
  <c r="AJ348" i="25"/>
  <c r="AI348" i="25"/>
  <c r="AH348" i="25"/>
  <c r="AG348" i="25"/>
  <c r="Z348" i="25"/>
  <c r="AJ347" i="25"/>
  <c r="AI347" i="25"/>
  <c r="AH347" i="25"/>
  <c r="AG347" i="25"/>
  <c r="Z347" i="25"/>
  <c r="AJ346" i="25"/>
  <c r="AI346" i="25"/>
  <c r="AH346" i="25"/>
  <c r="AG346" i="25"/>
  <c r="Z346" i="25"/>
  <c r="AJ345" i="25"/>
  <c r="AI345" i="25"/>
  <c r="AH345" i="25"/>
  <c r="AG345" i="25"/>
  <c r="Z345" i="25"/>
  <c r="AJ344" i="25"/>
  <c r="AI344" i="25"/>
  <c r="AH344" i="25"/>
  <c r="AG344" i="25"/>
  <c r="Z344" i="25"/>
  <c r="AJ343" i="25"/>
  <c r="AI343" i="25"/>
  <c r="AH343" i="25"/>
  <c r="AG343" i="25"/>
  <c r="Z343" i="25"/>
  <c r="AJ342" i="25"/>
  <c r="AI342" i="25"/>
  <c r="AH342" i="25"/>
  <c r="AG342" i="25"/>
  <c r="Z342" i="25"/>
  <c r="AJ341" i="25"/>
  <c r="AI341" i="25"/>
  <c r="AH341" i="25"/>
  <c r="AG341" i="25"/>
  <c r="Z341" i="25"/>
  <c r="AJ340" i="25"/>
  <c r="AI340" i="25"/>
  <c r="AH340" i="25"/>
  <c r="AG340" i="25"/>
  <c r="Z340" i="25"/>
  <c r="AJ339" i="25"/>
  <c r="AI339" i="25"/>
  <c r="AH339" i="25"/>
  <c r="AG339" i="25"/>
  <c r="Z339" i="25"/>
  <c r="AJ338" i="25"/>
  <c r="AI338" i="25"/>
  <c r="AH338" i="25"/>
  <c r="AG338" i="25"/>
  <c r="Z338" i="25"/>
  <c r="AJ337" i="25"/>
  <c r="AI337" i="25"/>
  <c r="AH337" i="25"/>
  <c r="AG337" i="25"/>
  <c r="Z337" i="25"/>
  <c r="AJ336" i="25"/>
  <c r="AI336" i="25"/>
  <c r="AH336" i="25"/>
  <c r="AG336" i="25"/>
  <c r="Z336" i="25"/>
  <c r="AJ335" i="25"/>
  <c r="AI335" i="25"/>
  <c r="AH335" i="25"/>
  <c r="AG335" i="25"/>
  <c r="Z335" i="25"/>
  <c r="AJ334" i="25"/>
  <c r="AI334" i="25"/>
  <c r="AH334" i="25"/>
  <c r="AG334" i="25"/>
  <c r="Z334" i="25"/>
  <c r="AJ333" i="25"/>
  <c r="AI333" i="25"/>
  <c r="AH333" i="25"/>
  <c r="AG333" i="25"/>
  <c r="Z333" i="25"/>
  <c r="AJ332" i="25"/>
  <c r="AI332" i="25"/>
  <c r="AH332" i="25"/>
  <c r="AG332" i="25"/>
  <c r="Z332" i="25"/>
  <c r="AJ331" i="25"/>
  <c r="AI331" i="25"/>
  <c r="AH331" i="25"/>
  <c r="AG331" i="25"/>
  <c r="Z331" i="25"/>
  <c r="AJ330" i="25"/>
  <c r="AI330" i="25"/>
  <c r="AH330" i="25"/>
  <c r="AG330" i="25"/>
  <c r="Z330" i="25"/>
  <c r="AJ329" i="25"/>
  <c r="AI329" i="25"/>
  <c r="AH329" i="25"/>
  <c r="AG329" i="25"/>
  <c r="Z329" i="25"/>
  <c r="AJ328" i="25"/>
  <c r="AI328" i="25"/>
  <c r="AH328" i="25"/>
  <c r="AG328" i="25"/>
  <c r="Z328" i="25"/>
  <c r="AJ327" i="25"/>
  <c r="AI327" i="25"/>
  <c r="AH327" i="25"/>
  <c r="AG327" i="25"/>
  <c r="Z327" i="25"/>
  <c r="AJ326" i="25"/>
  <c r="AI326" i="25"/>
  <c r="AH326" i="25"/>
  <c r="AG326" i="25"/>
  <c r="Z326" i="25"/>
  <c r="AJ325" i="25"/>
  <c r="AI325" i="25"/>
  <c r="AH325" i="25"/>
  <c r="AG325" i="25"/>
  <c r="Z325" i="25"/>
  <c r="AJ324" i="25"/>
  <c r="AI324" i="25"/>
  <c r="AH324" i="25"/>
  <c r="AG324" i="25"/>
  <c r="Z324" i="25"/>
  <c r="AJ323" i="25"/>
  <c r="AI323" i="25"/>
  <c r="AH323" i="25"/>
  <c r="AG323" i="25"/>
  <c r="Z323" i="25"/>
  <c r="AJ322" i="25"/>
  <c r="AI322" i="25"/>
  <c r="AH322" i="25"/>
  <c r="AG322" i="25"/>
  <c r="Z322" i="25"/>
  <c r="AJ321" i="25"/>
  <c r="AI321" i="25"/>
  <c r="AH321" i="25"/>
  <c r="AG321" i="25"/>
  <c r="Z321" i="25"/>
  <c r="AJ320" i="25"/>
  <c r="AI320" i="25"/>
  <c r="AH320" i="25"/>
  <c r="AG320" i="25"/>
  <c r="Z320" i="25"/>
  <c r="AJ319" i="25"/>
  <c r="AI319" i="25"/>
  <c r="AH319" i="25"/>
  <c r="AG319" i="25"/>
  <c r="Z319" i="25"/>
  <c r="AJ318" i="25"/>
  <c r="AI318" i="25"/>
  <c r="AH318" i="25"/>
  <c r="AG318" i="25"/>
  <c r="Z318" i="25"/>
  <c r="AJ317" i="25"/>
  <c r="AI317" i="25"/>
  <c r="AH317" i="25"/>
  <c r="AG317" i="25"/>
  <c r="Z317" i="25"/>
  <c r="AJ316" i="25"/>
  <c r="AI316" i="25"/>
  <c r="AH316" i="25"/>
  <c r="AG316" i="25"/>
  <c r="Z316" i="25"/>
  <c r="AJ315" i="25"/>
  <c r="AI315" i="25"/>
  <c r="AH315" i="25"/>
  <c r="AG315" i="25"/>
  <c r="Z315" i="25"/>
  <c r="AJ314" i="25"/>
  <c r="AI314" i="25"/>
  <c r="AH314" i="25"/>
  <c r="AG314" i="25"/>
  <c r="Z314" i="25"/>
  <c r="AJ313" i="25"/>
  <c r="AI313" i="25"/>
  <c r="AH313" i="25"/>
  <c r="AG313" i="25"/>
  <c r="Z313" i="25"/>
  <c r="AJ312" i="25"/>
  <c r="AI312" i="25"/>
  <c r="AH312" i="25"/>
  <c r="AG312" i="25"/>
  <c r="Z312" i="25"/>
  <c r="AJ311" i="25"/>
  <c r="AI311" i="25"/>
  <c r="AH311" i="25"/>
  <c r="AG311" i="25"/>
  <c r="Z311" i="25"/>
  <c r="AJ310" i="25"/>
  <c r="AI310" i="25"/>
  <c r="AH310" i="25"/>
  <c r="AG310" i="25"/>
  <c r="Z310" i="25"/>
  <c r="AJ309" i="25"/>
  <c r="AI309" i="25"/>
  <c r="AH309" i="25"/>
  <c r="AG309" i="25"/>
  <c r="Z309" i="25"/>
  <c r="AJ308" i="25"/>
  <c r="AI308" i="25"/>
  <c r="AH308" i="25"/>
  <c r="AG308" i="25"/>
  <c r="Z308" i="25"/>
  <c r="AJ307" i="25"/>
  <c r="AI307" i="25"/>
  <c r="AH307" i="25"/>
  <c r="AG307" i="25"/>
  <c r="Z307" i="25"/>
  <c r="AJ306" i="25"/>
  <c r="AI306" i="25"/>
  <c r="AH306" i="25"/>
  <c r="AG306" i="25"/>
  <c r="Z306" i="25"/>
  <c r="AJ305" i="25"/>
  <c r="AI305" i="25"/>
  <c r="AH305" i="25"/>
  <c r="AG305" i="25"/>
  <c r="Z305" i="25"/>
  <c r="AJ304" i="25"/>
  <c r="AI304" i="25"/>
  <c r="AH304" i="25"/>
  <c r="AG304" i="25"/>
  <c r="Z304" i="25"/>
  <c r="AJ303" i="25"/>
  <c r="AI303" i="25"/>
  <c r="AH303" i="25"/>
  <c r="AG303" i="25"/>
  <c r="Z303" i="25"/>
  <c r="AJ302" i="25"/>
  <c r="AI302" i="25"/>
  <c r="AH302" i="25"/>
  <c r="AG302" i="25"/>
  <c r="Z302" i="25"/>
  <c r="AJ301" i="25"/>
  <c r="AI301" i="25"/>
  <c r="AH301" i="25"/>
  <c r="AG301" i="25"/>
  <c r="Z301" i="25"/>
  <c r="AJ300" i="25"/>
  <c r="AI300" i="25"/>
  <c r="AH300" i="25"/>
  <c r="AG300" i="25"/>
  <c r="Z300" i="25"/>
  <c r="AJ299" i="25"/>
  <c r="AI299" i="25"/>
  <c r="AH299" i="25"/>
  <c r="AG299" i="25"/>
  <c r="Z299" i="25"/>
  <c r="AJ298" i="25"/>
  <c r="AI298" i="25"/>
  <c r="AH298" i="25"/>
  <c r="AG298" i="25"/>
  <c r="Z298" i="25"/>
  <c r="AJ297" i="25"/>
  <c r="AI297" i="25"/>
  <c r="AH297" i="25"/>
  <c r="AG297" i="25"/>
  <c r="Z297" i="25"/>
  <c r="AJ296" i="25"/>
  <c r="AI296" i="25"/>
  <c r="AH296" i="25"/>
  <c r="AG296" i="25"/>
  <c r="Z296" i="25"/>
  <c r="AJ295" i="25"/>
  <c r="AI295" i="25"/>
  <c r="AH295" i="25"/>
  <c r="AG295" i="25"/>
  <c r="Z295" i="25"/>
  <c r="AJ294" i="25"/>
  <c r="AI294" i="25"/>
  <c r="AH294" i="25"/>
  <c r="AG294" i="25"/>
  <c r="Z294" i="25"/>
  <c r="AJ293" i="25"/>
  <c r="AI293" i="25"/>
  <c r="AH293" i="25"/>
  <c r="AG293" i="25"/>
  <c r="Z293" i="25"/>
  <c r="AJ292" i="25"/>
  <c r="AI292" i="25"/>
  <c r="AH292" i="25"/>
  <c r="AG292" i="25"/>
  <c r="Z292" i="25"/>
  <c r="AJ291" i="25"/>
  <c r="AI291" i="25"/>
  <c r="AH291" i="25"/>
  <c r="AG291" i="25"/>
  <c r="Z291" i="25"/>
  <c r="AJ290" i="25"/>
  <c r="AI290" i="25"/>
  <c r="AH290" i="25"/>
  <c r="AG290" i="25"/>
  <c r="Z290" i="25"/>
  <c r="AJ289" i="25"/>
  <c r="AI289" i="25"/>
  <c r="AH289" i="25"/>
  <c r="AG289" i="25"/>
  <c r="Z289" i="25"/>
  <c r="AJ288" i="25"/>
  <c r="AI288" i="25"/>
  <c r="AH288" i="25"/>
  <c r="AG288" i="25"/>
  <c r="Z288" i="25"/>
  <c r="AJ287" i="25"/>
  <c r="AI287" i="25"/>
  <c r="AH287" i="25"/>
  <c r="AG287" i="25"/>
  <c r="Z287" i="25"/>
  <c r="AJ286" i="25"/>
  <c r="AI286" i="25"/>
  <c r="AH286" i="25"/>
  <c r="AG286" i="25"/>
  <c r="Z286" i="25"/>
  <c r="AJ285" i="25"/>
  <c r="AI285" i="25"/>
  <c r="AH285" i="25"/>
  <c r="AG285" i="25"/>
  <c r="Z285" i="25"/>
  <c r="AJ284" i="25"/>
  <c r="AI284" i="25"/>
  <c r="AH284" i="25"/>
  <c r="AG284" i="25"/>
  <c r="Z284" i="25"/>
  <c r="AJ283" i="25"/>
  <c r="AI283" i="25"/>
  <c r="AH283" i="25"/>
  <c r="AG283" i="25"/>
  <c r="Z283" i="25"/>
  <c r="AJ282" i="25"/>
  <c r="AI282" i="25"/>
  <c r="AH282" i="25"/>
  <c r="AG282" i="25"/>
  <c r="Z282" i="25"/>
  <c r="AJ281" i="25"/>
  <c r="AI281" i="25"/>
  <c r="AH281" i="25"/>
  <c r="AG281" i="25"/>
  <c r="Z281" i="25"/>
  <c r="AJ280" i="25"/>
  <c r="AI280" i="25"/>
  <c r="AH280" i="25"/>
  <c r="AG280" i="25"/>
  <c r="Z280" i="25"/>
  <c r="AJ279" i="25"/>
  <c r="AI279" i="25"/>
  <c r="AH279" i="25"/>
  <c r="AG279" i="25"/>
  <c r="Z279" i="25"/>
  <c r="AJ278" i="25"/>
  <c r="AI278" i="25"/>
  <c r="AH278" i="25"/>
  <c r="AG278" i="25"/>
  <c r="Z278" i="25"/>
  <c r="AJ277" i="25"/>
  <c r="AI277" i="25"/>
  <c r="AH277" i="25"/>
  <c r="AG277" i="25"/>
  <c r="Z277" i="25"/>
  <c r="AJ276" i="25"/>
  <c r="AI276" i="25"/>
  <c r="AH276" i="25"/>
  <c r="AG276" i="25"/>
  <c r="Z276" i="25"/>
  <c r="AJ275" i="25"/>
  <c r="AI275" i="25"/>
  <c r="AH275" i="25"/>
  <c r="AG275" i="25"/>
  <c r="Z275" i="25"/>
  <c r="AJ274" i="25"/>
  <c r="AI274" i="25"/>
  <c r="AH274" i="25"/>
  <c r="AG274" i="25"/>
  <c r="Z274" i="25"/>
  <c r="AJ273" i="25"/>
  <c r="AI273" i="25"/>
  <c r="AH273" i="25"/>
  <c r="AG273" i="25"/>
  <c r="Z273" i="25"/>
  <c r="AJ272" i="25"/>
  <c r="AI272" i="25"/>
  <c r="AH272" i="25"/>
  <c r="AG272" i="25"/>
  <c r="Z272" i="25"/>
  <c r="AJ271" i="25"/>
  <c r="AI271" i="25"/>
  <c r="AH271" i="25"/>
  <c r="AG271" i="25"/>
  <c r="Z271" i="25"/>
  <c r="AJ270" i="25"/>
  <c r="AI270" i="25"/>
  <c r="AH270" i="25"/>
  <c r="AG270" i="25"/>
  <c r="Z270" i="25"/>
  <c r="AJ269" i="25"/>
  <c r="AI269" i="25"/>
  <c r="AH269" i="25"/>
  <c r="AG269" i="25"/>
  <c r="Z269" i="25"/>
  <c r="AJ268" i="25"/>
  <c r="AI268" i="25"/>
  <c r="AH268" i="25"/>
  <c r="AG268" i="25"/>
  <c r="Z268" i="25"/>
  <c r="AJ267" i="25"/>
  <c r="AI267" i="25"/>
  <c r="AH267" i="25"/>
  <c r="AG267" i="25"/>
  <c r="Z267" i="25"/>
  <c r="AJ266" i="25"/>
  <c r="AI266" i="25"/>
  <c r="AH266" i="25"/>
  <c r="AG266" i="25"/>
  <c r="Z266" i="25"/>
  <c r="AJ265" i="25"/>
  <c r="AI265" i="25"/>
  <c r="AH265" i="25"/>
  <c r="AG265" i="25"/>
  <c r="Z265" i="25"/>
  <c r="AJ264" i="25"/>
  <c r="AI264" i="25"/>
  <c r="AH264" i="25"/>
  <c r="AG264" i="25"/>
  <c r="Z264" i="25"/>
  <c r="AJ263" i="25"/>
  <c r="AI263" i="25"/>
  <c r="AH263" i="25"/>
  <c r="AG263" i="25"/>
  <c r="Z263" i="25"/>
  <c r="AJ262" i="25"/>
  <c r="AI262" i="25"/>
  <c r="AH262" i="25"/>
  <c r="AG262" i="25"/>
  <c r="Z262" i="25"/>
  <c r="AJ261" i="25"/>
  <c r="AI261" i="25"/>
  <c r="AH261" i="25"/>
  <c r="AG261" i="25"/>
  <c r="Z261" i="25"/>
  <c r="AJ260" i="25"/>
  <c r="AI260" i="25"/>
  <c r="AH260" i="25"/>
  <c r="AG260" i="25"/>
  <c r="Z260" i="25"/>
  <c r="AJ259" i="25"/>
  <c r="AI259" i="25"/>
  <c r="AH259" i="25"/>
  <c r="AG259" i="25"/>
  <c r="Z259" i="25"/>
  <c r="AJ258" i="25"/>
  <c r="AI258" i="25"/>
  <c r="AH258" i="25"/>
  <c r="AG258" i="25"/>
  <c r="Z258" i="25"/>
  <c r="AJ257" i="25"/>
  <c r="AI257" i="25"/>
  <c r="AH257" i="25"/>
  <c r="AG257" i="25"/>
  <c r="Z257" i="25"/>
  <c r="AJ256" i="25"/>
  <c r="AI256" i="25"/>
  <c r="AH256" i="25"/>
  <c r="AG256" i="25"/>
  <c r="Z256" i="25"/>
  <c r="AJ255" i="25"/>
  <c r="AI255" i="25"/>
  <c r="AH255" i="25"/>
  <c r="AG255" i="25"/>
  <c r="Z255" i="25"/>
  <c r="AJ254" i="25"/>
  <c r="AI254" i="25"/>
  <c r="AH254" i="25"/>
  <c r="AG254" i="25"/>
  <c r="Z254" i="25"/>
  <c r="AJ253" i="25"/>
  <c r="AI253" i="25"/>
  <c r="AH253" i="25"/>
  <c r="AG253" i="25"/>
  <c r="Z253" i="25"/>
  <c r="AJ252" i="25"/>
  <c r="AI252" i="25"/>
  <c r="AH252" i="25"/>
  <c r="AG252" i="25"/>
  <c r="Z252" i="25"/>
  <c r="AJ251" i="25"/>
  <c r="AI251" i="25"/>
  <c r="AH251" i="25"/>
  <c r="AG251" i="25"/>
  <c r="Z251" i="25"/>
  <c r="AJ250" i="25"/>
  <c r="AI250" i="25"/>
  <c r="AH250" i="25"/>
  <c r="AG250" i="25"/>
  <c r="Z250" i="25"/>
  <c r="AJ249" i="25"/>
  <c r="AI249" i="25"/>
  <c r="AH249" i="25"/>
  <c r="AG249" i="25"/>
  <c r="Z249" i="25"/>
  <c r="AJ248" i="25"/>
  <c r="AI248" i="25"/>
  <c r="AH248" i="25"/>
  <c r="AG248" i="25"/>
  <c r="U249" i="25"/>
  <c r="AJ247" i="25"/>
  <c r="AI247" i="25"/>
  <c r="AH247" i="25"/>
  <c r="AG247" i="25"/>
  <c r="AJ246" i="25"/>
  <c r="AI246" i="25"/>
  <c r="AH246" i="25"/>
  <c r="AG246" i="25"/>
  <c r="AJ245" i="25"/>
  <c r="AI245" i="25"/>
  <c r="AH245" i="25"/>
  <c r="AG245" i="25"/>
  <c r="AJ244" i="25"/>
  <c r="AI244" i="25"/>
  <c r="AH244" i="25"/>
  <c r="AG244" i="25"/>
  <c r="AJ243" i="25"/>
  <c r="AI243" i="25"/>
  <c r="AH243" i="25"/>
  <c r="AG243" i="25"/>
  <c r="AJ242" i="25"/>
  <c r="AI242" i="25"/>
  <c r="AH242" i="25"/>
  <c r="AG242" i="25"/>
  <c r="AJ241" i="25"/>
  <c r="AI241" i="25"/>
  <c r="AH241" i="25"/>
  <c r="AG241" i="25"/>
  <c r="AJ240" i="25"/>
  <c r="AI240" i="25"/>
  <c r="AH240" i="25"/>
  <c r="AG240" i="25"/>
  <c r="AJ239" i="25"/>
  <c r="AI239" i="25"/>
  <c r="AH239" i="25"/>
  <c r="AG239" i="25"/>
  <c r="AJ238" i="25"/>
  <c r="AI238" i="25"/>
  <c r="AH238" i="25"/>
  <c r="AG238" i="25"/>
  <c r="AJ237" i="25"/>
  <c r="AI237" i="25"/>
  <c r="AH237" i="25"/>
  <c r="AG237" i="25"/>
  <c r="AJ236" i="25"/>
  <c r="AI236" i="25"/>
  <c r="AH236" i="25"/>
  <c r="AG236" i="25"/>
  <c r="AJ235" i="25"/>
  <c r="AI235" i="25"/>
  <c r="AH235" i="25"/>
  <c r="AG235" i="25"/>
  <c r="AJ234" i="25"/>
  <c r="AI234" i="25"/>
  <c r="AH234" i="25"/>
  <c r="AG234" i="25"/>
  <c r="AJ233" i="25"/>
  <c r="AI233" i="25"/>
  <c r="AH233" i="25"/>
  <c r="AG233" i="25"/>
  <c r="AJ232" i="25"/>
  <c r="AI232" i="25"/>
  <c r="AH232" i="25"/>
  <c r="AG232" i="25"/>
  <c r="AJ231" i="25"/>
  <c r="AI231" i="25"/>
  <c r="AH231" i="25"/>
  <c r="AG231" i="25"/>
  <c r="AJ230" i="25"/>
  <c r="AI230" i="25"/>
  <c r="AH230" i="25"/>
  <c r="AG230" i="25"/>
  <c r="AJ229" i="25"/>
  <c r="AI229" i="25"/>
  <c r="AH229" i="25"/>
  <c r="AG229" i="25"/>
  <c r="AJ228" i="25"/>
  <c r="AI228" i="25"/>
  <c r="AH228" i="25"/>
  <c r="AG228" i="25"/>
  <c r="AJ227" i="25"/>
  <c r="AI227" i="25"/>
  <c r="AH227" i="25"/>
  <c r="AG227" i="25"/>
  <c r="AJ226" i="25"/>
  <c r="AI226" i="25"/>
  <c r="AH226" i="25"/>
  <c r="AG226" i="25"/>
  <c r="AJ225" i="25"/>
  <c r="AI225" i="25"/>
  <c r="AH225" i="25"/>
  <c r="AG225" i="25"/>
  <c r="AJ224" i="25"/>
  <c r="AI224" i="25"/>
  <c r="AH224" i="25"/>
  <c r="AG224" i="25"/>
  <c r="AJ223" i="25"/>
  <c r="AI223" i="25"/>
  <c r="AH223" i="25"/>
  <c r="AG223" i="25"/>
  <c r="AJ222" i="25"/>
  <c r="AI222" i="25"/>
  <c r="AH222" i="25"/>
  <c r="AG222" i="25"/>
  <c r="AJ221" i="25"/>
  <c r="AI221" i="25"/>
  <c r="AH221" i="25"/>
  <c r="AG221" i="25"/>
  <c r="AJ220" i="25"/>
  <c r="AI220" i="25"/>
  <c r="AH220" i="25"/>
  <c r="AG220" i="25"/>
  <c r="AJ219" i="25"/>
  <c r="AI219" i="25"/>
  <c r="AH219" i="25"/>
  <c r="AG219" i="25"/>
  <c r="AJ218" i="25"/>
  <c r="AI218" i="25"/>
  <c r="AH218" i="25"/>
  <c r="AG218" i="25"/>
  <c r="AJ217" i="25"/>
  <c r="AI217" i="25"/>
  <c r="AH217" i="25"/>
  <c r="AG217" i="25"/>
  <c r="AJ216" i="25"/>
  <c r="AI216" i="25"/>
  <c r="AH216" i="25"/>
  <c r="AG216" i="25"/>
  <c r="AJ215" i="25"/>
  <c r="AI215" i="25"/>
  <c r="AH215" i="25"/>
  <c r="AG215" i="25"/>
  <c r="AJ214" i="25"/>
  <c r="AI214" i="25"/>
  <c r="AH214" i="25"/>
  <c r="AG214" i="25"/>
  <c r="AJ213" i="25"/>
  <c r="AI213" i="25"/>
  <c r="AH213" i="25"/>
  <c r="AG213" i="25"/>
  <c r="AJ212" i="25"/>
  <c r="AI212" i="25"/>
  <c r="AH212" i="25"/>
  <c r="AG212" i="25"/>
  <c r="AJ211" i="25"/>
  <c r="AI211" i="25"/>
  <c r="AH211" i="25"/>
  <c r="AG211" i="25"/>
  <c r="AJ210" i="25"/>
  <c r="AI210" i="25"/>
  <c r="AH210" i="25"/>
  <c r="AG210" i="25"/>
  <c r="AJ209" i="25"/>
  <c r="AI209" i="25"/>
  <c r="AH209" i="25"/>
  <c r="AG209" i="25"/>
  <c r="AJ208" i="25"/>
  <c r="AI208" i="25"/>
  <c r="AH208" i="25"/>
  <c r="AG208" i="25"/>
  <c r="AJ207" i="25"/>
  <c r="AI207" i="25"/>
  <c r="AH207" i="25"/>
  <c r="AG207" i="25"/>
  <c r="AJ206" i="25"/>
  <c r="AI206" i="25"/>
  <c r="AH206" i="25"/>
  <c r="AG206" i="25"/>
  <c r="AJ205" i="25"/>
  <c r="AI205" i="25"/>
  <c r="AH205" i="25"/>
  <c r="AG205" i="25"/>
  <c r="AJ204" i="25"/>
  <c r="AI204" i="25"/>
  <c r="AH204" i="25"/>
  <c r="AG204" i="25"/>
  <c r="AJ203" i="25"/>
  <c r="AI203" i="25"/>
  <c r="AH203" i="25"/>
  <c r="AG203" i="25"/>
  <c r="AJ202" i="25"/>
  <c r="AI202" i="25"/>
  <c r="AH202" i="25"/>
  <c r="AG202" i="25"/>
  <c r="AJ201" i="25"/>
  <c r="AI201" i="25"/>
  <c r="AH201" i="25"/>
  <c r="AG201" i="25"/>
  <c r="AJ200" i="25"/>
  <c r="AI200" i="25"/>
  <c r="AH200" i="25"/>
  <c r="AG200" i="25"/>
  <c r="AJ199" i="25"/>
  <c r="AI199" i="25"/>
  <c r="AH199" i="25"/>
  <c r="AG199" i="25"/>
  <c r="AJ198" i="25"/>
  <c r="AI198" i="25"/>
  <c r="AH198" i="25"/>
  <c r="AG198" i="25"/>
  <c r="AJ197" i="25"/>
  <c r="AI197" i="25"/>
  <c r="AH197" i="25"/>
  <c r="AG197" i="25"/>
  <c r="AJ196" i="25"/>
  <c r="AI196" i="25"/>
  <c r="AH196" i="25"/>
  <c r="AG196" i="25"/>
  <c r="AJ195" i="25"/>
  <c r="AI195" i="25"/>
  <c r="AH195" i="25"/>
  <c r="AG195" i="25"/>
  <c r="AJ194" i="25"/>
  <c r="AI194" i="25"/>
  <c r="AH194" i="25"/>
  <c r="AG194" i="25"/>
  <c r="AJ193" i="25"/>
  <c r="AI193" i="25"/>
  <c r="AH193" i="25"/>
  <c r="AG193" i="25"/>
  <c r="AJ192" i="25"/>
  <c r="AI192" i="25"/>
  <c r="AH192" i="25"/>
  <c r="AG192" i="25"/>
  <c r="AJ191" i="25"/>
  <c r="AI191" i="25"/>
  <c r="AH191" i="25"/>
  <c r="AG191" i="25"/>
  <c r="AJ190" i="25"/>
  <c r="AI190" i="25"/>
  <c r="AH190" i="25"/>
  <c r="AG190" i="25"/>
  <c r="AJ189" i="25"/>
  <c r="AI189" i="25"/>
  <c r="AH189" i="25"/>
  <c r="AG189" i="25"/>
  <c r="AJ188" i="25"/>
  <c r="AI188" i="25"/>
  <c r="AH188" i="25"/>
  <c r="AG188" i="25"/>
  <c r="AJ187" i="25"/>
  <c r="AI187" i="25"/>
  <c r="AH187" i="25"/>
  <c r="AG187" i="25"/>
  <c r="AJ186" i="25"/>
  <c r="AI186" i="25"/>
  <c r="AH186" i="25"/>
  <c r="AG186" i="25"/>
  <c r="AJ185" i="25"/>
  <c r="AI185" i="25"/>
  <c r="AH185" i="25"/>
  <c r="AG185" i="25"/>
  <c r="AJ184" i="25"/>
  <c r="AI184" i="25"/>
  <c r="AH184" i="25"/>
  <c r="AG184" i="25"/>
  <c r="AJ183" i="25"/>
  <c r="AI183" i="25"/>
  <c r="AH183" i="25"/>
  <c r="AG183" i="25"/>
  <c r="AJ182" i="25"/>
  <c r="AI182" i="25"/>
  <c r="AH182" i="25"/>
  <c r="AG182" i="25"/>
  <c r="AJ181" i="25"/>
  <c r="AI181" i="25"/>
  <c r="AH181" i="25"/>
  <c r="AG181" i="25"/>
  <c r="AJ180" i="25"/>
  <c r="AI180" i="25"/>
  <c r="AH180" i="25"/>
  <c r="AG180" i="25"/>
  <c r="AJ179" i="25"/>
  <c r="AI179" i="25"/>
  <c r="AH179" i="25"/>
  <c r="AG179" i="25"/>
  <c r="AJ178" i="25"/>
  <c r="AI178" i="25"/>
  <c r="AH178" i="25"/>
  <c r="AG178" i="25"/>
  <c r="AJ177" i="25"/>
  <c r="AI177" i="25"/>
  <c r="AH177" i="25"/>
  <c r="AG177" i="25"/>
  <c r="AJ176" i="25"/>
  <c r="AI176" i="25"/>
  <c r="AH176" i="25"/>
  <c r="AG176" i="25"/>
  <c r="AJ175" i="25"/>
  <c r="AI175" i="25"/>
  <c r="AH175" i="25"/>
  <c r="AG175" i="25"/>
  <c r="AJ174" i="25"/>
  <c r="AI174" i="25"/>
  <c r="AH174" i="25"/>
  <c r="AG174" i="25"/>
  <c r="AJ173" i="25"/>
  <c r="AI173" i="25"/>
  <c r="AH173" i="25"/>
  <c r="AG173" i="25"/>
  <c r="AJ172" i="25"/>
  <c r="AI172" i="25"/>
  <c r="AH172" i="25"/>
  <c r="AG172" i="25"/>
  <c r="AJ171" i="25"/>
  <c r="AI171" i="25"/>
  <c r="AH171" i="25"/>
  <c r="AG171" i="25"/>
  <c r="AJ170" i="25"/>
  <c r="AI170" i="25"/>
  <c r="AH170" i="25"/>
  <c r="AG170" i="25"/>
  <c r="AJ169" i="25"/>
  <c r="AI169" i="25"/>
  <c r="AH169" i="25"/>
  <c r="AG169" i="25"/>
  <c r="AJ168" i="25"/>
  <c r="AI168" i="25"/>
  <c r="AH168" i="25"/>
  <c r="AG168" i="25"/>
  <c r="AJ167" i="25"/>
  <c r="AI167" i="25"/>
  <c r="AH167" i="25"/>
  <c r="AG167" i="25"/>
  <c r="AJ166" i="25"/>
  <c r="AI166" i="25"/>
  <c r="AH166" i="25"/>
  <c r="AG166" i="25"/>
  <c r="AJ165" i="25"/>
  <c r="AI165" i="25"/>
  <c r="AH165" i="25"/>
  <c r="AG165" i="25"/>
  <c r="AJ164" i="25"/>
  <c r="AI164" i="25"/>
  <c r="AH164" i="25"/>
  <c r="AG164" i="25"/>
  <c r="AJ163" i="25"/>
  <c r="AI163" i="25"/>
  <c r="AH163" i="25"/>
  <c r="AG163" i="25"/>
  <c r="AJ162" i="25"/>
  <c r="AI162" i="25"/>
  <c r="AH162" i="25"/>
  <c r="AG162" i="25"/>
  <c r="AJ161" i="25"/>
  <c r="AI161" i="25"/>
  <c r="AH161" i="25"/>
  <c r="AG161" i="25"/>
  <c r="AJ160" i="25"/>
  <c r="AI160" i="25"/>
  <c r="AH160" i="25"/>
  <c r="AG160" i="25"/>
  <c r="AJ159" i="25"/>
  <c r="AI159" i="25"/>
  <c r="AH159" i="25"/>
  <c r="AG159" i="25"/>
  <c r="AJ158" i="25"/>
  <c r="AI158" i="25"/>
  <c r="AH158" i="25"/>
  <c r="AG158" i="25"/>
  <c r="AJ157" i="25"/>
  <c r="AI157" i="25"/>
  <c r="AH157" i="25"/>
  <c r="AG157" i="25"/>
  <c r="AJ156" i="25"/>
  <c r="AI156" i="25"/>
  <c r="AH156" i="25"/>
  <c r="AG156" i="25"/>
  <c r="AJ155" i="25"/>
  <c r="AI155" i="25"/>
  <c r="AH155" i="25"/>
  <c r="AG155" i="25"/>
  <c r="AJ154" i="25"/>
  <c r="AI154" i="25"/>
  <c r="AH154" i="25"/>
  <c r="AG154" i="25"/>
  <c r="AJ153" i="25"/>
  <c r="AI153" i="25"/>
  <c r="AH153" i="25"/>
  <c r="AG153" i="25"/>
  <c r="AJ152" i="25"/>
  <c r="AI152" i="25"/>
  <c r="AH152" i="25"/>
  <c r="AG152" i="25"/>
  <c r="AJ151" i="25"/>
  <c r="AI151" i="25"/>
  <c r="AH151" i="25"/>
  <c r="AG151" i="25"/>
  <c r="AJ150" i="25"/>
  <c r="AI150" i="25"/>
  <c r="AH150" i="25"/>
  <c r="AG150" i="25"/>
  <c r="AJ149" i="25"/>
  <c r="AI149" i="25"/>
  <c r="AH149" i="25"/>
  <c r="AG149" i="25"/>
  <c r="AJ148" i="25"/>
  <c r="AI148" i="25"/>
  <c r="AH148" i="25"/>
  <c r="AG148" i="25"/>
  <c r="AJ147" i="25"/>
  <c r="AI147" i="25"/>
  <c r="AH147" i="25"/>
  <c r="AG147" i="25"/>
  <c r="AJ146" i="25"/>
  <c r="AI146" i="25"/>
  <c r="AH146" i="25"/>
  <c r="AG146" i="25"/>
  <c r="AJ145" i="25"/>
  <c r="AI145" i="25"/>
  <c r="AH145" i="25"/>
  <c r="AG145" i="25"/>
  <c r="AJ144" i="25"/>
  <c r="AI144" i="25"/>
  <c r="AH144" i="25"/>
  <c r="AG144" i="25"/>
  <c r="AJ143" i="25"/>
  <c r="AI143" i="25"/>
  <c r="AH143" i="25"/>
  <c r="AG143" i="25"/>
  <c r="AJ142" i="25"/>
  <c r="AI142" i="25"/>
  <c r="AH142" i="25"/>
  <c r="AG142" i="25"/>
  <c r="AJ141" i="25"/>
  <c r="AI141" i="25"/>
  <c r="AH141" i="25"/>
  <c r="AG141" i="25"/>
  <c r="AJ140" i="25"/>
  <c r="AI140" i="25"/>
  <c r="AH140" i="25"/>
  <c r="AG140" i="25"/>
  <c r="AJ139" i="25"/>
  <c r="AI139" i="25"/>
  <c r="AH139" i="25"/>
  <c r="AG139" i="25"/>
  <c r="AJ138" i="25"/>
  <c r="AI138" i="25"/>
  <c r="AH138" i="25"/>
  <c r="AG138" i="25"/>
  <c r="AJ137" i="25"/>
  <c r="AI137" i="25"/>
  <c r="AH137" i="25"/>
  <c r="AG137" i="25"/>
  <c r="AJ136" i="25"/>
  <c r="AI136" i="25"/>
  <c r="AH136" i="25"/>
  <c r="AG136" i="25"/>
  <c r="AJ135" i="25"/>
  <c r="AI135" i="25"/>
  <c r="AH135" i="25"/>
  <c r="AG135" i="25"/>
  <c r="AJ134" i="25"/>
  <c r="AI134" i="25"/>
  <c r="AH134" i="25"/>
  <c r="AG134" i="25"/>
  <c r="AJ133" i="25"/>
  <c r="AI133" i="25"/>
  <c r="AH133" i="25"/>
  <c r="AG133" i="25"/>
  <c r="AJ132" i="25"/>
  <c r="AI132" i="25"/>
  <c r="AH132" i="25"/>
  <c r="AG132" i="25"/>
  <c r="AJ131" i="25"/>
  <c r="AI131" i="25"/>
  <c r="AH131" i="25"/>
  <c r="AG131" i="25"/>
  <c r="AJ130" i="25"/>
  <c r="AI130" i="25"/>
  <c r="AH130" i="25"/>
  <c r="AG130" i="25"/>
  <c r="AJ129" i="25"/>
  <c r="AI129" i="25"/>
  <c r="AH129" i="25"/>
  <c r="AG129" i="25"/>
  <c r="AJ128" i="25"/>
  <c r="AI128" i="25"/>
  <c r="AH128" i="25"/>
  <c r="AG128" i="25"/>
  <c r="AJ127" i="25"/>
  <c r="AI127" i="25"/>
  <c r="AH127" i="25"/>
  <c r="AG127" i="25"/>
  <c r="AJ126" i="25"/>
  <c r="AI126" i="25"/>
  <c r="AH126" i="25"/>
  <c r="AG126" i="25"/>
  <c r="AJ125" i="25"/>
  <c r="AI125" i="25"/>
  <c r="AH125" i="25"/>
  <c r="AG125" i="25"/>
  <c r="Z126" i="25"/>
  <c r="P126" i="25"/>
  <c r="AJ124" i="25"/>
  <c r="AI124" i="25"/>
  <c r="AH124" i="25"/>
  <c r="AG124" i="25"/>
  <c r="AJ123" i="25"/>
  <c r="AI123" i="25"/>
  <c r="AH123" i="25"/>
  <c r="AG123" i="25"/>
  <c r="AJ122" i="25"/>
  <c r="AI122" i="25"/>
  <c r="AH122" i="25"/>
  <c r="AG122" i="25"/>
  <c r="AJ121" i="25"/>
  <c r="AI121" i="25"/>
  <c r="AH121" i="25"/>
  <c r="AG121" i="25"/>
  <c r="AJ120" i="25"/>
  <c r="AI120" i="25"/>
  <c r="AH120" i="25"/>
  <c r="AG120" i="25"/>
  <c r="AJ119" i="25"/>
  <c r="AI119" i="25"/>
  <c r="AH119" i="25"/>
  <c r="AG119" i="25"/>
  <c r="AJ118" i="25"/>
  <c r="AI118" i="25"/>
  <c r="AH118" i="25"/>
  <c r="AG118" i="25"/>
  <c r="AJ117" i="25"/>
  <c r="AI117" i="25"/>
  <c r="AH117" i="25"/>
  <c r="AG117" i="25"/>
  <c r="AJ116" i="25"/>
  <c r="AI116" i="25"/>
  <c r="AH116" i="25"/>
  <c r="AG116" i="25"/>
  <c r="AJ115" i="25"/>
  <c r="AI115" i="25"/>
  <c r="AH115" i="25"/>
  <c r="AG115" i="25"/>
  <c r="AJ114" i="25"/>
  <c r="AI114" i="25"/>
  <c r="AH114" i="25"/>
  <c r="AG114" i="25"/>
  <c r="AJ113" i="25"/>
  <c r="AI113" i="25"/>
  <c r="AH113" i="25"/>
  <c r="AG113" i="25"/>
  <c r="AJ112" i="25"/>
  <c r="AI112" i="25"/>
  <c r="AH112" i="25"/>
  <c r="AG112" i="25"/>
  <c r="AJ111" i="25"/>
  <c r="AI111" i="25"/>
  <c r="AH111" i="25"/>
  <c r="AG111" i="25"/>
  <c r="AJ110" i="25"/>
  <c r="AI110" i="25"/>
  <c r="AH110" i="25"/>
  <c r="AG110" i="25"/>
  <c r="AJ109" i="25"/>
  <c r="AI109" i="25"/>
  <c r="AH109" i="25"/>
  <c r="AG109" i="25"/>
  <c r="AJ108" i="25"/>
  <c r="AI108" i="25"/>
  <c r="AH108" i="25"/>
  <c r="AG108" i="25"/>
  <c r="AJ107" i="25"/>
  <c r="AI107" i="25"/>
  <c r="AH107" i="25"/>
  <c r="AG107" i="25"/>
  <c r="AJ106" i="25"/>
  <c r="AI106" i="25"/>
  <c r="AH106" i="25"/>
  <c r="AG106" i="25"/>
  <c r="AJ105" i="25"/>
  <c r="AI105" i="25"/>
  <c r="AH105" i="25"/>
  <c r="AG105" i="25"/>
  <c r="AJ104" i="25"/>
  <c r="AI104" i="25"/>
  <c r="AH104" i="25"/>
  <c r="AG104" i="25"/>
  <c r="AJ103" i="25"/>
  <c r="AI103" i="25"/>
  <c r="AH103" i="25"/>
  <c r="AG103" i="25"/>
  <c r="AJ102" i="25"/>
  <c r="AI102" i="25"/>
  <c r="AH102" i="25"/>
  <c r="AG102" i="25"/>
  <c r="AJ101" i="25"/>
  <c r="AI101" i="25"/>
  <c r="AH101" i="25"/>
  <c r="AG101" i="25"/>
  <c r="AJ100" i="25"/>
  <c r="AI100" i="25"/>
  <c r="AH100" i="25"/>
  <c r="AG100" i="25"/>
  <c r="AJ99" i="25"/>
  <c r="AI99" i="25"/>
  <c r="AH99" i="25"/>
  <c r="AG99" i="25"/>
  <c r="AJ98" i="25"/>
  <c r="AI98" i="25"/>
  <c r="AH98" i="25"/>
  <c r="AG98" i="25"/>
  <c r="AJ97" i="25"/>
  <c r="AI97" i="25"/>
  <c r="AH97" i="25"/>
  <c r="AG97" i="25"/>
  <c r="AJ96" i="25"/>
  <c r="AI96" i="25"/>
  <c r="AH96" i="25"/>
  <c r="AG96" i="25"/>
  <c r="AJ95" i="25"/>
  <c r="AI95" i="25"/>
  <c r="AH95" i="25"/>
  <c r="AG95" i="25"/>
  <c r="AJ94" i="25"/>
  <c r="AI94" i="25"/>
  <c r="AH94" i="25"/>
  <c r="AG94" i="25"/>
  <c r="AJ93" i="25"/>
  <c r="AI93" i="25"/>
  <c r="AH93" i="25"/>
  <c r="AG93" i="25"/>
  <c r="AJ92" i="25"/>
  <c r="AI92" i="25"/>
  <c r="AH92" i="25"/>
  <c r="AG92" i="25"/>
  <c r="AJ91" i="25"/>
  <c r="AI91" i="25"/>
  <c r="AH91" i="25"/>
  <c r="AG91" i="25"/>
  <c r="AJ90" i="25"/>
  <c r="AI90" i="25"/>
  <c r="AH90" i="25"/>
  <c r="AG90" i="25"/>
  <c r="AJ89" i="25"/>
  <c r="AI89" i="25"/>
  <c r="AH89" i="25"/>
  <c r="AG89" i="25"/>
  <c r="AJ88" i="25"/>
  <c r="AI88" i="25"/>
  <c r="AH88" i="25"/>
  <c r="AG88" i="25"/>
  <c r="AJ87" i="25"/>
  <c r="AI87" i="25"/>
  <c r="AH87" i="25"/>
  <c r="AG87" i="25"/>
  <c r="AJ86" i="25"/>
  <c r="AI86" i="25"/>
  <c r="AH86" i="25"/>
  <c r="AG86" i="25"/>
  <c r="AJ85" i="25"/>
  <c r="AI85" i="25"/>
  <c r="AH85" i="25"/>
  <c r="AG85" i="25"/>
  <c r="AJ84" i="25"/>
  <c r="AI84" i="25"/>
  <c r="AH84" i="25"/>
  <c r="AG84" i="25"/>
  <c r="AJ83" i="25"/>
  <c r="AI83" i="25"/>
  <c r="AH83" i="25"/>
  <c r="AG83" i="25"/>
  <c r="AJ82" i="25"/>
  <c r="AI82" i="25"/>
  <c r="AH82" i="25"/>
  <c r="AG82" i="25"/>
  <c r="AJ81" i="25"/>
  <c r="AI81" i="25"/>
  <c r="AH81" i="25"/>
  <c r="AG81" i="25"/>
  <c r="AJ80" i="25"/>
  <c r="AI80" i="25"/>
  <c r="AH80" i="25"/>
  <c r="AG80" i="25"/>
  <c r="AJ79" i="25"/>
  <c r="AI79" i="25"/>
  <c r="AH79" i="25"/>
  <c r="AG79" i="25"/>
  <c r="AJ78" i="25"/>
  <c r="AI78" i="25"/>
  <c r="AH78" i="25"/>
  <c r="AG78" i="25"/>
  <c r="AJ77" i="25"/>
  <c r="AI77" i="25"/>
  <c r="AH77" i="25"/>
  <c r="AG77" i="25"/>
  <c r="AJ76" i="25"/>
  <c r="AI76" i="25"/>
  <c r="AH76" i="25"/>
  <c r="AG76" i="25"/>
  <c r="AJ75" i="25"/>
  <c r="AI75" i="25"/>
  <c r="AH75" i="25"/>
  <c r="AG75" i="25"/>
  <c r="AJ74" i="25"/>
  <c r="AI74" i="25"/>
  <c r="AH74" i="25"/>
  <c r="AG74" i="25"/>
  <c r="AJ73" i="25"/>
  <c r="AI73" i="25"/>
  <c r="AH73" i="25"/>
  <c r="AG73" i="25"/>
  <c r="AJ72" i="25"/>
  <c r="AI72" i="25"/>
  <c r="AH72" i="25"/>
  <c r="AG72" i="25"/>
  <c r="AJ71" i="25"/>
  <c r="AI71" i="25"/>
  <c r="AH71" i="25"/>
  <c r="AG71" i="25"/>
  <c r="AJ70" i="25"/>
  <c r="AI70" i="25"/>
  <c r="AH70" i="25"/>
  <c r="AG70" i="25"/>
  <c r="AJ69" i="25"/>
  <c r="AI69" i="25"/>
  <c r="AH69" i="25"/>
  <c r="AG69" i="25"/>
  <c r="AJ68" i="25"/>
  <c r="AI68" i="25"/>
  <c r="AH68" i="25"/>
  <c r="AG68" i="25"/>
  <c r="AJ67" i="25"/>
  <c r="AI67" i="25"/>
  <c r="AH67" i="25"/>
  <c r="AG67" i="25"/>
  <c r="AJ66" i="25"/>
  <c r="AI66" i="25"/>
  <c r="AH66" i="25"/>
  <c r="AG66" i="25"/>
  <c r="AJ65" i="25"/>
  <c r="AI65" i="25"/>
  <c r="AH65" i="25"/>
  <c r="AG65" i="25"/>
  <c r="AJ64" i="25"/>
  <c r="AI64" i="25"/>
  <c r="AH64" i="25"/>
  <c r="AG64" i="25"/>
  <c r="AJ63" i="25"/>
  <c r="AI63" i="25"/>
  <c r="AH63" i="25"/>
  <c r="AG63" i="25"/>
  <c r="AJ62" i="25"/>
  <c r="AI62" i="25"/>
  <c r="AH62" i="25"/>
  <c r="AG62" i="25"/>
  <c r="AJ61" i="25"/>
  <c r="AI61" i="25"/>
  <c r="AH61" i="25"/>
  <c r="AG61" i="25"/>
  <c r="AJ60" i="25"/>
  <c r="AI60" i="25"/>
  <c r="AH60" i="25"/>
  <c r="AG60" i="25"/>
  <c r="AJ59" i="25"/>
  <c r="AI59" i="25"/>
  <c r="AH59" i="25"/>
  <c r="AG59" i="25"/>
  <c r="AJ58" i="25"/>
  <c r="AI58" i="25"/>
  <c r="AH58" i="25"/>
  <c r="AG58" i="25"/>
  <c r="AJ57" i="25"/>
  <c r="AI57" i="25"/>
  <c r="AH57" i="25"/>
  <c r="AG57" i="25"/>
  <c r="AJ56" i="25"/>
  <c r="AI56" i="25"/>
  <c r="AH56" i="25"/>
  <c r="AG56" i="25"/>
  <c r="AJ55" i="25"/>
  <c r="AI55" i="25"/>
  <c r="AH55" i="25"/>
  <c r="AG55" i="25"/>
  <c r="AJ54" i="25"/>
  <c r="AI54" i="25"/>
  <c r="AH54" i="25"/>
  <c r="AG54" i="25"/>
  <c r="AJ53" i="25"/>
  <c r="AI53" i="25"/>
  <c r="AH53" i="25"/>
  <c r="AG53" i="25"/>
  <c r="AJ52" i="25"/>
  <c r="AI52" i="25"/>
  <c r="AH52" i="25"/>
  <c r="AG52" i="25"/>
  <c r="AJ51" i="25"/>
  <c r="AI51" i="25"/>
  <c r="AH51" i="25"/>
  <c r="AG51" i="25"/>
  <c r="AJ50" i="25"/>
  <c r="AI50" i="25"/>
  <c r="AH50" i="25"/>
  <c r="AG50" i="25"/>
  <c r="AJ49" i="25"/>
  <c r="AI49" i="25"/>
  <c r="AH49" i="25"/>
  <c r="AG49" i="25"/>
  <c r="AJ48" i="25"/>
  <c r="AI48" i="25"/>
  <c r="AH48" i="25"/>
  <c r="AG48" i="25"/>
  <c r="AJ47" i="25"/>
  <c r="AI47" i="25"/>
  <c r="AH47" i="25"/>
  <c r="AG47" i="25"/>
  <c r="AJ46" i="25"/>
  <c r="AI46" i="25"/>
  <c r="AH46" i="25"/>
  <c r="AG46" i="25"/>
  <c r="AJ45" i="25"/>
  <c r="AI45" i="25"/>
  <c r="AH45" i="25"/>
  <c r="AG45" i="25"/>
  <c r="AJ44" i="25"/>
  <c r="AI44" i="25"/>
  <c r="AH44" i="25"/>
  <c r="AG44" i="25"/>
  <c r="AJ43" i="25"/>
  <c r="AI43" i="25"/>
  <c r="AH43" i="25"/>
  <c r="AG43" i="25"/>
  <c r="AJ42" i="25"/>
  <c r="AI42" i="25"/>
  <c r="AH42" i="25"/>
  <c r="AG42" i="25"/>
  <c r="AJ41" i="25"/>
  <c r="AI41" i="25"/>
  <c r="AH41" i="25"/>
  <c r="AG41" i="25"/>
  <c r="AJ40" i="25"/>
  <c r="AI40" i="25"/>
  <c r="AH40" i="25"/>
  <c r="AG40" i="25"/>
  <c r="AJ39" i="25"/>
  <c r="AI39" i="25"/>
  <c r="AH39" i="25"/>
  <c r="AG39" i="25"/>
  <c r="AJ38" i="25"/>
  <c r="AI38" i="25"/>
  <c r="AH38" i="25"/>
  <c r="AG38" i="25"/>
  <c r="AJ37" i="25"/>
  <c r="AI37" i="25"/>
  <c r="AH37" i="25"/>
  <c r="AG37" i="25"/>
  <c r="AJ36" i="25"/>
  <c r="AI36" i="25"/>
  <c r="AH36" i="25"/>
  <c r="AG36" i="25"/>
  <c r="AJ35" i="25"/>
  <c r="AI35" i="25"/>
  <c r="AH35" i="25"/>
  <c r="AG35" i="25"/>
  <c r="AJ34" i="25"/>
  <c r="AI34" i="25"/>
  <c r="AH34" i="25"/>
  <c r="AG34" i="25"/>
  <c r="AJ33" i="25"/>
  <c r="AI33" i="25"/>
  <c r="AH33" i="25"/>
  <c r="AG33" i="25"/>
  <c r="AJ32" i="25"/>
  <c r="AI32" i="25"/>
  <c r="AH32" i="25"/>
  <c r="AG32" i="25"/>
  <c r="AJ31" i="25"/>
  <c r="AI31" i="25"/>
  <c r="AH31" i="25"/>
  <c r="AG31" i="25"/>
  <c r="AJ30" i="25"/>
  <c r="AI30" i="25"/>
  <c r="AH30" i="25"/>
  <c r="AG30" i="25"/>
  <c r="AJ29" i="25"/>
  <c r="AI29" i="25"/>
  <c r="AH29" i="25"/>
  <c r="AG29" i="25"/>
  <c r="AJ28" i="25"/>
  <c r="AI28" i="25"/>
  <c r="AH28" i="25"/>
  <c r="AG28" i="25"/>
  <c r="AJ27" i="25"/>
  <c r="AI27" i="25"/>
  <c r="AH27" i="25"/>
  <c r="AG27" i="25"/>
  <c r="AJ26" i="25"/>
  <c r="AI26" i="25"/>
  <c r="AH26" i="25"/>
  <c r="AG26" i="25"/>
  <c r="AJ25" i="25"/>
  <c r="AI25" i="25"/>
  <c r="AH25" i="25"/>
  <c r="AG25" i="25"/>
  <c r="AJ24" i="25"/>
  <c r="AI24" i="25"/>
  <c r="AH24" i="25"/>
  <c r="AG24" i="25"/>
  <c r="AJ23" i="25"/>
  <c r="AI23" i="25"/>
  <c r="AH23" i="25"/>
  <c r="AG23" i="25"/>
  <c r="AJ22" i="25"/>
  <c r="AI22" i="25"/>
  <c r="AH22" i="25"/>
  <c r="AG22" i="25"/>
  <c r="AJ21" i="25"/>
  <c r="AI21" i="25"/>
  <c r="AH21" i="25"/>
  <c r="AG21" i="25"/>
  <c r="AJ20" i="25"/>
  <c r="AI20" i="25"/>
  <c r="AH20" i="25"/>
  <c r="AG20" i="25"/>
  <c r="AJ19" i="25"/>
  <c r="AI19" i="25"/>
  <c r="AH19" i="25"/>
  <c r="AG19" i="25"/>
  <c r="AJ18" i="25"/>
  <c r="AI18" i="25"/>
  <c r="AH18" i="25"/>
  <c r="AG18" i="25"/>
  <c r="AJ17" i="25"/>
  <c r="AI17" i="25"/>
  <c r="AH17" i="25"/>
  <c r="AG17" i="25"/>
  <c r="AJ16" i="25"/>
  <c r="AI16" i="25"/>
  <c r="AH16" i="25"/>
  <c r="AG16" i="25"/>
  <c r="AJ15" i="25"/>
  <c r="AI15" i="25"/>
  <c r="AH15" i="25"/>
  <c r="AG15" i="25"/>
  <c r="AJ14" i="25"/>
  <c r="AI14" i="25"/>
  <c r="AH14" i="25"/>
  <c r="AG14" i="25"/>
  <c r="AJ13" i="25"/>
  <c r="AI13" i="25"/>
  <c r="AH13" i="25"/>
  <c r="AG13" i="25"/>
  <c r="AJ12" i="25"/>
  <c r="AI12" i="25"/>
  <c r="AH12" i="25"/>
  <c r="AG12" i="25"/>
  <c r="AJ11" i="25"/>
  <c r="AI11" i="25"/>
  <c r="AH11" i="25"/>
  <c r="AG11" i="25"/>
  <c r="AJ10" i="25"/>
  <c r="AI10" i="25"/>
  <c r="AH10" i="25"/>
  <c r="AG10" i="25"/>
  <c r="AJ9" i="25"/>
  <c r="AI9" i="25"/>
  <c r="AH9" i="25"/>
  <c r="AG9" i="25"/>
  <c r="AJ8" i="25"/>
  <c r="AI8" i="25"/>
  <c r="AH8" i="25"/>
  <c r="AG8" i="25"/>
  <c r="AJ7" i="25"/>
  <c r="AI7" i="25"/>
  <c r="AH7" i="25"/>
  <c r="AG7" i="25"/>
  <c r="AJ6" i="25"/>
  <c r="AI6" i="25"/>
  <c r="AH6" i="25"/>
  <c r="AG6" i="25"/>
  <c r="AJ5" i="25"/>
  <c r="AI5" i="25"/>
  <c r="AH5" i="25"/>
  <c r="AG5" i="25"/>
  <c r="AJ4" i="25"/>
  <c r="AI4" i="25"/>
  <c r="AH4" i="25"/>
  <c r="AG4" i="25"/>
  <c r="Z5" i="25"/>
  <c r="P5" i="25"/>
  <c r="K5" i="25"/>
  <c r="AD3" i="25" l="1"/>
  <c r="AD125" i="25"/>
  <c r="K126" i="25"/>
  <c r="AB3" i="25"/>
  <c r="AC3" i="25"/>
  <c r="AE3" i="25" s="1"/>
  <c r="AB4" i="25"/>
  <c r="AD4" i="25"/>
  <c r="F5" i="25"/>
  <c r="AD248" i="25"/>
  <c r="F249" i="25"/>
  <c r="AD369" i="25"/>
  <c r="F370" i="25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AB126" i="25" l="1"/>
  <c r="AA126" i="25" s="1"/>
  <c r="Z127" i="25" s="1"/>
  <c r="AE4" i="25"/>
  <c r="AF4" i="25" s="1"/>
  <c r="AB5" i="25"/>
  <c r="AA5" i="25" s="1"/>
  <c r="AB370" i="25"/>
  <c r="AB249" i="25"/>
  <c r="H28" i="13"/>
  <c r="H27" i="13"/>
  <c r="H31" i="13"/>
  <c r="H29" i="13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G126" i="25" l="1"/>
  <c r="AD126" i="25" s="1"/>
  <c r="Q126" i="25"/>
  <c r="P127" i="25" s="1"/>
  <c r="L126" i="25"/>
  <c r="K127" i="25" s="1"/>
  <c r="L5" i="25"/>
  <c r="K6" i="25" s="1"/>
  <c r="Q5" i="25"/>
  <c r="P6" i="25" s="1"/>
  <c r="Q249" i="25"/>
  <c r="P250" i="25" s="1"/>
  <c r="V249" i="25"/>
  <c r="U250" i="25" s="1"/>
  <c r="Q370" i="25"/>
  <c r="P371" i="25" s="1"/>
  <c r="V370" i="25"/>
  <c r="U371" i="25" s="1"/>
  <c r="L370" i="25"/>
  <c r="K371" i="25" s="1"/>
  <c r="L249" i="25"/>
  <c r="K250" i="25" s="1"/>
  <c r="G370" i="25"/>
  <c r="G5" i="25"/>
  <c r="G249" i="25"/>
  <c r="Z6" i="25"/>
  <c r="F127" i="25" l="1"/>
  <c r="AB127" i="25" s="1"/>
  <c r="AA127" i="25" s="1"/>
  <c r="F6" i="25"/>
  <c r="AD5" i="25"/>
  <c r="AD370" i="25"/>
  <c r="F371" i="25"/>
  <c r="F250" i="25"/>
  <c r="AD249" i="25"/>
  <c r="L127" i="25" l="1"/>
  <c r="K128" i="25" s="1"/>
  <c r="Q127" i="25"/>
  <c r="P128" i="25" s="1"/>
  <c r="G127" i="25"/>
  <c r="AB250" i="25"/>
  <c r="AB371" i="25"/>
  <c r="AE5" i="25"/>
  <c r="AF5" i="25" s="1"/>
  <c r="AB6" i="25"/>
  <c r="AA6" i="25" s="1"/>
  <c r="Z128" i="25"/>
  <c r="Q250" i="25" l="1"/>
  <c r="V250" i="25"/>
  <c r="U251" i="25" s="1"/>
  <c r="Q371" i="25"/>
  <c r="V371" i="25"/>
  <c r="U372" i="25" s="1"/>
  <c r="L6" i="25"/>
  <c r="K7" i="25" s="1"/>
  <c r="Q6" i="25"/>
  <c r="P7" i="25" s="1"/>
  <c r="L371" i="25"/>
  <c r="K372" i="25" s="1"/>
  <c r="L250" i="25"/>
  <c r="K251" i="25" s="1"/>
  <c r="G6" i="25"/>
  <c r="G371" i="25"/>
  <c r="G250" i="25"/>
  <c r="AC6" i="25"/>
  <c r="Z7" i="25"/>
  <c r="P372" i="25"/>
  <c r="AD127" i="25"/>
  <c r="F128" i="25"/>
  <c r="P251" i="25"/>
  <c r="AB128" i="25" l="1"/>
  <c r="AA128" i="25" s="1"/>
  <c r="AD6" i="25"/>
  <c r="F7" i="25"/>
  <c r="AD250" i="25"/>
  <c r="F251" i="25"/>
  <c r="AD371" i="25"/>
  <c r="F372" i="25"/>
  <c r="L128" i="25" l="1"/>
  <c r="K129" i="25" s="1"/>
  <c r="Q128" i="25"/>
  <c r="P129" i="25" s="1"/>
  <c r="G128" i="25"/>
  <c r="AB372" i="25"/>
  <c r="AB251" i="25"/>
  <c r="AB7" i="25"/>
  <c r="AA7" i="25" s="1"/>
  <c r="AE6" i="25"/>
  <c r="AF6" i="25" s="1"/>
  <c r="Z129" i="25"/>
  <c r="Q372" i="25" l="1"/>
  <c r="P373" i="25" s="1"/>
  <c r="V372" i="25"/>
  <c r="Q251" i="25"/>
  <c r="V251" i="25"/>
  <c r="U252" i="25" s="1"/>
  <c r="L7" i="25"/>
  <c r="K8" i="25" s="1"/>
  <c r="Q7" i="25"/>
  <c r="P8" i="25" s="1"/>
  <c r="L251" i="25"/>
  <c r="K252" i="25" s="1"/>
  <c r="L372" i="25"/>
  <c r="K373" i="25" s="1"/>
  <c r="G7" i="25"/>
  <c r="G251" i="25"/>
  <c r="G372" i="25"/>
  <c r="AC7" i="25"/>
  <c r="Z8" i="25"/>
  <c r="P252" i="25"/>
  <c r="F129" i="25"/>
  <c r="AD128" i="25"/>
  <c r="U373" i="25"/>
  <c r="AD372" i="25" l="1"/>
  <c r="F373" i="25"/>
  <c r="AB129" i="25"/>
  <c r="AA129" i="25" s="1"/>
  <c r="F8" i="25"/>
  <c r="AD7" i="25"/>
  <c r="F252" i="25"/>
  <c r="AD251" i="25"/>
  <c r="L129" i="25" l="1"/>
  <c r="K130" i="25" s="1"/>
  <c r="Q129" i="25"/>
  <c r="P130" i="25" s="1"/>
  <c r="G129" i="25"/>
  <c r="AB252" i="25"/>
  <c r="AB8" i="25"/>
  <c r="AA8" i="25" s="1"/>
  <c r="AE7" i="25"/>
  <c r="AF7" i="25" s="1"/>
  <c r="Z130" i="25"/>
  <c r="AB373" i="25"/>
  <c r="Q252" i="25" l="1"/>
  <c r="V252" i="25"/>
  <c r="U253" i="25" s="1"/>
  <c r="Q373" i="25"/>
  <c r="P374" i="25" s="1"/>
  <c r="V373" i="25"/>
  <c r="U374" i="25" s="1"/>
  <c r="L252" i="25"/>
  <c r="K253" i="25" s="1"/>
  <c r="L8" i="25"/>
  <c r="K9" i="25" s="1"/>
  <c r="Q8" i="25"/>
  <c r="P9" i="25" s="1"/>
  <c r="L373" i="25"/>
  <c r="K374" i="25" s="1"/>
  <c r="G8" i="25"/>
  <c r="G252" i="25"/>
  <c r="G373" i="25"/>
  <c r="Z9" i="25"/>
  <c r="AC8" i="25"/>
  <c r="P253" i="25"/>
  <c r="AD129" i="25"/>
  <c r="F130" i="25"/>
  <c r="F253" i="25" l="1"/>
  <c r="AD252" i="25"/>
  <c r="AB130" i="25"/>
  <c r="AA130" i="25" s="1"/>
  <c r="AD373" i="25"/>
  <c r="F374" i="25"/>
  <c r="AD8" i="25"/>
  <c r="F9" i="25"/>
  <c r="L130" i="25" l="1"/>
  <c r="K131" i="25" s="1"/>
  <c r="Q130" i="25"/>
  <c r="G130" i="25"/>
  <c r="AE8" i="25"/>
  <c r="AF8" i="25" s="1"/>
  <c r="AB9" i="25"/>
  <c r="AA9" i="25" s="1"/>
  <c r="AB374" i="25"/>
  <c r="Z131" i="25"/>
  <c r="P131" i="25"/>
  <c r="AB253" i="25"/>
  <c r="Q374" i="25" l="1"/>
  <c r="P375" i="25" s="1"/>
  <c r="V374" i="25"/>
  <c r="Q253" i="25"/>
  <c r="V253" i="25"/>
  <c r="U254" i="25" s="1"/>
  <c r="L374" i="25"/>
  <c r="K375" i="25" s="1"/>
  <c r="L9" i="25"/>
  <c r="K10" i="25" s="1"/>
  <c r="Q9" i="25"/>
  <c r="P10" i="25" s="1"/>
  <c r="L253" i="25"/>
  <c r="K254" i="25" s="1"/>
  <c r="G374" i="25"/>
  <c r="G9" i="25"/>
  <c r="G253" i="25"/>
  <c r="AD130" i="25"/>
  <c r="F131" i="25"/>
  <c r="U375" i="25"/>
  <c r="P254" i="25"/>
  <c r="Z10" i="25"/>
  <c r="AC9" i="25"/>
  <c r="AD9" i="25" l="1"/>
  <c r="F10" i="25"/>
  <c r="F254" i="25"/>
  <c r="AD253" i="25"/>
  <c r="F375" i="25"/>
  <c r="AD374" i="25"/>
  <c r="AB131" i="25"/>
  <c r="AA131" i="25" s="1"/>
  <c r="L131" i="25" l="1"/>
  <c r="K132" i="25" s="1"/>
  <c r="Q131" i="25"/>
  <c r="P132" i="25" s="1"/>
  <c r="G131" i="25"/>
  <c r="Z132" i="25"/>
  <c r="AB375" i="25"/>
  <c r="AB10" i="25"/>
  <c r="AA10" i="25" s="1"/>
  <c r="AE9" i="25"/>
  <c r="AF9" i="25" s="1"/>
  <c r="AB254" i="25"/>
  <c r="Q375" i="25" l="1"/>
  <c r="V375" i="25"/>
  <c r="Q254" i="25"/>
  <c r="P255" i="25" s="1"/>
  <c r="V254" i="25"/>
  <c r="U255" i="25" s="1"/>
  <c r="L10" i="25"/>
  <c r="K11" i="25" s="1"/>
  <c r="Q10" i="25"/>
  <c r="P11" i="25" s="1"/>
  <c r="L375" i="25"/>
  <c r="K376" i="25" s="1"/>
  <c r="L254" i="25"/>
  <c r="K255" i="25" s="1"/>
  <c r="G375" i="25"/>
  <c r="G10" i="25"/>
  <c r="G254" i="25"/>
  <c r="AC10" i="25"/>
  <c r="Z11" i="25"/>
  <c r="U376" i="25"/>
  <c r="P376" i="25"/>
  <c r="AD131" i="25"/>
  <c r="F132" i="25"/>
  <c r="AB132" i="25" l="1"/>
  <c r="AA132" i="25" s="1"/>
  <c r="F255" i="25"/>
  <c r="AD254" i="25"/>
  <c r="F11" i="25"/>
  <c r="AD10" i="25"/>
  <c r="F376" i="25"/>
  <c r="AD375" i="25"/>
  <c r="L132" i="25" l="1"/>
  <c r="K133" i="25" s="1"/>
  <c r="Q132" i="25"/>
  <c r="P133" i="25" s="1"/>
  <c r="G132" i="25"/>
  <c r="AE10" i="25"/>
  <c r="AF10" i="25" s="1"/>
  <c r="AB11" i="25"/>
  <c r="AA11" i="25" s="1"/>
  <c r="AB255" i="25"/>
  <c r="AB376" i="25"/>
  <c r="Z133" i="25"/>
  <c r="Q376" i="25" l="1"/>
  <c r="P377" i="25" s="1"/>
  <c r="V376" i="25"/>
  <c r="Q255" i="25"/>
  <c r="P256" i="25" s="1"/>
  <c r="V255" i="25"/>
  <c r="L255" i="25"/>
  <c r="K256" i="25" s="1"/>
  <c r="L11" i="25"/>
  <c r="K12" i="25" s="1"/>
  <c r="Q11" i="25"/>
  <c r="P12" i="25" s="1"/>
  <c r="L376" i="25"/>
  <c r="K377" i="25" s="1"/>
  <c r="G255" i="25"/>
  <c r="G11" i="25"/>
  <c r="G376" i="25"/>
  <c r="AD132" i="25"/>
  <c r="F133" i="25"/>
  <c r="U377" i="25"/>
  <c r="U256" i="25"/>
  <c r="Z12" i="25"/>
  <c r="AC11" i="25"/>
  <c r="AB133" i="25" l="1"/>
  <c r="AA133" i="25" s="1"/>
  <c r="F377" i="25"/>
  <c r="AD376" i="25"/>
  <c r="F256" i="25"/>
  <c r="AD255" i="25"/>
  <c r="AD11" i="25"/>
  <c r="F12" i="25"/>
  <c r="L133" i="25" l="1"/>
  <c r="K134" i="25" s="1"/>
  <c r="Q133" i="25"/>
  <c r="P134" i="25" s="1"/>
  <c r="G133" i="25"/>
  <c r="AE11" i="25"/>
  <c r="AF11" i="25" s="1"/>
  <c r="AB12" i="25"/>
  <c r="AA12" i="25" s="1"/>
  <c r="AB256" i="25"/>
  <c r="AB377" i="25"/>
  <c r="Z134" i="25"/>
  <c r="Q256" i="25" l="1"/>
  <c r="P257" i="25" s="1"/>
  <c r="V256" i="25"/>
  <c r="U257" i="25" s="1"/>
  <c r="Q377" i="25"/>
  <c r="P378" i="25" s="1"/>
  <c r="V377" i="25"/>
  <c r="U378" i="25" s="1"/>
  <c r="L377" i="25"/>
  <c r="K378" i="25" s="1"/>
  <c r="L256" i="25"/>
  <c r="K257" i="25" s="1"/>
  <c r="L12" i="25"/>
  <c r="K13" i="25" s="1"/>
  <c r="Q12" i="25"/>
  <c r="P13" i="25" s="1"/>
  <c r="G377" i="25"/>
  <c r="G256" i="25"/>
  <c r="G12" i="25"/>
  <c r="F134" i="25"/>
  <c r="AD133" i="25"/>
  <c r="AC12" i="25"/>
  <c r="Z13" i="25"/>
  <c r="AD12" i="25" l="1"/>
  <c r="F13" i="25"/>
  <c r="AD377" i="25"/>
  <c r="F378" i="25"/>
  <c r="F257" i="25"/>
  <c r="AD256" i="25"/>
  <c r="AB134" i="25"/>
  <c r="AA134" i="25" s="1"/>
  <c r="L134" i="25" l="1"/>
  <c r="K135" i="25" s="1"/>
  <c r="Q134" i="25"/>
  <c r="P135" i="25" s="1"/>
  <c r="G134" i="25"/>
  <c r="AB257" i="25"/>
  <c r="AE12" i="25"/>
  <c r="AF12" i="25" s="1"/>
  <c r="AB13" i="25"/>
  <c r="AA13" i="25" s="1"/>
  <c r="Z135" i="25"/>
  <c r="AB378" i="25"/>
  <c r="Q257" i="25" l="1"/>
  <c r="V257" i="25"/>
  <c r="U258" i="25" s="1"/>
  <c r="Q378" i="25"/>
  <c r="P379" i="25" s="1"/>
  <c r="V378" i="25"/>
  <c r="U379" i="25" s="1"/>
  <c r="L13" i="25"/>
  <c r="K14" i="25" s="1"/>
  <c r="Q13" i="25"/>
  <c r="L378" i="25"/>
  <c r="K379" i="25" s="1"/>
  <c r="L257" i="25"/>
  <c r="K258" i="25" s="1"/>
  <c r="G13" i="25"/>
  <c r="G257" i="25"/>
  <c r="G378" i="25"/>
  <c r="AD134" i="25"/>
  <c r="F135" i="25"/>
  <c r="AC13" i="25"/>
  <c r="P14" i="25"/>
  <c r="Z14" i="25"/>
  <c r="P258" i="25"/>
  <c r="F258" i="25" l="1"/>
  <c r="AD257" i="25"/>
  <c r="AD13" i="25"/>
  <c r="F14" i="25"/>
  <c r="AD378" i="25"/>
  <c r="F379" i="25"/>
  <c r="AB135" i="25"/>
  <c r="AA135" i="25" s="1"/>
  <c r="L135" i="25" l="1"/>
  <c r="K136" i="25" s="1"/>
  <c r="Q135" i="25"/>
  <c r="P136" i="25" s="1"/>
  <c r="G135" i="25"/>
  <c r="Z136" i="25"/>
  <c r="AB379" i="25"/>
  <c r="AE13" i="25"/>
  <c r="AF13" i="25" s="1"/>
  <c r="AB14" i="25"/>
  <c r="AA14" i="25" s="1"/>
  <c r="AB258" i="25"/>
  <c r="Q379" i="25" l="1"/>
  <c r="V379" i="25"/>
  <c r="Q258" i="25"/>
  <c r="P259" i="25" s="1"/>
  <c r="V258" i="25"/>
  <c r="U259" i="25" s="1"/>
  <c r="L379" i="25"/>
  <c r="K380" i="25" s="1"/>
  <c r="L14" i="25"/>
  <c r="K15" i="25" s="1"/>
  <c r="Q14" i="25"/>
  <c r="P15" i="25" s="1"/>
  <c r="L258" i="25"/>
  <c r="K259" i="25" s="1"/>
  <c r="G14" i="25"/>
  <c r="G258" i="25"/>
  <c r="G379" i="25"/>
  <c r="U380" i="25"/>
  <c r="P380" i="25"/>
  <c r="AD135" i="25"/>
  <c r="F136" i="25"/>
  <c r="AC14" i="25"/>
  <c r="Z15" i="25"/>
  <c r="AD14" i="25" l="1"/>
  <c r="F15" i="25"/>
  <c r="AD379" i="25"/>
  <c r="F380" i="25"/>
  <c r="AB136" i="25"/>
  <c r="AA136" i="25" s="1"/>
  <c r="AD258" i="25"/>
  <c r="F259" i="25"/>
  <c r="L136" i="25" l="1"/>
  <c r="K137" i="25" s="1"/>
  <c r="Q136" i="25"/>
  <c r="G136" i="25"/>
  <c r="AB259" i="25"/>
  <c r="AB380" i="25"/>
  <c r="P137" i="25"/>
  <c r="Z137" i="25"/>
  <c r="AB15" i="25"/>
  <c r="AA15" i="25" s="1"/>
  <c r="AE14" i="25"/>
  <c r="AF14" i="25" s="1"/>
  <c r="Q259" i="25" l="1"/>
  <c r="V259" i="25"/>
  <c r="U260" i="25" s="1"/>
  <c r="Q380" i="25"/>
  <c r="P381" i="25" s="1"/>
  <c r="V380" i="25"/>
  <c r="U381" i="25" s="1"/>
  <c r="L15" i="25"/>
  <c r="K16" i="25" s="1"/>
  <c r="Q15" i="25"/>
  <c r="P16" i="25" s="1"/>
  <c r="L259" i="25"/>
  <c r="K260" i="25" s="1"/>
  <c r="L380" i="25"/>
  <c r="K381" i="25" s="1"/>
  <c r="G15" i="25"/>
  <c r="G259" i="25"/>
  <c r="G380" i="25"/>
  <c r="F137" i="25"/>
  <c r="AD136" i="25"/>
  <c r="P260" i="25"/>
  <c r="AC15" i="25"/>
  <c r="Z16" i="25"/>
  <c r="F16" i="25" l="1"/>
  <c r="AD15" i="25"/>
  <c r="F381" i="25"/>
  <c r="AD380" i="25"/>
  <c r="F260" i="25"/>
  <c r="AD259" i="25"/>
  <c r="AB137" i="25"/>
  <c r="AA137" i="25" s="1"/>
  <c r="L137" i="25" l="1"/>
  <c r="K138" i="25" s="1"/>
  <c r="Q137" i="25"/>
  <c r="P138" i="25" s="1"/>
  <c r="G137" i="25"/>
  <c r="AB260" i="25"/>
  <c r="AB381" i="25"/>
  <c r="Z138" i="25"/>
  <c r="AB16" i="25"/>
  <c r="AA16" i="25" s="1"/>
  <c r="AE15" i="25"/>
  <c r="AF15" i="25" s="1"/>
  <c r="Q381" i="25" l="1"/>
  <c r="V381" i="25"/>
  <c r="Q260" i="25"/>
  <c r="V260" i="25"/>
  <c r="L16" i="25"/>
  <c r="K17" i="25" s="1"/>
  <c r="Q16" i="25"/>
  <c r="P17" i="25" s="1"/>
  <c r="L260" i="25"/>
  <c r="K261" i="25" s="1"/>
  <c r="L381" i="25"/>
  <c r="G260" i="25"/>
  <c r="G16" i="25"/>
  <c r="G381" i="25"/>
  <c r="Z17" i="25"/>
  <c r="AC16" i="25"/>
  <c r="U261" i="25"/>
  <c r="P261" i="25"/>
  <c r="AD137" i="25"/>
  <c r="F138" i="25"/>
  <c r="AB138" i="25" l="1"/>
  <c r="AA138" i="25" s="1"/>
  <c r="F261" i="25"/>
  <c r="AD260" i="25"/>
  <c r="AD381" i="25"/>
  <c r="AD16" i="25"/>
  <c r="F17" i="25"/>
  <c r="L138" i="25" l="1"/>
  <c r="K139" i="25" s="1"/>
  <c r="Q138" i="25"/>
  <c r="P139" i="25" s="1"/>
  <c r="G138" i="25"/>
  <c r="AB261" i="25"/>
  <c r="Z139" i="25"/>
  <c r="AE16" i="25"/>
  <c r="AF16" i="25" s="1"/>
  <c r="AB17" i="25"/>
  <c r="AA17" i="25" s="1"/>
  <c r="Q261" i="25" l="1"/>
  <c r="V261" i="25"/>
  <c r="U262" i="25" s="1"/>
  <c r="L261" i="25"/>
  <c r="L17" i="25"/>
  <c r="K18" i="25" s="1"/>
  <c r="Q17" i="25"/>
  <c r="P18" i="25" s="1"/>
  <c r="G17" i="25"/>
  <c r="G261" i="25"/>
  <c r="K262" i="25"/>
  <c r="AD138" i="25"/>
  <c r="F139" i="25"/>
  <c r="P262" i="25"/>
  <c r="Z18" i="25"/>
  <c r="AC17" i="25"/>
  <c r="F262" i="25" l="1"/>
  <c r="AD261" i="25"/>
  <c r="AD17" i="25"/>
  <c r="F18" i="25"/>
  <c r="AB139" i="25"/>
  <c r="AA139" i="25" s="1"/>
  <c r="L139" i="25" l="1"/>
  <c r="Q139" i="25"/>
  <c r="P140" i="25" s="1"/>
  <c r="G139" i="25"/>
  <c r="K140" i="25"/>
  <c r="AB18" i="25"/>
  <c r="AA18" i="25" s="1"/>
  <c r="AE17" i="25"/>
  <c r="AF17" i="25" s="1"/>
  <c r="Z140" i="25"/>
  <c r="AB262" i="25"/>
  <c r="Q262" i="25" l="1"/>
  <c r="V262" i="25"/>
  <c r="U263" i="25" s="1"/>
  <c r="L18" i="25"/>
  <c r="K19" i="25" s="1"/>
  <c r="Q18" i="25"/>
  <c r="P19" i="25" s="1"/>
  <c r="L262" i="25"/>
  <c r="K263" i="25" s="1"/>
  <c r="P263" i="25"/>
  <c r="G262" i="25"/>
  <c r="G18" i="25"/>
  <c r="AD139" i="25"/>
  <c r="F140" i="25"/>
  <c r="AC18" i="25"/>
  <c r="Z19" i="25"/>
  <c r="F263" i="25" l="1"/>
  <c r="AD262" i="25"/>
  <c r="F19" i="25"/>
  <c r="AD18" i="25"/>
  <c r="AB140" i="25"/>
  <c r="AA140" i="25" s="1"/>
  <c r="L140" i="25" l="1"/>
  <c r="Q140" i="25"/>
  <c r="P141" i="25" s="1"/>
  <c r="G140" i="25"/>
  <c r="Z141" i="25"/>
  <c r="K141" i="25"/>
  <c r="AE18" i="25"/>
  <c r="AF18" i="25" s="1"/>
  <c r="AB19" i="25"/>
  <c r="AA19" i="25" s="1"/>
  <c r="AB263" i="25"/>
  <c r="Q263" i="25" l="1"/>
  <c r="V263" i="25"/>
  <c r="U264" i="25" s="1"/>
  <c r="L19" i="25"/>
  <c r="K20" i="25" s="1"/>
  <c r="Q19" i="25"/>
  <c r="P20" i="25" s="1"/>
  <c r="L263" i="25"/>
  <c r="K264" i="25" s="1"/>
  <c r="P264" i="25"/>
  <c r="G263" i="25"/>
  <c r="G19" i="25"/>
  <c r="Z20" i="25"/>
  <c r="AC19" i="25"/>
  <c r="AD140" i="25"/>
  <c r="F141" i="25"/>
  <c r="AD19" i="25" l="1"/>
  <c r="F20" i="25"/>
  <c r="AB141" i="25"/>
  <c r="AA141" i="25" s="1"/>
  <c r="AD263" i="25"/>
  <c r="F264" i="25"/>
  <c r="L141" i="25" l="1"/>
  <c r="K142" i="25" s="1"/>
  <c r="Q141" i="25"/>
  <c r="P142" i="25" s="1"/>
  <c r="G141" i="25"/>
  <c r="AB264" i="25"/>
  <c r="Z142" i="25"/>
  <c r="AE19" i="25"/>
  <c r="AF19" i="25" s="1"/>
  <c r="AB20" i="25"/>
  <c r="AA20" i="25" s="1"/>
  <c r="Q264" i="25" l="1"/>
  <c r="V264" i="25"/>
  <c r="L264" i="25"/>
  <c r="K265" i="25" s="1"/>
  <c r="P265" i="25"/>
  <c r="L20" i="25"/>
  <c r="Q20" i="25"/>
  <c r="P21" i="25" s="1"/>
  <c r="G20" i="25"/>
  <c r="K21" i="25"/>
  <c r="G264" i="25"/>
  <c r="F142" i="25"/>
  <c r="AD141" i="25"/>
  <c r="U265" i="25"/>
  <c r="AC20" i="25"/>
  <c r="Z21" i="25"/>
  <c r="F265" i="25" l="1"/>
  <c r="AD264" i="25"/>
  <c r="AD20" i="25"/>
  <c r="F21" i="25"/>
  <c r="AB142" i="25"/>
  <c r="AA142" i="25" s="1"/>
  <c r="L142" i="25" l="1"/>
  <c r="K143" i="25" s="1"/>
  <c r="Q142" i="25"/>
  <c r="P143" i="25" s="1"/>
  <c r="G142" i="25"/>
  <c r="Z143" i="25"/>
  <c r="AE20" i="25"/>
  <c r="AF20" i="25" s="1"/>
  <c r="AB21" i="25"/>
  <c r="AA21" i="25" s="1"/>
  <c r="AB265" i="25"/>
  <c r="Q265" i="25" l="1"/>
  <c r="V265" i="25"/>
  <c r="L21" i="25"/>
  <c r="Q21" i="25"/>
  <c r="P22" i="25" s="1"/>
  <c r="L265" i="25"/>
  <c r="K266" i="25" s="1"/>
  <c r="G265" i="25"/>
  <c r="G21" i="25"/>
  <c r="K22" i="25"/>
  <c r="AC21" i="25"/>
  <c r="Z22" i="25"/>
  <c r="F143" i="25"/>
  <c r="AD142" i="25"/>
  <c r="U266" i="25"/>
  <c r="P266" i="25"/>
  <c r="AB143" i="25" l="1"/>
  <c r="AA143" i="25" s="1"/>
  <c r="F266" i="25"/>
  <c r="AD265" i="25"/>
  <c r="AD21" i="25"/>
  <c r="F22" i="25"/>
  <c r="L143" i="25" l="1"/>
  <c r="K144" i="25" s="1"/>
  <c r="Q143" i="25"/>
  <c r="P144" i="25" s="1"/>
  <c r="G143" i="25"/>
  <c r="AE21" i="25"/>
  <c r="AF21" i="25" s="1"/>
  <c r="AB22" i="25"/>
  <c r="AA22" i="25" s="1"/>
  <c r="AB266" i="25"/>
  <c r="Z144" i="25"/>
  <c r="Q266" i="25" l="1"/>
  <c r="P267" i="25" s="1"/>
  <c r="V266" i="25"/>
  <c r="U267" i="25" s="1"/>
  <c r="L266" i="25"/>
  <c r="K267" i="25" s="1"/>
  <c r="L22" i="25"/>
  <c r="K23" i="25" s="1"/>
  <c r="Q22" i="25"/>
  <c r="P23" i="25" s="1"/>
  <c r="G266" i="25"/>
  <c r="G22" i="25"/>
  <c r="AD143" i="25"/>
  <c r="F144" i="25"/>
  <c r="AC22" i="25"/>
  <c r="Z23" i="25"/>
  <c r="F267" i="25" l="1"/>
  <c r="AD266" i="25"/>
  <c r="AD22" i="25"/>
  <c r="F23" i="25"/>
  <c r="AB144" i="25"/>
  <c r="AA144" i="25" s="1"/>
  <c r="L144" i="25" l="1"/>
  <c r="K145" i="25" s="1"/>
  <c r="Q144" i="25"/>
  <c r="P145" i="25" s="1"/>
  <c r="G144" i="25"/>
  <c r="Z145" i="25"/>
  <c r="AB23" i="25"/>
  <c r="AA23" i="25" s="1"/>
  <c r="AE22" i="25"/>
  <c r="AF22" i="25" s="1"/>
  <c r="AB267" i="25"/>
  <c r="Q267" i="25" l="1"/>
  <c r="P268" i="25" s="1"/>
  <c r="V267" i="25"/>
  <c r="L23" i="25"/>
  <c r="K24" i="25" s="1"/>
  <c r="Q23" i="25"/>
  <c r="P24" i="25" s="1"/>
  <c r="L267" i="25"/>
  <c r="K268" i="25" s="1"/>
  <c r="G267" i="25"/>
  <c r="G23" i="25"/>
  <c r="AC23" i="25"/>
  <c r="Z24" i="25"/>
  <c r="AD144" i="25"/>
  <c r="F145" i="25"/>
  <c r="U268" i="25"/>
  <c r="AB145" i="25" l="1"/>
  <c r="AA145" i="25" s="1"/>
  <c r="AD267" i="25"/>
  <c r="F268" i="25"/>
  <c r="F24" i="25"/>
  <c r="AD23" i="25"/>
  <c r="L145" i="25" l="1"/>
  <c r="K146" i="25" s="1"/>
  <c r="Q145" i="25"/>
  <c r="G145" i="25"/>
  <c r="AB268" i="25"/>
  <c r="AB24" i="25"/>
  <c r="AA24" i="25" s="1"/>
  <c r="AE23" i="25"/>
  <c r="AF23" i="25" s="1"/>
  <c r="P146" i="25"/>
  <c r="Z146" i="25"/>
  <c r="Q268" i="25" l="1"/>
  <c r="P269" i="25" s="1"/>
  <c r="V268" i="25"/>
  <c r="L24" i="25"/>
  <c r="K25" i="25" s="1"/>
  <c r="Q24" i="25"/>
  <c r="P25" i="25" s="1"/>
  <c r="L268" i="25"/>
  <c r="K269" i="25" s="1"/>
  <c r="G24" i="25"/>
  <c r="G268" i="25"/>
  <c r="AD145" i="25"/>
  <c r="F146" i="25"/>
  <c r="Z25" i="25"/>
  <c r="AC24" i="25"/>
  <c r="U269" i="25"/>
  <c r="AD24" i="25" l="1"/>
  <c r="F25" i="25"/>
  <c r="F269" i="25"/>
  <c r="AD268" i="25"/>
  <c r="AB146" i="25"/>
  <c r="AA146" i="25" s="1"/>
  <c r="L146" i="25" l="1"/>
  <c r="K147" i="25" s="1"/>
  <c r="Q146" i="25"/>
  <c r="P147" i="25" s="1"/>
  <c r="G146" i="25"/>
  <c r="AB269" i="25"/>
  <c r="Z147" i="25"/>
  <c r="AE24" i="25"/>
  <c r="AF24" i="25" s="1"/>
  <c r="AB25" i="25"/>
  <c r="AA25" i="25" s="1"/>
  <c r="Q269" i="25" l="1"/>
  <c r="V269" i="25"/>
  <c r="U270" i="25" s="1"/>
  <c r="L269" i="25"/>
  <c r="L25" i="25"/>
  <c r="K26" i="25" s="1"/>
  <c r="Q25" i="25"/>
  <c r="P26" i="25" s="1"/>
  <c r="G25" i="25"/>
  <c r="G269" i="25"/>
  <c r="K270" i="25"/>
  <c r="AD146" i="25"/>
  <c r="F147" i="25"/>
  <c r="P270" i="25"/>
  <c r="Z26" i="25"/>
  <c r="AC25" i="25"/>
  <c r="F270" i="25" l="1"/>
  <c r="AD269" i="25"/>
  <c r="AD25" i="25"/>
  <c r="F26" i="25"/>
  <c r="AB147" i="25"/>
  <c r="AA147" i="25" s="1"/>
  <c r="L147" i="25" l="1"/>
  <c r="Q147" i="25"/>
  <c r="P148" i="25" s="1"/>
  <c r="G147" i="25"/>
  <c r="K148" i="25"/>
  <c r="AB26" i="25"/>
  <c r="AA26" i="25" s="1"/>
  <c r="AE25" i="25"/>
  <c r="AF25" i="25" s="1"/>
  <c r="AB270" i="25"/>
  <c r="Z148" i="25"/>
  <c r="Q270" i="25" l="1"/>
  <c r="V270" i="25"/>
  <c r="U271" i="25" s="1"/>
  <c r="L270" i="25"/>
  <c r="K271" i="25" s="1"/>
  <c r="L26" i="25"/>
  <c r="K27" i="25" s="1"/>
  <c r="Q26" i="25"/>
  <c r="P27" i="25" s="1"/>
  <c r="G26" i="25"/>
  <c r="G270" i="25"/>
  <c r="F148" i="25"/>
  <c r="AD147" i="25"/>
  <c r="P271" i="25"/>
  <c r="AC26" i="25"/>
  <c r="Z27" i="25"/>
  <c r="AD270" i="25" l="1"/>
  <c r="F271" i="25"/>
  <c r="F27" i="25"/>
  <c r="AD26" i="25"/>
  <c r="AB148" i="25"/>
  <c r="AA148" i="25" s="1"/>
  <c r="L148" i="25" l="1"/>
  <c r="K149" i="25" s="1"/>
  <c r="Q148" i="25"/>
  <c r="P149" i="25" s="1"/>
  <c r="G148" i="25"/>
  <c r="AE26" i="25"/>
  <c r="AF26" i="25" s="1"/>
  <c r="AB27" i="25"/>
  <c r="AA27" i="25" s="1"/>
  <c r="Z149" i="25"/>
  <c r="AB271" i="25"/>
  <c r="Q271" i="25" l="1"/>
  <c r="P272" i="25" s="1"/>
  <c r="V271" i="25"/>
  <c r="L27" i="25"/>
  <c r="K28" i="25" s="1"/>
  <c r="Q27" i="25"/>
  <c r="P28" i="25" s="1"/>
  <c r="L271" i="25"/>
  <c r="K272" i="25" s="1"/>
  <c r="G271" i="25"/>
  <c r="G27" i="25"/>
  <c r="AD148" i="25"/>
  <c r="F149" i="25"/>
  <c r="Z28" i="25"/>
  <c r="AC27" i="25"/>
  <c r="U272" i="25"/>
  <c r="AD27" i="25" l="1"/>
  <c r="F28" i="25"/>
  <c r="AD271" i="25"/>
  <c r="F272" i="25"/>
  <c r="AB149" i="25"/>
  <c r="AA149" i="25" s="1"/>
  <c r="L149" i="25" l="1"/>
  <c r="K150" i="25" s="1"/>
  <c r="Q149" i="25"/>
  <c r="P150" i="25" s="1"/>
  <c r="G149" i="25"/>
  <c r="Z150" i="25"/>
  <c r="AB272" i="25"/>
  <c r="AE27" i="25"/>
  <c r="AF27" i="25" s="1"/>
  <c r="AB28" i="25"/>
  <c r="AA28" i="25" s="1"/>
  <c r="Q272" i="25" l="1"/>
  <c r="V272" i="25"/>
  <c r="L272" i="25"/>
  <c r="K273" i="25" s="1"/>
  <c r="L28" i="25"/>
  <c r="K29" i="25" s="1"/>
  <c r="Q28" i="25"/>
  <c r="P29" i="25" s="1"/>
  <c r="G28" i="25"/>
  <c r="G272" i="25"/>
  <c r="U273" i="25"/>
  <c r="P273" i="25"/>
  <c r="F150" i="25"/>
  <c r="AD149" i="25"/>
  <c r="AC28" i="25"/>
  <c r="Z29" i="25"/>
  <c r="AB150" i="25" l="1"/>
  <c r="AA150" i="25" s="1"/>
  <c r="AD272" i="25"/>
  <c r="F273" i="25"/>
  <c r="AD28" i="25"/>
  <c r="F29" i="25"/>
  <c r="L150" i="25" l="1"/>
  <c r="K151" i="25" s="1"/>
  <c r="Q150" i="25"/>
  <c r="P151" i="25" s="1"/>
  <c r="G150" i="25"/>
  <c r="AB273" i="25"/>
  <c r="AE28" i="25"/>
  <c r="AF28" i="25" s="1"/>
  <c r="AB29" i="25"/>
  <c r="AA29" i="25" s="1"/>
  <c r="Z151" i="25"/>
  <c r="Q273" i="25" l="1"/>
  <c r="V273" i="25"/>
  <c r="U274" i="25" s="1"/>
  <c r="L29" i="25"/>
  <c r="K30" i="25" s="1"/>
  <c r="Q29" i="25"/>
  <c r="P30" i="25" s="1"/>
  <c r="L273" i="25"/>
  <c r="K274" i="25" s="1"/>
  <c r="P274" i="25"/>
  <c r="G273" i="25"/>
  <c r="G29" i="25"/>
  <c r="AC29" i="25"/>
  <c r="Z30" i="25"/>
  <c r="AD150" i="25"/>
  <c r="F151" i="25"/>
  <c r="F274" i="25" l="1"/>
  <c r="AD273" i="25"/>
  <c r="AB151" i="25"/>
  <c r="AA151" i="25" s="1"/>
  <c r="AD29" i="25"/>
  <c r="F30" i="25"/>
  <c r="L151" i="25" l="1"/>
  <c r="K152" i="25" s="1"/>
  <c r="Q151" i="25"/>
  <c r="P152" i="25" s="1"/>
  <c r="G151" i="25"/>
  <c r="AE29" i="25"/>
  <c r="AF29" i="25" s="1"/>
  <c r="AB30" i="25"/>
  <c r="AA30" i="25" s="1"/>
  <c r="Z152" i="25"/>
  <c r="AB274" i="25"/>
  <c r="Q274" i="25" l="1"/>
  <c r="P275" i="25" s="1"/>
  <c r="V274" i="25"/>
  <c r="U275" i="25" s="1"/>
  <c r="L30" i="25"/>
  <c r="K31" i="25" s="1"/>
  <c r="Q30" i="25"/>
  <c r="P31" i="25" s="1"/>
  <c r="L274" i="25"/>
  <c r="K275" i="25" s="1"/>
  <c r="G274" i="25"/>
  <c r="G30" i="25"/>
  <c r="AD151" i="25"/>
  <c r="F152" i="25"/>
  <c r="AC30" i="25"/>
  <c r="Z31" i="25"/>
  <c r="AB152" i="25" l="1"/>
  <c r="AA152" i="25" s="1"/>
  <c r="AD274" i="25"/>
  <c r="F275" i="25"/>
  <c r="AD30" i="25"/>
  <c r="F31" i="25"/>
  <c r="L152" i="25" l="1"/>
  <c r="K153" i="25" s="1"/>
  <c r="Q152" i="25"/>
  <c r="P153" i="25" s="1"/>
  <c r="G152" i="25"/>
  <c r="AB31" i="25"/>
  <c r="AA31" i="25" s="1"/>
  <c r="AE30" i="25"/>
  <c r="AF30" i="25" s="1"/>
  <c r="AB275" i="25"/>
  <c r="Z153" i="25"/>
  <c r="Q275" i="25" l="1"/>
  <c r="P276" i="25" s="1"/>
  <c r="V275" i="25"/>
  <c r="U276" i="25" s="1"/>
  <c r="L275" i="25"/>
  <c r="K276" i="25" s="1"/>
  <c r="L31" i="25"/>
  <c r="K32" i="25" s="1"/>
  <c r="Q31" i="25"/>
  <c r="P32" i="25" s="1"/>
  <c r="G31" i="25"/>
  <c r="G275" i="25"/>
  <c r="AD152" i="25"/>
  <c r="F153" i="25"/>
  <c r="Z32" i="25"/>
  <c r="AC31" i="25" l="1"/>
  <c r="AD275" i="25"/>
  <c r="F276" i="25"/>
  <c r="F32" i="25"/>
  <c r="AD31" i="25"/>
  <c r="AB153" i="25"/>
  <c r="AA153" i="25" s="1"/>
  <c r="L153" i="25" l="1"/>
  <c r="K154" i="25" s="1"/>
  <c r="Q153" i="25"/>
  <c r="P154" i="25" s="1"/>
  <c r="G153" i="25"/>
  <c r="AB32" i="25"/>
  <c r="AA32" i="25" s="1"/>
  <c r="AE31" i="25"/>
  <c r="AF31" i="25" s="1"/>
  <c r="Z154" i="25"/>
  <c r="AB276" i="25"/>
  <c r="Q276" i="25" l="1"/>
  <c r="P277" i="25" s="1"/>
  <c r="V276" i="25"/>
  <c r="U277" i="25" s="1"/>
  <c r="L276" i="25"/>
  <c r="K277" i="25" s="1"/>
  <c r="L32" i="25"/>
  <c r="K33" i="25" s="1"/>
  <c r="Q32" i="25"/>
  <c r="P33" i="25" s="1"/>
  <c r="G32" i="25"/>
  <c r="G276" i="25"/>
  <c r="AD153" i="25"/>
  <c r="F154" i="25"/>
  <c r="Z33" i="25"/>
  <c r="AC32" i="25" l="1"/>
  <c r="AD276" i="25"/>
  <c r="F277" i="25"/>
  <c r="AD32" i="25"/>
  <c r="F33" i="25"/>
  <c r="AB154" i="25"/>
  <c r="AA154" i="25" s="1"/>
  <c r="L154" i="25" l="1"/>
  <c r="K155" i="25" s="1"/>
  <c r="Q154" i="25"/>
  <c r="P155" i="25" s="1"/>
  <c r="G154" i="25"/>
  <c r="Z155" i="25"/>
  <c r="AE32" i="25"/>
  <c r="AF32" i="25" s="1"/>
  <c r="AB33" i="25"/>
  <c r="AA33" i="25" s="1"/>
  <c r="AB277" i="25"/>
  <c r="Q277" i="25" l="1"/>
  <c r="V277" i="25"/>
  <c r="L33" i="25"/>
  <c r="K34" i="25" s="1"/>
  <c r="Q33" i="25"/>
  <c r="P34" i="25" s="1"/>
  <c r="L277" i="25"/>
  <c r="K278" i="25" s="1"/>
  <c r="P278" i="25"/>
  <c r="G277" i="25"/>
  <c r="G33" i="25"/>
  <c r="Z34" i="25"/>
  <c r="AC33" i="25"/>
  <c r="AD154" i="25"/>
  <c r="F155" i="25"/>
  <c r="U278" i="25"/>
  <c r="AB155" i="25" l="1"/>
  <c r="AA155" i="25" s="1"/>
  <c r="AD33" i="25"/>
  <c r="F34" i="25"/>
  <c r="AD277" i="25"/>
  <c r="F278" i="25"/>
  <c r="L155" i="25" l="1"/>
  <c r="K156" i="25" s="1"/>
  <c r="Q155" i="25"/>
  <c r="P156" i="25" s="1"/>
  <c r="G155" i="25"/>
  <c r="AB34" i="25"/>
  <c r="AA34" i="25" s="1"/>
  <c r="AE33" i="25"/>
  <c r="AF33" i="25" s="1"/>
  <c r="AB278" i="25"/>
  <c r="Z156" i="25"/>
  <c r="Q278" i="25" l="1"/>
  <c r="P279" i="25" s="1"/>
  <c r="V278" i="25"/>
  <c r="U279" i="25" s="1"/>
  <c r="L278" i="25"/>
  <c r="K279" i="25" s="1"/>
  <c r="L34" i="25"/>
  <c r="K35" i="25" s="1"/>
  <c r="Q34" i="25"/>
  <c r="P35" i="25" s="1"/>
  <c r="G34" i="25"/>
  <c r="G278" i="25"/>
  <c r="F156" i="25"/>
  <c r="AD155" i="25"/>
  <c r="AC34" i="25"/>
  <c r="Z35" i="25"/>
  <c r="F35" i="25" l="1"/>
  <c r="AD34" i="25"/>
  <c r="AD278" i="25"/>
  <c r="F279" i="25"/>
  <c r="AB156" i="25"/>
  <c r="AA156" i="25" s="1"/>
  <c r="L156" i="25" l="1"/>
  <c r="K157" i="25" s="1"/>
  <c r="Q156" i="25"/>
  <c r="P157" i="25" s="1"/>
  <c r="G156" i="25"/>
  <c r="Z157" i="25"/>
  <c r="AB279" i="25"/>
  <c r="AE34" i="25"/>
  <c r="AF34" i="25" s="1"/>
  <c r="AB35" i="25"/>
  <c r="AA35" i="25" s="1"/>
  <c r="Q279" i="25" l="1"/>
  <c r="P280" i="25" s="1"/>
  <c r="V279" i="25"/>
  <c r="U280" i="25" s="1"/>
  <c r="L279" i="25"/>
  <c r="K280" i="25" s="1"/>
  <c r="L35" i="25"/>
  <c r="K36" i="25" s="1"/>
  <c r="Q35" i="25"/>
  <c r="P36" i="25" s="1"/>
  <c r="G279" i="25"/>
  <c r="G35" i="25"/>
  <c r="AD156" i="25"/>
  <c r="F157" i="25"/>
  <c r="Z36" i="25"/>
  <c r="AC35" i="25"/>
  <c r="AB157" i="25" l="1"/>
  <c r="AA157" i="25" s="1"/>
  <c r="AD279" i="25"/>
  <c r="F280" i="25"/>
  <c r="AD35" i="25"/>
  <c r="F36" i="25"/>
  <c r="L157" i="25" l="1"/>
  <c r="Q157" i="25"/>
  <c r="P158" i="25" s="1"/>
  <c r="G157" i="25"/>
  <c r="AB280" i="25"/>
  <c r="Z158" i="25"/>
  <c r="K158" i="25"/>
  <c r="AE35" i="25"/>
  <c r="AF35" i="25" s="1"/>
  <c r="AB36" i="25"/>
  <c r="AA36" i="25" s="1"/>
  <c r="Q280" i="25" l="1"/>
  <c r="P281" i="25" s="1"/>
  <c r="V280" i="25"/>
  <c r="U281" i="25" s="1"/>
  <c r="L280" i="25"/>
  <c r="K281" i="25" s="1"/>
  <c r="L36" i="25"/>
  <c r="K37" i="25" s="1"/>
  <c r="Q36" i="25"/>
  <c r="P37" i="25" s="1"/>
  <c r="G280" i="25"/>
  <c r="G36" i="25"/>
  <c r="F158" i="25"/>
  <c r="AD157" i="25"/>
  <c r="AC36" i="25"/>
  <c r="Z37" i="25"/>
  <c r="AD280" i="25" l="1"/>
  <c r="F281" i="25"/>
  <c r="AD36" i="25"/>
  <c r="F37" i="25"/>
  <c r="AB158" i="25"/>
  <c r="AA158" i="25" s="1"/>
  <c r="L158" i="25" l="1"/>
  <c r="K159" i="25" s="1"/>
  <c r="Q158" i="25"/>
  <c r="P159" i="25" s="1"/>
  <c r="G158" i="25"/>
  <c r="Z159" i="25"/>
  <c r="AE36" i="25"/>
  <c r="AF36" i="25" s="1"/>
  <c r="AB37" i="25"/>
  <c r="AA37" i="25" s="1"/>
  <c r="AB281" i="25"/>
  <c r="Q281" i="25" l="1"/>
  <c r="P282" i="25" s="1"/>
  <c r="V281" i="25"/>
  <c r="L37" i="25"/>
  <c r="K38" i="25" s="1"/>
  <c r="Q37" i="25"/>
  <c r="P38" i="25" s="1"/>
  <c r="L281" i="25"/>
  <c r="K282" i="25" s="1"/>
  <c r="G281" i="25"/>
  <c r="G37" i="25"/>
  <c r="AC37" i="25"/>
  <c r="Z38" i="25"/>
  <c r="F159" i="25"/>
  <c r="AD158" i="25"/>
  <c r="U282" i="25"/>
  <c r="AB159" i="25" l="1"/>
  <c r="AA159" i="25" s="1"/>
  <c r="AD37" i="25"/>
  <c r="F38" i="25"/>
  <c r="AD281" i="25"/>
  <c r="F282" i="25"/>
  <c r="L159" i="25" l="1"/>
  <c r="K160" i="25" s="1"/>
  <c r="Q159" i="25"/>
  <c r="P160" i="25" s="1"/>
  <c r="G159" i="25"/>
  <c r="AB282" i="25"/>
  <c r="AE37" i="25"/>
  <c r="AF37" i="25" s="1"/>
  <c r="AB38" i="25"/>
  <c r="AA38" i="25" s="1"/>
  <c r="Z160" i="25"/>
  <c r="Q282" i="25" l="1"/>
  <c r="P283" i="25" s="1"/>
  <c r="V282" i="25"/>
  <c r="U283" i="25" s="1"/>
  <c r="L38" i="25"/>
  <c r="K39" i="25" s="1"/>
  <c r="Q38" i="25"/>
  <c r="P39" i="25" s="1"/>
  <c r="L282" i="25"/>
  <c r="K283" i="25" s="1"/>
  <c r="G38" i="25"/>
  <c r="G282" i="25"/>
  <c r="AC38" i="25"/>
  <c r="Z39" i="25"/>
  <c r="AD159" i="25"/>
  <c r="F160" i="25"/>
  <c r="AD282" i="25" l="1"/>
  <c r="F283" i="25"/>
  <c r="AB160" i="25"/>
  <c r="AA160" i="25" s="1"/>
  <c r="AD38" i="25"/>
  <c r="F39" i="25"/>
  <c r="L160" i="25" l="1"/>
  <c r="Q160" i="25"/>
  <c r="G160" i="25"/>
  <c r="AB39" i="25"/>
  <c r="AA39" i="25" s="1"/>
  <c r="AE38" i="25"/>
  <c r="AF38" i="25" s="1"/>
  <c r="K161" i="25"/>
  <c r="P161" i="25"/>
  <c r="Z161" i="25"/>
  <c r="AB283" i="25"/>
  <c r="Q283" i="25" l="1"/>
  <c r="V283" i="25"/>
  <c r="U284" i="25" s="1"/>
  <c r="L39" i="25"/>
  <c r="K40" i="25" s="1"/>
  <c r="Q39" i="25"/>
  <c r="P40" i="25" s="1"/>
  <c r="L283" i="25"/>
  <c r="K284" i="25" s="1"/>
  <c r="P284" i="25"/>
  <c r="G39" i="25"/>
  <c r="G283" i="25"/>
  <c r="AD160" i="25"/>
  <c r="F161" i="25"/>
  <c r="AC39" i="25"/>
  <c r="Z40" i="25"/>
  <c r="AD283" i="25" l="1"/>
  <c r="F284" i="25"/>
  <c r="F40" i="25"/>
  <c r="AD39" i="25"/>
  <c r="AB161" i="25"/>
  <c r="AA161" i="25" s="1"/>
  <c r="L161" i="25" l="1"/>
  <c r="K162" i="25" s="1"/>
  <c r="Q161" i="25"/>
  <c r="P162" i="25" s="1"/>
  <c r="G161" i="25"/>
  <c r="AB40" i="25"/>
  <c r="AA40" i="25" s="1"/>
  <c r="AE39" i="25"/>
  <c r="AF39" i="25" s="1"/>
  <c r="Z162" i="25"/>
  <c r="AB284" i="25"/>
  <c r="Q284" i="25" l="1"/>
  <c r="V284" i="25"/>
  <c r="U285" i="25" s="1"/>
  <c r="L40" i="25"/>
  <c r="K41" i="25" s="1"/>
  <c r="Q40" i="25"/>
  <c r="P41" i="25" s="1"/>
  <c r="L284" i="25"/>
  <c r="K285" i="25" s="1"/>
  <c r="P285" i="25"/>
  <c r="G284" i="25"/>
  <c r="G40" i="25"/>
  <c r="AD161" i="25"/>
  <c r="F162" i="25"/>
  <c r="Z41" i="25"/>
  <c r="AC40" i="25"/>
  <c r="AD284" i="25" l="1"/>
  <c r="F285" i="25"/>
  <c r="AD40" i="25"/>
  <c r="F41" i="25"/>
  <c r="AB162" i="25"/>
  <c r="AA162" i="25" s="1"/>
  <c r="L162" i="25" l="1"/>
  <c r="Q162" i="25"/>
  <c r="P163" i="25" s="1"/>
  <c r="G162" i="25"/>
  <c r="AB285" i="25"/>
  <c r="Z163" i="25"/>
  <c r="K163" i="25"/>
  <c r="AE40" i="25"/>
  <c r="AF40" i="25" s="1"/>
  <c r="AB41" i="25"/>
  <c r="AA41" i="25" s="1"/>
  <c r="Q285" i="25" l="1"/>
  <c r="P286" i="25" s="1"/>
  <c r="V285" i="25"/>
  <c r="U286" i="25" s="1"/>
  <c r="L285" i="25"/>
  <c r="K286" i="25" s="1"/>
  <c r="L41" i="25"/>
  <c r="K42" i="25" s="1"/>
  <c r="Q41" i="25"/>
  <c r="P42" i="25" s="1"/>
  <c r="G41" i="25"/>
  <c r="G285" i="25"/>
  <c r="AD162" i="25"/>
  <c r="F163" i="25"/>
  <c r="Z42" i="25"/>
  <c r="AC41" i="25"/>
  <c r="AB163" i="25" l="1"/>
  <c r="AA163" i="25" s="1"/>
  <c r="AD285" i="25"/>
  <c r="F286" i="25"/>
  <c r="AD41" i="25"/>
  <c r="F42" i="25"/>
  <c r="L163" i="25" l="1"/>
  <c r="K164" i="25" s="1"/>
  <c r="Q163" i="25"/>
  <c r="G163" i="25"/>
  <c r="AB42" i="25"/>
  <c r="AA42" i="25" s="1"/>
  <c r="AE41" i="25"/>
  <c r="AF41" i="25" s="1"/>
  <c r="AB286" i="25"/>
  <c r="Z164" i="25"/>
  <c r="P164" i="25"/>
  <c r="Q286" i="25" l="1"/>
  <c r="P287" i="25" s="1"/>
  <c r="V286" i="25"/>
  <c r="U287" i="25" s="1"/>
  <c r="L286" i="25"/>
  <c r="K287" i="25" s="1"/>
  <c r="L42" i="25"/>
  <c r="K43" i="25" s="1"/>
  <c r="Q42" i="25"/>
  <c r="P43" i="25" s="1"/>
  <c r="G42" i="25"/>
  <c r="G286" i="25"/>
  <c r="F164" i="25"/>
  <c r="AD163" i="25"/>
  <c r="AC42" i="25"/>
  <c r="Z43" i="25"/>
  <c r="F43" i="25" l="1"/>
  <c r="AD42" i="25"/>
  <c r="F287" i="25"/>
  <c r="AD286" i="25"/>
  <c r="AB164" i="25"/>
  <c r="AA164" i="25" s="1"/>
  <c r="L164" i="25" l="1"/>
  <c r="K165" i="25" s="1"/>
  <c r="Q164" i="25"/>
  <c r="P165" i="25" s="1"/>
  <c r="G164" i="25"/>
  <c r="Z165" i="25"/>
  <c r="AB287" i="25"/>
  <c r="AE42" i="25"/>
  <c r="AF42" i="25" s="1"/>
  <c r="AB43" i="25"/>
  <c r="AA43" i="25" s="1"/>
  <c r="Q287" i="25" l="1"/>
  <c r="P288" i="25" s="1"/>
  <c r="V287" i="25"/>
  <c r="L287" i="25"/>
  <c r="K288" i="25" s="1"/>
  <c r="L43" i="25"/>
  <c r="K44" i="25" s="1"/>
  <c r="Q43" i="25"/>
  <c r="P44" i="25" s="1"/>
  <c r="G43" i="25"/>
  <c r="G287" i="25"/>
  <c r="U288" i="25"/>
  <c r="AD164" i="25"/>
  <c r="F165" i="25"/>
  <c r="Z44" i="25"/>
  <c r="AC43" i="25"/>
  <c r="AB165" i="25" l="1"/>
  <c r="AA165" i="25" s="1"/>
  <c r="AD287" i="25"/>
  <c r="F288" i="25"/>
  <c r="AD43" i="25"/>
  <c r="F44" i="25"/>
  <c r="L165" i="25" l="1"/>
  <c r="Q165" i="25"/>
  <c r="G165" i="25"/>
  <c r="AE43" i="25"/>
  <c r="AF43" i="25" s="1"/>
  <c r="AB44" i="25"/>
  <c r="AA44" i="25" s="1"/>
  <c r="AB288" i="25"/>
  <c r="Z166" i="25"/>
  <c r="P166" i="25"/>
  <c r="K166" i="25"/>
  <c r="Q288" i="25" l="1"/>
  <c r="P289" i="25" s="1"/>
  <c r="V288" i="25"/>
  <c r="U289" i="25" s="1"/>
  <c r="L288" i="25"/>
  <c r="K289" i="25" s="1"/>
  <c r="L44" i="25"/>
  <c r="K45" i="25" s="1"/>
  <c r="Q44" i="25"/>
  <c r="P45" i="25" s="1"/>
  <c r="G288" i="25"/>
  <c r="G44" i="25"/>
  <c r="F166" i="25"/>
  <c r="AD165" i="25"/>
  <c r="AC44" i="25"/>
  <c r="Z45" i="25"/>
  <c r="AD288" i="25" l="1"/>
  <c r="F289" i="25"/>
  <c r="AD44" i="25"/>
  <c r="F45" i="25"/>
  <c r="AB166" i="25"/>
  <c r="AA166" i="25" s="1"/>
  <c r="L166" i="25" l="1"/>
  <c r="K167" i="25" s="1"/>
  <c r="Q166" i="25"/>
  <c r="P167" i="25" s="1"/>
  <c r="G166" i="25"/>
  <c r="Z167" i="25"/>
  <c r="AE44" i="25"/>
  <c r="AF44" i="25" s="1"/>
  <c r="AB45" i="25"/>
  <c r="AA45" i="25" s="1"/>
  <c r="AB289" i="25"/>
  <c r="Q289" i="25" l="1"/>
  <c r="P290" i="25" s="1"/>
  <c r="V289" i="25"/>
  <c r="U290" i="25" s="1"/>
  <c r="L45" i="25"/>
  <c r="K46" i="25" s="1"/>
  <c r="Q45" i="25"/>
  <c r="P46" i="25" s="1"/>
  <c r="L289" i="25"/>
  <c r="K290" i="25" s="1"/>
  <c r="G45" i="25"/>
  <c r="G289" i="25"/>
  <c r="AC45" i="25"/>
  <c r="Z46" i="25"/>
  <c r="F167" i="25"/>
  <c r="AD166" i="25"/>
  <c r="AB167" i="25" l="1"/>
  <c r="AA167" i="25" s="1"/>
  <c r="AD45" i="25"/>
  <c r="F46" i="25"/>
  <c r="AD289" i="25"/>
  <c r="F290" i="25"/>
  <c r="L167" i="25" l="1"/>
  <c r="K168" i="25" s="1"/>
  <c r="Q167" i="25"/>
  <c r="P168" i="25" s="1"/>
  <c r="G167" i="25"/>
  <c r="AB290" i="25"/>
  <c r="AE45" i="25"/>
  <c r="AF45" i="25" s="1"/>
  <c r="AB46" i="25"/>
  <c r="AA46" i="25" s="1"/>
  <c r="Z168" i="25"/>
  <c r="Q290" i="25" l="1"/>
  <c r="P291" i="25" s="1"/>
  <c r="V290" i="25"/>
  <c r="L46" i="25"/>
  <c r="K47" i="25" s="1"/>
  <c r="Q46" i="25"/>
  <c r="P47" i="25" s="1"/>
  <c r="L290" i="25"/>
  <c r="K291" i="25" s="1"/>
  <c r="G290" i="25"/>
  <c r="G46" i="25"/>
  <c r="AD167" i="25"/>
  <c r="F168" i="25"/>
  <c r="AC46" i="25"/>
  <c r="Z47" i="25"/>
  <c r="U291" i="25"/>
  <c r="F291" i="25" l="1"/>
  <c r="AD290" i="25"/>
  <c r="AD46" i="25"/>
  <c r="F47" i="25"/>
  <c r="AB168" i="25"/>
  <c r="AA168" i="25" s="1"/>
  <c r="L168" i="25" l="1"/>
  <c r="K169" i="25" s="1"/>
  <c r="Q168" i="25"/>
  <c r="P169" i="25" s="1"/>
  <c r="G168" i="25"/>
  <c r="Z169" i="25"/>
  <c r="AB47" i="25"/>
  <c r="AA47" i="25" s="1"/>
  <c r="AE46" i="25"/>
  <c r="AF46" i="25" s="1"/>
  <c r="AB291" i="25"/>
  <c r="Q291" i="25" l="1"/>
  <c r="V291" i="25"/>
  <c r="U292" i="25" s="1"/>
  <c r="L47" i="25"/>
  <c r="Q47" i="25"/>
  <c r="P48" i="25" s="1"/>
  <c r="L291" i="25"/>
  <c r="K292" i="25" s="1"/>
  <c r="G291" i="25"/>
  <c r="G47" i="25"/>
  <c r="K48" i="25"/>
  <c r="AC47" i="25"/>
  <c r="Z48" i="25"/>
  <c r="AD168" i="25"/>
  <c r="F169" i="25"/>
  <c r="P292" i="25"/>
  <c r="F48" i="25" l="1"/>
  <c r="AD47" i="25"/>
  <c r="AB169" i="25"/>
  <c r="AA169" i="25" s="1"/>
  <c r="AD291" i="25"/>
  <c r="F292" i="25"/>
  <c r="L169" i="25" l="1"/>
  <c r="K170" i="25" s="1"/>
  <c r="Q169" i="25"/>
  <c r="P170" i="25" s="1"/>
  <c r="G169" i="25"/>
  <c r="AB292" i="25"/>
  <c r="Z170" i="25"/>
  <c r="AB48" i="25"/>
  <c r="AA48" i="25" s="1"/>
  <c r="AE47" i="25"/>
  <c r="AF47" i="25" s="1"/>
  <c r="Q292" i="25" l="1"/>
  <c r="P293" i="25" s="1"/>
  <c r="V292" i="25"/>
  <c r="L48" i="25"/>
  <c r="K49" i="25" s="1"/>
  <c r="Q48" i="25"/>
  <c r="P49" i="25" s="1"/>
  <c r="L292" i="25"/>
  <c r="K293" i="25" s="1"/>
  <c r="G48" i="25"/>
  <c r="G292" i="25"/>
  <c r="Z49" i="25"/>
  <c r="AC48" i="25"/>
  <c r="AD169" i="25"/>
  <c r="F170" i="25"/>
  <c r="U293" i="25"/>
  <c r="AB170" i="25" l="1"/>
  <c r="AA170" i="25" s="1"/>
  <c r="AD292" i="25"/>
  <c r="F293" i="25"/>
  <c r="AD48" i="25"/>
  <c r="F49" i="25"/>
  <c r="L170" i="25" l="1"/>
  <c r="K171" i="25" s="1"/>
  <c r="Q170" i="25"/>
  <c r="G170" i="25"/>
  <c r="AE48" i="25"/>
  <c r="AF48" i="25" s="1"/>
  <c r="AB49" i="25"/>
  <c r="AA49" i="25" s="1"/>
  <c r="AB293" i="25"/>
  <c r="Z171" i="25"/>
  <c r="P171" i="25"/>
  <c r="Q293" i="25" l="1"/>
  <c r="V293" i="25"/>
  <c r="U294" i="25" s="1"/>
  <c r="L293" i="25"/>
  <c r="K294" i="25" s="1"/>
  <c r="L49" i="25"/>
  <c r="Q49" i="25"/>
  <c r="P50" i="25" s="1"/>
  <c r="G293" i="25"/>
  <c r="G49" i="25"/>
  <c r="K50" i="25"/>
  <c r="AD170" i="25"/>
  <c r="F171" i="25"/>
  <c r="P294" i="25"/>
  <c r="Z50" i="25"/>
  <c r="AC49" i="25"/>
  <c r="AD293" i="25" l="1"/>
  <c r="F294" i="25"/>
  <c r="AD49" i="25"/>
  <c r="F50" i="25"/>
  <c r="AB171" i="25"/>
  <c r="AA171" i="25" s="1"/>
  <c r="L171" i="25" l="1"/>
  <c r="K172" i="25" s="1"/>
  <c r="Q171" i="25"/>
  <c r="P172" i="25" s="1"/>
  <c r="G171" i="25"/>
  <c r="Z172" i="25"/>
  <c r="AB50" i="25"/>
  <c r="AA50" i="25" s="1"/>
  <c r="AE49" i="25"/>
  <c r="AF49" i="25" s="1"/>
  <c r="AB294" i="25"/>
  <c r="Q294" i="25" l="1"/>
  <c r="V294" i="25"/>
  <c r="U295" i="25" s="1"/>
  <c r="L50" i="25"/>
  <c r="K51" i="25" s="1"/>
  <c r="Q50" i="25"/>
  <c r="P51" i="25" s="1"/>
  <c r="L294" i="25"/>
  <c r="K295" i="25" s="1"/>
  <c r="P295" i="25"/>
  <c r="G50" i="25"/>
  <c r="G294" i="25"/>
  <c r="AC50" i="25"/>
  <c r="Z51" i="25"/>
  <c r="F172" i="25"/>
  <c r="AD171" i="25"/>
  <c r="F51" i="25" l="1"/>
  <c r="AD50" i="25"/>
  <c r="AB172" i="25"/>
  <c r="AA172" i="25" s="1"/>
  <c r="F295" i="25"/>
  <c r="AD294" i="25"/>
  <c r="L172" i="25" l="1"/>
  <c r="K173" i="25" s="1"/>
  <c r="Q172" i="25"/>
  <c r="P173" i="25" s="1"/>
  <c r="G172" i="25"/>
  <c r="AB295" i="25"/>
  <c r="Z173" i="25"/>
  <c r="AE50" i="25"/>
  <c r="AF50" i="25" s="1"/>
  <c r="AB51" i="25"/>
  <c r="AA51" i="25" s="1"/>
  <c r="Q295" i="25" l="1"/>
  <c r="P296" i="25" s="1"/>
  <c r="V295" i="25"/>
  <c r="U296" i="25" s="1"/>
  <c r="L295" i="25"/>
  <c r="K296" i="25" s="1"/>
  <c r="L51" i="25"/>
  <c r="K52" i="25" s="1"/>
  <c r="Q51" i="25"/>
  <c r="P52" i="25" s="1"/>
  <c r="G51" i="25"/>
  <c r="G295" i="25"/>
  <c r="AD172" i="25"/>
  <c r="F173" i="25"/>
  <c r="Z52" i="25"/>
  <c r="AC51" i="25"/>
  <c r="AD51" i="25" l="1"/>
  <c r="F52" i="25"/>
  <c r="F296" i="25"/>
  <c r="AD295" i="25"/>
  <c r="AB173" i="25"/>
  <c r="AA173" i="25" s="1"/>
  <c r="L173" i="25" l="1"/>
  <c r="K174" i="25" s="1"/>
  <c r="Q173" i="25"/>
  <c r="P174" i="25" s="1"/>
  <c r="G173" i="25"/>
  <c r="Z174" i="25"/>
  <c r="AB296" i="25"/>
  <c r="AE51" i="25"/>
  <c r="AF51" i="25" s="1"/>
  <c r="AB52" i="25"/>
  <c r="AA52" i="25" s="1"/>
  <c r="Q296" i="25" l="1"/>
  <c r="P297" i="25" s="1"/>
  <c r="V296" i="25"/>
  <c r="L296" i="25"/>
  <c r="K297" i="25" s="1"/>
  <c r="L52" i="25"/>
  <c r="K53" i="25" s="1"/>
  <c r="Q52" i="25"/>
  <c r="P53" i="25" s="1"/>
  <c r="G52" i="25"/>
  <c r="G296" i="25"/>
  <c r="U297" i="25"/>
  <c r="F174" i="25"/>
  <c r="AD173" i="25"/>
  <c r="AC52" i="25"/>
  <c r="Z53" i="25"/>
  <c r="AB174" i="25" l="1"/>
  <c r="AA174" i="25" s="1"/>
  <c r="AD296" i="25"/>
  <c r="F297" i="25"/>
  <c r="AD52" i="25"/>
  <c r="F53" i="25"/>
  <c r="L174" i="25" l="1"/>
  <c r="K175" i="25" s="1"/>
  <c r="Q174" i="25"/>
  <c r="P175" i="25" s="1"/>
  <c r="G174" i="25"/>
  <c r="AE52" i="25"/>
  <c r="AF52" i="25" s="1"/>
  <c r="AB53" i="25"/>
  <c r="AA53" i="25" s="1"/>
  <c r="AB297" i="25"/>
  <c r="Z175" i="25"/>
  <c r="Q297" i="25" l="1"/>
  <c r="P298" i="25" s="1"/>
  <c r="V297" i="25"/>
  <c r="U298" i="25" s="1"/>
  <c r="L297" i="25"/>
  <c r="K298" i="25" s="1"/>
  <c r="L53" i="25"/>
  <c r="K54" i="25" s="1"/>
  <c r="Q53" i="25"/>
  <c r="P54" i="25" s="1"/>
  <c r="G53" i="25"/>
  <c r="G297" i="25"/>
  <c r="F175" i="25"/>
  <c r="AD174" i="25"/>
  <c r="AC53" i="25"/>
  <c r="Z54" i="25"/>
  <c r="AD297" i="25" l="1"/>
  <c r="F298" i="25"/>
  <c r="AD53" i="25"/>
  <c r="F54" i="25"/>
  <c r="AB175" i="25"/>
  <c r="AA175" i="25" s="1"/>
  <c r="L175" i="25" l="1"/>
  <c r="K176" i="25" s="1"/>
  <c r="Q175" i="25"/>
  <c r="P176" i="25" s="1"/>
  <c r="G175" i="25"/>
  <c r="Z176" i="25"/>
  <c r="AE53" i="25"/>
  <c r="AF53" i="25" s="1"/>
  <c r="AB54" i="25"/>
  <c r="AA54" i="25" s="1"/>
  <c r="AB298" i="25"/>
  <c r="Q298" i="25" l="1"/>
  <c r="V298" i="25"/>
  <c r="L54" i="25"/>
  <c r="K55" i="25" s="1"/>
  <c r="Q54" i="25"/>
  <c r="P55" i="25" s="1"/>
  <c r="L298" i="25"/>
  <c r="K299" i="25" s="1"/>
  <c r="G298" i="25"/>
  <c r="G54" i="25"/>
  <c r="AC54" i="25"/>
  <c r="Z55" i="25"/>
  <c r="AD175" i="25"/>
  <c r="F176" i="25"/>
  <c r="U299" i="25"/>
  <c r="P299" i="25"/>
  <c r="AB176" i="25" l="1"/>
  <c r="AA176" i="25" s="1"/>
  <c r="AD298" i="25"/>
  <c r="F299" i="25"/>
  <c r="AD54" i="25"/>
  <c r="F55" i="25"/>
  <c r="L176" i="25" l="1"/>
  <c r="K177" i="25" s="1"/>
  <c r="Q176" i="25"/>
  <c r="P177" i="25" s="1"/>
  <c r="G176" i="25"/>
  <c r="AB55" i="25"/>
  <c r="AA55" i="25" s="1"/>
  <c r="AE54" i="25"/>
  <c r="AF54" i="25" s="1"/>
  <c r="AB299" i="25"/>
  <c r="Z177" i="25"/>
  <c r="Q299" i="25" l="1"/>
  <c r="P300" i="25" s="1"/>
  <c r="V299" i="25"/>
  <c r="U300" i="25" s="1"/>
  <c r="L299" i="25"/>
  <c r="K300" i="25" s="1"/>
  <c r="L55" i="25"/>
  <c r="K56" i="25" s="1"/>
  <c r="Q55" i="25"/>
  <c r="P56" i="25" s="1"/>
  <c r="G299" i="25"/>
  <c r="G55" i="25"/>
  <c r="AD176" i="25"/>
  <c r="F177" i="25"/>
  <c r="AC55" i="25"/>
  <c r="Z56" i="25"/>
  <c r="F300" i="25" l="1"/>
  <c r="AD299" i="25"/>
  <c r="F56" i="25"/>
  <c r="AD55" i="25"/>
  <c r="AB177" i="25"/>
  <c r="AA177" i="25" s="1"/>
  <c r="L177" i="25" l="1"/>
  <c r="K178" i="25" s="1"/>
  <c r="Q177" i="25"/>
  <c r="P178" i="25" s="1"/>
  <c r="G177" i="25"/>
  <c r="Z178" i="25"/>
  <c r="AB300" i="25"/>
  <c r="AB56" i="25"/>
  <c r="AA56" i="25" s="1"/>
  <c r="AE55" i="25"/>
  <c r="AF55" i="25" s="1"/>
  <c r="Q300" i="25" l="1"/>
  <c r="P301" i="25" s="1"/>
  <c r="V300" i="25"/>
  <c r="U301" i="25" s="1"/>
  <c r="L56" i="25"/>
  <c r="K57" i="25" s="1"/>
  <c r="Q56" i="25"/>
  <c r="P57" i="25" s="1"/>
  <c r="L300" i="25"/>
  <c r="K301" i="25" s="1"/>
  <c r="G56" i="25"/>
  <c r="G300" i="25"/>
  <c r="AD177" i="25"/>
  <c r="F178" i="25"/>
  <c r="Z57" i="25"/>
  <c r="AC56" i="25"/>
  <c r="AB178" i="25" l="1"/>
  <c r="AA178" i="25" s="1"/>
  <c r="AD300" i="25"/>
  <c r="F301" i="25"/>
  <c r="AD56" i="25"/>
  <c r="F57" i="25"/>
  <c r="L178" i="25" l="1"/>
  <c r="Q178" i="25"/>
  <c r="P179" i="25" s="1"/>
  <c r="G178" i="25"/>
  <c r="AE56" i="25"/>
  <c r="AF56" i="25" s="1"/>
  <c r="AB57" i="25"/>
  <c r="AA57" i="25" s="1"/>
  <c r="AB301" i="25"/>
  <c r="Z179" i="25"/>
  <c r="K179" i="25"/>
  <c r="Q301" i="25" l="1"/>
  <c r="P302" i="25" s="1"/>
  <c r="V301" i="25"/>
  <c r="U302" i="25" s="1"/>
  <c r="L301" i="25"/>
  <c r="K302" i="25" s="1"/>
  <c r="L57" i="25"/>
  <c r="K58" i="25" s="1"/>
  <c r="Q57" i="25"/>
  <c r="P58" i="25" s="1"/>
  <c r="G301" i="25"/>
  <c r="G57" i="25"/>
  <c r="AD178" i="25"/>
  <c r="F179" i="25"/>
  <c r="Z58" i="25"/>
  <c r="AC57" i="25"/>
  <c r="AD301" i="25" l="1"/>
  <c r="F302" i="25"/>
  <c r="AD57" i="25"/>
  <c r="F58" i="25"/>
  <c r="AB179" i="25"/>
  <c r="AA179" i="25" s="1"/>
  <c r="L179" i="25" l="1"/>
  <c r="K180" i="25" s="1"/>
  <c r="Q179" i="25"/>
  <c r="P180" i="25" s="1"/>
  <c r="G179" i="25"/>
  <c r="Z180" i="25"/>
  <c r="AB58" i="25"/>
  <c r="AA58" i="25" s="1"/>
  <c r="AE57" i="25"/>
  <c r="AF57" i="25" s="1"/>
  <c r="AB302" i="25"/>
  <c r="Q302" i="25" l="1"/>
  <c r="P303" i="25" s="1"/>
  <c r="V302" i="25"/>
  <c r="U303" i="25" s="1"/>
  <c r="L58" i="25"/>
  <c r="K59" i="25" s="1"/>
  <c r="Q58" i="25"/>
  <c r="P59" i="25" s="1"/>
  <c r="L302" i="25"/>
  <c r="K303" i="25" s="1"/>
  <c r="G302" i="25"/>
  <c r="G58" i="25"/>
  <c r="AC58" i="25"/>
  <c r="Z59" i="25"/>
  <c r="AD179" i="25"/>
  <c r="F180" i="25"/>
  <c r="AD302" i="25" l="1"/>
  <c r="F303" i="25"/>
  <c r="AD58" i="25"/>
  <c r="F59" i="25"/>
  <c r="AB180" i="25"/>
  <c r="AA180" i="25" s="1"/>
  <c r="L180" i="25" l="1"/>
  <c r="K181" i="25" s="1"/>
  <c r="Q180" i="25"/>
  <c r="P181" i="25" s="1"/>
  <c r="G180" i="25"/>
  <c r="AB303" i="25"/>
  <c r="Z181" i="25"/>
  <c r="AB59" i="25"/>
  <c r="AA59" i="25" s="1"/>
  <c r="AE58" i="25"/>
  <c r="AF58" i="25" s="1"/>
  <c r="Q303" i="25" l="1"/>
  <c r="P304" i="25" s="1"/>
  <c r="V303" i="25"/>
  <c r="U304" i="25" s="1"/>
  <c r="L59" i="25"/>
  <c r="K60" i="25" s="1"/>
  <c r="Q59" i="25"/>
  <c r="P60" i="25" s="1"/>
  <c r="L303" i="25"/>
  <c r="K304" i="25" s="1"/>
  <c r="G59" i="25"/>
  <c r="G303" i="25"/>
  <c r="AC59" i="25"/>
  <c r="Z60" i="25"/>
  <c r="F181" i="25"/>
  <c r="AD180" i="25"/>
  <c r="AB181" i="25" l="1"/>
  <c r="AA181" i="25" s="1"/>
  <c r="F304" i="25"/>
  <c r="AD303" i="25"/>
  <c r="F60" i="25"/>
  <c r="AD59" i="25"/>
  <c r="L181" i="25" l="1"/>
  <c r="K182" i="25" s="1"/>
  <c r="Q181" i="25"/>
  <c r="P182" i="25" s="1"/>
  <c r="G181" i="25"/>
  <c r="AB60" i="25"/>
  <c r="AA60" i="25" s="1"/>
  <c r="AE59" i="25"/>
  <c r="AF59" i="25" s="1"/>
  <c r="AB304" i="25"/>
  <c r="Z182" i="25"/>
  <c r="Q304" i="25" l="1"/>
  <c r="P305" i="25" s="1"/>
  <c r="V304" i="25"/>
  <c r="U305" i="25" s="1"/>
  <c r="L60" i="25"/>
  <c r="K61" i="25" s="1"/>
  <c r="Q60" i="25"/>
  <c r="P61" i="25" s="1"/>
  <c r="L304" i="25"/>
  <c r="K305" i="25" s="1"/>
  <c r="G304" i="25"/>
  <c r="G60" i="25"/>
  <c r="F182" i="25"/>
  <c r="AD181" i="25"/>
  <c r="Z61" i="25"/>
  <c r="AC60" i="25"/>
  <c r="AD304" i="25" l="1"/>
  <c r="F305" i="25"/>
  <c r="AB182" i="25"/>
  <c r="AA182" i="25" s="1"/>
  <c r="AD60" i="25"/>
  <c r="F61" i="25"/>
  <c r="L182" i="25" l="1"/>
  <c r="K183" i="25" s="1"/>
  <c r="Q182" i="25"/>
  <c r="G182" i="25"/>
  <c r="AE60" i="25"/>
  <c r="AF60" i="25" s="1"/>
  <c r="AB61" i="25"/>
  <c r="AA61" i="25" s="1"/>
  <c r="Z183" i="25"/>
  <c r="P183" i="25"/>
  <c r="AB305" i="25"/>
  <c r="Q305" i="25" l="1"/>
  <c r="P306" i="25" s="1"/>
  <c r="V305" i="25"/>
  <c r="L61" i="25"/>
  <c r="K62" i="25" s="1"/>
  <c r="Q61" i="25"/>
  <c r="P62" i="25" s="1"/>
  <c r="L305" i="25"/>
  <c r="K306" i="25" s="1"/>
  <c r="G305" i="25"/>
  <c r="G61" i="25"/>
  <c r="AD182" i="25"/>
  <c r="F183" i="25"/>
  <c r="AC61" i="25"/>
  <c r="Z62" i="25"/>
  <c r="U306" i="25"/>
  <c r="F62" i="25" l="1"/>
  <c r="AD61" i="25"/>
  <c r="AD305" i="25"/>
  <c r="F306" i="25"/>
  <c r="AB183" i="25"/>
  <c r="AA183" i="25" s="1"/>
  <c r="L183" i="25" l="1"/>
  <c r="Q183" i="25"/>
  <c r="P184" i="25" s="1"/>
  <c r="G183" i="25"/>
  <c r="K184" i="25"/>
  <c r="Z184" i="25"/>
  <c r="AB62" i="25"/>
  <c r="AA62" i="25" s="1"/>
  <c r="AE61" i="25"/>
  <c r="AF61" i="25" s="1"/>
  <c r="AB306" i="25"/>
  <c r="Q306" i="25" l="1"/>
  <c r="P307" i="25" s="1"/>
  <c r="V306" i="25"/>
  <c r="L62" i="25"/>
  <c r="K63" i="25" s="1"/>
  <c r="Q62" i="25"/>
  <c r="P63" i="25" s="1"/>
  <c r="L306" i="25"/>
  <c r="K307" i="25" s="1"/>
  <c r="G306" i="25"/>
  <c r="G62" i="25"/>
  <c r="AC62" i="25"/>
  <c r="Z63" i="25"/>
  <c r="AD183" i="25"/>
  <c r="F184" i="25"/>
  <c r="U307" i="25"/>
  <c r="AB184" i="25" l="1"/>
  <c r="AA184" i="25" s="1"/>
  <c r="AD62" i="25"/>
  <c r="F63" i="25"/>
  <c r="AD306" i="25"/>
  <c r="F307" i="25"/>
  <c r="L184" i="25" l="1"/>
  <c r="K185" i="25" s="1"/>
  <c r="Q184" i="25"/>
  <c r="P185" i="25" s="1"/>
  <c r="G184" i="25"/>
  <c r="AB307" i="25"/>
  <c r="AE62" i="25"/>
  <c r="AF62" i="25" s="1"/>
  <c r="AB63" i="25"/>
  <c r="AA63" i="25" s="1"/>
  <c r="Z185" i="25"/>
  <c r="Q307" i="25" l="1"/>
  <c r="P308" i="25" s="1"/>
  <c r="V307" i="25"/>
  <c r="U308" i="25" s="1"/>
  <c r="L63" i="25"/>
  <c r="K64" i="25" s="1"/>
  <c r="Q63" i="25"/>
  <c r="P64" i="25" s="1"/>
  <c r="L307" i="25"/>
  <c r="K308" i="25" s="1"/>
  <c r="G63" i="25"/>
  <c r="G307" i="25"/>
  <c r="Z64" i="25"/>
  <c r="AC63" i="25"/>
  <c r="F185" i="25"/>
  <c r="AD184" i="25"/>
  <c r="AB185" i="25" l="1"/>
  <c r="AA185" i="25" s="1"/>
  <c r="F308" i="25"/>
  <c r="AD307" i="25"/>
  <c r="AD63" i="25"/>
  <c r="F64" i="25"/>
  <c r="L185" i="25" l="1"/>
  <c r="K186" i="25" s="1"/>
  <c r="Q185" i="25"/>
  <c r="P186" i="25" s="1"/>
  <c r="G185" i="25"/>
  <c r="AB64" i="25"/>
  <c r="AA64" i="25" s="1"/>
  <c r="AE63" i="25"/>
  <c r="AF63" i="25" s="1"/>
  <c r="AB308" i="25"/>
  <c r="Z186" i="25"/>
  <c r="Q308" i="25" l="1"/>
  <c r="V308" i="25"/>
  <c r="L64" i="25"/>
  <c r="K65" i="25" s="1"/>
  <c r="Q64" i="25"/>
  <c r="P65" i="25" s="1"/>
  <c r="L308" i="25"/>
  <c r="K309" i="25" s="1"/>
  <c r="P309" i="25"/>
  <c r="G64" i="25"/>
  <c r="G308" i="25"/>
  <c r="AC64" i="25"/>
  <c r="Z65" i="25"/>
  <c r="F186" i="25"/>
  <c r="AD185" i="25"/>
  <c r="U309" i="25"/>
  <c r="AB186" i="25" l="1"/>
  <c r="AA186" i="25" s="1"/>
  <c r="AD308" i="25"/>
  <c r="F309" i="25"/>
  <c r="F65" i="25"/>
  <c r="AD64" i="25"/>
  <c r="L186" i="25" l="1"/>
  <c r="Q186" i="25"/>
  <c r="P187" i="25" s="1"/>
  <c r="G186" i="25"/>
  <c r="AE64" i="25"/>
  <c r="AF64" i="25" s="1"/>
  <c r="AB65" i="25"/>
  <c r="AA65" i="25" s="1"/>
  <c r="AB309" i="25"/>
  <c r="Z187" i="25"/>
  <c r="K187" i="25"/>
  <c r="Q309" i="25" l="1"/>
  <c r="P310" i="25" s="1"/>
  <c r="V309" i="25"/>
  <c r="U310" i="25" s="1"/>
  <c r="L309" i="25"/>
  <c r="K310" i="25" s="1"/>
  <c r="L65" i="25"/>
  <c r="K66" i="25" s="1"/>
  <c r="Q65" i="25"/>
  <c r="P66" i="25" s="1"/>
  <c r="G309" i="25"/>
  <c r="G65" i="25"/>
  <c r="AC65" i="25"/>
  <c r="Z66" i="25"/>
  <c r="AD186" i="25"/>
  <c r="F187" i="25"/>
  <c r="AD309" i="25" l="1"/>
  <c r="F310" i="25"/>
  <c r="AB187" i="25"/>
  <c r="AA187" i="25" s="1"/>
  <c r="AD65" i="25"/>
  <c r="F66" i="25"/>
  <c r="L187" i="25" l="1"/>
  <c r="K188" i="25" s="1"/>
  <c r="Q187" i="25"/>
  <c r="P188" i="25" s="1"/>
  <c r="G187" i="25"/>
  <c r="AE65" i="25"/>
  <c r="AF65" i="25" s="1"/>
  <c r="AB66" i="25"/>
  <c r="AA66" i="25" s="1"/>
  <c r="Z188" i="25"/>
  <c r="AB310" i="25"/>
  <c r="Q310" i="25" l="1"/>
  <c r="P311" i="25" s="1"/>
  <c r="V310" i="25"/>
  <c r="L310" i="25"/>
  <c r="K311" i="25" s="1"/>
  <c r="L66" i="25"/>
  <c r="K67" i="25" s="1"/>
  <c r="Q66" i="25"/>
  <c r="P67" i="25" s="1"/>
  <c r="G310" i="25"/>
  <c r="G66" i="25"/>
  <c r="AD187" i="25"/>
  <c r="F188" i="25"/>
  <c r="AC66" i="25"/>
  <c r="Z67" i="25"/>
  <c r="U311" i="25"/>
  <c r="AD66" i="25" l="1"/>
  <c r="F67" i="25"/>
  <c r="AD310" i="25"/>
  <c r="F311" i="25"/>
  <c r="AB188" i="25"/>
  <c r="AA188" i="25" s="1"/>
  <c r="L188" i="25" l="1"/>
  <c r="K189" i="25" s="1"/>
  <c r="Q188" i="25"/>
  <c r="P189" i="25" s="1"/>
  <c r="G188" i="25"/>
  <c r="Z189" i="25"/>
  <c r="AB311" i="25"/>
  <c r="AE66" i="25"/>
  <c r="AF66" i="25" s="1"/>
  <c r="AB67" i="25"/>
  <c r="AA67" i="25" s="1"/>
  <c r="Q311" i="25" l="1"/>
  <c r="V311" i="25"/>
  <c r="U312" i="25" s="1"/>
  <c r="L67" i="25"/>
  <c r="K68" i="25" s="1"/>
  <c r="Q67" i="25"/>
  <c r="P68" i="25" s="1"/>
  <c r="L311" i="25"/>
  <c r="K312" i="25" s="1"/>
  <c r="P312" i="25"/>
  <c r="G67" i="25"/>
  <c r="G311" i="25"/>
  <c r="F189" i="25"/>
  <c r="AD188" i="25"/>
  <c r="AC67" i="25"/>
  <c r="Z68" i="25"/>
  <c r="AB189" i="25" l="1"/>
  <c r="AA189" i="25" s="1"/>
  <c r="AD67" i="25"/>
  <c r="F68" i="25"/>
  <c r="F312" i="25"/>
  <c r="AD311" i="25"/>
  <c r="L189" i="25" l="1"/>
  <c r="K190" i="25" s="1"/>
  <c r="Q189" i="25"/>
  <c r="P190" i="25" s="1"/>
  <c r="G189" i="25"/>
  <c r="AB312" i="25"/>
  <c r="AE67" i="25"/>
  <c r="AF67" i="25" s="1"/>
  <c r="AB68" i="25"/>
  <c r="AA68" i="25" s="1"/>
  <c r="Z190" i="25"/>
  <c r="Q312" i="25" l="1"/>
  <c r="V312" i="25"/>
  <c r="U313" i="25" s="1"/>
  <c r="L68" i="25"/>
  <c r="K69" i="25" s="1"/>
  <c r="Q68" i="25"/>
  <c r="P69" i="25" s="1"/>
  <c r="L312" i="25"/>
  <c r="K313" i="25" s="1"/>
  <c r="P313" i="25"/>
  <c r="G68" i="25"/>
  <c r="G312" i="25"/>
  <c r="AC68" i="25"/>
  <c r="Z69" i="25"/>
  <c r="AD189" i="25"/>
  <c r="F190" i="25"/>
  <c r="AD312" i="25" l="1"/>
  <c r="F313" i="25"/>
  <c r="AB190" i="25"/>
  <c r="AA190" i="25" s="1"/>
  <c r="AD68" i="25"/>
  <c r="F69" i="25"/>
  <c r="L190" i="25" l="1"/>
  <c r="Q190" i="25"/>
  <c r="P191" i="25" s="1"/>
  <c r="G190" i="25"/>
  <c r="K191" i="25"/>
  <c r="AB69" i="25"/>
  <c r="AA69" i="25" s="1"/>
  <c r="AE68" i="25"/>
  <c r="AF68" i="25" s="1"/>
  <c r="Z191" i="25"/>
  <c r="AB313" i="25"/>
  <c r="Q313" i="25" l="1"/>
  <c r="V313" i="25"/>
  <c r="U314" i="25" s="1"/>
  <c r="L69" i="25"/>
  <c r="K70" i="25" s="1"/>
  <c r="Q69" i="25"/>
  <c r="P70" i="25" s="1"/>
  <c r="L313" i="25"/>
  <c r="K314" i="25" s="1"/>
  <c r="P314" i="25"/>
  <c r="G69" i="25"/>
  <c r="G313" i="25"/>
  <c r="AD190" i="25"/>
  <c r="F191" i="25"/>
  <c r="AC69" i="25"/>
  <c r="Z70" i="25"/>
  <c r="AD313" i="25" l="1"/>
  <c r="F314" i="25"/>
  <c r="AB191" i="25"/>
  <c r="AA191" i="25" s="1"/>
  <c r="F70" i="25"/>
  <c r="AD69" i="25"/>
  <c r="L191" i="25" l="1"/>
  <c r="Q191" i="25"/>
  <c r="P192" i="25" s="1"/>
  <c r="G191" i="25"/>
  <c r="AB70" i="25"/>
  <c r="AA70" i="25" s="1"/>
  <c r="AE69" i="25"/>
  <c r="AF69" i="25" s="1"/>
  <c r="K192" i="25"/>
  <c r="Z192" i="25"/>
  <c r="AB314" i="25"/>
  <c r="Q314" i="25" l="1"/>
  <c r="V314" i="25"/>
  <c r="U315" i="25" s="1"/>
  <c r="L70" i="25"/>
  <c r="K71" i="25" s="1"/>
  <c r="Q70" i="25"/>
  <c r="P71" i="25" s="1"/>
  <c r="L314" i="25"/>
  <c r="K315" i="25" s="1"/>
  <c r="P315" i="25"/>
  <c r="G314" i="25"/>
  <c r="G70" i="25"/>
  <c r="AD191" i="25"/>
  <c r="F192" i="25"/>
  <c r="Z71" i="25"/>
  <c r="AC70" i="25"/>
  <c r="F315" i="25" l="1"/>
  <c r="AD314" i="25"/>
  <c r="F71" i="25"/>
  <c r="AD70" i="25"/>
  <c r="AB192" i="25"/>
  <c r="AA192" i="25" s="1"/>
  <c r="L192" i="25" l="1"/>
  <c r="K193" i="25" s="1"/>
  <c r="Q192" i="25"/>
  <c r="P193" i="25" s="1"/>
  <c r="G192" i="25"/>
  <c r="Z193" i="25"/>
  <c r="AE70" i="25"/>
  <c r="AF70" i="25" s="1"/>
  <c r="AB71" i="25"/>
  <c r="AA71" i="25" s="1"/>
  <c r="AB315" i="25"/>
  <c r="Q315" i="25" l="1"/>
  <c r="V315" i="25"/>
  <c r="L71" i="25"/>
  <c r="K72" i="25" s="1"/>
  <c r="Q71" i="25"/>
  <c r="P72" i="25" s="1"/>
  <c r="L315" i="25"/>
  <c r="K316" i="25" s="1"/>
  <c r="G315" i="25"/>
  <c r="G71" i="25"/>
  <c r="F193" i="25"/>
  <c r="AD192" i="25"/>
  <c r="Z72" i="25"/>
  <c r="AC71" i="25"/>
  <c r="P316" i="25"/>
  <c r="U316" i="25"/>
  <c r="AD71" i="25" l="1"/>
  <c r="F72" i="25"/>
  <c r="AD315" i="25"/>
  <c r="F316" i="25"/>
  <c r="AB193" i="25"/>
  <c r="AA193" i="25" s="1"/>
  <c r="L193" i="25" l="1"/>
  <c r="Q193" i="25"/>
  <c r="P194" i="25" s="1"/>
  <c r="G193" i="25"/>
  <c r="AB316" i="25"/>
  <c r="Z194" i="25"/>
  <c r="K194" i="25"/>
  <c r="AE71" i="25"/>
  <c r="AF71" i="25" s="1"/>
  <c r="AB72" i="25"/>
  <c r="AA72" i="25" s="1"/>
  <c r="Q316" i="25" l="1"/>
  <c r="P317" i="25" s="1"/>
  <c r="V316" i="25"/>
  <c r="L316" i="25"/>
  <c r="K317" i="25" s="1"/>
  <c r="L72" i="25"/>
  <c r="K73" i="25" s="1"/>
  <c r="Q72" i="25"/>
  <c r="P73" i="25" s="1"/>
  <c r="G72" i="25"/>
  <c r="G316" i="25"/>
  <c r="AD193" i="25"/>
  <c r="F194" i="25"/>
  <c r="AC72" i="25"/>
  <c r="Z73" i="25"/>
  <c r="U317" i="25"/>
  <c r="F73" i="25" l="1"/>
  <c r="AD72" i="25"/>
  <c r="F317" i="25"/>
  <c r="AD316" i="25"/>
  <c r="AB194" i="25"/>
  <c r="AA194" i="25" s="1"/>
  <c r="L194" i="25" l="1"/>
  <c r="K195" i="25" s="1"/>
  <c r="Q194" i="25"/>
  <c r="P195" i="25" s="1"/>
  <c r="G194" i="25"/>
  <c r="Z195" i="25"/>
  <c r="AB317" i="25"/>
  <c r="AE72" i="25"/>
  <c r="AF72" i="25" s="1"/>
  <c r="AB73" i="25"/>
  <c r="AA73" i="25" s="1"/>
  <c r="Q317" i="25" l="1"/>
  <c r="P318" i="25" s="1"/>
  <c r="V317" i="25"/>
  <c r="U318" i="25" s="1"/>
  <c r="L317" i="25"/>
  <c r="K318" i="25" s="1"/>
  <c r="L73" i="25"/>
  <c r="K74" i="25" s="1"/>
  <c r="Q73" i="25"/>
  <c r="P74" i="25" s="1"/>
  <c r="G73" i="25"/>
  <c r="G317" i="25"/>
  <c r="AC73" i="25"/>
  <c r="Z74" i="25"/>
  <c r="AD194" i="25"/>
  <c r="F195" i="25"/>
  <c r="F318" i="25" l="1"/>
  <c r="AD317" i="25"/>
  <c r="AD73" i="25"/>
  <c r="F74" i="25"/>
  <c r="AB195" i="25"/>
  <c r="AA195" i="25" s="1"/>
  <c r="L195" i="25" l="1"/>
  <c r="K196" i="25" s="1"/>
  <c r="Q195" i="25"/>
  <c r="P196" i="25" s="1"/>
  <c r="G195" i="25"/>
  <c r="Z196" i="25"/>
  <c r="AE73" i="25"/>
  <c r="AF73" i="25" s="1"/>
  <c r="AB74" i="25"/>
  <c r="AA74" i="25" s="1"/>
  <c r="AB318" i="25"/>
  <c r="Q318" i="25" l="1"/>
  <c r="P319" i="25" s="1"/>
  <c r="V318" i="25"/>
  <c r="U319" i="25" s="1"/>
  <c r="L74" i="25"/>
  <c r="K75" i="25" s="1"/>
  <c r="Q74" i="25"/>
  <c r="P75" i="25" s="1"/>
  <c r="L318" i="25"/>
  <c r="K319" i="25" s="1"/>
  <c r="G318" i="25"/>
  <c r="G74" i="25"/>
  <c r="AC74" i="25"/>
  <c r="Z75" i="25"/>
  <c r="AD195" i="25"/>
  <c r="F196" i="25"/>
  <c r="AB196" i="25" l="1"/>
  <c r="AA196" i="25" s="1"/>
  <c r="AD318" i="25"/>
  <c r="F319" i="25"/>
  <c r="AD74" i="25"/>
  <c r="F75" i="25"/>
  <c r="L196" i="25" l="1"/>
  <c r="K197" i="25" s="1"/>
  <c r="Q196" i="25"/>
  <c r="G196" i="25"/>
  <c r="AE74" i="25"/>
  <c r="AF74" i="25" s="1"/>
  <c r="AB75" i="25"/>
  <c r="AA75" i="25" s="1"/>
  <c r="AB319" i="25"/>
  <c r="P197" i="25"/>
  <c r="Z197" i="25"/>
  <c r="Q319" i="25" l="1"/>
  <c r="P320" i="25" s="1"/>
  <c r="V319" i="25"/>
  <c r="U320" i="25" s="1"/>
  <c r="L75" i="25"/>
  <c r="K76" i="25" s="1"/>
  <c r="Q75" i="25"/>
  <c r="P76" i="25" s="1"/>
  <c r="L319" i="25"/>
  <c r="K320" i="25" s="1"/>
  <c r="G319" i="25"/>
  <c r="G75" i="25"/>
  <c r="AD196" i="25"/>
  <c r="F197" i="25"/>
  <c r="AC75" i="25"/>
  <c r="Z76" i="25"/>
  <c r="AD319" i="25" l="1"/>
  <c r="F320" i="25"/>
  <c r="AD75" i="25"/>
  <c r="F76" i="25"/>
  <c r="AB197" i="25"/>
  <c r="AA197" i="25" s="1"/>
  <c r="L197" i="25" l="1"/>
  <c r="K198" i="25" s="1"/>
  <c r="Q197" i="25"/>
  <c r="P198" i="25" s="1"/>
  <c r="G197" i="25"/>
  <c r="AB320" i="25"/>
  <c r="Z198" i="25"/>
  <c r="AE75" i="25"/>
  <c r="AF75" i="25" s="1"/>
  <c r="AB76" i="25"/>
  <c r="AA76" i="25" s="1"/>
  <c r="Q320" i="25" l="1"/>
  <c r="V320" i="25"/>
  <c r="U321" i="25" s="1"/>
  <c r="L320" i="25"/>
  <c r="K321" i="25" s="1"/>
  <c r="P321" i="25"/>
  <c r="L76" i="25"/>
  <c r="K77" i="25" s="1"/>
  <c r="Q76" i="25"/>
  <c r="P77" i="25" s="1"/>
  <c r="G76" i="25"/>
  <c r="G320" i="25"/>
  <c r="Z77" i="25"/>
  <c r="AD197" i="25"/>
  <c r="F198" i="25"/>
  <c r="AD76" i="25" l="1"/>
  <c r="F77" i="25"/>
  <c r="AB198" i="25"/>
  <c r="AA198" i="25" s="1"/>
  <c r="F321" i="25"/>
  <c r="AD320" i="25"/>
  <c r="AC76" i="25"/>
  <c r="L198" i="25" l="1"/>
  <c r="K199" i="25" s="1"/>
  <c r="Q198" i="25"/>
  <c r="P199" i="25" s="1"/>
  <c r="G198" i="25"/>
  <c r="AB321" i="25"/>
  <c r="Z199" i="25"/>
  <c r="AB77" i="25"/>
  <c r="AA77" i="25" s="1"/>
  <c r="AE76" i="25"/>
  <c r="AF76" i="25" s="1"/>
  <c r="Q321" i="25" l="1"/>
  <c r="V321" i="25"/>
  <c r="U322" i="25" s="1"/>
  <c r="L77" i="25"/>
  <c r="K78" i="25" s="1"/>
  <c r="Q77" i="25"/>
  <c r="P78" i="25" s="1"/>
  <c r="L321" i="25"/>
  <c r="K322" i="25" s="1"/>
  <c r="G77" i="25"/>
  <c r="G321" i="25"/>
  <c r="AD198" i="25"/>
  <c r="F199" i="25"/>
  <c r="AC77" i="25"/>
  <c r="Z78" i="25"/>
  <c r="P322" i="25"/>
  <c r="F78" i="25" l="1"/>
  <c r="AD77" i="25"/>
  <c r="AD321" i="25"/>
  <c r="F322" i="25"/>
  <c r="AB199" i="25"/>
  <c r="AA199" i="25" s="1"/>
  <c r="L199" i="25" l="1"/>
  <c r="K200" i="25" s="1"/>
  <c r="Q199" i="25"/>
  <c r="P200" i="25" s="1"/>
  <c r="G199" i="25"/>
  <c r="Z200" i="25"/>
  <c r="AB78" i="25"/>
  <c r="AA78" i="25" s="1"/>
  <c r="AE77" i="25"/>
  <c r="AF77" i="25" s="1"/>
  <c r="AB322" i="25"/>
  <c r="Q322" i="25" l="1"/>
  <c r="P323" i="25" s="1"/>
  <c r="V322" i="25"/>
  <c r="U323" i="25" s="1"/>
  <c r="L78" i="25"/>
  <c r="K79" i="25" s="1"/>
  <c r="Q78" i="25"/>
  <c r="P79" i="25" s="1"/>
  <c r="L322" i="25"/>
  <c r="K323" i="25" s="1"/>
  <c r="G322" i="25"/>
  <c r="G78" i="25"/>
  <c r="Z79" i="25"/>
  <c r="AC78" i="25"/>
  <c r="AD199" i="25"/>
  <c r="F200" i="25"/>
  <c r="AD322" i="25" l="1"/>
  <c r="F323" i="25"/>
  <c r="AB200" i="25"/>
  <c r="AA200" i="25" s="1"/>
  <c r="AD78" i="25"/>
  <c r="F79" i="25"/>
  <c r="L200" i="25" l="1"/>
  <c r="K201" i="25" s="1"/>
  <c r="Q200" i="25"/>
  <c r="G200" i="25"/>
  <c r="AB323" i="25"/>
  <c r="AE78" i="25"/>
  <c r="AF78" i="25" s="1"/>
  <c r="AB79" i="25"/>
  <c r="AA79" i="25" s="1"/>
  <c r="Z201" i="25"/>
  <c r="P201" i="25"/>
  <c r="Q323" i="25" l="1"/>
  <c r="P324" i="25" s="1"/>
  <c r="V323" i="25"/>
  <c r="U324" i="25" s="1"/>
  <c r="L79" i="25"/>
  <c r="K80" i="25" s="1"/>
  <c r="Q79" i="25"/>
  <c r="P80" i="25" s="1"/>
  <c r="L323" i="25"/>
  <c r="K324" i="25" s="1"/>
  <c r="G323" i="25"/>
  <c r="G79" i="25"/>
  <c r="Z80" i="25"/>
  <c r="AC79" i="25"/>
  <c r="F201" i="25"/>
  <c r="AD200" i="25"/>
  <c r="F324" i="25" l="1"/>
  <c r="AD323" i="25"/>
  <c r="AD79" i="25"/>
  <c r="F80" i="25"/>
  <c r="AB201" i="25"/>
  <c r="AA201" i="25" s="1"/>
  <c r="L201" i="25" l="1"/>
  <c r="K202" i="25" s="1"/>
  <c r="Q201" i="25"/>
  <c r="P202" i="25" s="1"/>
  <c r="G201" i="25"/>
  <c r="Z202" i="25"/>
  <c r="AB80" i="25"/>
  <c r="AA80" i="25" s="1"/>
  <c r="AE79" i="25"/>
  <c r="AF79" i="25" s="1"/>
  <c r="AB324" i="25"/>
  <c r="Q324" i="25" l="1"/>
  <c r="P325" i="25" s="1"/>
  <c r="V324" i="25"/>
  <c r="U325" i="25" s="1"/>
  <c r="L80" i="25"/>
  <c r="K81" i="25" s="1"/>
  <c r="Q80" i="25"/>
  <c r="P81" i="25" s="1"/>
  <c r="L324" i="25"/>
  <c r="K325" i="25" s="1"/>
  <c r="G80" i="25"/>
  <c r="G324" i="25"/>
  <c r="AC80" i="25"/>
  <c r="Z81" i="25"/>
  <c r="AD201" i="25"/>
  <c r="F202" i="25"/>
  <c r="AB202" i="25" l="1"/>
  <c r="AA202" i="25" s="1"/>
  <c r="F81" i="25"/>
  <c r="AD80" i="25"/>
  <c r="F325" i="25"/>
  <c r="AD324" i="25"/>
  <c r="L202" i="25" l="1"/>
  <c r="K203" i="25" s="1"/>
  <c r="Q202" i="25"/>
  <c r="P203" i="25" s="1"/>
  <c r="G202" i="25"/>
  <c r="AB325" i="25"/>
  <c r="Z203" i="25"/>
  <c r="AE80" i="25"/>
  <c r="AF80" i="25" s="1"/>
  <c r="AB81" i="25"/>
  <c r="AA81" i="25" s="1"/>
  <c r="Q325" i="25" l="1"/>
  <c r="V325" i="25"/>
  <c r="L325" i="25"/>
  <c r="K326" i="25" s="1"/>
  <c r="L81" i="25"/>
  <c r="Q81" i="25"/>
  <c r="P82" i="25" s="1"/>
  <c r="G325" i="25"/>
  <c r="G81" i="25"/>
  <c r="K82" i="25"/>
  <c r="Z82" i="25"/>
  <c r="AC81" i="25"/>
  <c r="AD202" i="25"/>
  <c r="F203" i="25"/>
  <c r="P326" i="25"/>
  <c r="U326" i="25"/>
  <c r="AB203" i="25" l="1"/>
  <c r="AA203" i="25" s="1"/>
  <c r="AD325" i="25"/>
  <c r="F326" i="25"/>
  <c r="AD81" i="25"/>
  <c r="F82" i="25"/>
  <c r="L203" i="25" l="1"/>
  <c r="K204" i="25" s="1"/>
  <c r="Q203" i="25"/>
  <c r="P204" i="25" s="1"/>
  <c r="G203" i="25"/>
  <c r="AE81" i="25"/>
  <c r="AF81" i="25" s="1"/>
  <c r="AB82" i="25"/>
  <c r="AA82" i="25" s="1"/>
  <c r="Z204" i="25"/>
  <c r="AB326" i="25"/>
  <c r="Q326" i="25" l="1"/>
  <c r="P327" i="25" s="1"/>
  <c r="V326" i="25"/>
  <c r="U327" i="25" s="1"/>
  <c r="L326" i="25"/>
  <c r="K327" i="25" s="1"/>
  <c r="L82" i="25"/>
  <c r="K83" i="25" s="1"/>
  <c r="Q82" i="25"/>
  <c r="P83" i="25" s="1"/>
  <c r="G326" i="25"/>
  <c r="G82" i="25"/>
  <c r="AD203" i="25"/>
  <c r="F204" i="25"/>
  <c r="AC82" i="25"/>
  <c r="Z83" i="25"/>
  <c r="AD82" i="25" l="1"/>
  <c r="F83" i="25"/>
  <c r="AD326" i="25"/>
  <c r="F327" i="25"/>
  <c r="AB204" i="25"/>
  <c r="AA204" i="25" s="1"/>
  <c r="L204" i="25" l="1"/>
  <c r="K205" i="25" s="1"/>
  <c r="Q204" i="25"/>
  <c r="P205" i="25" s="1"/>
  <c r="G204" i="25"/>
  <c r="AB327" i="25"/>
  <c r="Z205" i="25"/>
  <c r="AE82" i="25"/>
  <c r="AF82" i="25" s="1"/>
  <c r="AB83" i="25"/>
  <c r="AA83" i="25" s="1"/>
  <c r="Q327" i="25" l="1"/>
  <c r="P328" i="25" s="1"/>
  <c r="V327" i="25"/>
  <c r="L327" i="25"/>
  <c r="K328" i="25" s="1"/>
  <c r="L83" i="25"/>
  <c r="K84" i="25" s="1"/>
  <c r="Q83" i="25"/>
  <c r="P84" i="25" s="1"/>
  <c r="G83" i="25"/>
  <c r="G327" i="25"/>
  <c r="AD204" i="25"/>
  <c r="F205" i="25"/>
  <c r="AC83" i="25"/>
  <c r="Z84" i="25"/>
  <c r="U328" i="25"/>
  <c r="AD327" i="25" l="1"/>
  <c r="F328" i="25"/>
  <c r="AD83" i="25"/>
  <c r="F84" i="25"/>
  <c r="AB205" i="25"/>
  <c r="AA205" i="25" s="1"/>
  <c r="L205" i="25" l="1"/>
  <c r="K206" i="25" s="1"/>
  <c r="Q205" i="25"/>
  <c r="G205" i="25"/>
  <c r="AB328" i="25"/>
  <c r="Z206" i="25"/>
  <c r="P206" i="25"/>
  <c r="AE83" i="25"/>
  <c r="AF83" i="25" s="1"/>
  <c r="AB84" i="25"/>
  <c r="AA84" i="25" s="1"/>
  <c r="Q328" i="25" l="1"/>
  <c r="P329" i="25" s="1"/>
  <c r="V328" i="25"/>
  <c r="U329" i="25" s="1"/>
  <c r="L328" i="25"/>
  <c r="K329" i="25" s="1"/>
  <c r="L84" i="25"/>
  <c r="K85" i="25" s="1"/>
  <c r="Q84" i="25"/>
  <c r="P85" i="25" s="1"/>
  <c r="G328" i="25"/>
  <c r="G84" i="25"/>
  <c r="AC84" i="25"/>
  <c r="Z85" i="25"/>
  <c r="AD205" i="25"/>
  <c r="F206" i="25"/>
  <c r="AB206" i="25" l="1"/>
  <c r="AA206" i="25" s="1"/>
  <c r="F329" i="25"/>
  <c r="AD328" i="25"/>
  <c r="AD84" i="25"/>
  <c r="F85" i="25"/>
  <c r="L206" i="25" l="1"/>
  <c r="K207" i="25" s="1"/>
  <c r="Q206" i="25"/>
  <c r="P207" i="25" s="1"/>
  <c r="G206" i="25"/>
  <c r="AB85" i="25"/>
  <c r="AA85" i="25" s="1"/>
  <c r="AE84" i="25"/>
  <c r="AF84" i="25" s="1"/>
  <c r="AB329" i="25"/>
  <c r="Z207" i="25"/>
  <c r="Q329" i="25" l="1"/>
  <c r="P330" i="25" s="1"/>
  <c r="V329" i="25"/>
  <c r="U330" i="25" s="1"/>
  <c r="L329" i="25"/>
  <c r="K330" i="25" s="1"/>
  <c r="L85" i="25"/>
  <c r="K86" i="25" s="1"/>
  <c r="Q85" i="25"/>
  <c r="P86" i="25" s="1"/>
  <c r="G85" i="25"/>
  <c r="G329" i="25"/>
  <c r="AC85" i="25"/>
  <c r="Z86" i="25"/>
  <c r="AD206" i="25"/>
  <c r="F207" i="25"/>
  <c r="AB207" i="25" l="1"/>
  <c r="AA207" i="25" s="1"/>
  <c r="F330" i="25"/>
  <c r="AD329" i="25"/>
  <c r="F86" i="25"/>
  <c r="AD85" i="25"/>
  <c r="L207" i="25" l="1"/>
  <c r="K208" i="25" s="1"/>
  <c r="Q207" i="25"/>
  <c r="P208" i="25" s="1"/>
  <c r="G207" i="25"/>
  <c r="AB330" i="25"/>
  <c r="AB86" i="25"/>
  <c r="AA86" i="25" s="1"/>
  <c r="AE85" i="25"/>
  <c r="AF85" i="25" s="1"/>
  <c r="Z208" i="25"/>
  <c r="Q330" i="25" l="1"/>
  <c r="P331" i="25" s="1"/>
  <c r="V330" i="25"/>
  <c r="U331" i="25" s="1"/>
  <c r="L330" i="25"/>
  <c r="K331" i="25" s="1"/>
  <c r="L86" i="25"/>
  <c r="K87" i="25" s="1"/>
  <c r="Q86" i="25"/>
  <c r="P87" i="25" s="1"/>
  <c r="G86" i="25"/>
  <c r="G330" i="25"/>
  <c r="AD207" i="25"/>
  <c r="F208" i="25"/>
  <c r="Z87" i="25"/>
  <c r="AC86" i="25"/>
  <c r="AD86" i="25" l="1"/>
  <c r="F87" i="25"/>
  <c r="AD330" i="25"/>
  <c r="F331" i="25"/>
  <c r="AB208" i="25"/>
  <c r="AA208" i="25" s="1"/>
  <c r="L208" i="25" l="1"/>
  <c r="K209" i="25" s="1"/>
  <c r="Q208" i="25"/>
  <c r="P209" i="25" s="1"/>
  <c r="G208" i="25"/>
  <c r="Z209" i="25"/>
  <c r="AB331" i="25"/>
  <c r="AE86" i="25"/>
  <c r="AF86" i="25" s="1"/>
  <c r="AB87" i="25"/>
  <c r="AA87" i="25" s="1"/>
  <c r="Q331" i="25" l="1"/>
  <c r="P332" i="25" s="1"/>
  <c r="V331" i="25"/>
  <c r="U332" i="25" s="1"/>
  <c r="L331" i="25"/>
  <c r="K332" i="25" s="1"/>
  <c r="L87" i="25"/>
  <c r="K88" i="25" s="1"/>
  <c r="Q87" i="25"/>
  <c r="P88" i="25" s="1"/>
  <c r="G87" i="25"/>
  <c r="G331" i="25"/>
  <c r="Z88" i="25"/>
  <c r="AC87" i="25"/>
  <c r="F209" i="25"/>
  <c r="AD208" i="25"/>
  <c r="AD87" i="25" l="1"/>
  <c r="F88" i="25"/>
  <c r="F332" i="25"/>
  <c r="AD331" i="25"/>
  <c r="AB209" i="25"/>
  <c r="AA209" i="25" s="1"/>
  <c r="L209" i="25" l="1"/>
  <c r="K210" i="25" s="1"/>
  <c r="Q209" i="25"/>
  <c r="P210" i="25" s="1"/>
  <c r="G209" i="25"/>
  <c r="Z210" i="25"/>
  <c r="AB332" i="25"/>
  <c r="AB88" i="25"/>
  <c r="AA88" i="25" s="1"/>
  <c r="AE87" i="25"/>
  <c r="AF87" i="25" s="1"/>
  <c r="Q332" i="25" l="1"/>
  <c r="P333" i="25" s="1"/>
  <c r="V332" i="25"/>
  <c r="U333" i="25" s="1"/>
  <c r="L332" i="25"/>
  <c r="K333" i="25" s="1"/>
  <c r="L88" i="25"/>
  <c r="K89" i="25" s="1"/>
  <c r="Q88" i="25"/>
  <c r="P89" i="25" s="1"/>
  <c r="G332" i="25"/>
  <c r="G88" i="25"/>
  <c r="F210" i="25"/>
  <c r="AD209" i="25"/>
  <c r="AC88" i="25"/>
  <c r="Z89" i="25"/>
  <c r="AB210" i="25" l="1"/>
  <c r="AA210" i="25" s="1"/>
  <c r="F89" i="25"/>
  <c r="AD88" i="25"/>
  <c r="AD332" i="25"/>
  <c r="F333" i="25"/>
  <c r="L210" i="25" l="1"/>
  <c r="K211" i="25" s="1"/>
  <c r="Q210" i="25"/>
  <c r="P211" i="25" s="1"/>
  <c r="G210" i="25"/>
  <c r="AB333" i="25"/>
  <c r="Z211" i="25"/>
  <c r="AE88" i="25"/>
  <c r="AF88" i="25" s="1"/>
  <c r="AB89" i="25"/>
  <c r="AA89" i="25" s="1"/>
  <c r="Q333" i="25" l="1"/>
  <c r="P334" i="25" s="1"/>
  <c r="V333" i="25"/>
  <c r="U334" i="25" s="1"/>
  <c r="L333" i="25"/>
  <c r="K334" i="25" s="1"/>
  <c r="L89" i="25"/>
  <c r="K90" i="25" s="1"/>
  <c r="Q89" i="25"/>
  <c r="P90" i="25" s="1"/>
  <c r="G89" i="25"/>
  <c r="G333" i="25"/>
  <c r="AD210" i="25"/>
  <c r="F211" i="25"/>
  <c r="AC89" i="25"/>
  <c r="Z90" i="25"/>
  <c r="AD333" i="25" l="1"/>
  <c r="F334" i="25"/>
  <c r="AB211" i="25"/>
  <c r="AA211" i="25" s="1"/>
  <c r="AD89" i="25"/>
  <c r="F90" i="25"/>
  <c r="L211" i="25" l="1"/>
  <c r="K212" i="25" s="1"/>
  <c r="Q211" i="25"/>
  <c r="G211" i="25"/>
  <c r="AE89" i="25"/>
  <c r="AF89" i="25" s="1"/>
  <c r="AB90" i="25"/>
  <c r="AA90" i="25" s="1"/>
  <c r="AB334" i="25"/>
  <c r="P212" i="25"/>
  <c r="Z212" i="25"/>
  <c r="Q334" i="25" l="1"/>
  <c r="P335" i="25" s="1"/>
  <c r="V334" i="25"/>
  <c r="U335" i="25" s="1"/>
  <c r="L90" i="25"/>
  <c r="K91" i="25" s="1"/>
  <c r="Q90" i="25"/>
  <c r="P91" i="25" s="1"/>
  <c r="L334" i="25"/>
  <c r="K335" i="25" s="1"/>
  <c r="G90" i="25"/>
  <c r="G334" i="25"/>
  <c r="AD211" i="25"/>
  <c r="F212" i="25"/>
  <c r="AC90" i="25"/>
  <c r="Z91" i="25"/>
  <c r="AD334" i="25" l="1"/>
  <c r="F335" i="25"/>
  <c r="AD90" i="25"/>
  <c r="F91" i="25"/>
  <c r="AB212" i="25"/>
  <c r="AA212" i="25" s="1"/>
  <c r="L212" i="25" l="1"/>
  <c r="K213" i="25" s="1"/>
  <c r="Q212" i="25"/>
  <c r="P213" i="25" s="1"/>
  <c r="G212" i="25"/>
  <c r="Z213" i="25"/>
  <c r="AE90" i="25"/>
  <c r="AF90" i="25" s="1"/>
  <c r="AB91" i="25"/>
  <c r="AA91" i="25" s="1"/>
  <c r="AB335" i="25"/>
  <c r="Q335" i="25" l="1"/>
  <c r="P336" i="25" s="1"/>
  <c r="V335" i="25"/>
  <c r="U336" i="25" s="1"/>
  <c r="L91" i="25"/>
  <c r="K92" i="25" s="1"/>
  <c r="Q91" i="25"/>
  <c r="P92" i="25" s="1"/>
  <c r="L335" i="25"/>
  <c r="K336" i="25" s="1"/>
  <c r="G91" i="25"/>
  <c r="G335" i="25"/>
  <c r="AC91" i="25"/>
  <c r="Z92" i="25"/>
  <c r="AD212" i="25"/>
  <c r="F213" i="25"/>
  <c r="AD91" i="25" l="1"/>
  <c r="F92" i="25"/>
  <c r="AB213" i="25"/>
  <c r="AA213" i="25" s="1"/>
  <c r="AD335" i="25"/>
  <c r="F336" i="25"/>
  <c r="L213" i="25" l="1"/>
  <c r="K214" i="25" s="1"/>
  <c r="Q213" i="25"/>
  <c r="P214" i="25" s="1"/>
  <c r="G213" i="25"/>
  <c r="Z214" i="25"/>
  <c r="AB336" i="25"/>
  <c r="AE91" i="25"/>
  <c r="AF91" i="25" s="1"/>
  <c r="AB92" i="25"/>
  <c r="AA92" i="25" s="1"/>
  <c r="Q336" i="25" l="1"/>
  <c r="P337" i="25" s="1"/>
  <c r="V336" i="25"/>
  <c r="U337" i="25" s="1"/>
  <c r="L336" i="25"/>
  <c r="K337" i="25" s="1"/>
  <c r="L92" i="25"/>
  <c r="K93" i="25" s="1"/>
  <c r="Q92" i="25"/>
  <c r="P93" i="25" s="1"/>
  <c r="G92" i="25"/>
  <c r="G336" i="25"/>
  <c r="AD213" i="25"/>
  <c r="F214" i="25"/>
  <c r="AC92" i="25"/>
  <c r="Z93" i="25"/>
  <c r="AB214" i="25" l="1"/>
  <c r="AA214" i="25" s="1"/>
  <c r="AD336" i="25"/>
  <c r="F337" i="25"/>
  <c r="AD92" i="25"/>
  <c r="F93" i="25"/>
  <c r="L214" i="25" l="1"/>
  <c r="Q214" i="25"/>
  <c r="P215" i="25" s="1"/>
  <c r="G214" i="25"/>
  <c r="AB93" i="25"/>
  <c r="AA93" i="25" s="1"/>
  <c r="AE92" i="25"/>
  <c r="AF92" i="25" s="1"/>
  <c r="K215" i="25"/>
  <c r="Z215" i="25"/>
  <c r="AB337" i="25"/>
  <c r="Q337" i="25" l="1"/>
  <c r="P338" i="25" s="1"/>
  <c r="V337" i="25"/>
  <c r="L93" i="25"/>
  <c r="K94" i="25" s="1"/>
  <c r="Q93" i="25"/>
  <c r="P94" i="25" s="1"/>
  <c r="L337" i="25"/>
  <c r="K338" i="25" s="1"/>
  <c r="G337" i="25"/>
  <c r="G93" i="25"/>
  <c r="AC93" i="25"/>
  <c r="Z94" i="25"/>
  <c r="AD214" i="25"/>
  <c r="F215" i="25"/>
  <c r="U338" i="25"/>
  <c r="AB215" i="25" l="1"/>
  <c r="AA215" i="25" s="1"/>
  <c r="AD337" i="25"/>
  <c r="F338" i="25"/>
  <c r="F94" i="25"/>
  <c r="AD93" i="25"/>
  <c r="L215" i="25" l="1"/>
  <c r="K216" i="25" s="1"/>
  <c r="Q215" i="25"/>
  <c r="G215" i="25"/>
  <c r="AB94" i="25"/>
  <c r="AA94" i="25" s="1"/>
  <c r="AE93" i="25"/>
  <c r="AF93" i="25" s="1"/>
  <c r="AB338" i="25"/>
  <c r="Z216" i="25"/>
  <c r="P216" i="25"/>
  <c r="Q338" i="25" l="1"/>
  <c r="P339" i="25" s="1"/>
  <c r="V338" i="25"/>
  <c r="U339" i="25" s="1"/>
  <c r="L338" i="25"/>
  <c r="K339" i="25" s="1"/>
  <c r="L94" i="25"/>
  <c r="K95" i="25" s="1"/>
  <c r="Q94" i="25"/>
  <c r="P95" i="25" s="1"/>
  <c r="G94" i="25"/>
  <c r="G338" i="25"/>
  <c r="AD215" i="25"/>
  <c r="F216" i="25"/>
  <c r="Z95" i="25"/>
  <c r="AD94" i="25" l="1"/>
  <c r="F95" i="25"/>
  <c r="AC94" i="25"/>
  <c r="AD338" i="25"/>
  <c r="F339" i="25"/>
  <c r="AB216" i="25"/>
  <c r="AA216" i="25" s="1"/>
  <c r="L216" i="25" l="1"/>
  <c r="K217" i="25" s="1"/>
  <c r="Q216" i="25"/>
  <c r="P217" i="25" s="1"/>
  <c r="G216" i="25"/>
  <c r="Z217" i="25"/>
  <c r="AB339" i="25"/>
  <c r="AE94" i="25"/>
  <c r="AF94" i="25" s="1"/>
  <c r="AB95" i="25"/>
  <c r="AA95" i="25" s="1"/>
  <c r="Q339" i="25" l="1"/>
  <c r="P340" i="25" s="1"/>
  <c r="V339" i="25"/>
  <c r="U340" i="25" s="1"/>
  <c r="L339" i="25"/>
  <c r="K340" i="25" s="1"/>
  <c r="L95" i="25"/>
  <c r="K96" i="25" s="1"/>
  <c r="Q95" i="25"/>
  <c r="P96" i="25" s="1"/>
  <c r="G95" i="25"/>
  <c r="G339" i="25"/>
  <c r="F217" i="25"/>
  <c r="AD216" i="25"/>
  <c r="Z96" i="25"/>
  <c r="AC95" i="25"/>
  <c r="AB217" i="25" l="1"/>
  <c r="AA217" i="25" s="1"/>
  <c r="AD339" i="25"/>
  <c r="F340" i="25"/>
  <c r="AD95" i="25"/>
  <c r="F96" i="25"/>
  <c r="L217" i="25" l="1"/>
  <c r="K218" i="25" s="1"/>
  <c r="Q217" i="25"/>
  <c r="P218" i="25" s="1"/>
  <c r="G217" i="25"/>
  <c r="AE95" i="25"/>
  <c r="AF95" i="25" s="1"/>
  <c r="AB96" i="25"/>
  <c r="AA96" i="25" s="1"/>
  <c r="AB340" i="25"/>
  <c r="Z218" i="25"/>
  <c r="Q340" i="25" l="1"/>
  <c r="P341" i="25" s="1"/>
  <c r="V340" i="25"/>
  <c r="U341" i="25" s="1"/>
  <c r="L340" i="25"/>
  <c r="K341" i="25" s="1"/>
  <c r="L96" i="25"/>
  <c r="K97" i="25" s="1"/>
  <c r="Q96" i="25"/>
  <c r="P97" i="25" s="1"/>
  <c r="G340" i="25"/>
  <c r="G96" i="25"/>
  <c r="AC96" i="25"/>
  <c r="Z97" i="25"/>
  <c r="AD217" i="25"/>
  <c r="F218" i="25"/>
  <c r="F341" i="25" l="1"/>
  <c r="AD340" i="25"/>
  <c r="AB218" i="25"/>
  <c r="AA218" i="25" s="1"/>
  <c r="F97" i="25"/>
  <c r="AD96" i="25"/>
  <c r="L218" i="25" l="1"/>
  <c r="K219" i="25" s="1"/>
  <c r="Q218" i="25"/>
  <c r="P219" i="25" s="1"/>
  <c r="G218" i="25"/>
  <c r="AE96" i="25"/>
  <c r="AF96" i="25" s="1"/>
  <c r="AB97" i="25"/>
  <c r="AA97" i="25" s="1"/>
  <c r="AB341" i="25"/>
  <c r="Z219" i="25"/>
  <c r="Q341" i="25" l="1"/>
  <c r="P342" i="25" s="1"/>
  <c r="V341" i="25"/>
  <c r="U342" i="25" s="1"/>
  <c r="L341" i="25"/>
  <c r="K342" i="25" s="1"/>
  <c r="L97" i="25"/>
  <c r="K98" i="25" s="1"/>
  <c r="Q97" i="25"/>
  <c r="P98" i="25" s="1"/>
  <c r="G97" i="25"/>
  <c r="G341" i="25"/>
  <c r="F219" i="25"/>
  <c r="AD218" i="25"/>
  <c r="AC97" i="25"/>
  <c r="Z98" i="25"/>
  <c r="AD341" i="25" l="1"/>
  <c r="F342" i="25"/>
  <c r="AD97" i="25"/>
  <c r="F98" i="25"/>
  <c r="AB219" i="25"/>
  <c r="AA219" i="25" s="1"/>
  <c r="L219" i="25" l="1"/>
  <c r="K220" i="25" s="1"/>
  <c r="Q219" i="25"/>
  <c r="P220" i="25" s="1"/>
  <c r="G219" i="25"/>
  <c r="Z220" i="25"/>
  <c r="AE97" i="25"/>
  <c r="AF97" i="25" s="1"/>
  <c r="AB98" i="25"/>
  <c r="AA98" i="25" s="1"/>
  <c r="AB342" i="25"/>
  <c r="Q342" i="25" l="1"/>
  <c r="P343" i="25" s="1"/>
  <c r="V342" i="25"/>
  <c r="U343" i="25" s="1"/>
  <c r="L342" i="25"/>
  <c r="K343" i="25" s="1"/>
  <c r="L98" i="25"/>
  <c r="K99" i="25" s="1"/>
  <c r="Q98" i="25"/>
  <c r="P99" i="25" s="1"/>
  <c r="G342" i="25"/>
  <c r="G98" i="25"/>
  <c r="AC98" i="25"/>
  <c r="Z99" i="25"/>
  <c r="F220" i="25"/>
  <c r="AD219" i="25"/>
  <c r="AB220" i="25" l="1"/>
  <c r="AA220" i="25" s="1"/>
  <c r="F343" i="25"/>
  <c r="AD342" i="25"/>
  <c r="AD98" i="25"/>
  <c r="F99" i="25"/>
  <c r="L220" i="25" l="1"/>
  <c r="K221" i="25" s="1"/>
  <c r="Q220" i="25"/>
  <c r="G220" i="25"/>
  <c r="AE98" i="25"/>
  <c r="AF98" i="25" s="1"/>
  <c r="AB99" i="25"/>
  <c r="AA99" i="25" s="1"/>
  <c r="Z221" i="25"/>
  <c r="P221" i="25"/>
  <c r="AB343" i="25"/>
  <c r="Q343" i="25" l="1"/>
  <c r="V343" i="25"/>
  <c r="L343" i="25"/>
  <c r="K344" i="25" s="1"/>
  <c r="L99" i="25"/>
  <c r="K100" i="25" s="1"/>
  <c r="Q99" i="25"/>
  <c r="P100" i="25" s="1"/>
  <c r="G99" i="25"/>
  <c r="G343" i="25"/>
  <c r="U344" i="25"/>
  <c r="P344" i="25"/>
  <c r="AD220" i="25"/>
  <c r="F221" i="25"/>
  <c r="AC99" i="25"/>
  <c r="Z100" i="25"/>
  <c r="AB221" i="25" l="1"/>
  <c r="AA221" i="25" s="1"/>
  <c r="F344" i="25"/>
  <c r="AD343" i="25"/>
  <c r="AD99" i="25"/>
  <c r="F100" i="25"/>
  <c r="L221" i="25" l="1"/>
  <c r="K222" i="25" s="1"/>
  <c r="Q221" i="25"/>
  <c r="G221" i="25"/>
  <c r="AB344" i="25"/>
  <c r="P222" i="25"/>
  <c r="Z222" i="25"/>
  <c r="AE99" i="25"/>
  <c r="AF99" i="25" s="1"/>
  <c r="AB100" i="25"/>
  <c r="AA100" i="25" s="1"/>
  <c r="Q344" i="25" l="1"/>
  <c r="P345" i="25" s="1"/>
  <c r="V344" i="25"/>
  <c r="L100" i="25"/>
  <c r="K101" i="25" s="1"/>
  <c r="Q100" i="25"/>
  <c r="P101" i="25" s="1"/>
  <c r="L344" i="25"/>
  <c r="K345" i="25" s="1"/>
  <c r="G100" i="25"/>
  <c r="G344" i="25"/>
  <c r="AD221" i="25"/>
  <c r="F222" i="25"/>
  <c r="AC100" i="25"/>
  <c r="Z101" i="25"/>
  <c r="U345" i="25"/>
  <c r="AD344" i="25" l="1"/>
  <c r="F345" i="25"/>
  <c r="AD100" i="25"/>
  <c r="F101" i="25"/>
  <c r="AB222" i="25"/>
  <c r="AA222" i="25" s="1"/>
  <c r="L222" i="25" l="1"/>
  <c r="K223" i="25" s="1"/>
  <c r="Q222" i="25"/>
  <c r="P223" i="25" s="1"/>
  <c r="G222" i="25"/>
  <c r="AB345" i="25"/>
  <c r="Z223" i="25"/>
  <c r="AB101" i="25"/>
  <c r="AA101" i="25" s="1"/>
  <c r="AE100" i="25"/>
  <c r="AF100" i="25" s="1"/>
  <c r="Q345" i="25" l="1"/>
  <c r="P346" i="25" s="1"/>
  <c r="V345" i="25"/>
  <c r="U346" i="25" s="1"/>
  <c r="L101" i="25"/>
  <c r="K102" i="25" s="1"/>
  <c r="Q101" i="25"/>
  <c r="P102" i="25" s="1"/>
  <c r="L345" i="25"/>
  <c r="K346" i="25" s="1"/>
  <c r="G101" i="25"/>
  <c r="G345" i="25"/>
  <c r="AC101" i="25"/>
  <c r="Z102" i="25"/>
  <c r="F223" i="25"/>
  <c r="AD222" i="25"/>
  <c r="AB223" i="25" l="1"/>
  <c r="AA223" i="25" s="1"/>
  <c r="F102" i="25"/>
  <c r="AD101" i="25"/>
  <c r="AD345" i="25"/>
  <c r="F346" i="25"/>
  <c r="L223" i="25" l="1"/>
  <c r="K224" i="25" s="1"/>
  <c r="Q223" i="25"/>
  <c r="P224" i="25" s="1"/>
  <c r="G223" i="25"/>
  <c r="AB346" i="25"/>
  <c r="AB102" i="25"/>
  <c r="AA102" i="25" s="1"/>
  <c r="AE101" i="25"/>
  <c r="AF101" i="25" s="1"/>
  <c r="Z224" i="25"/>
  <c r="Q346" i="25" l="1"/>
  <c r="P347" i="25" s="1"/>
  <c r="V346" i="25"/>
  <c r="U347" i="25" s="1"/>
  <c r="L346" i="25"/>
  <c r="K347" i="25" s="1"/>
  <c r="L102" i="25"/>
  <c r="K103" i="25" s="1"/>
  <c r="Q102" i="25"/>
  <c r="P103" i="25" s="1"/>
  <c r="G102" i="25"/>
  <c r="G346" i="25"/>
  <c r="Z103" i="25"/>
  <c r="AC102" i="25"/>
  <c r="AD223" i="25"/>
  <c r="F224" i="25"/>
  <c r="F347" i="25" l="1"/>
  <c r="AD346" i="25"/>
  <c r="AB224" i="25"/>
  <c r="AA224" i="25" s="1"/>
  <c r="AD102" i="25"/>
  <c r="F103" i="25"/>
  <c r="L224" i="25" l="1"/>
  <c r="K225" i="25" s="1"/>
  <c r="Q224" i="25"/>
  <c r="P225" i="25" s="1"/>
  <c r="G224" i="25"/>
  <c r="AE102" i="25"/>
  <c r="AF102" i="25" s="1"/>
  <c r="AB103" i="25"/>
  <c r="AA103" i="25" s="1"/>
  <c r="AB347" i="25"/>
  <c r="Z225" i="25"/>
  <c r="Q347" i="25" l="1"/>
  <c r="P348" i="25" s="1"/>
  <c r="V347" i="25"/>
  <c r="U348" i="25" s="1"/>
  <c r="L347" i="25"/>
  <c r="K348" i="25" s="1"/>
  <c r="L103" i="25"/>
  <c r="K104" i="25" s="1"/>
  <c r="Q103" i="25"/>
  <c r="P104" i="25" s="1"/>
  <c r="G347" i="25"/>
  <c r="G103" i="25"/>
  <c r="Z104" i="25"/>
  <c r="AC103" i="25"/>
  <c r="AD224" i="25"/>
  <c r="F225" i="25"/>
  <c r="F348" i="25" l="1"/>
  <c r="AD347" i="25"/>
  <c r="AB225" i="25"/>
  <c r="AA225" i="25" s="1"/>
  <c r="AD103" i="25"/>
  <c r="F104" i="25"/>
  <c r="L225" i="25" l="1"/>
  <c r="K226" i="25" s="1"/>
  <c r="Q225" i="25"/>
  <c r="P226" i="25" s="1"/>
  <c r="G225" i="25"/>
  <c r="AB104" i="25"/>
  <c r="AA104" i="25" s="1"/>
  <c r="AE103" i="25"/>
  <c r="AF103" i="25" s="1"/>
  <c r="Z226" i="25"/>
  <c r="AB348" i="25"/>
  <c r="Q348" i="25" l="1"/>
  <c r="P349" i="25" s="1"/>
  <c r="V348" i="25"/>
  <c r="U349" i="25" s="1"/>
  <c r="L104" i="25"/>
  <c r="K105" i="25" s="1"/>
  <c r="Q104" i="25"/>
  <c r="P105" i="25" s="1"/>
  <c r="L348" i="25"/>
  <c r="K349" i="25" s="1"/>
  <c r="G348" i="25"/>
  <c r="G104" i="25"/>
  <c r="AD225" i="25"/>
  <c r="F226" i="25"/>
  <c r="AC104" i="25"/>
  <c r="Z105" i="25"/>
  <c r="AD348" i="25" l="1"/>
  <c r="F349" i="25"/>
  <c r="F105" i="25"/>
  <c r="AD104" i="25"/>
  <c r="AB226" i="25"/>
  <c r="AA226" i="25" s="1"/>
  <c r="L226" i="25" l="1"/>
  <c r="K227" i="25" s="1"/>
  <c r="Q226" i="25"/>
  <c r="P227" i="25" s="1"/>
  <c r="G226" i="25"/>
  <c r="Z227" i="25"/>
  <c r="AE104" i="25"/>
  <c r="AF104" i="25" s="1"/>
  <c r="AB105" i="25"/>
  <c r="AA105" i="25" s="1"/>
  <c r="AB349" i="25"/>
  <c r="Q349" i="25" l="1"/>
  <c r="P350" i="25" s="1"/>
  <c r="V349" i="25"/>
  <c r="L349" i="25"/>
  <c r="K350" i="25" s="1"/>
  <c r="L105" i="25"/>
  <c r="K106" i="25" s="1"/>
  <c r="Q105" i="25"/>
  <c r="P106" i="25" s="1"/>
  <c r="G349" i="25"/>
  <c r="G105" i="25"/>
  <c r="Z106" i="25"/>
  <c r="AC105" i="25"/>
  <c r="F227" i="25"/>
  <c r="AD226" i="25"/>
  <c r="U350" i="25"/>
  <c r="AB227" i="25" l="1"/>
  <c r="AA227" i="25" s="1"/>
  <c r="AD349" i="25"/>
  <c r="F350" i="25"/>
  <c r="AD105" i="25"/>
  <c r="F106" i="25"/>
  <c r="L227" i="25" l="1"/>
  <c r="K228" i="25" s="1"/>
  <c r="Q227" i="25"/>
  <c r="P228" i="25" s="1"/>
  <c r="G227" i="25"/>
  <c r="AE105" i="25"/>
  <c r="AF105" i="25" s="1"/>
  <c r="AB106" i="25"/>
  <c r="AA106" i="25" s="1"/>
  <c r="AB350" i="25"/>
  <c r="Z228" i="25"/>
  <c r="Q350" i="25" l="1"/>
  <c r="P351" i="25" s="1"/>
  <c r="V350" i="25"/>
  <c r="U351" i="25" s="1"/>
  <c r="L350" i="25"/>
  <c r="K351" i="25" s="1"/>
  <c r="L106" i="25"/>
  <c r="K107" i="25" s="1"/>
  <c r="Q106" i="25"/>
  <c r="P107" i="25" s="1"/>
  <c r="G106" i="25"/>
  <c r="G350" i="25"/>
  <c r="F228" i="25"/>
  <c r="AD227" i="25"/>
  <c r="AC106" i="25"/>
  <c r="Z107" i="25"/>
  <c r="AD350" i="25" l="1"/>
  <c r="F351" i="25"/>
  <c r="AB228" i="25"/>
  <c r="AA228" i="25" s="1"/>
  <c r="AD106" i="25"/>
  <c r="F107" i="25"/>
  <c r="L228" i="25" l="1"/>
  <c r="K229" i="25" s="1"/>
  <c r="Q228" i="25"/>
  <c r="P229" i="25" s="1"/>
  <c r="G228" i="25"/>
  <c r="AE106" i="25"/>
  <c r="AF106" i="25" s="1"/>
  <c r="AB107" i="25"/>
  <c r="AA107" i="25" s="1"/>
  <c r="Z229" i="25"/>
  <c r="AB351" i="25"/>
  <c r="Q351" i="25" l="1"/>
  <c r="P352" i="25" s="1"/>
  <c r="V351" i="25"/>
  <c r="U352" i="25" s="1"/>
  <c r="L107" i="25"/>
  <c r="K108" i="25" s="1"/>
  <c r="Q107" i="25"/>
  <c r="P108" i="25" s="1"/>
  <c r="L351" i="25"/>
  <c r="K352" i="25" s="1"/>
  <c r="G351" i="25"/>
  <c r="G107" i="25"/>
  <c r="AD228" i="25"/>
  <c r="F229" i="25"/>
  <c r="AC107" i="25"/>
  <c r="Z108" i="25"/>
  <c r="AD107" i="25" l="1"/>
  <c r="F108" i="25"/>
  <c r="AD351" i="25"/>
  <c r="F352" i="25"/>
  <c r="AB229" i="25"/>
  <c r="AA229" i="25" s="1"/>
  <c r="L229" i="25" l="1"/>
  <c r="K230" i="25" s="1"/>
  <c r="Q229" i="25"/>
  <c r="G229" i="25"/>
  <c r="AE107" i="25"/>
  <c r="AF107" i="25" s="1"/>
  <c r="AB108" i="25"/>
  <c r="AA108" i="25" s="1"/>
  <c r="P230" i="25"/>
  <c r="Z230" i="25"/>
  <c r="AB352" i="25"/>
  <c r="Q352" i="25" l="1"/>
  <c r="P353" i="25" s="1"/>
  <c r="V352" i="25"/>
  <c r="L108" i="25"/>
  <c r="K109" i="25" s="1"/>
  <c r="Q108" i="25"/>
  <c r="P109" i="25" s="1"/>
  <c r="L352" i="25"/>
  <c r="K353" i="25" s="1"/>
  <c r="G108" i="25"/>
  <c r="G352" i="25"/>
  <c r="AD229" i="25"/>
  <c r="F230" i="25"/>
  <c r="AC108" i="25"/>
  <c r="Z109" i="25"/>
  <c r="U353" i="25"/>
  <c r="AD108" i="25" l="1"/>
  <c r="F109" i="25"/>
  <c r="AD352" i="25"/>
  <c r="F353" i="25"/>
  <c r="AB230" i="25"/>
  <c r="AA230" i="25" s="1"/>
  <c r="L230" i="25" l="1"/>
  <c r="K231" i="25" s="1"/>
  <c r="Q230" i="25"/>
  <c r="P231" i="25" s="1"/>
  <c r="G230" i="25"/>
  <c r="Z231" i="25"/>
  <c r="AB353" i="25"/>
  <c r="AB109" i="25"/>
  <c r="AA109" i="25" s="1"/>
  <c r="AE108" i="25"/>
  <c r="AF108" i="25" s="1"/>
  <c r="Q353" i="25" l="1"/>
  <c r="P354" i="25" s="1"/>
  <c r="V353" i="25"/>
  <c r="U354" i="25" s="1"/>
  <c r="L109" i="25"/>
  <c r="K110" i="25" s="1"/>
  <c r="Q109" i="25"/>
  <c r="P110" i="25" s="1"/>
  <c r="L353" i="25"/>
  <c r="K354" i="25" s="1"/>
  <c r="G353" i="25"/>
  <c r="G109" i="25"/>
  <c r="AC109" i="25"/>
  <c r="Z110" i="25"/>
  <c r="AD230" i="25"/>
  <c r="F231" i="25"/>
  <c r="AB231" i="25" l="1"/>
  <c r="AA231" i="25" s="1"/>
  <c r="AD353" i="25"/>
  <c r="F354" i="25"/>
  <c r="F110" i="25"/>
  <c r="AD109" i="25"/>
  <c r="L231" i="25" l="1"/>
  <c r="K232" i="25" s="1"/>
  <c r="Q231" i="25"/>
  <c r="P232" i="25" s="1"/>
  <c r="G231" i="25"/>
  <c r="AB110" i="25"/>
  <c r="AA110" i="25" s="1"/>
  <c r="AE109" i="25"/>
  <c r="AF109" i="25" s="1"/>
  <c r="AB354" i="25"/>
  <c r="Z232" i="25"/>
  <c r="Q354" i="25" l="1"/>
  <c r="P355" i="25" s="1"/>
  <c r="V354" i="25"/>
  <c r="U355" i="25" s="1"/>
  <c r="L110" i="25"/>
  <c r="K111" i="25" s="1"/>
  <c r="Q110" i="25"/>
  <c r="P111" i="25" s="1"/>
  <c r="L354" i="25"/>
  <c r="K355" i="25" s="1"/>
  <c r="G354" i="25"/>
  <c r="G110" i="25"/>
  <c r="AD231" i="25"/>
  <c r="F232" i="25"/>
  <c r="Z111" i="25"/>
  <c r="AC110" i="25"/>
  <c r="AB232" i="25" l="1"/>
  <c r="AA232" i="25" s="1"/>
  <c r="F111" i="25"/>
  <c r="AD110" i="25"/>
  <c r="AD354" i="25"/>
  <c r="F355" i="25"/>
  <c r="L232" i="25" l="1"/>
  <c r="K233" i="25" s="1"/>
  <c r="Q232" i="25"/>
  <c r="P233" i="25" s="1"/>
  <c r="G232" i="25"/>
  <c r="AB355" i="25"/>
  <c r="AE110" i="25"/>
  <c r="AF110" i="25" s="1"/>
  <c r="AB111" i="25"/>
  <c r="AA111" i="25" s="1"/>
  <c r="Z233" i="25"/>
  <c r="Q355" i="25" l="1"/>
  <c r="P356" i="25" s="1"/>
  <c r="V355" i="25"/>
  <c r="L355" i="25"/>
  <c r="K356" i="25" s="1"/>
  <c r="L111" i="25"/>
  <c r="K112" i="25" s="1"/>
  <c r="Q111" i="25"/>
  <c r="P112" i="25" s="1"/>
  <c r="G111" i="25"/>
  <c r="G355" i="25"/>
  <c r="AD232" i="25"/>
  <c r="F233" i="25"/>
  <c r="Z112" i="25"/>
  <c r="AC111" i="25"/>
  <c r="U356" i="25"/>
  <c r="AD111" i="25" l="1"/>
  <c r="F112" i="25"/>
  <c r="F356" i="25"/>
  <c r="AD355" i="25"/>
  <c r="AB233" i="25"/>
  <c r="AA233" i="25" s="1"/>
  <c r="L233" i="25" l="1"/>
  <c r="K234" i="25" s="1"/>
  <c r="Q233" i="25"/>
  <c r="P234" i="25" s="1"/>
  <c r="G233" i="25"/>
  <c r="Z234" i="25"/>
  <c r="AB356" i="25"/>
  <c r="AB112" i="25"/>
  <c r="AA112" i="25" s="1"/>
  <c r="AE111" i="25"/>
  <c r="AF111" i="25" s="1"/>
  <c r="Q356" i="25" l="1"/>
  <c r="P357" i="25" s="1"/>
  <c r="V356" i="25"/>
  <c r="U357" i="25" s="1"/>
  <c r="L112" i="25"/>
  <c r="K113" i="25" s="1"/>
  <c r="Q112" i="25"/>
  <c r="P113" i="25" s="1"/>
  <c r="L356" i="25"/>
  <c r="K357" i="25" s="1"/>
  <c r="G356" i="25"/>
  <c r="G112" i="25"/>
  <c r="AC112" i="25"/>
  <c r="Z113" i="25"/>
  <c r="AD233" i="25"/>
  <c r="F234" i="25"/>
  <c r="F113" i="25" l="1"/>
  <c r="AD112" i="25"/>
  <c r="AB234" i="25"/>
  <c r="AA234" i="25" s="1"/>
  <c r="F357" i="25"/>
  <c r="AD356" i="25"/>
  <c r="L234" i="25" l="1"/>
  <c r="Q234" i="25"/>
  <c r="P235" i="25" s="1"/>
  <c r="G234" i="25"/>
  <c r="AB357" i="25"/>
  <c r="Z235" i="25"/>
  <c r="K235" i="25"/>
  <c r="AE112" i="25"/>
  <c r="AF112" i="25" s="1"/>
  <c r="AB113" i="25"/>
  <c r="AA113" i="25" s="1"/>
  <c r="Q357" i="25" l="1"/>
  <c r="P358" i="25" s="1"/>
  <c r="V357" i="25"/>
  <c r="L357" i="25"/>
  <c r="K358" i="25" s="1"/>
  <c r="L113" i="25"/>
  <c r="K114" i="25" s="1"/>
  <c r="Q113" i="25"/>
  <c r="P114" i="25" s="1"/>
  <c r="G113" i="25"/>
  <c r="G357" i="25"/>
  <c r="F235" i="25"/>
  <c r="AD234" i="25"/>
  <c r="U358" i="25"/>
  <c r="AC113" i="25"/>
  <c r="Z114" i="25"/>
  <c r="AD357" i="25" l="1"/>
  <c r="F358" i="25"/>
  <c r="AD113" i="25"/>
  <c r="F114" i="25"/>
  <c r="AB235" i="25"/>
  <c r="AA235" i="25" s="1"/>
  <c r="L235" i="25" l="1"/>
  <c r="K236" i="25" s="1"/>
  <c r="Q235" i="25"/>
  <c r="G235" i="25"/>
  <c r="Z236" i="25"/>
  <c r="P236" i="25"/>
  <c r="AE113" i="25"/>
  <c r="AF113" i="25" s="1"/>
  <c r="AB114" i="25"/>
  <c r="AA114" i="25" s="1"/>
  <c r="AB358" i="25"/>
  <c r="Q358" i="25" l="1"/>
  <c r="P359" i="25" s="1"/>
  <c r="V358" i="25"/>
  <c r="L114" i="25"/>
  <c r="K115" i="25" s="1"/>
  <c r="Q114" i="25"/>
  <c r="P115" i="25" s="1"/>
  <c r="L358" i="25"/>
  <c r="K359" i="25" s="1"/>
  <c r="G358" i="25"/>
  <c r="G114" i="25"/>
  <c r="AC114" i="25"/>
  <c r="Z115" i="25"/>
  <c r="AD235" i="25"/>
  <c r="F236" i="25"/>
  <c r="U359" i="25"/>
  <c r="F359" i="25" l="1"/>
  <c r="AD358" i="25"/>
  <c r="AB236" i="25"/>
  <c r="AA236" i="25" s="1"/>
  <c r="AD114" i="25"/>
  <c r="F115" i="25"/>
  <c r="L236" i="25" l="1"/>
  <c r="K237" i="25" s="1"/>
  <c r="Q236" i="25"/>
  <c r="P237" i="25" s="1"/>
  <c r="G236" i="25"/>
  <c r="AE114" i="25"/>
  <c r="AF114" i="25" s="1"/>
  <c r="AB115" i="25"/>
  <c r="AA115" i="25" s="1"/>
  <c r="Z237" i="25"/>
  <c r="AB359" i="25"/>
  <c r="Q359" i="25" l="1"/>
  <c r="P360" i="25" s="1"/>
  <c r="V359" i="25"/>
  <c r="U360" i="25" s="1"/>
  <c r="L115" i="25"/>
  <c r="K116" i="25" s="1"/>
  <c r="Q115" i="25"/>
  <c r="P116" i="25" s="1"/>
  <c r="L359" i="25"/>
  <c r="K360" i="25" s="1"/>
  <c r="G359" i="25"/>
  <c r="G115" i="25"/>
  <c r="AD236" i="25"/>
  <c r="F237" i="25"/>
  <c r="AC115" i="25"/>
  <c r="Z116" i="25"/>
  <c r="AB237" i="25" l="1"/>
  <c r="AA237" i="25" s="1"/>
  <c r="F360" i="25"/>
  <c r="AD359" i="25"/>
  <c r="AD115" i="25"/>
  <c r="F116" i="25"/>
  <c r="L237" i="25" l="1"/>
  <c r="K238" i="25" s="1"/>
  <c r="Q237" i="25"/>
  <c r="P238" i="25" s="1"/>
  <c r="G237" i="25"/>
  <c r="AE115" i="25"/>
  <c r="AF115" i="25" s="1"/>
  <c r="AB116" i="25"/>
  <c r="AA116" i="25" s="1"/>
  <c r="AB360" i="25"/>
  <c r="Z238" i="25"/>
  <c r="Q360" i="25" l="1"/>
  <c r="P361" i="25" s="1"/>
  <c r="V360" i="25"/>
  <c r="U361" i="25" s="1"/>
  <c r="L116" i="25"/>
  <c r="K117" i="25" s="1"/>
  <c r="Q116" i="25"/>
  <c r="P117" i="25" s="1"/>
  <c r="L360" i="25"/>
  <c r="K361" i="25" s="1"/>
  <c r="G360" i="25"/>
  <c r="G116" i="25"/>
  <c r="AD237" i="25"/>
  <c r="F238" i="25"/>
  <c r="AC116" i="25"/>
  <c r="Z117" i="25"/>
  <c r="AD116" i="25" l="1"/>
  <c r="F117" i="25"/>
  <c r="AB238" i="25"/>
  <c r="AA238" i="25" s="1"/>
  <c r="AD360" i="25"/>
  <c r="F361" i="25"/>
  <c r="L238" i="25" l="1"/>
  <c r="K239" i="25" s="1"/>
  <c r="Q238" i="25"/>
  <c r="P239" i="25" s="1"/>
  <c r="G238" i="25"/>
  <c r="AB361" i="25"/>
  <c r="Z239" i="25"/>
  <c r="AB117" i="25"/>
  <c r="AA117" i="25" s="1"/>
  <c r="AE116" i="25"/>
  <c r="AF116" i="25" s="1"/>
  <c r="Q361" i="25" l="1"/>
  <c r="V361" i="25"/>
  <c r="U362" i="25" s="1"/>
  <c r="L117" i="25"/>
  <c r="K118" i="25" s="1"/>
  <c r="Q117" i="25"/>
  <c r="P118" i="25" s="1"/>
  <c r="L361" i="25"/>
  <c r="K362" i="25" s="1"/>
  <c r="G117" i="25"/>
  <c r="G361" i="25"/>
  <c r="AC117" i="25"/>
  <c r="Z118" i="25"/>
  <c r="AD238" i="25"/>
  <c r="F239" i="25"/>
  <c r="P362" i="25"/>
  <c r="AB239" i="25" l="1"/>
  <c r="AA239" i="25" s="1"/>
  <c r="AD361" i="25"/>
  <c r="F362" i="25"/>
  <c r="F118" i="25"/>
  <c r="AD117" i="25"/>
  <c r="L239" i="25" l="1"/>
  <c r="K240" i="25" s="1"/>
  <c r="Q239" i="25"/>
  <c r="P240" i="25" s="1"/>
  <c r="G239" i="25"/>
  <c r="AB118" i="25"/>
  <c r="AA118" i="25" s="1"/>
  <c r="AE117" i="25"/>
  <c r="AF117" i="25" s="1"/>
  <c r="AB362" i="25"/>
  <c r="Z240" i="25"/>
  <c r="Q362" i="25" l="1"/>
  <c r="P363" i="25" s="1"/>
  <c r="V362" i="25"/>
  <c r="U363" i="25" s="1"/>
  <c r="L118" i="25"/>
  <c r="K119" i="25" s="1"/>
  <c r="Q118" i="25"/>
  <c r="P119" i="25" s="1"/>
  <c r="L362" i="25"/>
  <c r="K363" i="25" s="1"/>
  <c r="G362" i="25"/>
  <c r="G118" i="25"/>
  <c r="AD239" i="25"/>
  <c r="F240" i="25"/>
  <c r="Z119" i="25"/>
  <c r="AC118" i="25"/>
  <c r="AD118" i="25" l="1"/>
  <c r="F119" i="25"/>
  <c r="AD362" i="25"/>
  <c r="F363" i="25"/>
  <c r="AB240" i="25"/>
  <c r="AA240" i="25" s="1"/>
  <c r="L240" i="25" l="1"/>
  <c r="K241" i="25" s="1"/>
  <c r="Q240" i="25"/>
  <c r="P241" i="25" s="1"/>
  <c r="G240" i="25"/>
  <c r="Z241" i="25"/>
  <c r="AB363" i="25"/>
  <c r="AE118" i="25"/>
  <c r="AF118" i="25" s="1"/>
  <c r="AB119" i="25"/>
  <c r="AA119" i="25" s="1"/>
  <c r="Q363" i="25" l="1"/>
  <c r="P364" i="25" s="1"/>
  <c r="V363" i="25"/>
  <c r="L363" i="25"/>
  <c r="K364" i="25" s="1"/>
  <c r="L119" i="25"/>
  <c r="K120" i="25" s="1"/>
  <c r="Q119" i="25"/>
  <c r="P120" i="25" s="1"/>
  <c r="G363" i="25"/>
  <c r="G119" i="25"/>
  <c r="U364" i="25"/>
  <c r="AD240" i="25"/>
  <c r="F241" i="25"/>
  <c r="Z120" i="25"/>
  <c r="AC119" i="25"/>
  <c r="AB241" i="25" l="1"/>
  <c r="AA241" i="25" s="1"/>
  <c r="AD119" i="25"/>
  <c r="F120" i="25"/>
  <c r="AD363" i="25"/>
  <c r="F364" i="25"/>
  <c r="L241" i="25" l="1"/>
  <c r="K242" i="25" s="1"/>
  <c r="Q241" i="25"/>
  <c r="G241" i="25"/>
  <c r="AB364" i="25"/>
  <c r="AB120" i="25"/>
  <c r="AA120" i="25" s="1"/>
  <c r="AE119" i="25"/>
  <c r="AF119" i="25" s="1"/>
  <c r="Z242" i="25"/>
  <c r="P242" i="25"/>
  <c r="Q364" i="25" l="1"/>
  <c r="P365" i="25" s="1"/>
  <c r="V364" i="25"/>
  <c r="U365" i="25" s="1"/>
  <c r="L364" i="25"/>
  <c r="K365" i="25" s="1"/>
  <c r="L120" i="25"/>
  <c r="K121" i="25" s="1"/>
  <c r="Q120" i="25"/>
  <c r="P121" i="25" s="1"/>
  <c r="G120" i="25"/>
  <c r="G364" i="25"/>
  <c r="AD241" i="25"/>
  <c r="F242" i="25"/>
  <c r="AC120" i="25"/>
  <c r="Z121" i="25"/>
  <c r="AD364" i="25" l="1"/>
  <c r="F365" i="25"/>
  <c r="F121" i="25"/>
  <c r="AD120" i="25"/>
  <c r="AB242" i="25"/>
  <c r="AA242" i="25" s="1"/>
  <c r="L242" i="25" l="1"/>
  <c r="K243" i="25" s="1"/>
  <c r="Q242" i="25"/>
  <c r="P243" i="25" s="1"/>
  <c r="G242" i="25"/>
  <c r="Z243" i="25"/>
  <c r="AE120" i="25"/>
  <c r="AF120" i="25" s="1"/>
  <c r="AB121" i="25"/>
  <c r="AA121" i="25" s="1"/>
  <c r="AB365" i="25"/>
  <c r="Q365" i="25" l="1"/>
  <c r="P366" i="25" s="1"/>
  <c r="V365" i="25"/>
  <c r="U366" i="25" s="1"/>
  <c r="L121" i="25"/>
  <c r="Q121" i="25"/>
  <c r="P122" i="25" s="1"/>
  <c r="L365" i="25"/>
  <c r="K366" i="25" s="1"/>
  <c r="G365" i="25"/>
  <c r="G121" i="25"/>
  <c r="K122" i="25"/>
  <c r="AC121" i="25"/>
  <c r="Z122" i="25"/>
  <c r="F243" i="25"/>
  <c r="AD242" i="25"/>
  <c r="AB243" i="25" l="1"/>
  <c r="AA243" i="25" s="1"/>
  <c r="AD121" i="25"/>
  <c r="F122" i="25"/>
  <c r="AD365" i="25"/>
  <c r="F366" i="25"/>
  <c r="L243" i="25" l="1"/>
  <c r="K244" i="25" s="1"/>
  <c r="Q243" i="25"/>
  <c r="G243" i="25"/>
  <c r="AB366" i="25"/>
  <c r="AE121" i="25"/>
  <c r="AF121" i="25" s="1"/>
  <c r="AB122" i="25"/>
  <c r="AA122" i="25" s="1"/>
  <c r="Z244" i="25"/>
  <c r="P244" i="25"/>
  <c r="Q366" i="25" l="1"/>
  <c r="P367" i="25" s="1"/>
  <c r="V366" i="25"/>
  <c r="L366" i="25"/>
  <c r="K367" i="25" s="1"/>
  <c r="L122" i="25"/>
  <c r="K123" i="25" s="1"/>
  <c r="Q122" i="25"/>
  <c r="P123" i="25" s="1"/>
  <c r="G366" i="25"/>
  <c r="G122" i="25"/>
  <c r="AC122" i="25"/>
  <c r="Z123" i="25"/>
  <c r="AD243" i="25"/>
  <c r="F244" i="25"/>
  <c r="U367" i="25"/>
  <c r="AD366" i="25" l="1"/>
  <c r="F367" i="25"/>
  <c r="AB244" i="25"/>
  <c r="AA244" i="25" s="1"/>
  <c r="AD122" i="25"/>
  <c r="F123" i="25"/>
  <c r="L244" i="25" l="1"/>
  <c r="Q244" i="25"/>
  <c r="P245" i="25" s="1"/>
  <c r="G244" i="25"/>
  <c r="AE122" i="25"/>
  <c r="AF122" i="25" s="1"/>
  <c r="AB123" i="25"/>
  <c r="AA123" i="25" s="1"/>
  <c r="Z245" i="25"/>
  <c r="K245" i="25"/>
  <c r="AB367" i="25"/>
  <c r="Q367" i="25" l="1"/>
  <c r="P368" i="25" s="1"/>
  <c r="V367" i="25"/>
  <c r="L123" i="25"/>
  <c r="K124" i="25" s="1"/>
  <c r="Q123" i="25"/>
  <c r="P124" i="25" s="1"/>
  <c r="L367" i="25"/>
  <c r="K368" i="25" s="1"/>
  <c r="G367" i="25"/>
  <c r="G123" i="25"/>
  <c r="U368" i="25"/>
  <c r="AD244" i="25"/>
  <c r="F245" i="25"/>
  <c r="AC123" i="25"/>
  <c r="Z124" i="25"/>
  <c r="AB245" i="25" l="1"/>
  <c r="AA245" i="25" s="1"/>
  <c r="AD123" i="25"/>
  <c r="F124" i="25"/>
  <c r="AD367" i="25"/>
  <c r="F368" i="25"/>
  <c r="L245" i="25" l="1"/>
  <c r="K246" i="25" s="1"/>
  <c r="Q245" i="25"/>
  <c r="P246" i="25" s="1"/>
  <c r="G245" i="25"/>
  <c r="AB368" i="25"/>
  <c r="AE123" i="25"/>
  <c r="AF123" i="25" s="1"/>
  <c r="AB124" i="25"/>
  <c r="AA124" i="25" s="1"/>
  <c r="Z246" i="25"/>
  <c r="Q368" i="25" l="1"/>
  <c r="P369" i="25" s="1"/>
  <c r="V368" i="25"/>
  <c r="U369" i="25" s="1"/>
  <c r="L124" i="25"/>
  <c r="K125" i="25" s="1"/>
  <c r="Q124" i="25"/>
  <c r="P125" i="25" s="1"/>
  <c r="L368" i="25"/>
  <c r="K369" i="25" s="1"/>
  <c r="G124" i="25"/>
  <c r="G368" i="25"/>
  <c r="AD245" i="25"/>
  <c r="F246" i="25"/>
  <c r="AC124" i="25"/>
  <c r="Z125" i="25"/>
  <c r="AD124" i="25" l="1"/>
  <c r="F125" i="25"/>
  <c r="AD368" i="25"/>
  <c r="F369" i="25"/>
  <c r="AB246" i="25"/>
  <c r="AA246" i="25" s="1"/>
  <c r="L246" i="25" l="1"/>
  <c r="K247" i="25" s="1"/>
  <c r="Q246" i="25"/>
  <c r="P247" i="25" s="1"/>
  <c r="G246" i="25"/>
  <c r="Z247" i="25"/>
  <c r="AB369" i="25"/>
  <c r="AB125" i="25"/>
  <c r="AC125" i="25" s="1"/>
  <c r="AE124" i="25"/>
  <c r="AF124" i="25" s="1"/>
  <c r="AE125" i="25" l="1"/>
  <c r="AF125" i="25" s="1"/>
  <c r="AC126" i="25"/>
  <c r="AD246" i="25"/>
  <c r="F247" i="25"/>
  <c r="AB247" i="25" l="1"/>
  <c r="AA247" i="25" s="1"/>
  <c r="AE126" i="25"/>
  <c r="AF126" i="25" s="1"/>
  <c r="AC127" i="25"/>
  <c r="L247" i="25" l="1"/>
  <c r="K248" i="25" s="1"/>
  <c r="Q247" i="25"/>
  <c r="P248" i="25" s="1"/>
  <c r="G247" i="25"/>
  <c r="AE127" i="25"/>
  <c r="AF127" i="25" s="1"/>
  <c r="AC128" i="25"/>
  <c r="AD247" i="25" l="1"/>
  <c r="F248" i="25"/>
  <c r="AE128" i="25"/>
  <c r="AF128" i="25" s="1"/>
  <c r="AC129" i="25"/>
  <c r="AE129" i="25" l="1"/>
  <c r="AF129" i="25" s="1"/>
  <c r="AC130" i="25"/>
  <c r="AB248" i="25"/>
  <c r="AE130" i="25" l="1"/>
  <c r="AF130" i="25" s="1"/>
  <c r="AC131" i="25"/>
  <c r="AE131" i="25" l="1"/>
  <c r="AF131" i="25" s="1"/>
  <c r="AC132" i="25"/>
  <c r="AE132" i="25" l="1"/>
  <c r="AF132" i="25" s="1"/>
  <c r="AC133" i="25"/>
  <c r="AE133" i="25" l="1"/>
  <c r="AF133" i="25" s="1"/>
  <c r="AC134" i="25"/>
  <c r="AE134" i="25" l="1"/>
  <c r="AF134" i="25" s="1"/>
  <c r="AC135" i="25"/>
  <c r="AE135" i="25" l="1"/>
  <c r="AF135" i="25" s="1"/>
  <c r="AC136" i="25"/>
  <c r="AE136" i="25" l="1"/>
  <c r="AF136" i="25" s="1"/>
  <c r="AC137" i="25"/>
  <c r="AE137" i="25" l="1"/>
  <c r="AF137" i="25" s="1"/>
  <c r="AC138" i="25"/>
  <c r="AE138" i="25" l="1"/>
  <c r="AF138" i="25" s="1"/>
  <c r="AC139" i="25"/>
  <c r="AE139" i="25" l="1"/>
  <c r="AF139" i="25" s="1"/>
  <c r="AC140" i="25"/>
  <c r="AE140" i="25" l="1"/>
  <c r="AF140" i="25" s="1"/>
  <c r="AC141" i="25"/>
  <c r="AE141" i="25" l="1"/>
  <c r="AF141" i="25" s="1"/>
  <c r="AC142" i="25"/>
  <c r="AE142" i="25" l="1"/>
  <c r="AF142" i="25" s="1"/>
  <c r="AC143" i="25"/>
  <c r="AE143" i="25" l="1"/>
  <c r="AF143" i="25" s="1"/>
  <c r="AC144" i="25"/>
  <c r="AE144" i="25" l="1"/>
  <c r="AF144" i="25" s="1"/>
  <c r="AC145" i="25"/>
  <c r="AE145" i="25" l="1"/>
  <c r="AF145" i="25" s="1"/>
  <c r="AC146" i="25"/>
  <c r="AE146" i="25" l="1"/>
  <c r="AF146" i="25" s="1"/>
  <c r="AC147" i="25"/>
  <c r="AE147" i="25" l="1"/>
  <c r="AF147" i="25" s="1"/>
  <c r="AC148" i="25"/>
  <c r="AE148" i="25" l="1"/>
  <c r="AF148" i="25" s="1"/>
  <c r="AC149" i="25"/>
  <c r="AE149" i="25" l="1"/>
  <c r="AF149" i="25" s="1"/>
  <c r="AC150" i="25"/>
  <c r="AE150" i="25" l="1"/>
  <c r="AF150" i="25" s="1"/>
  <c r="AC151" i="25"/>
  <c r="AE151" i="25" l="1"/>
  <c r="AF151" i="25" s="1"/>
  <c r="AC152" i="25"/>
  <c r="AE152" i="25" l="1"/>
  <c r="AF152" i="25" s="1"/>
  <c r="AC153" i="25"/>
  <c r="AE153" i="25" l="1"/>
  <c r="AF153" i="25" s="1"/>
  <c r="AC154" i="25"/>
  <c r="AE154" i="25" l="1"/>
  <c r="AF154" i="25" s="1"/>
  <c r="AC155" i="25"/>
  <c r="AE155" i="25" l="1"/>
  <c r="AF155" i="25" s="1"/>
  <c r="AC156" i="25"/>
  <c r="AE156" i="25" l="1"/>
  <c r="AF156" i="25" s="1"/>
  <c r="AC157" i="25"/>
  <c r="AE157" i="25" l="1"/>
  <c r="AF157" i="25" s="1"/>
  <c r="AC158" i="25"/>
  <c r="AE158" i="25" l="1"/>
  <c r="AF158" i="25" s="1"/>
  <c r="AC159" i="25"/>
  <c r="AE159" i="25" l="1"/>
  <c r="AF159" i="25" s="1"/>
  <c r="AC160" i="25"/>
  <c r="AE160" i="25" l="1"/>
  <c r="AF160" i="25" s="1"/>
  <c r="AC161" i="25"/>
  <c r="AE161" i="25" l="1"/>
  <c r="AF161" i="25" s="1"/>
  <c r="AC162" i="25"/>
  <c r="AE162" i="25" l="1"/>
  <c r="AF162" i="25" s="1"/>
  <c r="AC163" i="25"/>
  <c r="AE163" i="25" l="1"/>
  <c r="AF163" i="25" s="1"/>
  <c r="AC164" i="25"/>
  <c r="AE164" i="25" l="1"/>
  <c r="AF164" i="25" s="1"/>
  <c r="AC165" i="25"/>
  <c r="AE165" i="25" l="1"/>
  <c r="AF165" i="25" s="1"/>
  <c r="AC166" i="25"/>
  <c r="AE166" i="25" l="1"/>
  <c r="AF166" i="25" s="1"/>
  <c r="AC167" i="25"/>
  <c r="AE167" i="25" l="1"/>
  <c r="AF167" i="25" s="1"/>
  <c r="AC168" i="25"/>
  <c r="AE168" i="25" l="1"/>
  <c r="AF168" i="25" s="1"/>
  <c r="AC169" i="25"/>
  <c r="AE169" i="25" l="1"/>
  <c r="AF169" i="25" s="1"/>
  <c r="AC170" i="25"/>
  <c r="AE170" i="25" l="1"/>
  <c r="AF170" i="25" s="1"/>
  <c r="AC171" i="25"/>
  <c r="AE171" i="25" l="1"/>
  <c r="AF171" i="25" s="1"/>
  <c r="AC172" i="25"/>
  <c r="AE172" i="25" l="1"/>
  <c r="AF172" i="25" s="1"/>
  <c r="AC173" i="25"/>
  <c r="AE173" i="25" l="1"/>
  <c r="AF173" i="25" s="1"/>
  <c r="AC174" i="25"/>
  <c r="AE174" i="25" l="1"/>
  <c r="AF174" i="25" s="1"/>
  <c r="AC175" i="25"/>
  <c r="AE175" i="25" l="1"/>
  <c r="AF175" i="25" s="1"/>
  <c r="AC176" i="25"/>
  <c r="AE176" i="25" l="1"/>
  <c r="AF176" i="25" s="1"/>
  <c r="AC177" i="25"/>
  <c r="AE177" i="25" l="1"/>
  <c r="AF177" i="25" s="1"/>
  <c r="AC178" i="25"/>
  <c r="AE178" i="25" l="1"/>
  <c r="AF178" i="25" s="1"/>
  <c r="AC179" i="25"/>
  <c r="AE179" i="25" l="1"/>
  <c r="AF179" i="25" s="1"/>
  <c r="AC180" i="25"/>
  <c r="AE180" i="25" l="1"/>
  <c r="AF180" i="25" s="1"/>
  <c r="AC181" i="25"/>
  <c r="AE181" i="25" l="1"/>
  <c r="AF181" i="25" s="1"/>
  <c r="AC182" i="25"/>
  <c r="AE182" i="25" l="1"/>
  <c r="AF182" i="25" s="1"/>
  <c r="AC183" i="25"/>
  <c r="AE183" i="25" l="1"/>
  <c r="AF183" i="25" s="1"/>
  <c r="AC184" i="25"/>
  <c r="AE184" i="25" l="1"/>
  <c r="AF184" i="25" s="1"/>
  <c r="AC185" i="25"/>
  <c r="AE185" i="25" l="1"/>
  <c r="AF185" i="25" s="1"/>
  <c r="AC186" i="25"/>
  <c r="AE186" i="25" l="1"/>
  <c r="AF186" i="25" s="1"/>
  <c r="AC187" i="25"/>
  <c r="AE187" i="25" l="1"/>
  <c r="AF187" i="25" s="1"/>
  <c r="AC188" i="25"/>
  <c r="AE188" i="25" l="1"/>
  <c r="AF188" i="25" s="1"/>
  <c r="AC189" i="25"/>
  <c r="AE189" i="25" l="1"/>
  <c r="AF189" i="25" s="1"/>
  <c r="AC190" i="25"/>
  <c r="AE190" i="25" l="1"/>
  <c r="AF190" i="25" s="1"/>
  <c r="AC191" i="25"/>
  <c r="AE191" i="25" l="1"/>
  <c r="AF191" i="25" s="1"/>
  <c r="AC192" i="25"/>
  <c r="AE192" i="25" l="1"/>
  <c r="AF192" i="25" s="1"/>
  <c r="AC193" i="25"/>
  <c r="AE193" i="25" l="1"/>
  <c r="AF193" i="25" s="1"/>
  <c r="AC194" i="25"/>
  <c r="AE194" i="25" l="1"/>
  <c r="AF194" i="25" s="1"/>
  <c r="AC195" i="25"/>
  <c r="AE195" i="25" l="1"/>
  <c r="AF195" i="25" s="1"/>
  <c r="AC196" i="25"/>
  <c r="AE196" i="25" l="1"/>
  <c r="AF196" i="25" s="1"/>
  <c r="AC197" i="25"/>
  <c r="AE197" i="25" l="1"/>
  <c r="AF197" i="25" s="1"/>
  <c r="AC198" i="25"/>
  <c r="AE198" i="25" l="1"/>
  <c r="AF198" i="25" s="1"/>
  <c r="AC199" i="25"/>
  <c r="AE199" i="25" l="1"/>
  <c r="AF199" i="25" s="1"/>
  <c r="AC200" i="25"/>
  <c r="AE200" i="25" l="1"/>
  <c r="AF200" i="25" s="1"/>
  <c r="AC201" i="25"/>
  <c r="AE201" i="25" l="1"/>
  <c r="AF201" i="25" s="1"/>
  <c r="AC202" i="25"/>
  <c r="AE202" i="25" l="1"/>
  <c r="AF202" i="25" s="1"/>
  <c r="AC203" i="25"/>
  <c r="AE203" i="25" l="1"/>
  <c r="AF203" i="25" s="1"/>
  <c r="AC204" i="25"/>
  <c r="AE204" i="25" l="1"/>
  <c r="AF204" i="25" s="1"/>
  <c r="AC205" i="25"/>
  <c r="AE205" i="25" l="1"/>
  <c r="AF205" i="25" s="1"/>
  <c r="AC206" i="25"/>
  <c r="AE206" i="25" l="1"/>
  <c r="AF206" i="25" s="1"/>
  <c r="AC207" i="25"/>
  <c r="AE207" i="25" l="1"/>
  <c r="AF207" i="25" s="1"/>
  <c r="AC208" i="25"/>
  <c r="AE208" i="25" l="1"/>
  <c r="AF208" i="25" s="1"/>
  <c r="AC209" i="25"/>
  <c r="AE209" i="25" l="1"/>
  <c r="AF209" i="25" s="1"/>
  <c r="AC210" i="25"/>
  <c r="AE210" i="25" l="1"/>
  <c r="AF210" i="25" s="1"/>
  <c r="AC211" i="25"/>
  <c r="AE211" i="25" l="1"/>
  <c r="AF211" i="25" s="1"/>
  <c r="AC212" i="25"/>
  <c r="AE212" i="25" l="1"/>
  <c r="AF212" i="25" s="1"/>
  <c r="AC213" i="25"/>
  <c r="AE213" i="25" l="1"/>
  <c r="AF213" i="25" s="1"/>
  <c r="AC214" i="25"/>
  <c r="AE214" i="25" l="1"/>
  <c r="AF214" i="25" s="1"/>
  <c r="AC215" i="25"/>
  <c r="AE215" i="25" l="1"/>
  <c r="AF215" i="25" s="1"/>
  <c r="AC216" i="25"/>
  <c r="AE216" i="25" l="1"/>
  <c r="AF216" i="25" s="1"/>
  <c r="AC217" i="25"/>
  <c r="AE217" i="25" l="1"/>
  <c r="AF217" i="25" s="1"/>
  <c r="AC218" i="25"/>
  <c r="AE218" i="25" l="1"/>
  <c r="AF218" i="25" s="1"/>
  <c r="AC219" i="25"/>
  <c r="AE219" i="25" l="1"/>
  <c r="AF219" i="25" s="1"/>
  <c r="AC220" i="25"/>
  <c r="AE220" i="25" l="1"/>
  <c r="AF220" i="25" s="1"/>
  <c r="AC221" i="25"/>
  <c r="AE221" i="25" l="1"/>
  <c r="AF221" i="25" s="1"/>
  <c r="AC222" i="25"/>
  <c r="AE222" i="25" l="1"/>
  <c r="AF222" i="25" s="1"/>
  <c r="AC223" i="25"/>
  <c r="AE223" i="25" l="1"/>
  <c r="AF223" i="25" s="1"/>
  <c r="AC224" i="25"/>
  <c r="AE224" i="25" l="1"/>
  <c r="AF224" i="25" s="1"/>
  <c r="AC225" i="25"/>
  <c r="AE225" i="25" l="1"/>
  <c r="AF225" i="25" s="1"/>
  <c r="AC226" i="25"/>
  <c r="AE226" i="25" l="1"/>
  <c r="AF226" i="25" s="1"/>
  <c r="AC227" i="25"/>
  <c r="AE227" i="25" l="1"/>
  <c r="AF227" i="25" s="1"/>
  <c r="AC228" i="25"/>
  <c r="AE228" i="25" l="1"/>
  <c r="AF228" i="25" s="1"/>
  <c r="AC229" i="25"/>
  <c r="AE229" i="25" l="1"/>
  <c r="AF229" i="25" s="1"/>
  <c r="AC230" i="25"/>
  <c r="AE230" i="25" l="1"/>
  <c r="AF230" i="25" s="1"/>
  <c r="AC231" i="25"/>
  <c r="AE231" i="25" l="1"/>
  <c r="AF231" i="25" s="1"/>
  <c r="AC232" i="25"/>
  <c r="AE232" i="25" l="1"/>
  <c r="AF232" i="25" s="1"/>
  <c r="AC233" i="25"/>
  <c r="AE233" i="25" l="1"/>
  <c r="AF233" i="25" s="1"/>
  <c r="AC234" i="25"/>
  <c r="AE234" i="25" l="1"/>
  <c r="AF234" i="25" s="1"/>
  <c r="AC235" i="25"/>
  <c r="AE235" i="25" l="1"/>
  <c r="AF235" i="25" s="1"/>
  <c r="AC236" i="25"/>
  <c r="AE236" i="25" l="1"/>
  <c r="AF236" i="25" s="1"/>
  <c r="AC237" i="25"/>
  <c r="AE237" i="25" l="1"/>
  <c r="AF237" i="25" s="1"/>
  <c r="AC238" i="25"/>
  <c r="AE238" i="25" l="1"/>
  <c r="AF238" i="25" s="1"/>
  <c r="AC239" i="25"/>
  <c r="AE239" i="25" l="1"/>
  <c r="AF239" i="25" s="1"/>
  <c r="AC240" i="25"/>
  <c r="AE240" i="25" l="1"/>
  <c r="AF240" i="25" s="1"/>
  <c r="AC241" i="25"/>
  <c r="AE241" i="25" l="1"/>
  <c r="AF241" i="25" s="1"/>
  <c r="AC242" i="25"/>
  <c r="AE242" i="25" l="1"/>
  <c r="AF242" i="25" s="1"/>
  <c r="AC243" i="25"/>
  <c r="AE243" i="25" l="1"/>
  <c r="AF243" i="25" s="1"/>
  <c r="AC244" i="25"/>
  <c r="AE244" i="25" l="1"/>
  <c r="AF244" i="25" s="1"/>
  <c r="AC245" i="25"/>
  <c r="AE245" i="25" l="1"/>
  <c r="AF245" i="25" s="1"/>
  <c r="AC246" i="25"/>
  <c r="AE246" i="25" l="1"/>
  <c r="AF246" i="25" s="1"/>
  <c r="AC247" i="25"/>
  <c r="AE247" i="25" l="1"/>
  <c r="AF247" i="25" s="1"/>
  <c r="AC248" i="25"/>
  <c r="AE248" i="25" l="1"/>
  <c r="AF248" i="25" s="1"/>
  <c r="AC249" i="25"/>
  <c r="AE249" i="25" l="1"/>
  <c r="AF249" i="25" s="1"/>
  <c r="AC250" i="25"/>
  <c r="AE250" i="25" l="1"/>
  <c r="AF250" i="25" s="1"/>
  <c r="AC251" i="25"/>
  <c r="AE251" i="25" l="1"/>
  <c r="AF251" i="25" s="1"/>
  <c r="AC252" i="25"/>
  <c r="AE252" i="25" l="1"/>
  <c r="AF252" i="25" s="1"/>
  <c r="AC253" i="25"/>
  <c r="AE253" i="25" l="1"/>
  <c r="AF253" i="25" s="1"/>
  <c r="AC254" i="25"/>
  <c r="AE254" i="25" l="1"/>
  <c r="AF254" i="25" s="1"/>
  <c r="AC255" i="25"/>
  <c r="AE255" i="25" l="1"/>
  <c r="AF255" i="25" s="1"/>
  <c r="AC256" i="25"/>
  <c r="AE256" i="25" l="1"/>
  <c r="AF256" i="25" s="1"/>
  <c r="AC257" i="25"/>
  <c r="AE257" i="25" l="1"/>
  <c r="AF257" i="25" s="1"/>
  <c r="AC258" i="25"/>
  <c r="AE258" i="25" l="1"/>
  <c r="AF258" i="25" s="1"/>
  <c r="AC259" i="25"/>
  <c r="AE259" i="25" l="1"/>
  <c r="AF259" i="25" s="1"/>
  <c r="AC260" i="25"/>
  <c r="AE260" i="25" l="1"/>
  <c r="AF260" i="25" s="1"/>
  <c r="AC261" i="25"/>
  <c r="AE261" i="25" l="1"/>
  <c r="AF261" i="25" s="1"/>
  <c r="AC262" i="25"/>
  <c r="AE262" i="25" l="1"/>
  <c r="AF262" i="25" s="1"/>
  <c r="AC263" i="25"/>
  <c r="AE263" i="25" l="1"/>
  <c r="AF263" i="25" s="1"/>
  <c r="AC264" i="25"/>
  <c r="AE264" i="25" l="1"/>
  <c r="AF264" i="25" s="1"/>
  <c r="AC265" i="25"/>
  <c r="AE265" i="25" l="1"/>
  <c r="AF265" i="25" s="1"/>
  <c r="AC266" i="25"/>
  <c r="AE266" i="25" l="1"/>
  <c r="AF266" i="25" s="1"/>
  <c r="AC267" i="25"/>
  <c r="AE267" i="25" l="1"/>
  <c r="AF267" i="25" s="1"/>
  <c r="AC268" i="25"/>
  <c r="AE268" i="25" l="1"/>
  <c r="AF268" i="25" s="1"/>
  <c r="AC269" i="25"/>
  <c r="AE269" i="25" l="1"/>
  <c r="AF269" i="25" s="1"/>
  <c r="AC270" i="25"/>
  <c r="AE270" i="25" l="1"/>
  <c r="AF270" i="25" s="1"/>
  <c r="AC271" i="25"/>
  <c r="AE271" i="25" l="1"/>
  <c r="AF271" i="25" s="1"/>
  <c r="AC272" i="25"/>
  <c r="AE272" i="25" l="1"/>
  <c r="AF272" i="25" s="1"/>
  <c r="AC273" i="25"/>
  <c r="AE273" i="25" l="1"/>
  <c r="AF273" i="25" s="1"/>
  <c r="AC274" i="25"/>
  <c r="AE274" i="25" l="1"/>
  <c r="AF274" i="25" s="1"/>
  <c r="AC275" i="25"/>
  <c r="AE275" i="25" l="1"/>
  <c r="AF275" i="25" s="1"/>
  <c r="AC276" i="25"/>
  <c r="AE276" i="25" l="1"/>
  <c r="AF276" i="25" s="1"/>
  <c r="AC277" i="25"/>
  <c r="AE277" i="25" l="1"/>
  <c r="AF277" i="25" s="1"/>
  <c r="AC278" i="25"/>
  <c r="AE278" i="25" l="1"/>
  <c r="AF278" i="25" s="1"/>
  <c r="AC279" i="25"/>
  <c r="AE279" i="25" l="1"/>
  <c r="AF279" i="25" s="1"/>
  <c r="AC280" i="25"/>
  <c r="AE280" i="25" l="1"/>
  <c r="AF280" i="25" s="1"/>
  <c r="AC281" i="25"/>
  <c r="AE281" i="25" l="1"/>
  <c r="AF281" i="25" s="1"/>
  <c r="AC282" i="25"/>
  <c r="AE282" i="25" l="1"/>
  <c r="AF282" i="25" s="1"/>
  <c r="AC283" i="25"/>
  <c r="AE283" i="25" l="1"/>
  <c r="AF283" i="25" s="1"/>
  <c r="AC284" i="25"/>
  <c r="AE284" i="25" l="1"/>
  <c r="AF284" i="25" s="1"/>
  <c r="AC285" i="25"/>
  <c r="AE285" i="25" l="1"/>
  <c r="AF285" i="25" s="1"/>
  <c r="AC286" i="25"/>
  <c r="AE286" i="25" l="1"/>
  <c r="AF286" i="25" s="1"/>
  <c r="AC287" i="25"/>
  <c r="AE287" i="25" l="1"/>
  <c r="AF287" i="25" s="1"/>
  <c r="AC288" i="25"/>
  <c r="AE288" i="25" l="1"/>
  <c r="AF288" i="25" s="1"/>
  <c r="AC289" i="25"/>
  <c r="AE289" i="25" l="1"/>
  <c r="AF289" i="25" s="1"/>
  <c r="AC290" i="25"/>
  <c r="AE290" i="25" l="1"/>
  <c r="AF290" i="25" s="1"/>
  <c r="AC291" i="25"/>
  <c r="AE291" i="25" l="1"/>
  <c r="AF291" i="25" s="1"/>
  <c r="AC292" i="25"/>
  <c r="AE292" i="25" l="1"/>
  <c r="AF292" i="25" s="1"/>
  <c r="AC293" i="25"/>
  <c r="AE293" i="25" l="1"/>
  <c r="AF293" i="25" s="1"/>
  <c r="AC294" i="25"/>
  <c r="AE294" i="25" l="1"/>
  <c r="AF294" i="25" s="1"/>
  <c r="AC295" i="25"/>
  <c r="AE295" i="25" l="1"/>
  <c r="AF295" i="25" s="1"/>
  <c r="AC296" i="25"/>
  <c r="AE296" i="25" l="1"/>
  <c r="AF296" i="25" s="1"/>
  <c r="AC297" i="25"/>
  <c r="AE297" i="25" l="1"/>
  <c r="AF297" i="25" s="1"/>
  <c r="AC298" i="25"/>
  <c r="AE298" i="25" l="1"/>
  <c r="AF298" i="25" s="1"/>
  <c r="AC299" i="25"/>
  <c r="AE299" i="25" l="1"/>
  <c r="AF299" i="25" s="1"/>
  <c r="AC300" i="25"/>
  <c r="AE300" i="25" l="1"/>
  <c r="AF300" i="25" s="1"/>
  <c r="AC301" i="25"/>
  <c r="AE301" i="25" l="1"/>
  <c r="AF301" i="25" s="1"/>
  <c r="AC302" i="25"/>
  <c r="AE302" i="25" l="1"/>
  <c r="AF302" i="25" s="1"/>
  <c r="AC303" i="25"/>
  <c r="AE303" i="25" l="1"/>
  <c r="AF303" i="25" s="1"/>
  <c r="AC304" i="25"/>
  <c r="AE304" i="25" l="1"/>
  <c r="AF304" i="25" s="1"/>
  <c r="AC305" i="25"/>
  <c r="AE305" i="25" l="1"/>
  <c r="AF305" i="25" s="1"/>
  <c r="AC306" i="25"/>
  <c r="AE306" i="25" l="1"/>
  <c r="AF306" i="25" s="1"/>
  <c r="AC307" i="25"/>
  <c r="AE307" i="25" l="1"/>
  <c r="AF307" i="25" s="1"/>
  <c r="AC308" i="25"/>
  <c r="AE308" i="25" l="1"/>
  <c r="AF308" i="25" s="1"/>
  <c r="AC309" i="25"/>
  <c r="AE309" i="25" l="1"/>
  <c r="AF309" i="25" s="1"/>
  <c r="AC310" i="25"/>
  <c r="AE310" i="25" l="1"/>
  <c r="AF310" i="25" s="1"/>
  <c r="AC311" i="25"/>
  <c r="AE311" i="25" l="1"/>
  <c r="AF311" i="25" s="1"/>
  <c r="AC312" i="25"/>
  <c r="AE312" i="25" l="1"/>
  <c r="AF312" i="25" s="1"/>
  <c r="AC313" i="25"/>
  <c r="AE313" i="25" l="1"/>
  <c r="AF313" i="25" s="1"/>
  <c r="AC314" i="25"/>
  <c r="AE314" i="25" l="1"/>
  <c r="AF314" i="25" s="1"/>
  <c r="AC315" i="25"/>
  <c r="AE315" i="25" l="1"/>
  <c r="AF315" i="25" s="1"/>
  <c r="AC316" i="25"/>
  <c r="AE316" i="25" l="1"/>
  <c r="AF316" i="25" s="1"/>
  <c r="AC317" i="25"/>
  <c r="AE317" i="25" l="1"/>
  <c r="AF317" i="25" s="1"/>
  <c r="AC318" i="25"/>
  <c r="AE318" i="25" l="1"/>
  <c r="AF318" i="25" s="1"/>
  <c r="AC319" i="25"/>
  <c r="AE319" i="25" l="1"/>
  <c r="AF319" i="25" s="1"/>
  <c r="AC320" i="25"/>
  <c r="AE320" i="25" l="1"/>
  <c r="AF320" i="25" s="1"/>
  <c r="AC321" i="25"/>
  <c r="AE321" i="25" l="1"/>
  <c r="AF321" i="25" s="1"/>
  <c r="AC322" i="25"/>
  <c r="AE322" i="25" l="1"/>
  <c r="AF322" i="25" s="1"/>
  <c r="AC323" i="25"/>
  <c r="AE323" i="25" l="1"/>
  <c r="AF323" i="25" s="1"/>
  <c r="AC324" i="25"/>
  <c r="AE324" i="25" l="1"/>
  <c r="AF324" i="25" s="1"/>
  <c r="AC325" i="25"/>
  <c r="AE325" i="25" l="1"/>
  <c r="AF325" i="25" s="1"/>
  <c r="AC326" i="25"/>
  <c r="AE326" i="25" l="1"/>
  <c r="AF326" i="25" s="1"/>
  <c r="AC327" i="25"/>
  <c r="AE327" i="25" l="1"/>
  <c r="AF327" i="25" s="1"/>
  <c r="AC328" i="25"/>
  <c r="AE328" i="25" l="1"/>
  <c r="AF328" i="25" s="1"/>
  <c r="AC329" i="25"/>
  <c r="AE329" i="25" l="1"/>
  <c r="AF329" i="25" s="1"/>
  <c r="AC330" i="25"/>
  <c r="AE330" i="25" l="1"/>
  <c r="AF330" i="25" s="1"/>
  <c r="AC331" i="25"/>
  <c r="AE331" i="25" l="1"/>
  <c r="AF331" i="25" s="1"/>
  <c r="AC332" i="25"/>
  <c r="AE332" i="25" l="1"/>
  <c r="AF332" i="25" s="1"/>
  <c r="AC333" i="25"/>
  <c r="AE333" i="25" l="1"/>
  <c r="AF333" i="25" s="1"/>
  <c r="AC334" i="25"/>
  <c r="AE334" i="25" l="1"/>
  <c r="AF334" i="25" s="1"/>
  <c r="AC335" i="25"/>
  <c r="AE335" i="25" l="1"/>
  <c r="AF335" i="25" s="1"/>
  <c r="AC336" i="25"/>
  <c r="AE336" i="25" l="1"/>
  <c r="AF336" i="25" s="1"/>
  <c r="AC337" i="25"/>
  <c r="AE337" i="25" l="1"/>
  <c r="AF337" i="25" s="1"/>
  <c r="AC338" i="25"/>
  <c r="AE338" i="25" l="1"/>
  <c r="AF338" i="25" s="1"/>
  <c r="AC339" i="25"/>
  <c r="AE339" i="25" l="1"/>
  <c r="AF339" i="25" s="1"/>
  <c r="AC340" i="25"/>
  <c r="AE340" i="25" l="1"/>
  <c r="AF340" i="25" s="1"/>
  <c r="AC341" i="25"/>
  <c r="AE341" i="25" l="1"/>
  <c r="AF341" i="25" s="1"/>
  <c r="AC342" i="25"/>
  <c r="AE342" i="25" l="1"/>
  <c r="AF342" i="25" s="1"/>
  <c r="AC343" i="25"/>
  <c r="AE343" i="25" l="1"/>
  <c r="AF343" i="25" s="1"/>
  <c r="AC344" i="25"/>
  <c r="AE344" i="25" l="1"/>
  <c r="AF344" i="25" s="1"/>
  <c r="AC345" i="25"/>
  <c r="AE345" i="25" l="1"/>
  <c r="AF345" i="25" s="1"/>
  <c r="AC346" i="25"/>
  <c r="AE346" i="25" l="1"/>
  <c r="AF346" i="25" s="1"/>
  <c r="AC347" i="25"/>
  <c r="AE347" i="25" l="1"/>
  <c r="AF347" i="25" s="1"/>
  <c r="AC348" i="25"/>
  <c r="AE348" i="25" l="1"/>
  <c r="AF348" i="25" s="1"/>
  <c r="AC349" i="25"/>
  <c r="AE349" i="25" l="1"/>
  <c r="AF349" i="25" s="1"/>
  <c r="AC350" i="25"/>
  <c r="AE350" i="25" l="1"/>
  <c r="AF350" i="25" s="1"/>
  <c r="AC351" i="25"/>
  <c r="AE351" i="25" l="1"/>
  <c r="AF351" i="25" s="1"/>
  <c r="AC352" i="25"/>
  <c r="AE352" i="25" l="1"/>
  <c r="AF352" i="25" s="1"/>
  <c r="AC353" i="25"/>
  <c r="AE353" i="25" l="1"/>
  <c r="AF353" i="25" s="1"/>
  <c r="AC354" i="25"/>
  <c r="AE354" i="25" l="1"/>
  <c r="AF354" i="25" s="1"/>
  <c r="AC355" i="25"/>
  <c r="AE355" i="25" l="1"/>
  <c r="AF355" i="25" s="1"/>
  <c r="AC356" i="25"/>
  <c r="AE356" i="25" l="1"/>
  <c r="AF356" i="25" s="1"/>
  <c r="AC357" i="25"/>
  <c r="AE357" i="25" l="1"/>
  <c r="AF357" i="25" s="1"/>
  <c r="AC358" i="25"/>
  <c r="AE358" i="25" l="1"/>
  <c r="AF358" i="25" s="1"/>
  <c r="AC359" i="25"/>
  <c r="AE359" i="25" l="1"/>
  <c r="AF359" i="25" s="1"/>
  <c r="AC360" i="25"/>
  <c r="AE360" i="25" l="1"/>
  <c r="AF360" i="25" s="1"/>
  <c r="AC361" i="25"/>
  <c r="AE361" i="25" l="1"/>
  <c r="AF361" i="25" s="1"/>
  <c r="AC362" i="25"/>
  <c r="AE362" i="25" l="1"/>
  <c r="AF362" i="25" s="1"/>
  <c r="AC363" i="25"/>
  <c r="AE363" i="25" l="1"/>
  <c r="AF363" i="25" s="1"/>
  <c r="AC364" i="25"/>
  <c r="AE364" i="25" l="1"/>
  <c r="AF364" i="25" s="1"/>
  <c r="AC365" i="25"/>
  <c r="AE365" i="25" l="1"/>
  <c r="AF365" i="25" s="1"/>
  <c r="AC366" i="25"/>
  <c r="AE366" i="25" l="1"/>
  <c r="AF366" i="25" s="1"/>
  <c r="AC367" i="25"/>
  <c r="AE367" i="25" l="1"/>
  <c r="AF367" i="25" s="1"/>
  <c r="AC368" i="25"/>
  <c r="AE368" i="25" l="1"/>
  <c r="AF368" i="25" s="1"/>
  <c r="AC369" i="25"/>
  <c r="AE369" i="25" l="1"/>
  <c r="AF369" i="25" s="1"/>
  <c r="AC370" i="25"/>
  <c r="AE370" i="25" l="1"/>
  <c r="AF370" i="25" s="1"/>
  <c r="AC371" i="25"/>
  <c r="AE371" i="25" l="1"/>
  <c r="AF371" i="25" s="1"/>
  <c r="AC372" i="25"/>
  <c r="AE372" i="25" l="1"/>
  <c r="AF372" i="25" s="1"/>
  <c r="AC373" i="25"/>
  <c r="AE373" i="25" l="1"/>
  <c r="AF373" i="25" s="1"/>
  <c r="AC374" i="25"/>
  <c r="AE374" i="25" l="1"/>
  <c r="AF374" i="25" s="1"/>
  <c r="AC375" i="25"/>
  <c r="AE375" i="25" l="1"/>
  <c r="AF375" i="25" s="1"/>
  <c r="AC376" i="25"/>
  <c r="AE376" i="25" l="1"/>
  <c r="AF376" i="25" s="1"/>
  <c r="AC377" i="25"/>
  <c r="AE377" i="25" l="1"/>
  <c r="AF377" i="25" s="1"/>
  <c r="AC378" i="25"/>
  <c r="AE378" i="25" l="1"/>
  <c r="AF378" i="25" s="1"/>
  <c r="AC379" i="25"/>
  <c r="AE379" i="25" l="1"/>
  <c r="AF379" i="25" s="1"/>
  <c r="AC380" i="25"/>
  <c r="AE380" i="25" l="1"/>
  <c r="AF380" i="25" s="1"/>
  <c r="AC381" i="25"/>
  <c r="AE381" i="25" s="1"/>
  <c r="AF381" i="25" l="1"/>
</calcChain>
</file>

<file path=xl/sharedStrings.xml><?xml version="1.0" encoding="utf-8"?>
<sst xmlns="http://schemas.openxmlformats.org/spreadsheetml/2006/main" count="4921" uniqueCount="210">
  <si>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</si>
  <si>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</si>
  <si>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</si>
  <si>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</si>
  <si>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</si>
  <si>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</si>
  <si>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</si>
  <si>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</si>
  <si>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</si>
  <si>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</si>
  <si>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</si>
  <si>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</si>
  <si>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</si>
  <si>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</si>
  <si>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</si>
  <si>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</si>
  <si>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</si>
  <si>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</si>
  <si>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</si>
  <si>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</si>
  <si>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</si>
  <si>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</si>
  <si>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</si>
  <si>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</si>
  <si>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</si>
  <si>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</si>
  <si>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</si>
  <si>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</si>
  <si>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</si>
  <si>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</si>
  <si>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</si>
  <si>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</si>
  <si>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</si>
  <si>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</si>
  <si>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</si>
  <si>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</si>
  <si>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</si>
  <si>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</si>
  <si>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</si>
  <si>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</si>
  <si>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</si>
  <si>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</si>
  <si>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</si>
  <si>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</si>
  <si>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</si>
  <si>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</si>
  <si>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</si>
  <si>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</si>
  <si>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</si>
  <si>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</si>
  <si>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</si>
  <si>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</si>
  <si>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</si>
  <si>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</si>
  <si>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</si>
  <si>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</si>
  <si>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</si>
  <si>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</si>
  <si>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</si>
  <si>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</si>
  <si>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</si>
  <si>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</si>
  <si>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</si>
  <si>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</si>
  <si>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</si>
  <si>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</si>
  <si>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</si>
  <si>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</si>
  <si>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</si>
  <si>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</si>
  <si>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</si>
  <si>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</si>
  <si>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</si>
  <si>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</si>
  <si>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</si>
  <si>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</si>
  <si>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</si>
  <si>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</si>
  <si>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</si>
  <si>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</si>
  <si>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</si>
  <si>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</si>
  <si>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</si>
  <si>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</si>
  <si>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</si>
  <si>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</si>
  <si>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</si>
  <si>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</si>
  <si>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</si>
  <si>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</si>
  <si>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</si>
  <si>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</si>
  <si>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</si>
  <si>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</si>
  <si>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셀트주수</t>
    <phoneticPr fontId="1" type="noConversion"/>
  </si>
  <si>
    <t>헬릭주수</t>
    <phoneticPr fontId="1" type="noConversion"/>
  </si>
  <si>
    <t>SETP1에서 설정한 종목 중 리밸런싱 기간에 포함이 안되어 있는 종목은 현금처리 한다.</t>
    <phoneticPr fontId="1" type="noConversion"/>
  </si>
  <si>
    <t>조건설정</t>
    <phoneticPr fontId="1" type="noConversion"/>
  </si>
  <si>
    <t>백테스팅(지수산출)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</si>
  <si>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</si>
  <si>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</si>
  <si>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</si>
  <si>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</si>
  <si>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</si>
  <si>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</si>
  <si>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</si>
  <si>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엘앤씨바이오</t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</si>
  <si>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</si>
  <si>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</si>
  <si>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</si>
  <si>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</si>
  <si>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</si>
  <si>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</si>
  <si>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</si>
  <si>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</si>
  <si>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</si>
  <si>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t>자율비중(직접입력) -&gt; 상장주식수 반영 후 계산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</si>
  <si>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</si>
  <si>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</si>
  <si>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</si>
  <si>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</si>
  <si>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</si>
  <si>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</si>
  <si>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</si>
  <si>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</si>
  <si>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</si>
  <si>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</si>
  <si>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</si>
  <si>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</si>
  <si>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</si>
  <si>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</si>
  <si>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</si>
  <si>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</si>
  <si>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</si>
  <si>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</si>
  <si>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</si>
  <si>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CASE 2-1</t>
    <phoneticPr fontId="1" type="noConversion"/>
  </si>
  <si>
    <t>CASE 2-2</t>
    <phoneticPr fontId="1" type="noConversion"/>
  </si>
  <si>
    <t>상태</t>
    <phoneticPr fontId="1" type="noConversion"/>
  </si>
  <si>
    <t>적용비율</t>
    <phoneticPr fontId="1" type="noConversion"/>
  </si>
  <si>
    <t>삼성전자(005930)</t>
    <phoneticPr fontId="1" type="noConversion"/>
  </si>
  <si>
    <t>셀트리온(068270)</t>
    <phoneticPr fontId="1" type="noConversion"/>
  </si>
  <si>
    <t>헬릭스미스(084990)</t>
    <phoneticPr fontId="1" type="noConversion"/>
  </si>
  <si>
    <t>적용비율</t>
    <phoneticPr fontId="1" type="noConversion"/>
  </si>
  <si>
    <t>구성비</t>
    <phoneticPr fontId="1" type="noConversion"/>
  </si>
  <si>
    <t>구성비</t>
    <phoneticPr fontId="1" type="noConversion"/>
  </si>
  <si>
    <t>자율비중(직접입력) -&gt; 리벨런싱주기별로 종목비중을 다르게 적용</t>
    <phoneticPr fontId="1" type="noConversion"/>
  </si>
  <si>
    <t>CASE 2-3</t>
    <phoneticPr fontId="1" type="noConversion"/>
  </si>
  <si>
    <t>자율비중(직접입력) -&gt; 리벨런싱주기별로 구성종목 및 종목비중을 다르게 적용</t>
    <phoneticPr fontId="1" type="noConversion"/>
  </si>
  <si>
    <t>310970</t>
    <phoneticPr fontId="1" type="noConversion"/>
  </si>
  <si>
    <t>TIGER MSCI TR</t>
    <phoneticPr fontId="1" type="noConversion"/>
  </si>
  <si>
    <t>290650</t>
    <phoneticPr fontId="1" type="noConversion"/>
  </si>
  <si>
    <t>엘앤씨바이오</t>
    <phoneticPr fontId="1" type="noConversion"/>
  </si>
  <si>
    <t>18.11월상장</t>
    <phoneticPr fontId="1" type="noConversion"/>
  </si>
  <si>
    <t>상장전</t>
    <phoneticPr fontId="1" type="noConversion"/>
  </si>
  <si>
    <t>삭제</t>
    <phoneticPr fontId="1" type="noConversion"/>
  </si>
  <si>
    <t>현금</t>
    <phoneticPr fontId="1" type="noConversion"/>
  </si>
  <si>
    <t>버튼클릭후 화면</t>
    <phoneticPr fontId="1" type="noConversion"/>
  </si>
  <si>
    <t>수정후 화면</t>
    <phoneticPr fontId="1" type="noConversion"/>
  </si>
  <si>
    <t>삭제</t>
    <phoneticPr fontId="1" type="noConversion"/>
  </si>
  <si>
    <t>삭제</t>
    <phoneticPr fontId="1" type="noConversion"/>
  </si>
  <si>
    <t>삭제</t>
    <phoneticPr fontId="1" type="noConversion"/>
  </si>
  <si>
    <t>삭제</t>
    <phoneticPr fontId="1" type="noConversion"/>
  </si>
  <si>
    <t>삭제</t>
    <phoneticPr fontId="1" type="noConversion"/>
  </si>
  <si>
    <t>엘앤씨바이오(290650)</t>
    <phoneticPr fontId="1" type="noConversion"/>
  </si>
  <si>
    <t>삼성전자</t>
    <phoneticPr fontId="1" type="noConversion"/>
  </si>
  <si>
    <t>DATE</t>
    <phoneticPr fontId="1" type="noConversion"/>
  </si>
  <si>
    <t>투자비중</t>
    <phoneticPr fontId="1" type="noConversion"/>
  </si>
  <si>
    <t>셀트리온</t>
    <phoneticPr fontId="1" type="noConversion"/>
  </si>
  <si>
    <t>투자비중</t>
    <phoneticPr fontId="1" type="noConversion"/>
  </si>
  <si>
    <t>투자비중</t>
    <phoneticPr fontId="1" type="noConversion"/>
  </si>
  <si>
    <t>앨엔씨바이오</t>
    <phoneticPr fontId="1" type="noConversion"/>
  </si>
  <si>
    <t>투자비중</t>
    <phoneticPr fontId="1" type="noConversion"/>
  </si>
  <si>
    <t>투자금액</t>
    <phoneticPr fontId="1" type="noConversion"/>
  </si>
  <si>
    <t>보유주식수</t>
    <phoneticPr fontId="1" type="noConversion"/>
  </si>
  <si>
    <t>보유주식수</t>
    <phoneticPr fontId="1" type="noConversion"/>
  </si>
  <si>
    <t>보유주식수</t>
    <phoneticPr fontId="1" type="noConversion"/>
  </si>
  <si>
    <t>보유주식수</t>
    <phoneticPr fontId="1" type="noConversion"/>
  </si>
  <si>
    <t>리밸</t>
    <phoneticPr fontId="1" type="noConversion"/>
  </si>
  <si>
    <t>등락</t>
    <phoneticPr fontId="1" type="noConversion"/>
  </si>
  <si>
    <t>수장주가</t>
    <phoneticPr fontId="1" type="noConversion"/>
  </si>
  <si>
    <t xml:space="preserve">지수산출 FLOW </t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</si>
  <si>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</si>
  <si>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</si>
  <si>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</si>
  <si>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</t>
    </r>
    <r>
      <rPr>
        <b/>
        <sz val="11"/>
        <color theme="1"/>
        <rFont val="맑은 고딕"/>
        <family val="3"/>
        <charset val="129"/>
        <scheme val="minor"/>
      </rPr>
      <t>. 최초일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입력받은 일자중 최초일의 리밸런싱 포트폴리오 내역을 가져온다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</si>
  <si>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SUM(종가*상장주식수*지수적용비율)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</si>
  <si>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</si>
  <si>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</si>
  <si>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</si>
  <si>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 xml:space="preserve">. (최초일)종목별 지수적용비율 계산 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FF000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sz val="11"/>
        <color rgb="FFFF0000"/>
        <rFont val="맑은 고딕"/>
        <family val="3"/>
        <charset val="129"/>
        <scheme val="minor"/>
      </rPr>
      <t>종가</t>
    </r>
    <r>
      <rPr>
        <sz val="11"/>
        <color theme="1"/>
        <rFont val="맑은 고딕"/>
        <family val="2"/>
        <charset val="129"/>
        <scheme val="minor"/>
      </rPr>
      <t xml:space="preserve"> * 상장주식수) /  (A종목_</t>
    </r>
    <r>
      <rPr>
        <sz val="11"/>
        <color rgb="FFFF0000"/>
        <rFont val="맑은 고딕"/>
        <family val="3"/>
        <charset val="129"/>
        <scheme val="minor"/>
      </rPr>
      <t>종가</t>
    </r>
    <r>
      <rPr>
        <sz val="11"/>
        <color theme="1"/>
        <rFont val="맑은 고딕"/>
        <family val="2"/>
        <charset val="129"/>
        <scheme val="minor"/>
      </rPr>
      <t xml:space="preserve">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</si>
  <si>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b/>
        <sz val="11"/>
        <color rgb="FFFF0000"/>
        <rFont val="맑은 고딕"/>
        <family val="3"/>
        <charset val="129"/>
        <scheme val="minor"/>
      </rPr>
      <t xml:space="preserve"> (2.최초일 종목별 지수적용비율계산과 다르다!!)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FF000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sz val="11"/>
        <color rgb="FFFF0000"/>
        <rFont val="맑은 고딕"/>
        <family val="3"/>
        <charset val="129"/>
        <scheme val="minor"/>
      </rPr>
      <t>기준가</t>
    </r>
    <r>
      <rPr>
        <sz val="11"/>
        <color theme="1"/>
        <rFont val="맑은 고딕"/>
        <family val="2"/>
        <charset val="129"/>
        <scheme val="minor"/>
      </rPr>
      <t xml:space="preserve"> * 상장주식수) /  (A종목_</t>
    </r>
    <r>
      <rPr>
        <sz val="11"/>
        <color rgb="FFFF0000"/>
        <rFont val="맑은 고딕"/>
        <family val="3"/>
        <charset val="129"/>
        <scheme val="minor"/>
      </rPr>
      <t>기준가</t>
    </r>
    <r>
      <rPr>
        <sz val="11"/>
        <color theme="1"/>
        <rFont val="맑은 고딕"/>
        <family val="2"/>
        <charset val="129"/>
        <scheme val="minor"/>
      </rPr>
      <t xml:space="preserve">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</si>
  <si>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8. 종목별 지수적용비율 계산</t>
    </r>
    <r>
      <rPr>
        <b/>
        <sz val="11"/>
        <color rgb="FFFF0000"/>
        <rFont val="맑은 고딕"/>
        <family val="3"/>
        <charset val="129"/>
        <scheme val="minor"/>
      </rPr>
      <t xml:space="preserve"> (5. 종목별 지수적용비율 계산과 다르다!!)</t>
    </r>
    <r>
      <rPr>
        <sz val="11"/>
        <color theme="1"/>
        <rFont val="맑은 고딕"/>
        <family val="2"/>
        <charset val="129"/>
        <scheme val="minor"/>
      </rPr>
      <t xml:space="preserve">
  - [5. 종목별 지수적용비율 계산] 과 다른 점은 배분비율을 사용하는 대신 직전일(T-1)의 종목비중을 넣어 계산한다는 것이다.
  - A종목_지수적용비율 =</t>
    </r>
    <r>
      <rPr>
        <sz val="11"/>
        <color rgb="FFFF0000"/>
        <rFont val="맑은 고딕"/>
        <family val="3"/>
        <charset val="129"/>
        <scheme val="minor"/>
      </rPr>
      <t xml:space="preserve"> 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</si>
  <si>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 xml:space="preserve">9. 기준시가총액 재계산 </t>
    </r>
    <r>
      <rPr>
        <b/>
        <sz val="11"/>
        <color rgb="FFFF0000"/>
        <rFont val="맑은 고딕"/>
        <family val="3"/>
        <charset val="129"/>
        <scheme val="minor"/>
      </rPr>
      <t>(6. 기준시가총액 재계산과 동일한 로직)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</si>
  <si>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10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</si>
  <si>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11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</si>
  <si>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12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</si>
  <si>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삼성전자(005930)</t>
    <phoneticPr fontId="1" type="noConversion"/>
  </si>
  <si>
    <t>셀트리온(068270)</t>
    <phoneticPr fontId="1" type="noConversion"/>
  </si>
  <si>
    <t>헬릭스미스(084990)</t>
    <phoneticPr fontId="1" type="noConversion"/>
  </si>
  <si>
    <t>CASE 3-1</t>
    <phoneticPr fontId="1" type="noConversion"/>
  </si>
  <si>
    <t>시가총액비중방식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</si>
  <si>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</si>
  <si>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</si>
  <si>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</si>
  <si>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</si>
  <si>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 xml:space="preserve">[STEP 1] </t>
    <phoneticPr fontId="1" type="noConversion"/>
  </si>
  <si>
    <t>시가총액비중방식은 비중설정이 없다</t>
    <phoneticPr fontId="1" type="noConversion"/>
  </si>
  <si>
    <t>시가총액비중방식의 리벨런싱은 종목교체(편출,편입) 만 있다. 비중을 따로 설정하지 않는다</t>
    <phoneticPr fontId="1" type="noConversion"/>
  </si>
  <si>
    <t>지수적용비율 = 1 (고정값)
* 비중설정하지 않는다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</si>
</sst>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000%"/>
    <numFmt numFmtId="178" formatCode="0.00000000000000000000_ "/>
  </numFmts>
  <fonts count="3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trike/>
      <sz val="10"/>
      <color theme="1"/>
      <name val="맑은 고딕"/>
      <family val="2"/>
      <charset val="129"/>
      <scheme val="minor"/>
    </font>
    <font>
      <strike/>
      <sz val="10"/>
      <color theme="1"/>
      <name val="맑은 고딕"/>
      <family val="3"/>
      <charset val="129"/>
      <scheme val="minor"/>
    </font>
    <font>
      <b/>
      <strike/>
      <sz val="10"/>
      <color theme="3" tint="-0.249977111117893"/>
      <name val="맑은 고딕"/>
      <family val="3"/>
      <charset val="129"/>
      <scheme val="minor"/>
    </font>
    <font>
      <b/>
      <sz val="11"/>
      <color theme="0" tint="-0.1499984740745262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trike/>
      <sz val="11"/>
      <color theme="0" tint="-0.249977111117893"/>
      <name val="맑은 고딕"/>
      <family val="2"/>
      <charset val="129"/>
      <scheme val="minor"/>
    </font>
    <font>
      <strike/>
      <sz val="11"/>
      <color theme="0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5" fillId="3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6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6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8" borderId="0" xfId="0" applyFont="1" applyFill="1">
      <alignment vertical="center"/>
    </xf>
    <xf numFmtId="0" fontId="15" fillId="8" borderId="0" xfId="0" applyFont="1" applyFill="1">
      <alignment vertical="center"/>
    </xf>
    <xf numFmtId="0" fontId="16" fillId="9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9" borderId="0" xfId="0" applyFont="1" applyFill="1">
      <alignment vertical="center"/>
    </xf>
    <xf numFmtId="0" fontId="18" fillId="9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5" fillId="3" borderId="0" xfId="0" applyFont="1" applyFill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5" fillId="7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7" fontId="6" fillId="7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7" borderId="0" xfId="0" applyFont="1" applyFill="1">
      <alignment vertical="center"/>
    </xf>
    <xf numFmtId="0" fontId="22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1" borderId="2" xfId="0" applyFill="1" applyBorder="1">
      <alignment vertical="center"/>
    </xf>
    <xf numFmtId="176" fontId="0" fillId="11" borderId="2" xfId="0" applyNumberFormat="1" applyFill="1" applyBorder="1">
      <alignment vertical="center"/>
    </xf>
    <xf numFmtId="0" fontId="5" fillId="12" borderId="0" xfId="0" applyFont="1" applyFill="1">
      <alignment vertical="center"/>
    </xf>
    <xf numFmtId="0" fontId="6" fillId="5" borderId="2" xfId="0" applyFont="1" applyFill="1" applyBorder="1">
      <alignment vertical="center"/>
    </xf>
    <xf numFmtId="0" fontId="6" fillId="0" borderId="0" xfId="0" applyFont="1">
      <alignment vertical="center"/>
    </xf>
    <xf numFmtId="176" fontId="20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0" fontId="24" fillId="5" borderId="2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3" borderId="0" xfId="0" applyFont="1" applyFill="1">
      <alignment vertical="center"/>
    </xf>
    <xf numFmtId="0" fontId="5" fillId="13" borderId="0" xfId="0" applyFont="1" applyFill="1">
      <alignment vertical="center"/>
    </xf>
    <xf numFmtId="0" fontId="20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5" fillId="5" borderId="9" xfId="0" applyFont="1" applyFill="1" applyBorder="1">
      <alignment vertical="center"/>
    </xf>
    <xf numFmtId="0" fontId="23" fillId="3" borderId="2" xfId="0" applyFont="1" applyFill="1" applyBorder="1">
      <alignment vertical="center"/>
    </xf>
    <xf numFmtId="0" fontId="24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7" borderId="2" xfId="0" applyFont="1" applyFill="1" applyBorder="1">
      <alignment vertical="center"/>
    </xf>
    <xf numFmtId="176" fontId="5" fillId="7" borderId="2" xfId="0" applyNumberFormat="1" applyFont="1" applyFill="1" applyBorder="1">
      <alignment vertical="center"/>
    </xf>
    <xf numFmtId="176" fontId="6" fillId="7" borderId="2" xfId="0" applyNumberFormat="1" applyFont="1" applyFill="1" applyBorder="1">
      <alignment vertical="center"/>
    </xf>
    <xf numFmtId="176" fontId="7" fillId="7" borderId="2" xfId="0" applyNumberFormat="1" applyFont="1" applyFill="1" applyBorder="1">
      <alignment vertical="center"/>
    </xf>
    <xf numFmtId="0" fontId="21" fillId="7" borderId="2" xfId="0" applyFont="1" applyFill="1" applyBorder="1">
      <alignment vertical="center"/>
    </xf>
    <xf numFmtId="177" fontId="7" fillId="7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178" fontId="0" fillId="5" borderId="2" xfId="0" applyNumberFormat="1" applyFill="1" applyBorder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14" borderId="2" xfId="0" applyFont="1" applyFill="1" applyBorder="1">
      <alignment vertical="center"/>
    </xf>
    <xf numFmtId="176" fontId="27" fillId="14" borderId="2" xfId="0" applyNumberFormat="1" applyFont="1" applyFill="1" applyBorder="1">
      <alignment vertical="center"/>
    </xf>
    <xf numFmtId="0" fontId="28" fillId="14" borderId="2" xfId="0" applyFont="1" applyFill="1" applyBorder="1">
      <alignment vertical="center"/>
    </xf>
    <xf numFmtId="0" fontId="29" fillId="6" borderId="2" xfId="0" applyFont="1" applyFill="1" applyBorder="1">
      <alignment vertical="center"/>
    </xf>
    <xf numFmtId="0" fontId="30" fillId="5" borderId="2" xfId="0" applyFont="1" applyFill="1" applyBorder="1">
      <alignment vertical="center"/>
    </xf>
    <xf numFmtId="176" fontId="30" fillId="5" borderId="2" xfId="0" applyNumberFormat="1" applyFont="1" applyFill="1" applyBorder="1">
      <alignment vertical="center"/>
    </xf>
    <xf numFmtId="178" fontId="30" fillId="5" borderId="2" xfId="0" applyNumberFormat="1" applyFont="1" applyFill="1" applyBorder="1">
      <alignment vertical="center"/>
    </xf>
    <xf numFmtId="0" fontId="30" fillId="11" borderId="2" xfId="0" applyFont="1" applyFill="1" applyBorder="1">
      <alignment vertical="center"/>
    </xf>
    <xf numFmtId="176" fontId="30" fillId="11" borderId="2" xfId="0" applyNumberFormat="1" applyFont="1" applyFill="1" applyBorder="1">
      <alignment vertical="center"/>
    </xf>
    <xf numFmtId="0" fontId="7" fillId="15" borderId="2" xfId="0" applyFont="1" applyFill="1" applyBorder="1">
      <alignment vertical="center"/>
    </xf>
    <xf numFmtId="0" fontId="6" fillId="15" borderId="2" xfId="0" applyFont="1" applyFill="1" applyBorder="1">
      <alignment vertical="center"/>
    </xf>
    <xf numFmtId="0" fontId="5" fillId="15" borderId="2" xfId="0" applyFont="1" applyFill="1" applyBorder="1">
      <alignment vertical="center"/>
    </xf>
    <xf numFmtId="176" fontId="7" fillId="15" borderId="2" xfId="0" applyNumberFormat="1" applyFont="1" applyFill="1" applyBorder="1">
      <alignment vertical="center"/>
    </xf>
    <xf numFmtId="176" fontId="6" fillId="15" borderId="2" xfId="0" applyNumberFormat="1" applyFont="1" applyFill="1" applyBorder="1">
      <alignment vertical="center"/>
    </xf>
    <xf numFmtId="176" fontId="5" fillId="15" borderId="2" xfId="0" applyNumberFormat="1" applyFont="1" applyFill="1" applyBorder="1">
      <alignment vertical="center"/>
    </xf>
    <xf numFmtId="0" fontId="21" fillId="15" borderId="2" xfId="0" applyFont="1" applyFill="1" applyBorder="1">
      <alignment vertical="center"/>
    </xf>
    <xf numFmtId="177" fontId="7" fillId="15" borderId="2" xfId="0" applyNumberFormat="1" applyFont="1" applyFill="1" applyBorder="1">
      <alignment vertical="center"/>
    </xf>
    <xf numFmtId="0" fontId="7" fillId="15" borderId="0" xfId="0" applyFont="1" applyFill="1">
      <alignment vertical="center"/>
    </xf>
    <xf numFmtId="0" fontId="2" fillId="0" borderId="0" xfId="0" quotePrefix="1" applyFont="1">
      <alignment vertical="center"/>
    </xf>
    <xf numFmtId="0" fontId="3" fillId="0" borderId="0" xfId="0" quotePrefix="1" applyFont="1">
      <alignment vertical="center"/>
    </xf>
    <xf numFmtId="0" fontId="0" fillId="5" borderId="2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31" fillId="5" borderId="2" xfId="0" applyFont="1" applyFill="1" applyBorder="1">
      <alignment vertical="center"/>
    </xf>
    <xf numFmtId="0" fontId="32" fillId="5" borderId="2" xfId="0" quotePrefix="1" applyFont="1" applyFill="1" applyBorder="1">
      <alignment vertical="center"/>
    </xf>
    <xf numFmtId="0" fontId="32" fillId="5" borderId="2" xfId="0" applyFont="1" applyFill="1" applyBorder="1">
      <alignment vertical="center"/>
    </xf>
    <xf numFmtId="0" fontId="32" fillId="0" borderId="2" xfId="0" quotePrefix="1" applyFont="1" applyBorder="1">
      <alignment vertical="center"/>
    </xf>
    <xf numFmtId="0" fontId="32" fillId="0" borderId="2" xfId="0" applyFont="1" applyBorder="1">
      <alignment vertical="center"/>
    </xf>
    <xf numFmtId="0" fontId="5" fillId="5" borderId="11" xfId="0" applyFont="1" applyFill="1" applyBorder="1">
      <alignment vertical="center"/>
    </xf>
    <xf numFmtId="0" fontId="5" fillId="5" borderId="13" xfId="0" applyFont="1" applyFill="1" applyBorder="1">
      <alignment vertical="center"/>
    </xf>
    <xf numFmtId="0" fontId="5" fillId="3" borderId="11" xfId="0" applyFont="1" applyFill="1" applyBorder="1">
      <alignment vertical="center"/>
    </xf>
    <xf numFmtId="0" fontId="5" fillId="3" borderId="13" xfId="0" applyFont="1" applyFill="1" applyBorder="1">
      <alignment vertical="center"/>
    </xf>
    <xf numFmtId="0" fontId="7" fillId="16" borderId="2" xfId="0" applyFont="1" applyFill="1" applyBorder="1">
      <alignment vertical="center"/>
    </xf>
    <xf numFmtId="0" fontId="6" fillId="16" borderId="2" xfId="0" applyFont="1" applyFill="1" applyBorder="1">
      <alignment vertical="center"/>
    </xf>
    <xf numFmtId="0" fontId="5" fillId="16" borderId="2" xfId="0" applyFont="1" applyFill="1" applyBorder="1">
      <alignment vertical="center"/>
    </xf>
    <xf numFmtId="176" fontId="7" fillId="16" borderId="2" xfId="0" applyNumberFormat="1" applyFont="1" applyFill="1" applyBorder="1">
      <alignment vertical="center"/>
    </xf>
    <xf numFmtId="176" fontId="6" fillId="16" borderId="2" xfId="0" applyNumberFormat="1" applyFont="1" applyFill="1" applyBorder="1">
      <alignment vertical="center"/>
    </xf>
    <xf numFmtId="176" fontId="5" fillId="16" borderId="2" xfId="0" applyNumberFormat="1" applyFont="1" applyFill="1" applyBorder="1">
      <alignment vertical="center"/>
    </xf>
    <xf numFmtId="0" fontId="21" fillId="16" borderId="2" xfId="0" applyFont="1" applyFill="1" applyBorder="1">
      <alignment vertical="center"/>
    </xf>
    <xf numFmtId="177" fontId="7" fillId="16" borderId="2" xfId="0" applyNumberFormat="1" applyFont="1" applyFill="1" applyBorder="1">
      <alignment vertical="center"/>
    </xf>
    <xf numFmtId="0" fontId="7" fillId="16" borderId="0" xfId="0" applyFont="1" applyFill="1">
      <alignment vertical="center"/>
    </xf>
    <xf numFmtId="0" fontId="5" fillId="16" borderId="9" xfId="0" applyFont="1" applyFill="1" applyBorder="1">
      <alignment vertical="center"/>
    </xf>
    <xf numFmtId="0" fontId="5" fillId="16" borderId="1" xfId="0" applyFont="1" applyFill="1" applyBorder="1">
      <alignment vertical="center"/>
    </xf>
    <xf numFmtId="0" fontId="7" fillId="16" borderId="11" xfId="0" applyFont="1" applyFill="1" applyBorder="1">
      <alignment vertical="center"/>
    </xf>
    <xf numFmtId="0" fontId="6" fillId="2" borderId="0" xfId="0" applyFont="1" applyFill="1">
      <alignment vertical="center"/>
    </xf>
    <xf numFmtId="0" fontId="6" fillId="3" borderId="0" xfId="0" applyFont="1" applyFill="1">
      <alignment vertical="center"/>
    </xf>
    <xf numFmtId="0" fontId="6" fillId="16" borderId="0" xfId="0" applyFont="1" applyFill="1" applyBorder="1">
      <alignment vertical="center"/>
    </xf>
    <xf numFmtId="0" fontId="6" fillId="16" borderId="0" xfId="0" applyFont="1" applyFill="1">
      <alignment vertical="center"/>
    </xf>
    <xf numFmtId="0" fontId="5" fillId="16" borderId="0" xfId="0" applyFont="1" applyFill="1">
      <alignment vertical="center"/>
    </xf>
    <xf numFmtId="0" fontId="5" fillId="10" borderId="0" xfId="0" applyFont="1" applyFill="1">
      <alignment vertical="center"/>
    </xf>
    <xf numFmtId="0" fontId="6" fillId="10" borderId="0" xfId="0" applyFont="1" applyFill="1" applyBorder="1">
      <alignment vertical="center"/>
    </xf>
    <xf numFmtId="0" fontId="0" fillId="0" borderId="22" xfId="0" applyBorder="1">
      <alignment vertical="center"/>
    </xf>
    <xf numFmtId="0" fontId="0" fillId="0" borderId="14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0" fillId="0" borderId="15" xfId="0" applyFont="1" applyBorder="1" applyAlignment="1">
      <alignment horizontal="left" vertical="top" wrapText="1"/>
    </xf>
    <xf numFmtId="0" fontId="0" fillId="0" borderId="16" xfId="0" applyFont="1" applyBorder="1" applyAlignment="1">
      <alignment horizontal="left" vertical="top" wrapText="1"/>
    </xf>
    <xf numFmtId="0" fontId="0" fillId="0" borderId="17" xfId="0" applyFont="1" applyBorder="1" applyAlignment="1">
      <alignment horizontal="left" vertical="top" wrapText="1"/>
    </xf>
    <xf numFmtId="0" fontId="0" fillId="0" borderId="18" xfId="0" applyFont="1" applyBorder="1" applyAlignment="1">
      <alignment horizontal="left" vertical="top" wrapText="1"/>
    </xf>
    <xf numFmtId="0" fontId="0" fillId="0" borderId="19" xfId="0" applyFont="1" applyBorder="1" applyAlignment="1">
      <alignment horizontal="left" vertical="top" wrapText="1"/>
    </xf>
    <xf numFmtId="0" fontId="25" fillId="0" borderId="0" xfId="0" applyFont="1" applyAlignment="1">
      <alignment horizontal="center" vertical="center"/>
    </xf>
    <xf numFmtId="0" fontId="4" fillId="0" borderId="14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5" borderId="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179293</xdr:colOff>
      <xdr:row>3</xdr:row>
      <xdr:rowOff>44824</xdr:rowOff>
    </xdr:from>
    <xdr:to>
      <xdr:col>13</xdr:col>
      <xdr:colOff>330137</xdr:colOff>
      <xdr:row>32</xdr:row>
      <xdr:rowOff>92325</xdr:rowOff>
    </xdr:to>
    <xdr:grpSp>
      <xdr:nvGrpSpPr>
        <xdr:cNvPr id="99" name="그룹 98"/>
        <xdr:cNvGrpSpPr/>
      </xdr:nvGrpSpPr>
      <xdr:grpSpPr>
        <a:xfrm>
          <a:off x="179293" y="728383"/>
          <a:ext cx="9037109" cy="6221942"/>
          <a:chOff x="1973791" y="314325"/>
          <a:chExt cx="9037109" cy="6221942"/>
        </a:xfrm>
      </xdr:grpSpPr>
      <xdr:sp macro="" textlink="">
        <xdr:nvSpPr>
          <xdr:cNvPr id="100" name="순서도: 수행의 시작/종료 99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101" name="순서도: 처리 100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12.</a:t>
            </a:r>
            <a:r>
              <a:rPr lang="ko-KR" altLang="en-US" sz="1000" b="1"/>
              <a:t>지수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102" name="순서도: 판단 101"/>
          <xdr:cNvSpPr/>
        </xdr:nvSpPr>
        <xdr:spPr>
          <a:xfrm>
            <a:off x="4630737" y="203488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103" name="순서도: 처리 102"/>
          <xdr:cNvSpPr/>
        </xdr:nvSpPr>
        <xdr:spPr>
          <a:xfrm>
            <a:off x="7016750" y="221109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104" name="순서도: 처리 103"/>
          <xdr:cNvSpPr/>
        </xdr:nvSpPr>
        <xdr:spPr>
          <a:xfrm>
            <a:off x="9131300" y="221109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5.</a:t>
            </a:r>
            <a:r>
              <a:rPr lang="ko-KR" altLang="en-US" sz="1000" b="1"/>
              <a:t>종목별 지수적용비율 계산</a:t>
            </a:r>
          </a:p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05" name="순서도: 판단 104"/>
          <xdr:cNvSpPr/>
        </xdr:nvSpPr>
        <xdr:spPr>
          <a:xfrm>
            <a:off x="4628356" y="4029644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106" name="순서도: 처리 105"/>
          <xdr:cNvSpPr/>
        </xdr:nvSpPr>
        <xdr:spPr>
          <a:xfrm>
            <a:off x="4664075" y="3344139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7" name="순서도: 처리 106"/>
          <xdr:cNvSpPr/>
        </xdr:nvSpPr>
        <xdr:spPr>
          <a:xfrm>
            <a:off x="7016750" y="4205856"/>
            <a:ext cx="1877868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 </a:t>
            </a:r>
            <a:r>
              <a:rPr lang="ko-KR" altLang="en-US" sz="1000" b="1"/>
              <a:t>종목별 지수적용비율 계산</a:t>
            </a:r>
            <a:endParaRPr lang="en-US" altLang="ko-KR" sz="1000" b="1"/>
          </a:p>
          <a:p>
            <a:pPr algn="ctr"/>
            <a:r>
              <a:rPr lang="en-US" altLang="ko-KR" sz="1000" b="1"/>
              <a:t>9. 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08" name="순서도: 처리 107"/>
          <xdr:cNvSpPr/>
        </xdr:nvSpPr>
        <xdr:spPr>
          <a:xfrm>
            <a:off x="4661693" y="538392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10.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11.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09" name="순서도: 수행의 시작/종료 108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10" name="직선 화살표 연결선 109"/>
          <xdr:cNvCxnSpPr>
            <a:stCxn id="100" idx="2"/>
            <a:endCxn id="102" idx="0"/>
          </xdr:cNvCxnSpPr>
        </xdr:nvCxnSpPr>
        <xdr:spPr>
          <a:xfrm flipH="1">
            <a:off x="5547783" y="735542"/>
            <a:ext cx="1" cy="129933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직선 화살표 연결선 110"/>
          <xdr:cNvCxnSpPr>
            <a:stCxn id="102" idx="3"/>
            <a:endCxn id="103" idx="1"/>
          </xdr:cNvCxnSpPr>
        </xdr:nvCxnSpPr>
        <xdr:spPr>
          <a:xfrm flipV="1">
            <a:off x="6464829" y="246826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" name="직선 화살표 연결선 111"/>
          <xdr:cNvCxnSpPr>
            <a:stCxn id="103" idx="3"/>
            <a:endCxn id="104" idx="1"/>
          </xdr:cNvCxnSpPr>
        </xdr:nvCxnSpPr>
        <xdr:spPr>
          <a:xfrm>
            <a:off x="8779405" y="246826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직선 화살표 연결선 112"/>
          <xdr:cNvCxnSpPr>
            <a:stCxn id="102" idx="2"/>
            <a:endCxn id="106" idx="0"/>
          </xdr:cNvCxnSpPr>
        </xdr:nvCxnSpPr>
        <xdr:spPr>
          <a:xfrm flipH="1">
            <a:off x="5545403" y="2901655"/>
            <a:ext cx="2380" cy="44248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직선 화살표 연결선 113"/>
          <xdr:cNvCxnSpPr>
            <a:stCxn id="105" idx="3"/>
            <a:endCxn id="107" idx="1"/>
          </xdr:cNvCxnSpPr>
        </xdr:nvCxnSpPr>
        <xdr:spPr>
          <a:xfrm flipV="1">
            <a:off x="6462448" y="4463031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꺾인 연결선 114"/>
          <xdr:cNvCxnSpPr>
            <a:stCxn id="104" idx="2"/>
            <a:endCxn id="108" idx="3"/>
          </xdr:cNvCxnSpPr>
        </xdr:nvCxnSpPr>
        <xdr:spPr>
          <a:xfrm rot="5400000">
            <a:off x="6789894" y="2359896"/>
            <a:ext cx="2915660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꺾인 연결선 115"/>
          <xdr:cNvCxnSpPr>
            <a:stCxn id="107" idx="2"/>
          </xdr:cNvCxnSpPr>
        </xdr:nvCxnSpPr>
        <xdr:spPr>
          <a:xfrm rot="5400000">
            <a:off x="6807829" y="4377213"/>
            <a:ext cx="804863" cy="1490849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꺾인 연결선 116"/>
          <xdr:cNvCxnSpPr>
            <a:endCxn id="105" idx="0"/>
          </xdr:cNvCxnSpPr>
        </xdr:nvCxnSpPr>
        <xdr:spPr>
          <a:xfrm rot="5400000">
            <a:off x="5455207" y="3939445"/>
            <a:ext cx="180395" cy="3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꺾인 연결선 117"/>
          <xdr:cNvCxnSpPr>
            <a:stCxn id="105" idx="2"/>
            <a:endCxn id="108" idx="0"/>
          </xdr:cNvCxnSpPr>
        </xdr:nvCxnSpPr>
        <xdr:spPr>
          <a:xfrm rot="5400000">
            <a:off x="5300458" y="5138983"/>
            <a:ext cx="487508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꺾인 연결선 118"/>
          <xdr:cNvCxnSpPr>
            <a:stCxn id="108" idx="2"/>
            <a:endCxn id="109" idx="0"/>
          </xdr:cNvCxnSpPr>
        </xdr:nvCxnSpPr>
        <xdr:spPr>
          <a:xfrm rot="16200000" flipH="1">
            <a:off x="5435825" y="6005472"/>
            <a:ext cx="216773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꺾인 연결선 119"/>
          <xdr:cNvCxnSpPr>
            <a:stCxn id="109" idx="1"/>
            <a:endCxn id="101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꺾인 연결선 120"/>
          <xdr:cNvCxnSpPr>
            <a:stCxn id="101" idx="0"/>
            <a:endCxn id="100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타원 121"/>
          <xdr:cNvSpPr/>
        </xdr:nvSpPr>
        <xdr:spPr>
          <a:xfrm>
            <a:off x="6454079" y="2182516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123" name="타원 122"/>
          <xdr:cNvSpPr/>
        </xdr:nvSpPr>
        <xdr:spPr>
          <a:xfrm>
            <a:off x="5204089" y="279500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124" name="타원 123"/>
          <xdr:cNvSpPr/>
        </xdr:nvSpPr>
        <xdr:spPr>
          <a:xfrm>
            <a:off x="6462448" y="4162993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125" name="타원 124"/>
          <xdr:cNvSpPr/>
        </xdr:nvSpPr>
        <xdr:spPr>
          <a:xfrm>
            <a:off x="5184510" y="4910706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126" name="순서도: 판단 125"/>
          <xdr:cNvSpPr/>
        </xdr:nvSpPr>
        <xdr:spPr>
          <a:xfrm>
            <a:off x="4629223" y="882717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최초일인가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127" name="타원 126"/>
          <xdr:cNvSpPr/>
        </xdr:nvSpPr>
        <xdr:spPr>
          <a:xfrm>
            <a:off x="5184509" y="1657723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128" name="타원 127"/>
          <xdr:cNvSpPr/>
        </xdr:nvSpPr>
        <xdr:spPr>
          <a:xfrm>
            <a:off x="6333860" y="927959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129" name="순서도: 처리 128"/>
          <xdr:cNvSpPr/>
        </xdr:nvSpPr>
        <xdr:spPr>
          <a:xfrm>
            <a:off x="6976269" y="10431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최초일 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130" name="순서도: 처리 129"/>
          <xdr:cNvSpPr/>
        </xdr:nvSpPr>
        <xdr:spPr>
          <a:xfrm>
            <a:off x="9090819" y="1043125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2.</a:t>
            </a:r>
            <a:r>
              <a:rPr lang="ko-KR" altLang="en-US" sz="1000" b="1"/>
              <a:t>종목별 지수적용비율 계산</a:t>
            </a: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 계산</a:t>
            </a:r>
            <a:endParaRPr lang="en-US" altLang="ko-KR" sz="1000" b="1"/>
          </a:p>
        </xdr:txBody>
      </xdr:sp>
      <xdr:cxnSp macro="">
        <xdr:nvCxnSpPr>
          <xdr:cNvPr id="131" name="직선 화살표 연결선 130"/>
          <xdr:cNvCxnSpPr>
            <a:endCxn id="129" idx="1"/>
          </xdr:cNvCxnSpPr>
        </xdr:nvCxnSpPr>
        <xdr:spPr>
          <a:xfrm flipV="1">
            <a:off x="6424348" y="1300300"/>
            <a:ext cx="551921" cy="2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직선 화살표 연결선 131"/>
          <xdr:cNvCxnSpPr>
            <a:stCxn id="129" idx="3"/>
            <a:endCxn id="130" idx="1"/>
          </xdr:cNvCxnSpPr>
        </xdr:nvCxnSpPr>
        <xdr:spPr>
          <a:xfrm>
            <a:off x="8738924" y="1300300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꺾인 연결선 132"/>
          <xdr:cNvCxnSpPr>
            <a:stCxn id="130" idx="3"/>
          </xdr:cNvCxnSpPr>
        </xdr:nvCxnSpPr>
        <xdr:spPr>
          <a:xfrm flipH="1">
            <a:off x="6404769" y="1300300"/>
            <a:ext cx="4565650" cy="4453955"/>
          </a:xfrm>
          <a:prstGeom prst="bentConnector3">
            <a:avLst>
              <a:gd name="adj1" fmla="val -5007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81"/>
  <sheetViews>
    <sheetView zoomScale="85" zoomScaleNormal="85" workbookViewId="0">
      <selection activeCell="Q21" sqref="Q21"/>
    </sheetView>
  </sheetViews>
  <sheetFormatPr defaultRowHeight="16.5" x14ac:dyDescent="0.3"/>
  <sheetData>
    <row r="2" spans="1:14" ht="20.25" x14ac:dyDescent="0.3">
      <c r="A2" s="155" t="s">
        <v>181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</row>
    <row r="34" spans="1:18" ht="17.25" thickBot="1" x14ac:dyDescent="0.35"/>
    <row r="35" spans="1:18" x14ac:dyDescent="0.3">
      <c r="A35" s="141" t="s">
        <v>185</v>
      </c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3"/>
    </row>
    <row r="36" spans="1:18" ht="17.25" thickBot="1" x14ac:dyDescent="0.35">
      <c r="A36" s="147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9"/>
    </row>
    <row r="37" spans="1:18" ht="17.25" thickBot="1" x14ac:dyDescent="0.35"/>
    <row r="38" spans="1:18" x14ac:dyDescent="0.3">
      <c r="A38" s="141" t="s">
        <v>190</v>
      </c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3"/>
    </row>
    <row r="39" spans="1:18" x14ac:dyDescent="0.3">
      <c r="A39" s="144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6"/>
      <c r="R39" s="140"/>
    </row>
    <row r="40" spans="1:18" x14ac:dyDescent="0.3">
      <c r="A40" s="144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6"/>
    </row>
    <row r="41" spans="1:18" ht="17.25" thickBot="1" x14ac:dyDescent="0.35">
      <c r="A41" s="147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9"/>
    </row>
    <row r="42" spans="1:18" ht="17.25" thickBot="1" x14ac:dyDescent="0.35"/>
    <row r="43" spans="1:18" x14ac:dyDescent="0.3">
      <c r="A43" s="141" t="s">
        <v>186</v>
      </c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1"/>
    </row>
    <row r="44" spans="1:18" ht="17.25" thickBot="1" x14ac:dyDescent="0.35">
      <c r="A44" s="152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4"/>
    </row>
    <row r="45" spans="1:18" ht="17.25" thickBot="1" x14ac:dyDescent="0.35"/>
    <row r="46" spans="1:18" ht="16.5" customHeight="1" x14ac:dyDescent="0.3">
      <c r="A46" s="141" t="s">
        <v>182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3"/>
      <c r="O46" s="86"/>
    </row>
    <row r="47" spans="1:18" x14ac:dyDescent="0.3">
      <c r="A47" s="144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6"/>
      <c r="O47" s="86"/>
    </row>
    <row r="48" spans="1:18" x14ac:dyDescent="0.3">
      <c r="A48" s="144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6"/>
      <c r="O48" s="86"/>
    </row>
    <row r="49" spans="1:15" ht="17.25" thickBot="1" x14ac:dyDescent="0.35">
      <c r="A49" s="147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9"/>
      <c r="O49" s="86"/>
    </row>
    <row r="50" spans="1:15" ht="17.25" thickBot="1" x14ac:dyDescent="0.3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</row>
    <row r="51" spans="1:15" x14ac:dyDescent="0.3">
      <c r="A51" s="141" t="s">
        <v>191</v>
      </c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3"/>
      <c r="O51" s="86"/>
    </row>
    <row r="52" spans="1:15" x14ac:dyDescent="0.3">
      <c r="A52" s="144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6"/>
    </row>
    <row r="53" spans="1:15" x14ac:dyDescent="0.3">
      <c r="A53" s="144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6"/>
    </row>
    <row r="54" spans="1:15" ht="17.25" thickBot="1" x14ac:dyDescent="0.35">
      <c r="A54" s="147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9"/>
    </row>
    <row r="55" spans="1:15" ht="17.25" thickBot="1" x14ac:dyDescent="0.35"/>
    <row r="56" spans="1:15" ht="16.5" customHeight="1" x14ac:dyDescent="0.3">
      <c r="A56" s="141" t="s">
        <v>183</v>
      </c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1"/>
    </row>
    <row r="57" spans="1:15" ht="17.25" thickBot="1" x14ac:dyDescent="0.35">
      <c r="A57" s="152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4"/>
    </row>
    <row r="58" spans="1:15" ht="17.25" thickBot="1" x14ac:dyDescent="0.35"/>
    <row r="59" spans="1:15" x14ac:dyDescent="0.3">
      <c r="A59" s="141" t="s">
        <v>184</v>
      </c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3"/>
    </row>
    <row r="60" spans="1:15" x14ac:dyDescent="0.3">
      <c r="A60" s="144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6"/>
    </row>
    <row r="61" spans="1:15" x14ac:dyDescent="0.3">
      <c r="A61" s="144"/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6"/>
    </row>
    <row r="62" spans="1:15" ht="17.25" thickBot="1" x14ac:dyDescent="0.35">
      <c r="A62" s="147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9"/>
    </row>
    <row r="63" spans="1:15" ht="17.25" thickBot="1" x14ac:dyDescent="0.35"/>
    <row r="64" spans="1:15" x14ac:dyDescent="0.3">
      <c r="A64" s="156" t="s">
        <v>192</v>
      </c>
      <c r="B64" s="142"/>
      <c r="C64" s="142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3"/>
    </row>
    <row r="65" spans="1:14" x14ac:dyDescent="0.3">
      <c r="A65" s="144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6"/>
    </row>
    <row r="66" spans="1:14" x14ac:dyDescent="0.3">
      <c r="A66" s="144"/>
      <c r="B66" s="145"/>
      <c r="C66" s="14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6"/>
    </row>
    <row r="67" spans="1:14" ht="17.25" thickBot="1" x14ac:dyDescent="0.35">
      <c r="A67" s="147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9"/>
    </row>
    <row r="68" spans="1:14" ht="17.25" thickBot="1" x14ac:dyDescent="0.35"/>
    <row r="69" spans="1:14" x14ac:dyDescent="0.3">
      <c r="A69" s="156" t="s">
        <v>193</v>
      </c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1"/>
    </row>
    <row r="70" spans="1:14" ht="17.25" thickBot="1" x14ac:dyDescent="0.35">
      <c r="A70" s="152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4"/>
    </row>
    <row r="71" spans="1:14" ht="17.25" thickBot="1" x14ac:dyDescent="0.35"/>
    <row r="72" spans="1:14" ht="16.5" customHeight="1" x14ac:dyDescent="0.3">
      <c r="A72" s="141" t="s">
        <v>194</v>
      </c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1"/>
    </row>
    <row r="73" spans="1:14" ht="17.25" thickBot="1" x14ac:dyDescent="0.35">
      <c r="A73" s="152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4"/>
    </row>
    <row r="74" spans="1:14" ht="17.25" thickBot="1" x14ac:dyDescent="0.35"/>
    <row r="75" spans="1:14" ht="16.5" customHeight="1" x14ac:dyDescent="0.3">
      <c r="A75" s="141" t="s">
        <v>195</v>
      </c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1"/>
    </row>
    <row r="76" spans="1:14" ht="17.25" thickBot="1" x14ac:dyDescent="0.35">
      <c r="A76" s="152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4"/>
    </row>
    <row r="77" spans="1:14" ht="17.25" thickBot="1" x14ac:dyDescent="0.35"/>
    <row r="78" spans="1:14" x14ac:dyDescent="0.3">
      <c r="A78" s="141" t="s">
        <v>196</v>
      </c>
      <c r="B78" s="142"/>
      <c r="C78" s="142"/>
      <c r="D78" s="142"/>
      <c r="E78" s="142"/>
      <c r="F78" s="142"/>
      <c r="G78" s="142"/>
      <c r="H78" s="142"/>
      <c r="I78" s="142"/>
      <c r="J78" s="142"/>
      <c r="K78" s="142"/>
      <c r="L78" s="142"/>
      <c r="M78" s="142"/>
      <c r="N78" s="143"/>
    </row>
    <row r="79" spans="1:14" x14ac:dyDescent="0.3">
      <c r="A79" s="144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6"/>
    </row>
    <row r="80" spans="1:14" x14ac:dyDescent="0.3">
      <c r="A80" s="144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6"/>
    </row>
    <row r="81" spans="1:14" ht="17.25" thickBot="1" x14ac:dyDescent="0.35">
      <c r="A81" s="147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9"/>
    </row>
  </sheetData>
  <mergeCells count="13">
    <mergeCell ref="A78:N81"/>
    <mergeCell ref="A56:N57"/>
    <mergeCell ref="A72:N73"/>
    <mergeCell ref="A75:N76"/>
    <mergeCell ref="A2:N2"/>
    <mergeCell ref="A46:N49"/>
    <mergeCell ref="A51:N54"/>
    <mergeCell ref="A59:N62"/>
    <mergeCell ref="A69:N70"/>
    <mergeCell ref="A35:N36"/>
    <mergeCell ref="A38:N41"/>
    <mergeCell ref="A43:N44"/>
    <mergeCell ref="A64:N67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34" workbookViewId="0">
      <selection activeCell="H56" sqref="H56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5" s="34" customFormat="1" ht="20.25" x14ac:dyDescent="0.3">
      <c r="A1" s="33" t="s">
        <v>136</v>
      </c>
      <c r="B1" s="33" t="s">
        <v>116</v>
      </c>
    </row>
    <row r="2" spans="1:5" x14ac:dyDescent="0.3">
      <c r="A2" s="24" t="s">
        <v>118</v>
      </c>
    </row>
    <row r="3" spans="1:5" x14ac:dyDescent="0.3">
      <c r="A3" s="55" t="s">
        <v>117</v>
      </c>
    </row>
    <row r="4" spans="1:5" x14ac:dyDescent="0.3">
      <c r="A4" s="55"/>
    </row>
    <row r="5" spans="1:5" x14ac:dyDescent="0.3">
      <c r="A5" s="24" t="s">
        <v>97</v>
      </c>
    </row>
    <row r="6" spans="1:5" x14ac:dyDescent="0.3">
      <c r="A6" s="25" t="s">
        <v>49</v>
      </c>
      <c r="B6" s="20">
        <v>2018</v>
      </c>
      <c r="C6" s="20"/>
    </row>
    <row r="7" spans="1:5" x14ac:dyDescent="0.3">
      <c r="A7" s="25" t="s">
        <v>50</v>
      </c>
      <c r="B7" s="20" t="s">
        <v>51</v>
      </c>
      <c r="C7" s="20" t="s">
        <v>52</v>
      </c>
    </row>
    <row r="10" spans="1:5" s="36" customFormat="1" ht="19.5" x14ac:dyDescent="0.3">
      <c r="A10" s="35" t="s">
        <v>64</v>
      </c>
      <c r="B10" s="35" t="s">
        <v>65</v>
      </c>
    </row>
    <row r="11" spans="1:5" s="30" customFormat="1" x14ac:dyDescent="0.3">
      <c r="A11" s="29"/>
      <c r="B11" s="29"/>
    </row>
    <row r="12" spans="1:5" x14ac:dyDescent="0.3">
      <c r="B12" s="27" t="s">
        <v>53</v>
      </c>
      <c r="C12" s="27" t="s">
        <v>55</v>
      </c>
      <c r="D12" s="27" t="s">
        <v>56</v>
      </c>
    </row>
    <row r="13" spans="1:5" x14ac:dyDescent="0.3">
      <c r="A13" s="15"/>
      <c r="B13" s="21" t="s">
        <v>5</v>
      </c>
      <c r="C13" s="20" t="s">
        <v>54</v>
      </c>
      <c r="D13" s="26">
        <v>0.15</v>
      </c>
    </row>
    <row r="14" spans="1:5" x14ac:dyDescent="0.3">
      <c r="A14" s="15"/>
      <c r="B14" s="21" t="s">
        <v>57</v>
      </c>
      <c r="C14" s="20" t="s">
        <v>58</v>
      </c>
      <c r="D14" s="26">
        <v>0.15</v>
      </c>
    </row>
    <row r="15" spans="1:5" x14ac:dyDescent="0.3">
      <c r="A15" s="15"/>
      <c r="B15" s="21" t="s">
        <v>59</v>
      </c>
      <c r="C15" s="20" t="s">
        <v>60</v>
      </c>
      <c r="D15" s="26">
        <v>0.3</v>
      </c>
    </row>
    <row r="16" spans="1:5" x14ac:dyDescent="0.3">
      <c r="A16" s="15"/>
      <c r="B16" s="21" t="s">
        <v>61</v>
      </c>
      <c r="C16" s="20" t="s">
        <v>62</v>
      </c>
      <c r="D16" s="26">
        <v>0.4</v>
      </c>
      <c r="E16" t="s">
        <v>76</v>
      </c>
    </row>
    <row r="17" spans="1:9" x14ac:dyDescent="0.3">
      <c r="B17" s="20" t="s">
        <v>63</v>
      </c>
      <c r="C17" s="20"/>
      <c r="D17" s="26">
        <f>SUM(D13:D16)</f>
        <v>1</v>
      </c>
    </row>
    <row r="18" spans="1:9" x14ac:dyDescent="0.3">
      <c r="B18" s="31"/>
      <c r="C18" s="31"/>
      <c r="D18" s="32"/>
    </row>
    <row r="20" spans="1:9" s="36" customFormat="1" ht="19.5" x14ac:dyDescent="0.3">
      <c r="A20" s="35" t="s">
        <v>66</v>
      </c>
      <c r="B20" s="35" t="s">
        <v>67</v>
      </c>
    </row>
    <row r="21" spans="1:9" x14ac:dyDescent="0.3">
      <c r="A21" s="24"/>
      <c r="B21" s="24"/>
    </row>
    <row r="22" spans="1:9" ht="17.25" thickBot="1" x14ac:dyDescent="0.35">
      <c r="A22" s="24" t="s">
        <v>96</v>
      </c>
    </row>
    <row r="23" spans="1:9" ht="32.25" customHeight="1" x14ac:dyDescent="0.3">
      <c r="A23" s="157" t="s">
        <v>119</v>
      </c>
      <c r="B23" s="158"/>
      <c r="C23" s="159"/>
    </row>
    <row r="24" spans="1:9" ht="10.5" customHeight="1" thickBot="1" x14ac:dyDescent="0.35">
      <c r="A24" s="160"/>
      <c r="B24" s="161"/>
      <c r="C24" s="162"/>
    </row>
    <row r="26" spans="1:9" x14ac:dyDescent="0.3">
      <c r="A26" s="25" t="s">
        <v>68</v>
      </c>
      <c r="B26" s="25" t="s">
        <v>69</v>
      </c>
      <c r="C26" s="25" t="s">
        <v>70</v>
      </c>
      <c r="D26" s="25" t="s">
        <v>56</v>
      </c>
      <c r="E26" s="25" t="s">
        <v>120</v>
      </c>
      <c r="F26" s="25" t="s">
        <v>71</v>
      </c>
      <c r="G26" s="25" t="s">
        <v>121</v>
      </c>
      <c r="H26" s="25" t="s">
        <v>72</v>
      </c>
    </row>
    <row r="27" spans="1:9" x14ac:dyDescent="0.3">
      <c r="A27" s="56" t="s">
        <v>77</v>
      </c>
      <c r="B27" s="57" t="s">
        <v>5</v>
      </c>
      <c r="C27" s="56" t="s">
        <v>54</v>
      </c>
      <c r="D27" s="56">
        <v>0.15</v>
      </c>
      <c r="E27" s="56">
        <v>2548000</v>
      </c>
      <c r="F27" s="56">
        <v>129098494</v>
      </c>
      <c r="G27" s="58">
        <f>E27*F27</f>
        <v>328942962712000</v>
      </c>
      <c r="H27" s="56">
        <f>D27*SUM($G$27:$G$31)/G27</f>
        <v>0.16355583200168378</v>
      </c>
    </row>
    <row r="28" spans="1:9" x14ac:dyDescent="0.3">
      <c r="A28" s="56" t="s">
        <v>77</v>
      </c>
      <c r="B28" s="57" t="s">
        <v>57</v>
      </c>
      <c r="C28" s="56" t="s">
        <v>58</v>
      </c>
      <c r="D28" s="56">
        <v>0.15</v>
      </c>
      <c r="E28" s="56">
        <v>221100</v>
      </c>
      <c r="F28" s="58">
        <v>122666424</v>
      </c>
      <c r="G28" s="58">
        <f t="shared" ref="G28:G47" si="0">E28*F28</f>
        <v>27121546346400</v>
      </c>
      <c r="H28" s="56">
        <f t="shared" ref="H28:H31" si="1">D28*SUM($G$27:$G$31)/G28</f>
        <v>1.9836826138271153</v>
      </c>
    </row>
    <row r="29" spans="1:9" x14ac:dyDescent="0.3">
      <c r="A29" s="56" t="s">
        <v>77</v>
      </c>
      <c r="B29" s="57" t="s">
        <v>59</v>
      </c>
      <c r="C29" s="56" t="s">
        <v>60</v>
      </c>
      <c r="D29" s="56">
        <v>0.3</v>
      </c>
      <c r="E29" s="56">
        <v>163300</v>
      </c>
      <c r="F29" s="56">
        <v>15956260</v>
      </c>
      <c r="G29" s="58">
        <f t="shared" si="0"/>
        <v>2605657258000</v>
      </c>
      <c r="H29" s="87">
        <f t="shared" si="1"/>
        <v>41.295177853709873</v>
      </c>
    </row>
    <row r="30" spans="1:9" x14ac:dyDescent="0.3">
      <c r="A30" s="59" t="s">
        <v>77</v>
      </c>
      <c r="B30" s="60" t="s">
        <v>61</v>
      </c>
      <c r="C30" s="61" t="s">
        <v>62</v>
      </c>
      <c r="D30" s="61">
        <v>0</v>
      </c>
      <c r="E30" s="61">
        <v>0</v>
      </c>
      <c r="F30" s="61">
        <v>0</v>
      </c>
      <c r="G30" s="58">
        <f t="shared" si="0"/>
        <v>0</v>
      </c>
      <c r="H30" s="56">
        <v>0</v>
      </c>
      <c r="I30" t="s">
        <v>122</v>
      </c>
    </row>
    <row r="31" spans="1:9" x14ac:dyDescent="0.3">
      <c r="A31" s="56" t="s">
        <v>77</v>
      </c>
      <c r="B31" s="56" t="s">
        <v>73</v>
      </c>
      <c r="C31" s="56" t="s">
        <v>74</v>
      </c>
      <c r="D31" s="56">
        <v>0.4</v>
      </c>
      <c r="E31" s="56">
        <v>1</v>
      </c>
      <c r="F31" s="56">
        <v>100000000</v>
      </c>
      <c r="G31" s="58">
        <f t="shared" si="0"/>
        <v>100000000</v>
      </c>
      <c r="H31" s="56">
        <f t="shared" si="1"/>
        <v>1434681.0652656001</v>
      </c>
    </row>
    <row r="32" spans="1:9" ht="3" customHeight="1" x14ac:dyDescent="0.3">
      <c r="A32" s="62"/>
      <c r="B32" s="62"/>
      <c r="C32" s="62"/>
      <c r="D32" s="62"/>
      <c r="E32" s="62"/>
      <c r="F32" s="62"/>
      <c r="G32" s="63"/>
      <c r="H32" s="62"/>
    </row>
    <row r="33" spans="1:9" x14ac:dyDescent="0.3">
      <c r="A33" s="56" t="s">
        <v>78</v>
      </c>
      <c r="B33" s="57" t="s">
        <v>5</v>
      </c>
      <c r="C33" s="56" t="s">
        <v>54</v>
      </c>
      <c r="D33" s="56">
        <v>0.15</v>
      </c>
      <c r="E33" s="56">
        <v>46650</v>
      </c>
      <c r="F33" s="56">
        <v>6419324700</v>
      </c>
      <c r="G33" s="58">
        <f t="shared" si="0"/>
        <v>299461497255000</v>
      </c>
      <c r="H33" s="56">
        <f>D33*SUM($G$33:$G$37)/G33</f>
        <v>0.17094612419283317</v>
      </c>
    </row>
    <row r="34" spans="1:9" x14ac:dyDescent="0.3">
      <c r="A34" s="56" t="s">
        <v>79</v>
      </c>
      <c r="B34" s="57" t="s">
        <v>57</v>
      </c>
      <c r="C34" s="56" t="s">
        <v>58</v>
      </c>
      <c r="D34" s="56">
        <v>0.15</v>
      </c>
      <c r="E34" s="56">
        <v>303500</v>
      </c>
      <c r="F34" s="58">
        <v>125395903</v>
      </c>
      <c r="G34" s="58">
        <f t="shared" si="0"/>
        <v>38057656560500</v>
      </c>
      <c r="H34" s="56">
        <f t="shared" ref="H34:H37" si="2">D34*SUM($G$33:$G$37)/G34</f>
        <v>1.3451112582128057</v>
      </c>
    </row>
    <row r="35" spans="1:9" x14ac:dyDescent="0.3">
      <c r="A35" s="56" t="s">
        <v>80</v>
      </c>
      <c r="B35" s="57" t="s">
        <v>59</v>
      </c>
      <c r="C35" s="56" t="s">
        <v>60</v>
      </c>
      <c r="D35" s="56">
        <v>0.3</v>
      </c>
      <c r="E35" s="56">
        <v>235600</v>
      </c>
      <c r="F35" s="56">
        <v>15956260</v>
      </c>
      <c r="G35" s="58">
        <f t="shared" si="0"/>
        <v>3759294856000</v>
      </c>
      <c r="H35" s="56">
        <f t="shared" si="2"/>
        <v>27.234779000652562</v>
      </c>
    </row>
    <row r="36" spans="1:9" x14ac:dyDescent="0.3">
      <c r="A36" s="59" t="s">
        <v>81</v>
      </c>
      <c r="B36" s="60" t="s">
        <v>61</v>
      </c>
      <c r="C36" s="61" t="s">
        <v>62</v>
      </c>
      <c r="D36" s="61">
        <v>0</v>
      </c>
      <c r="E36" s="61">
        <v>0</v>
      </c>
      <c r="F36" s="61">
        <v>0</v>
      </c>
      <c r="G36" s="58">
        <v>0</v>
      </c>
      <c r="H36" s="56">
        <v>0</v>
      </c>
      <c r="I36" t="s">
        <v>122</v>
      </c>
    </row>
    <row r="37" spans="1:9" x14ac:dyDescent="0.3">
      <c r="A37" s="56" t="s">
        <v>78</v>
      </c>
      <c r="B37" s="56" t="s">
        <v>73</v>
      </c>
      <c r="C37" s="56" t="s">
        <v>74</v>
      </c>
      <c r="D37" s="56">
        <v>0.4</v>
      </c>
      <c r="E37" s="56">
        <v>1</v>
      </c>
      <c r="F37" s="56">
        <v>100000000</v>
      </c>
      <c r="G37" s="58">
        <f t="shared" si="0"/>
        <v>100000000</v>
      </c>
      <c r="H37" s="56">
        <f t="shared" si="2"/>
        <v>1365114.194686</v>
      </c>
    </row>
    <row r="38" spans="1:9" ht="3" customHeight="1" x14ac:dyDescent="0.3">
      <c r="A38" s="62"/>
      <c r="B38" s="62"/>
      <c r="C38" s="62"/>
      <c r="D38" s="62"/>
      <c r="E38" s="62"/>
      <c r="F38" s="62"/>
      <c r="G38" s="63"/>
      <c r="H38" s="62"/>
    </row>
    <row r="39" spans="1:9" x14ac:dyDescent="0.3">
      <c r="A39" s="56" t="s">
        <v>82</v>
      </c>
      <c r="B39" s="57" t="s">
        <v>5</v>
      </c>
      <c r="C39" s="56" t="s">
        <v>54</v>
      </c>
      <c r="D39" s="56">
        <v>0.15</v>
      </c>
      <c r="E39" s="56">
        <v>38700</v>
      </c>
      <c r="F39" s="56">
        <v>5969782550</v>
      </c>
      <c r="G39" s="58">
        <f t="shared" si="0"/>
        <v>231030584685000</v>
      </c>
      <c r="H39" s="56">
        <f>D39*SUM($G$39:$G$42)/G39</f>
        <v>0.1711597722073912</v>
      </c>
    </row>
    <row r="40" spans="1:9" x14ac:dyDescent="0.3">
      <c r="A40" s="56" t="s">
        <v>82</v>
      </c>
      <c r="B40" s="57" t="s">
        <v>57</v>
      </c>
      <c r="C40" s="56" t="s">
        <v>58</v>
      </c>
      <c r="D40" s="56">
        <v>0.15</v>
      </c>
      <c r="E40" s="56">
        <v>222500</v>
      </c>
      <c r="F40" s="58">
        <v>125456133</v>
      </c>
      <c r="G40" s="58">
        <f t="shared" si="0"/>
        <v>27913989592500</v>
      </c>
      <c r="H40" s="56">
        <f t="shared" ref="H40:H42" si="3">D40*SUM($G$39:$G$42)/G40</f>
        <v>1.4166066128451071</v>
      </c>
    </row>
    <row r="41" spans="1:9" x14ac:dyDescent="0.3">
      <c r="A41" s="56" t="s">
        <v>82</v>
      </c>
      <c r="B41" s="57" t="s">
        <v>59</v>
      </c>
      <c r="C41" s="56" t="s">
        <v>60</v>
      </c>
      <c r="D41" s="56">
        <v>0.3</v>
      </c>
      <c r="E41" s="56">
        <v>254000</v>
      </c>
      <c r="F41" s="56">
        <v>15956260</v>
      </c>
      <c r="G41" s="58">
        <f t="shared" si="0"/>
        <v>4052890040000</v>
      </c>
      <c r="H41" s="56">
        <f t="shared" si="3"/>
        <v>19.513552974472013</v>
      </c>
    </row>
    <row r="42" spans="1:9" x14ac:dyDescent="0.3">
      <c r="A42" s="56" t="s">
        <v>82</v>
      </c>
      <c r="B42" s="57" t="s">
        <v>61</v>
      </c>
      <c r="C42" s="56" t="s">
        <v>62</v>
      </c>
      <c r="D42" s="56">
        <v>0.4</v>
      </c>
      <c r="E42" s="56">
        <v>10040</v>
      </c>
      <c r="F42" s="56">
        <v>62100000</v>
      </c>
      <c r="G42" s="58">
        <f t="shared" si="0"/>
        <v>623484000000</v>
      </c>
      <c r="H42" s="56">
        <f t="shared" si="3"/>
        <v>169.12764293390046</v>
      </c>
    </row>
    <row r="43" spans="1:9" ht="3" customHeight="1" x14ac:dyDescent="0.3">
      <c r="A43" s="62"/>
      <c r="B43" s="62"/>
      <c r="C43" s="62"/>
      <c r="D43" s="62"/>
      <c r="E43" s="62"/>
      <c r="F43" s="62"/>
      <c r="G43" s="63"/>
      <c r="H43" s="62"/>
    </row>
    <row r="44" spans="1:9" x14ac:dyDescent="0.3">
      <c r="A44" s="56" t="s">
        <v>83</v>
      </c>
      <c r="B44" s="57" t="s">
        <v>5</v>
      </c>
      <c r="C44" s="56" t="s">
        <v>54</v>
      </c>
      <c r="D44" s="56">
        <v>0.15</v>
      </c>
      <c r="E44" s="56">
        <v>47000</v>
      </c>
      <c r="F44" s="56">
        <v>5969782550</v>
      </c>
      <c r="G44" s="58">
        <f t="shared" si="0"/>
        <v>280579779850000</v>
      </c>
      <c r="H44" s="56">
        <f>D44*SUM($G$44:$G$47)/G44</f>
        <v>0.1659288966779407</v>
      </c>
    </row>
    <row r="45" spans="1:9" x14ac:dyDescent="0.3">
      <c r="A45" s="56" t="s">
        <v>83</v>
      </c>
      <c r="B45" s="57" t="s">
        <v>57</v>
      </c>
      <c r="C45" s="56" t="s">
        <v>58</v>
      </c>
      <c r="D45" s="56">
        <v>0.15</v>
      </c>
      <c r="E45" s="56">
        <v>205500</v>
      </c>
      <c r="F45" s="58">
        <v>128329070</v>
      </c>
      <c r="G45" s="58">
        <f t="shared" si="0"/>
        <v>26371623885000</v>
      </c>
      <c r="H45" s="56">
        <f t="shared" ref="H45:H47" si="4">D45*SUM($G$44:$G$47)/G45</f>
        <v>1.7653934965730684</v>
      </c>
    </row>
    <row r="46" spans="1:9" x14ac:dyDescent="0.3">
      <c r="A46" s="56" t="s">
        <v>83</v>
      </c>
      <c r="B46" s="57" t="s">
        <v>59</v>
      </c>
      <c r="C46" s="56" t="s">
        <v>60</v>
      </c>
      <c r="D46" s="56">
        <v>0.3</v>
      </c>
      <c r="E46" s="56">
        <v>168600</v>
      </c>
      <c r="F46" s="56">
        <v>15956260</v>
      </c>
      <c r="G46" s="58">
        <f t="shared" si="0"/>
        <v>2690225436000</v>
      </c>
      <c r="H46" s="56">
        <f t="shared" si="4"/>
        <v>34.611443842321918</v>
      </c>
    </row>
    <row r="47" spans="1:9" x14ac:dyDescent="0.3">
      <c r="A47" s="56" t="s">
        <v>83</v>
      </c>
      <c r="B47" s="57" t="s">
        <v>61</v>
      </c>
      <c r="C47" s="56" t="s">
        <v>62</v>
      </c>
      <c r="D47" s="56">
        <v>0.4</v>
      </c>
      <c r="E47" s="56">
        <v>10805</v>
      </c>
      <c r="F47" s="56">
        <v>67900000</v>
      </c>
      <c r="G47" s="58">
        <f t="shared" si="0"/>
        <v>733659500000</v>
      </c>
      <c r="H47" s="56">
        <f t="shared" si="4"/>
        <v>169.22034740693741</v>
      </c>
    </row>
    <row r="49" spans="1:7" s="37" customFormat="1" ht="19.5" x14ac:dyDescent="0.3">
      <c r="A49" s="37" t="s">
        <v>84</v>
      </c>
      <c r="B49" s="38" t="s">
        <v>98</v>
      </c>
    </row>
    <row r="50" spans="1:7" x14ac:dyDescent="0.3">
      <c r="B50" s="28"/>
    </row>
    <row r="51" spans="1:7" ht="16.5" customHeight="1" x14ac:dyDescent="0.3">
      <c r="A51" s="163" t="s">
        <v>187</v>
      </c>
      <c r="B51" s="164"/>
      <c r="C51" s="164"/>
      <c r="D51" s="164"/>
      <c r="E51" s="164"/>
      <c r="F51" s="164"/>
      <c r="G51" s="39"/>
    </row>
    <row r="52" spans="1:7" x14ac:dyDescent="0.3">
      <c r="A52" s="164"/>
      <c r="B52" s="164"/>
      <c r="C52" s="164"/>
      <c r="D52" s="164"/>
      <c r="E52" s="164"/>
      <c r="F52" s="164"/>
      <c r="G52" s="39"/>
    </row>
    <row r="53" spans="1:7" x14ac:dyDescent="0.3">
      <c r="A53" s="164"/>
      <c r="B53" s="164"/>
      <c r="C53" s="164"/>
      <c r="D53" s="164"/>
      <c r="E53" s="164"/>
      <c r="F53" s="164"/>
      <c r="G53" s="39"/>
    </row>
    <row r="54" spans="1:7" x14ac:dyDescent="0.3">
      <c r="A54" s="164"/>
      <c r="B54" s="164"/>
      <c r="C54" s="164"/>
      <c r="D54" s="164"/>
      <c r="E54" s="164"/>
      <c r="F54" s="164"/>
      <c r="G54" s="39"/>
    </row>
    <row r="55" spans="1:7" x14ac:dyDescent="0.3">
      <c r="A55" s="164"/>
      <c r="B55" s="164"/>
      <c r="C55" s="164"/>
      <c r="D55" s="164"/>
      <c r="E55" s="164"/>
      <c r="F55" s="164"/>
      <c r="G55" s="39"/>
    </row>
    <row r="56" spans="1:7" x14ac:dyDescent="0.3">
      <c r="A56" s="164"/>
      <c r="B56" s="164"/>
      <c r="C56" s="164"/>
      <c r="D56" s="164"/>
      <c r="E56" s="164"/>
      <c r="F56" s="164"/>
      <c r="G56" s="39"/>
    </row>
    <row r="57" spans="1:7" x14ac:dyDescent="0.3">
      <c r="A57" s="164"/>
      <c r="B57" s="164"/>
      <c r="C57" s="164"/>
      <c r="D57" s="164"/>
      <c r="E57" s="164"/>
      <c r="F57" s="164"/>
      <c r="G57" s="39"/>
    </row>
    <row r="58" spans="1:7" x14ac:dyDescent="0.3">
      <c r="A58" s="164"/>
      <c r="B58" s="164"/>
      <c r="C58" s="164"/>
      <c r="D58" s="164"/>
      <c r="E58" s="164"/>
      <c r="F58" s="164"/>
      <c r="G58" s="39"/>
    </row>
    <row r="59" spans="1:7" x14ac:dyDescent="0.3">
      <c r="A59" s="164"/>
      <c r="B59" s="164"/>
      <c r="C59" s="164"/>
      <c r="D59" s="164"/>
      <c r="E59" s="164"/>
      <c r="F59" s="164"/>
      <c r="G59" s="39"/>
    </row>
    <row r="60" spans="1:7" x14ac:dyDescent="0.3">
      <c r="A60" s="164"/>
      <c r="B60" s="164"/>
      <c r="C60" s="164"/>
      <c r="D60" s="164"/>
      <c r="E60" s="164"/>
      <c r="F60" s="164"/>
      <c r="G60" s="39"/>
    </row>
    <row r="61" spans="1:7" x14ac:dyDescent="0.3">
      <c r="A61" s="164"/>
      <c r="B61" s="164"/>
      <c r="C61" s="164"/>
      <c r="D61" s="164"/>
      <c r="E61" s="164"/>
      <c r="F61" s="164"/>
      <c r="G61" s="39"/>
    </row>
    <row r="62" spans="1:7" x14ac:dyDescent="0.3">
      <c r="A62" s="164"/>
      <c r="B62" s="164"/>
      <c r="C62" s="164"/>
      <c r="D62" s="164"/>
      <c r="E62" s="164"/>
      <c r="F62" s="164"/>
      <c r="G62" s="39"/>
    </row>
    <row r="63" spans="1:7" x14ac:dyDescent="0.3">
      <c r="A63" s="164"/>
      <c r="B63" s="164"/>
      <c r="C63" s="164"/>
      <c r="D63" s="164"/>
      <c r="E63" s="164"/>
      <c r="F63" s="164"/>
      <c r="G63" s="39"/>
    </row>
    <row r="64" spans="1:7" x14ac:dyDescent="0.3">
      <c r="A64" s="164"/>
      <c r="B64" s="164"/>
      <c r="C64" s="164"/>
      <c r="D64" s="164"/>
      <c r="E64" s="164"/>
      <c r="F64" s="164"/>
      <c r="G64" s="39"/>
    </row>
    <row r="65" spans="1:7" x14ac:dyDescent="0.3">
      <c r="A65" s="164"/>
      <c r="B65" s="164"/>
      <c r="C65" s="164"/>
      <c r="D65" s="164"/>
      <c r="E65" s="164"/>
      <c r="F65" s="164"/>
      <c r="G65" s="39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N16" zoomScale="85" zoomScaleNormal="85" workbookViewId="0">
      <selection activeCell="AC31" sqref="AC31"/>
    </sheetView>
  </sheetViews>
  <sheetFormatPr defaultColWidth="8.875" defaultRowHeight="13.5" x14ac:dyDescent="0.3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3.125" style="16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45" customWidth="1"/>
    <col min="29" max="29" width="23.5" style="45" customWidth="1"/>
    <col min="30" max="30" width="16.125" style="45" bestFit="1" customWidth="1"/>
    <col min="31" max="31" width="15" style="45" customWidth="1"/>
    <col min="32" max="32" width="9.375" style="45" bestFit="1" customWidth="1"/>
    <col min="33" max="35" width="9" style="54" bestFit="1" customWidth="1"/>
    <col min="36" max="36" width="12.375" style="54" customWidth="1"/>
    <col min="37" max="16384" width="8.875" style="16"/>
  </cols>
  <sheetData>
    <row r="1" spans="1:36" x14ac:dyDescent="0.3">
      <c r="A1" s="48"/>
      <c r="B1" s="48"/>
      <c r="C1" s="166" t="s">
        <v>126</v>
      </c>
      <c r="D1" s="167"/>
      <c r="E1" s="167"/>
      <c r="F1" s="167"/>
      <c r="G1" s="168"/>
      <c r="H1" s="169" t="s">
        <v>127</v>
      </c>
      <c r="I1" s="170"/>
      <c r="J1" s="170"/>
      <c r="K1" s="170"/>
      <c r="L1" s="171"/>
      <c r="M1" s="166" t="s">
        <v>128</v>
      </c>
      <c r="N1" s="167"/>
      <c r="O1" s="167"/>
      <c r="P1" s="167"/>
      <c r="Q1" s="168"/>
      <c r="R1" s="169" t="s">
        <v>129</v>
      </c>
      <c r="S1" s="170"/>
      <c r="T1" s="170"/>
      <c r="U1" s="170"/>
      <c r="V1" s="171"/>
      <c r="W1" s="166" t="s">
        <v>130</v>
      </c>
      <c r="X1" s="167"/>
      <c r="Y1" s="167"/>
      <c r="Z1" s="167"/>
      <c r="AA1" s="168"/>
      <c r="AB1" s="172" t="s">
        <v>92</v>
      </c>
      <c r="AC1" s="172"/>
      <c r="AD1" s="172"/>
      <c r="AE1" s="172"/>
      <c r="AF1" s="172"/>
      <c r="AG1" s="165" t="s">
        <v>113</v>
      </c>
      <c r="AH1" s="165"/>
      <c r="AI1" s="165"/>
      <c r="AJ1" s="165"/>
    </row>
    <row r="2" spans="1:36" x14ac:dyDescent="0.3">
      <c r="A2" s="48" t="s">
        <v>85</v>
      </c>
      <c r="B2" s="48" t="s">
        <v>87</v>
      </c>
      <c r="C2" s="49" t="s">
        <v>107</v>
      </c>
      <c r="D2" s="49" t="s">
        <v>108</v>
      </c>
      <c r="E2" s="49" t="s">
        <v>17</v>
      </c>
      <c r="F2" s="77" t="s">
        <v>131</v>
      </c>
      <c r="G2" s="78" t="s">
        <v>123</v>
      </c>
      <c r="H2" s="48" t="s">
        <v>14</v>
      </c>
      <c r="I2" s="48" t="s">
        <v>15</v>
      </c>
      <c r="J2" s="48" t="s">
        <v>17</v>
      </c>
      <c r="K2" s="68" t="s">
        <v>124</v>
      </c>
      <c r="L2" s="69" t="s">
        <v>132</v>
      </c>
      <c r="M2" s="49" t="s">
        <v>109</v>
      </c>
      <c r="N2" s="49" t="s">
        <v>110</v>
      </c>
      <c r="O2" s="49" t="s">
        <v>17</v>
      </c>
      <c r="P2" s="77" t="s">
        <v>133</v>
      </c>
      <c r="Q2" s="78" t="s">
        <v>132</v>
      </c>
      <c r="R2" s="48" t="s">
        <v>14</v>
      </c>
      <c r="S2" s="48" t="s">
        <v>111</v>
      </c>
      <c r="T2" s="48" t="s">
        <v>17</v>
      </c>
      <c r="U2" s="68" t="s">
        <v>133</v>
      </c>
      <c r="V2" s="69" t="s">
        <v>134</v>
      </c>
      <c r="W2" s="49" t="s">
        <v>14</v>
      </c>
      <c r="X2" s="49" t="s">
        <v>111</v>
      </c>
      <c r="Y2" s="49" t="s">
        <v>17</v>
      </c>
      <c r="Z2" s="77" t="s">
        <v>135</v>
      </c>
      <c r="AA2" s="78" t="s">
        <v>123</v>
      </c>
      <c r="AB2" s="50" t="s">
        <v>112</v>
      </c>
      <c r="AC2" s="50" t="s">
        <v>90</v>
      </c>
      <c r="AD2" s="50" t="s">
        <v>91</v>
      </c>
      <c r="AE2" s="80" t="s">
        <v>92</v>
      </c>
      <c r="AF2" s="50" t="s">
        <v>93</v>
      </c>
      <c r="AG2" s="48" t="s">
        <v>114</v>
      </c>
      <c r="AH2" s="48" t="s">
        <v>94</v>
      </c>
      <c r="AI2" s="48" t="s">
        <v>95</v>
      </c>
      <c r="AJ2" s="48" t="s">
        <v>115</v>
      </c>
    </row>
    <row r="3" spans="1:36" x14ac:dyDescent="0.3">
      <c r="A3" s="90">
        <v>20171228</v>
      </c>
      <c r="B3" s="90" t="s">
        <v>88</v>
      </c>
      <c r="C3" s="90">
        <v>2468000</v>
      </c>
      <c r="D3" s="90">
        <v>2548000</v>
      </c>
      <c r="E3" s="90">
        <v>129098494</v>
      </c>
      <c r="F3" s="90">
        <f>ROUND(0.15*(D3*E3+I3*J3+N3*O3+X3*Y3)/(D3*E3),17)</f>
        <v>0.163555832001684</v>
      </c>
      <c r="G3" s="90">
        <f>ROUND(0.15*(D3*E3+I3*J3+N3*O3+X3*Y3)/(D3*E3),17)</f>
        <v>0.163555832001684</v>
      </c>
      <c r="H3" s="90">
        <v>220000</v>
      </c>
      <c r="I3" s="90">
        <v>221100</v>
      </c>
      <c r="J3" s="91">
        <v>122666424</v>
      </c>
      <c r="K3" s="90">
        <f>ROUND(0.15*(D3*E3+I3*J3+N3*O3+X3*Y3)/(I3*J3),17)</f>
        <v>1.98368261382712</v>
      </c>
      <c r="L3" s="90">
        <f>ROUND(0.15*(D3*E3+I3*J3+N3*O3+X3*Y3)/(I3*J3),17)</f>
        <v>1.98368261382712</v>
      </c>
      <c r="M3" s="90">
        <v>160000</v>
      </c>
      <c r="N3" s="90">
        <v>163300</v>
      </c>
      <c r="O3" s="90">
        <v>15956260</v>
      </c>
      <c r="P3" s="90">
        <f>ROUND(0.3*(D3*E3+I3*J3+N3*O3+X3*Y3)/(N3*O3),17)</f>
        <v>41.295177853709902</v>
      </c>
      <c r="Q3" s="90">
        <f>ROUND(0.3*(D3*E3+I3*J3+N3*O3+X3*Y3)/(N3*O3),17)</f>
        <v>41.295177853709902</v>
      </c>
      <c r="R3" s="90">
        <v>0</v>
      </c>
      <c r="S3" s="90"/>
      <c r="T3" s="90">
        <v>0</v>
      </c>
      <c r="U3" s="90">
        <v>0</v>
      </c>
      <c r="V3" s="90"/>
      <c r="W3" s="90">
        <v>1</v>
      </c>
      <c r="X3" s="90">
        <v>1</v>
      </c>
      <c r="Y3" s="90">
        <v>100000000</v>
      </c>
      <c r="Z3" s="90">
        <f>ROUND(0.4*(D3*E3+I3*J3+N3*O3+X3*Y3)/(X3*Y3),17)</f>
        <v>1434681.0652656001</v>
      </c>
      <c r="AA3" s="90">
        <f>ROUND(0.4*(D3*E3+I3*J3+N3*O3+X3*Y3)/(X3*Y3),17)</f>
        <v>1434681.0652656001</v>
      </c>
      <c r="AB3" s="91" t="e">
        <f>C3*E3*F3+H3*J3*K3+M3*O3*P3+#REF!*#REF!*#REF!</f>
        <v>#REF!</v>
      </c>
      <c r="AC3" s="91">
        <f>D3*E3*G3+I3*J3*L3+N3*O3*Q3+X3*Y3*AA3</f>
        <v>358670266316400.25</v>
      </c>
      <c r="AD3" s="91">
        <f t="shared" ref="AD3:AD66" si="0">D3*E3*G3+I3*J3*L3+N3*O3*Q3+X3*Y3*AA3</f>
        <v>358670266316400.25</v>
      </c>
      <c r="AE3" s="92">
        <f>AD3/AC3*1000</f>
        <v>1000</v>
      </c>
      <c r="AF3" s="90"/>
      <c r="AG3" s="90"/>
      <c r="AH3" s="90"/>
      <c r="AI3" s="90"/>
      <c r="AJ3" s="90"/>
    </row>
    <row r="4" spans="1:36" s="17" customFormat="1" x14ac:dyDescent="0.3">
      <c r="A4" s="65">
        <v>20180102</v>
      </c>
      <c r="B4" s="65" t="s">
        <v>89</v>
      </c>
      <c r="C4" s="49">
        <v>2548000</v>
      </c>
      <c r="D4" s="49">
        <v>2551000</v>
      </c>
      <c r="E4" s="49">
        <v>129098494</v>
      </c>
      <c r="F4" s="49">
        <f>ROUND(0.15*(D4*E4+I4*J4+N4*O4+X4*Y4)/(D4*E4),17)</f>
        <v>0.163829873112531</v>
      </c>
      <c r="G4" s="49">
        <f>ROUND(0.15*(D4*E4+I4*J4+N4*O4+X4*Y4)/(D4*E4),17)</f>
        <v>0.163829873112531</v>
      </c>
      <c r="H4" s="48">
        <v>221100</v>
      </c>
      <c r="I4" s="48">
        <v>225900</v>
      </c>
      <c r="J4" s="51">
        <v>122666424</v>
      </c>
      <c r="K4" s="48">
        <f>ROUND(0.15*(D4*E4+I4*J4+N4*O4+X4*Y4)/(I4*J4),17)</f>
        <v>1.94707550766514</v>
      </c>
      <c r="L4" s="48">
        <f>ROUND(0.15*(D4*E4+I4*J4+N4*O4+X4*Y4)/(I4*J4),17)</f>
        <v>1.94707550766514</v>
      </c>
      <c r="M4" s="49">
        <v>163300</v>
      </c>
      <c r="N4" s="49">
        <v>166300</v>
      </c>
      <c r="O4" s="49">
        <v>15956260</v>
      </c>
      <c r="P4" s="49">
        <f>ROUND(0.3*(D4*E4+I4*J4+N4*O4+X4*Y4)/(N4*O4),17)</f>
        <v>40.665992071972298</v>
      </c>
      <c r="Q4" s="49">
        <f>ROUND(0.3*(D4*E4+I4*J4+N4*O4+X4*Y4)/(N4*O4),17)</f>
        <v>40.665992071972298</v>
      </c>
      <c r="R4" s="48">
        <v>0</v>
      </c>
      <c r="S4" s="48"/>
      <c r="T4" s="48">
        <v>0</v>
      </c>
      <c r="U4" s="48">
        <v>0</v>
      </c>
      <c r="V4" s="48"/>
      <c r="W4" s="49">
        <v>1</v>
      </c>
      <c r="X4" s="49">
        <v>1</v>
      </c>
      <c r="Y4" s="49">
        <v>100000000</v>
      </c>
      <c r="Z4" s="49">
        <f>ROUND(0.4*(D4*E4+I4*J4+N4*O4+X4*Y4)/(X4*Y4),17)</f>
        <v>1438776.9176544</v>
      </c>
      <c r="AA4" s="49">
        <f>ROUND(0.4*(D4*E4+I4*J4+N4*O4+X4*Y4)/(X4*Y4),17)</f>
        <v>1438776.9176544</v>
      </c>
      <c r="AB4" s="82">
        <f t="shared" ref="AB4:AB67" si="1">IF(AD3&lt;&gt;(C4*E4*F4+H4*J4*K4+M4*O4*P4+W4*Y4*Z4),1,0)</f>
        <v>1</v>
      </c>
      <c r="AC4" s="82">
        <f>D4*E4*G4+I4*J4*L4+N4*O4*Q4+X4*Y4*AA4</f>
        <v>359694229413600.25</v>
      </c>
      <c r="AD4" s="81">
        <f t="shared" si="0"/>
        <v>359694229413600.25</v>
      </c>
      <c r="AE4" s="80">
        <f t="shared" ref="AE4:AE67" si="2">AD4/AC4*1000</f>
        <v>1000</v>
      </c>
      <c r="AF4" s="52">
        <f>(AE4-AE3)/AE3</f>
        <v>0</v>
      </c>
      <c r="AG4" s="48">
        <f t="shared" ref="AG4:AG67" si="3">(D4-C4)/C4</f>
        <v>1.1773940345368916E-3</v>
      </c>
      <c r="AH4" s="48">
        <f>(I4-H4)/H4</f>
        <v>2.1709633649932156E-2</v>
      </c>
      <c r="AI4" s="48">
        <f>(N4-M4)/M4</f>
        <v>1.8371096142069811E-2</v>
      </c>
      <c r="AJ4" s="48">
        <f>(X4-W4)/X4</f>
        <v>0</v>
      </c>
    </row>
    <row r="5" spans="1:36" x14ac:dyDescent="0.3">
      <c r="A5" s="48">
        <v>20180103</v>
      </c>
      <c r="B5" s="48" t="s">
        <v>88</v>
      </c>
      <c r="C5" s="49">
        <v>2551000</v>
      </c>
      <c r="D5" s="49">
        <v>2581000</v>
      </c>
      <c r="E5" s="49">
        <v>129098494</v>
      </c>
      <c r="F5" s="49">
        <f t="shared" ref="F5:F68" si="4">G4</f>
        <v>0.163829873112531</v>
      </c>
      <c r="G5" s="49">
        <f t="shared" ref="G5:G68" si="5">IF(B5="Y",ROUND(0.15*(C5*E5+H5*J5+M5*O5+W5*Y5)/(C5*E5),17),IF(AB5=0,F5,ROUND(D4*E4*G4/AD4*(C5*E5+H5*J5+M5*O5+W5*Y5)/(C5*E5),17)))</f>
        <v>0.163829873112531</v>
      </c>
      <c r="H5" s="48">
        <v>225900</v>
      </c>
      <c r="I5" s="48">
        <v>246700</v>
      </c>
      <c r="J5" s="51">
        <v>122666424</v>
      </c>
      <c r="K5" s="48">
        <f t="shared" ref="K5:K68" si="6">L4</f>
        <v>1.94707550766514</v>
      </c>
      <c r="L5" s="48">
        <f t="shared" ref="L5:L68" si="7">IF(B5="Y",ROUND(0.15*(C5*E5+H5*J5+M5*O5+W5*Y5)/(H5*J5),17),IF(AB5=0,K5,ROUND(I4*J4*L4/AD4*(C5*E5+H5*J5+M5*O5+W5*Y5)/(H5*J5),17)))</f>
        <v>1.94707550766514</v>
      </c>
      <c r="M5" s="49">
        <v>166300</v>
      </c>
      <c r="N5" s="49">
        <v>164200</v>
      </c>
      <c r="O5" s="49">
        <v>15956260</v>
      </c>
      <c r="P5" s="49">
        <f t="shared" ref="P5:P68" si="8">Q4</f>
        <v>40.665992071972298</v>
      </c>
      <c r="Q5" s="49">
        <f t="shared" ref="Q5:Q68" si="9">IF(B5="Y",ROUND(0.3*(C5*E5+H5*J5+M5*O5+W5*Y5)/(M5*O5),17),IF(AB5=0,P5,ROUND(N4*O4*Q4/AD4*(C5*E5+H5*J5+M5*O5+W5*Y5)/(M5*O5),17)))</f>
        <v>40.665992071972298</v>
      </c>
      <c r="R5" s="48">
        <v>0</v>
      </c>
      <c r="S5" s="48"/>
      <c r="T5" s="48">
        <v>0</v>
      </c>
      <c r="U5" s="48">
        <v>0</v>
      </c>
      <c r="V5" s="48"/>
      <c r="W5" s="49">
        <v>1</v>
      </c>
      <c r="X5" s="49">
        <v>1</v>
      </c>
      <c r="Y5" s="49">
        <v>100000000</v>
      </c>
      <c r="Z5" s="49">
        <f t="shared" ref="Z5:Z68" si="10">AA4</f>
        <v>1438776.9176544</v>
      </c>
      <c r="AA5" s="49">
        <f t="shared" ref="AA5:AA68" si="11">IF(B5="Y",ROUND(0.4*(C5*E5+H5*J5+M5*O5+W5*Y5)/(W5*Y5),17),IF(AB5=0,Z5,ROUND(X4*Y4*AA4/AD4*(C5*E5+H5*J5+M5*O5+W5*Y5)/(W5*Y5),17)))</f>
        <v>1438776.9176544</v>
      </c>
      <c r="AB5" s="82">
        <f t="shared" si="1"/>
        <v>0</v>
      </c>
      <c r="AC5" s="82">
        <f>IF(AND(AB5=0,B5="N"),AC4,AC4*(C5*E5*G5+H5*J5*L5+M5*O5*Q5+W5*Y5*AA5)/AD4)</f>
        <v>359694229413600.25</v>
      </c>
      <c r="AD5" s="81">
        <f t="shared" si="0"/>
        <v>363933981538240.87</v>
      </c>
      <c r="AE5" s="80">
        <f t="shared" si="2"/>
        <v>1011.7871007593104</v>
      </c>
      <c r="AF5" s="52">
        <f t="shared" ref="AF5:AF68" si="12">(AE5-AE4)/AE4</f>
        <v>1.178710075931042E-2</v>
      </c>
      <c r="AG5" s="48">
        <f t="shared" si="3"/>
        <v>1.1760094080752646E-2</v>
      </c>
      <c r="AH5" s="48">
        <f t="shared" ref="AH5:AH68" si="13">(I5-H5)/H5</f>
        <v>9.2076139884904831E-2</v>
      </c>
      <c r="AI5" s="48">
        <f t="shared" ref="AI5:AI68" si="14">(N5-M5)/M5</f>
        <v>-1.2627781118460614E-2</v>
      </c>
      <c r="AJ5" s="48">
        <f t="shared" ref="AJ5:AJ68" si="15">(X5-W5)/X5</f>
        <v>0</v>
      </c>
    </row>
    <row r="6" spans="1:36" x14ac:dyDescent="0.3">
      <c r="A6" s="48">
        <v>20180104</v>
      </c>
      <c r="B6" s="48" t="s">
        <v>88</v>
      </c>
      <c r="C6" s="49">
        <v>2581000</v>
      </c>
      <c r="D6" s="49">
        <v>2554000</v>
      </c>
      <c r="E6" s="49">
        <v>129098494</v>
      </c>
      <c r="F6" s="49">
        <f t="shared" si="4"/>
        <v>0.163829873112531</v>
      </c>
      <c r="G6" s="49">
        <f t="shared" si="5"/>
        <v>0.163829873112531</v>
      </c>
      <c r="H6" s="48">
        <v>246700</v>
      </c>
      <c r="I6" s="48">
        <v>250000</v>
      </c>
      <c r="J6" s="51">
        <v>122666424</v>
      </c>
      <c r="K6" s="48">
        <f t="shared" si="6"/>
        <v>1.94707550766514</v>
      </c>
      <c r="L6" s="48">
        <f t="shared" si="7"/>
        <v>1.94707550766514</v>
      </c>
      <c r="M6" s="49">
        <v>164200</v>
      </c>
      <c r="N6" s="49">
        <v>164400</v>
      </c>
      <c r="O6" s="49">
        <v>15956260</v>
      </c>
      <c r="P6" s="49">
        <f t="shared" si="8"/>
        <v>40.665992071972298</v>
      </c>
      <c r="Q6" s="49">
        <f t="shared" si="9"/>
        <v>40.665992071972298</v>
      </c>
      <c r="R6" s="48">
        <v>0</v>
      </c>
      <c r="S6" s="48"/>
      <c r="T6" s="48">
        <v>0</v>
      </c>
      <c r="U6" s="48">
        <v>0</v>
      </c>
      <c r="V6" s="48"/>
      <c r="W6" s="49">
        <v>1</v>
      </c>
      <c r="X6" s="49">
        <v>1</v>
      </c>
      <c r="Y6" s="49">
        <v>100000000</v>
      </c>
      <c r="Z6" s="49">
        <f t="shared" si="10"/>
        <v>1438776.9176544</v>
      </c>
      <c r="AA6" s="49">
        <f t="shared" si="11"/>
        <v>1438776.9176544</v>
      </c>
      <c r="AB6" s="82">
        <f t="shared" si="1"/>
        <v>0</v>
      </c>
      <c r="AC6" s="82">
        <f t="shared" ref="AC6:AC67" si="16">IF(AND(AB6=0,B6="N"),AC5,AC5*(C6*E6*G6+H6*J6*L6+M6*O6*Q6+W6*Y6*AA6)/AD5)</f>
        <v>359694229413600.25</v>
      </c>
      <c r="AD6" s="81">
        <f t="shared" si="0"/>
        <v>364280876445999.25</v>
      </c>
      <c r="AE6" s="80">
        <f t="shared" si="2"/>
        <v>1012.7515168644114</v>
      </c>
      <c r="AF6" s="52">
        <f t="shared" si="12"/>
        <v>9.5318086618938766E-4</v>
      </c>
      <c r="AG6" s="48">
        <f t="shared" si="3"/>
        <v>-1.0461061604029445E-2</v>
      </c>
      <c r="AH6" s="48">
        <f t="shared" si="13"/>
        <v>1.3376570733684636E-2</v>
      </c>
      <c r="AI6" s="48">
        <f t="shared" si="14"/>
        <v>1.2180267965895249E-3</v>
      </c>
      <c r="AJ6" s="48">
        <f t="shared" si="15"/>
        <v>0</v>
      </c>
    </row>
    <row r="7" spans="1:36" x14ac:dyDescent="0.3">
      <c r="A7" s="48">
        <v>20180105</v>
      </c>
      <c r="B7" s="48" t="s">
        <v>88</v>
      </c>
      <c r="C7" s="49">
        <v>2554000</v>
      </c>
      <c r="D7" s="49">
        <v>2606000</v>
      </c>
      <c r="E7" s="49">
        <v>129098494</v>
      </c>
      <c r="F7" s="49">
        <f t="shared" si="4"/>
        <v>0.163829873112531</v>
      </c>
      <c r="G7" s="49">
        <f t="shared" si="5"/>
        <v>0.163829873112531</v>
      </c>
      <c r="H7" s="48">
        <v>250000</v>
      </c>
      <c r="I7" s="48">
        <v>266900</v>
      </c>
      <c r="J7" s="51">
        <v>122666424</v>
      </c>
      <c r="K7" s="48">
        <f t="shared" si="6"/>
        <v>1.94707550766514</v>
      </c>
      <c r="L7" s="48">
        <f t="shared" si="7"/>
        <v>1.94707550766514</v>
      </c>
      <c r="M7" s="49">
        <v>164400</v>
      </c>
      <c r="N7" s="49">
        <v>170500</v>
      </c>
      <c r="O7" s="49">
        <v>15956260</v>
      </c>
      <c r="P7" s="49">
        <f t="shared" si="8"/>
        <v>40.665992071972298</v>
      </c>
      <c r="Q7" s="49">
        <f t="shared" si="9"/>
        <v>40.665992071972298</v>
      </c>
      <c r="R7" s="48">
        <v>0</v>
      </c>
      <c r="S7" s="48"/>
      <c r="T7" s="48">
        <v>0</v>
      </c>
      <c r="U7" s="48">
        <v>0</v>
      </c>
      <c r="V7" s="48"/>
      <c r="W7" s="49">
        <v>1</v>
      </c>
      <c r="X7" s="49">
        <v>1</v>
      </c>
      <c r="Y7" s="49">
        <v>100000000</v>
      </c>
      <c r="Z7" s="49">
        <f t="shared" si="10"/>
        <v>1438776.9176544</v>
      </c>
      <c r="AA7" s="49">
        <f t="shared" si="11"/>
        <v>1438776.9176544</v>
      </c>
      <c r="AB7" s="82">
        <f t="shared" si="1"/>
        <v>0</v>
      </c>
      <c r="AC7" s="82">
        <f t="shared" si="16"/>
        <v>359694229413600.25</v>
      </c>
      <c r="AD7" s="81">
        <f t="shared" si="0"/>
        <v>373375246237886.31</v>
      </c>
      <c r="AE7" s="80">
        <f t="shared" si="2"/>
        <v>1038.0351301342528</v>
      </c>
      <c r="AF7" s="52">
        <f t="shared" si="12"/>
        <v>2.4965268230969576E-2</v>
      </c>
      <c r="AG7" s="48">
        <f t="shared" si="3"/>
        <v>2.0360219263899765E-2</v>
      </c>
      <c r="AH7" s="48">
        <f t="shared" si="13"/>
        <v>6.7599999999999993E-2</v>
      </c>
      <c r="AI7" s="48">
        <f t="shared" si="14"/>
        <v>3.7104622871046232E-2</v>
      </c>
      <c r="AJ7" s="48">
        <f t="shared" si="15"/>
        <v>0</v>
      </c>
    </row>
    <row r="8" spans="1:36" x14ac:dyDescent="0.3">
      <c r="A8" s="48">
        <v>20180108</v>
      </c>
      <c r="B8" s="48" t="s">
        <v>88</v>
      </c>
      <c r="C8" s="49">
        <v>2606000</v>
      </c>
      <c r="D8" s="49">
        <v>2601000</v>
      </c>
      <c r="E8" s="49">
        <v>129098494</v>
      </c>
      <c r="F8" s="49">
        <f t="shared" si="4"/>
        <v>0.163829873112531</v>
      </c>
      <c r="G8" s="49">
        <f t="shared" si="5"/>
        <v>0.163829873112531</v>
      </c>
      <c r="H8" s="48">
        <v>266900</v>
      </c>
      <c r="I8" s="48">
        <v>302500</v>
      </c>
      <c r="J8" s="51">
        <v>122666424</v>
      </c>
      <c r="K8" s="48">
        <f t="shared" si="6"/>
        <v>1.94707550766514</v>
      </c>
      <c r="L8" s="48">
        <f t="shared" si="7"/>
        <v>1.94707550766514</v>
      </c>
      <c r="M8" s="49">
        <v>170500</v>
      </c>
      <c r="N8" s="49">
        <v>170200</v>
      </c>
      <c r="O8" s="49">
        <v>15956260</v>
      </c>
      <c r="P8" s="49">
        <f t="shared" si="8"/>
        <v>40.665992071972298</v>
      </c>
      <c r="Q8" s="49">
        <f t="shared" si="9"/>
        <v>40.665992071972298</v>
      </c>
      <c r="R8" s="48">
        <v>0</v>
      </c>
      <c r="S8" s="48"/>
      <c r="T8" s="48">
        <v>0</v>
      </c>
      <c r="U8" s="48">
        <v>0</v>
      </c>
      <c r="V8" s="48"/>
      <c r="W8" s="49">
        <v>1</v>
      </c>
      <c r="X8" s="49">
        <v>1</v>
      </c>
      <c r="Y8" s="49">
        <v>100000000</v>
      </c>
      <c r="Z8" s="49">
        <f t="shared" si="10"/>
        <v>1438776.9176544</v>
      </c>
      <c r="AA8" s="49">
        <f t="shared" si="11"/>
        <v>1438776.9176544</v>
      </c>
      <c r="AB8" s="82">
        <f t="shared" si="1"/>
        <v>0</v>
      </c>
      <c r="AC8" s="82">
        <f t="shared" si="16"/>
        <v>359694229413600.25</v>
      </c>
      <c r="AD8" s="81">
        <f t="shared" si="0"/>
        <v>381577564261917.94</v>
      </c>
      <c r="AE8" s="80">
        <f t="shared" si="2"/>
        <v>1060.838715383323</v>
      </c>
      <c r="AF8" s="52">
        <f t="shared" si="12"/>
        <v>2.1968028428980983E-2</v>
      </c>
      <c r="AG8" s="48">
        <f t="shared" si="3"/>
        <v>-1.918649270913277E-3</v>
      </c>
      <c r="AH8" s="48">
        <f t="shared" si="13"/>
        <v>0.13338328962158111</v>
      </c>
      <c r="AI8" s="48">
        <f t="shared" si="14"/>
        <v>-1.7595307917888563E-3</v>
      </c>
      <c r="AJ8" s="48">
        <f t="shared" si="15"/>
        <v>0</v>
      </c>
    </row>
    <row r="9" spans="1:36" x14ac:dyDescent="0.3">
      <c r="A9" s="48">
        <v>20180109</v>
      </c>
      <c r="B9" s="48" t="s">
        <v>88</v>
      </c>
      <c r="C9" s="49">
        <v>2601000</v>
      </c>
      <c r="D9" s="49">
        <v>2520000</v>
      </c>
      <c r="E9" s="49">
        <v>129098494</v>
      </c>
      <c r="F9" s="49">
        <f t="shared" si="4"/>
        <v>0.163829873112531</v>
      </c>
      <c r="G9" s="49">
        <f t="shared" si="5"/>
        <v>0.163829873112531</v>
      </c>
      <c r="H9" s="48">
        <v>302500</v>
      </c>
      <c r="I9" s="48">
        <v>292500</v>
      </c>
      <c r="J9" s="51">
        <v>122666424</v>
      </c>
      <c r="K9" s="48">
        <f t="shared" si="6"/>
        <v>1.94707550766514</v>
      </c>
      <c r="L9" s="48">
        <f t="shared" si="7"/>
        <v>1.94707550766514</v>
      </c>
      <c r="M9" s="49">
        <v>170200</v>
      </c>
      <c r="N9" s="49">
        <v>164000</v>
      </c>
      <c r="O9" s="49">
        <v>15956260</v>
      </c>
      <c r="P9" s="49">
        <f t="shared" si="8"/>
        <v>40.665992071972298</v>
      </c>
      <c r="Q9" s="49">
        <f t="shared" si="9"/>
        <v>40.665992071972298</v>
      </c>
      <c r="R9" s="48">
        <v>0</v>
      </c>
      <c r="S9" s="48"/>
      <c r="T9" s="48">
        <v>0</v>
      </c>
      <c r="U9" s="48">
        <v>0</v>
      </c>
      <c r="V9" s="48"/>
      <c r="W9" s="49">
        <v>1</v>
      </c>
      <c r="X9" s="49">
        <v>1</v>
      </c>
      <c r="Y9" s="49">
        <v>100000000</v>
      </c>
      <c r="Z9" s="49">
        <f t="shared" si="10"/>
        <v>1438776.9176544</v>
      </c>
      <c r="AA9" s="49">
        <f t="shared" si="11"/>
        <v>1438776.9176544</v>
      </c>
      <c r="AB9" s="82">
        <f t="shared" si="1"/>
        <v>0</v>
      </c>
      <c r="AC9" s="82">
        <f t="shared" si="16"/>
        <v>359694229413600.25</v>
      </c>
      <c r="AD9" s="81">
        <f t="shared" si="0"/>
        <v>373452952698429.5</v>
      </c>
      <c r="AE9" s="80">
        <f t="shared" si="2"/>
        <v>1038.2511649054247</v>
      </c>
      <c r="AF9" s="52">
        <f t="shared" si="12"/>
        <v>-2.1292162654279165E-2</v>
      </c>
      <c r="AG9" s="48">
        <f t="shared" si="3"/>
        <v>-3.1141868512110725E-2</v>
      </c>
      <c r="AH9" s="48">
        <f t="shared" si="13"/>
        <v>-3.3057851239669422E-2</v>
      </c>
      <c r="AI9" s="48">
        <f t="shared" si="14"/>
        <v>-3.6427732079905996E-2</v>
      </c>
      <c r="AJ9" s="48">
        <f t="shared" si="15"/>
        <v>0</v>
      </c>
    </row>
    <row r="10" spans="1:36" x14ac:dyDescent="0.3">
      <c r="A10" s="48">
        <v>20180110</v>
      </c>
      <c r="B10" s="48" t="s">
        <v>88</v>
      </c>
      <c r="C10" s="49">
        <v>2520000</v>
      </c>
      <c r="D10" s="49">
        <v>2442000</v>
      </c>
      <c r="E10" s="49">
        <v>129098494</v>
      </c>
      <c r="F10" s="49">
        <f t="shared" si="4"/>
        <v>0.163829873112531</v>
      </c>
      <c r="G10" s="49">
        <f t="shared" si="5"/>
        <v>0.163829873112531</v>
      </c>
      <c r="H10" s="48">
        <v>292500</v>
      </c>
      <c r="I10" s="48">
        <v>296000</v>
      </c>
      <c r="J10" s="51">
        <v>122666424</v>
      </c>
      <c r="K10" s="48">
        <f t="shared" si="6"/>
        <v>1.94707550766514</v>
      </c>
      <c r="L10" s="48">
        <f t="shared" si="7"/>
        <v>1.94707550766514</v>
      </c>
      <c r="M10" s="49">
        <v>164000</v>
      </c>
      <c r="N10" s="49">
        <v>164000</v>
      </c>
      <c r="O10" s="49">
        <v>15956260</v>
      </c>
      <c r="P10" s="49">
        <f t="shared" si="8"/>
        <v>40.665992071972298</v>
      </c>
      <c r="Q10" s="49">
        <f t="shared" si="9"/>
        <v>40.665992071972298</v>
      </c>
      <c r="R10" s="48">
        <v>0</v>
      </c>
      <c r="S10" s="48"/>
      <c r="T10" s="48">
        <v>0</v>
      </c>
      <c r="U10" s="48">
        <v>0</v>
      </c>
      <c r="V10" s="48"/>
      <c r="W10" s="49">
        <v>1</v>
      </c>
      <c r="X10" s="49">
        <v>1</v>
      </c>
      <c r="Y10" s="49">
        <v>100000000</v>
      </c>
      <c r="Z10" s="49">
        <f t="shared" si="10"/>
        <v>1438776.9176544</v>
      </c>
      <c r="AA10" s="49">
        <f t="shared" si="11"/>
        <v>1438776.9176544</v>
      </c>
      <c r="AB10" s="82">
        <f t="shared" si="1"/>
        <v>0</v>
      </c>
      <c r="AC10" s="82">
        <f t="shared" si="16"/>
        <v>359694229413600.25</v>
      </c>
      <c r="AD10" s="81">
        <f t="shared" si="0"/>
        <v>372639180651169.87</v>
      </c>
      <c r="AE10" s="80">
        <f t="shared" si="2"/>
        <v>1035.9887653985261</v>
      </c>
      <c r="AF10" s="52">
        <f t="shared" si="12"/>
        <v>-2.1790483684212673E-3</v>
      </c>
      <c r="AG10" s="48">
        <f t="shared" si="3"/>
        <v>-3.0952380952380953E-2</v>
      </c>
      <c r="AH10" s="48">
        <f t="shared" si="13"/>
        <v>1.1965811965811967E-2</v>
      </c>
      <c r="AI10" s="48">
        <f t="shared" si="14"/>
        <v>0</v>
      </c>
      <c r="AJ10" s="48">
        <f t="shared" si="15"/>
        <v>0</v>
      </c>
    </row>
    <row r="11" spans="1:36" x14ac:dyDescent="0.3">
      <c r="A11" s="48">
        <v>20180111</v>
      </c>
      <c r="B11" s="48" t="s">
        <v>88</v>
      </c>
      <c r="C11" s="49">
        <v>2442000</v>
      </c>
      <c r="D11" s="49">
        <v>2412000</v>
      </c>
      <c r="E11" s="49">
        <v>129098494</v>
      </c>
      <c r="F11" s="49">
        <f t="shared" si="4"/>
        <v>0.163829873112531</v>
      </c>
      <c r="G11" s="49">
        <f t="shared" si="5"/>
        <v>0.163829873112531</v>
      </c>
      <c r="H11" s="48">
        <v>296000</v>
      </c>
      <c r="I11" s="48">
        <v>307000</v>
      </c>
      <c r="J11" s="51">
        <v>122666424</v>
      </c>
      <c r="K11" s="48">
        <f t="shared" si="6"/>
        <v>1.94707550766514</v>
      </c>
      <c r="L11" s="48">
        <f t="shared" si="7"/>
        <v>1.94707550766514</v>
      </c>
      <c r="M11" s="49">
        <v>164000</v>
      </c>
      <c r="N11" s="49">
        <v>169000</v>
      </c>
      <c r="O11" s="49">
        <v>15956260</v>
      </c>
      <c r="P11" s="49">
        <f t="shared" si="8"/>
        <v>40.665992071972298</v>
      </c>
      <c r="Q11" s="49">
        <f t="shared" si="9"/>
        <v>40.665992071972298</v>
      </c>
      <c r="R11" s="48">
        <v>0</v>
      </c>
      <c r="S11" s="48"/>
      <c r="T11" s="48">
        <v>0</v>
      </c>
      <c r="U11" s="48">
        <v>0</v>
      </c>
      <c r="V11" s="48"/>
      <c r="W11" s="49">
        <v>1</v>
      </c>
      <c r="X11" s="49">
        <v>1</v>
      </c>
      <c r="Y11" s="49">
        <v>100000000</v>
      </c>
      <c r="Z11" s="49">
        <f t="shared" si="10"/>
        <v>1438776.9176544</v>
      </c>
      <c r="AA11" s="49">
        <f t="shared" si="11"/>
        <v>1438776.9176544</v>
      </c>
      <c r="AB11" s="82">
        <f t="shared" si="1"/>
        <v>0</v>
      </c>
      <c r="AC11" s="82">
        <f t="shared" si="16"/>
        <v>359694229413600.25</v>
      </c>
      <c r="AD11" s="81">
        <f t="shared" si="0"/>
        <v>377876309355346.31</v>
      </c>
      <c r="AE11" s="80">
        <f t="shared" si="2"/>
        <v>1050.5487118083263</v>
      </c>
      <c r="AF11" s="52">
        <f t="shared" si="12"/>
        <v>1.4054154732266094E-2</v>
      </c>
      <c r="AG11" s="48">
        <f t="shared" si="3"/>
        <v>-1.2285012285012284E-2</v>
      </c>
      <c r="AH11" s="48">
        <f t="shared" si="13"/>
        <v>3.7162162162162164E-2</v>
      </c>
      <c r="AI11" s="48">
        <f t="shared" si="14"/>
        <v>3.048780487804878E-2</v>
      </c>
      <c r="AJ11" s="48">
        <f t="shared" si="15"/>
        <v>0</v>
      </c>
    </row>
    <row r="12" spans="1:36" x14ac:dyDescent="0.3">
      <c r="A12" s="48">
        <v>20180112</v>
      </c>
      <c r="B12" s="48" t="s">
        <v>88</v>
      </c>
      <c r="C12" s="49">
        <v>2412000</v>
      </c>
      <c r="D12" s="49">
        <v>2410000</v>
      </c>
      <c r="E12" s="49">
        <v>129098494</v>
      </c>
      <c r="F12" s="49">
        <f t="shared" si="4"/>
        <v>0.163829873112531</v>
      </c>
      <c r="G12" s="49">
        <f t="shared" si="5"/>
        <v>0.163829873112531</v>
      </c>
      <c r="H12" s="48">
        <v>307000</v>
      </c>
      <c r="I12" s="48">
        <v>341500</v>
      </c>
      <c r="J12" s="51">
        <v>122666424</v>
      </c>
      <c r="K12" s="48">
        <f t="shared" si="6"/>
        <v>1.94707550766514</v>
      </c>
      <c r="L12" s="48">
        <f t="shared" si="7"/>
        <v>1.94707550766514</v>
      </c>
      <c r="M12" s="49">
        <v>169000</v>
      </c>
      <c r="N12" s="49">
        <v>177500</v>
      </c>
      <c r="O12" s="49">
        <v>15956260</v>
      </c>
      <c r="P12" s="49">
        <f t="shared" si="8"/>
        <v>40.665992071972298</v>
      </c>
      <c r="Q12" s="49">
        <f t="shared" si="9"/>
        <v>40.665992071972298</v>
      </c>
      <c r="R12" s="48">
        <v>0</v>
      </c>
      <c r="S12" s="48"/>
      <c r="T12" s="48">
        <v>0</v>
      </c>
      <c r="U12" s="48">
        <v>0</v>
      </c>
      <c r="V12" s="48"/>
      <c r="W12" s="49">
        <v>1</v>
      </c>
      <c r="X12" s="49">
        <v>1</v>
      </c>
      <c r="Y12" s="49">
        <v>100000000</v>
      </c>
      <c r="Z12" s="49">
        <f t="shared" si="10"/>
        <v>1438776.9176544</v>
      </c>
      <c r="AA12" s="49">
        <f t="shared" si="11"/>
        <v>1438776.9176544</v>
      </c>
      <c r="AB12" s="82">
        <f t="shared" si="1"/>
        <v>0</v>
      </c>
      <c r="AC12" s="82">
        <f t="shared" si="16"/>
        <v>359694229413600.25</v>
      </c>
      <c r="AD12" s="81">
        <f t="shared" si="0"/>
        <v>391589471935682.75</v>
      </c>
      <c r="AE12" s="80">
        <f t="shared" si="2"/>
        <v>1088.6732116166568</v>
      </c>
      <c r="AF12" s="52">
        <f t="shared" si="12"/>
        <v>3.6290082867938771E-2</v>
      </c>
      <c r="AG12" s="48">
        <f t="shared" si="3"/>
        <v>-8.2918739635157548E-4</v>
      </c>
      <c r="AH12" s="48">
        <f t="shared" si="13"/>
        <v>0.11237785016286644</v>
      </c>
      <c r="AI12" s="48">
        <f t="shared" si="14"/>
        <v>5.0295857988165681E-2</v>
      </c>
      <c r="AJ12" s="48">
        <f t="shared" si="15"/>
        <v>0</v>
      </c>
    </row>
    <row r="13" spans="1:36" x14ac:dyDescent="0.3">
      <c r="A13" s="48">
        <v>20180115</v>
      </c>
      <c r="B13" s="48" t="s">
        <v>88</v>
      </c>
      <c r="C13" s="49">
        <v>2410000</v>
      </c>
      <c r="D13" s="49">
        <v>2427000</v>
      </c>
      <c r="E13" s="49">
        <v>129098494</v>
      </c>
      <c r="F13" s="49">
        <f t="shared" si="4"/>
        <v>0.163829873112531</v>
      </c>
      <c r="G13" s="49">
        <f t="shared" si="5"/>
        <v>0.163829873112531</v>
      </c>
      <c r="H13" s="48">
        <v>341500</v>
      </c>
      <c r="I13" s="48">
        <v>350000</v>
      </c>
      <c r="J13" s="51">
        <v>122666424</v>
      </c>
      <c r="K13" s="48">
        <f t="shared" si="6"/>
        <v>1.94707550766514</v>
      </c>
      <c r="L13" s="48">
        <f t="shared" si="7"/>
        <v>1.94707550766514</v>
      </c>
      <c r="M13" s="49">
        <v>177500</v>
      </c>
      <c r="N13" s="49">
        <v>230700</v>
      </c>
      <c r="O13" s="49">
        <v>15956260</v>
      </c>
      <c r="P13" s="49">
        <f t="shared" si="8"/>
        <v>40.665992071972298</v>
      </c>
      <c r="Q13" s="49">
        <f t="shared" si="9"/>
        <v>40.665992071972298</v>
      </c>
      <c r="R13" s="48">
        <v>0</v>
      </c>
      <c r="S13" s="48"/>
      <c r="T13" s="48">
        <v>0</v>
      </c>
      <c r="U13" s="48">
        <v>0</v>
      </c>
      <c r="V13" s="48"/>
      <c r="W13" s="49">
        <v>1</v>
      </c>
      <c r="X13" s="49">
        <v>1</v>
      </c>
      <c r="Y13" s="49">
        <v>100000000</v>
      </c>
      <c r="Z13" s="49">
        <f t="shared" si="10"/>
        <v>1438776.9176544</v>
      </c>
      <c r="AA13" s="49">
        <f t="shared" si="11"/>
        <v>1438776.9176544</v>
      </c>
      <c r="AB13" s="82">
        <f t="shared" si="1"/>
        <v>0</v>
      </c>
      <c r="AC13" s="82">
        <f t="shared" si="16"/>
        <v>359694229413600.25</v>
      </c>
      <c r="AD13" s="81">
        <f t="shared" si="0"/>
        <v>428499435866411.25</v>
      </c>
      <c r="AE13" s="80">
        <f t="shared" si="2"/>
        <v>1191.2880464192663</v>
      </c>
      <c r="AF13" s="52">
        <f t="shared" si="12"/>
        <v>9.4256783126158331E-2</v>
      </c>
      <c r="AG13" s="48">
        <f t="shared" si="3"/>
        <v>7.053941908713693E-3</v>
      </c>
      <c r="AH13" s="48">
        <f t="shared" si="13"/>
        <v>2.4890190336749635E-2</v>
      </c>
      <c r="AI13" s="48">
        <f t="shared" si="14"/>
        <v>0.29971830985915493</v>
      </c>
      <c r="AJ13" s="48">
        <f t="shared" si="15"/>
        <v>0</v>
      </c>
    </row>
    <row r="14" spans="1:36" x14ac:dyDescent="0.3">
      <c r="A14" s="48">
        <v>20180116</v>
      </c>
      <c r="B14" s="48" t="s">
        <v>88</v>
      </c>
      <c r="C14" s="49">
        <v>2427000</v>
      </c>
      <c r="D14" s="49">
        <v>2500000</v>
      </c>
      <c r="E14" s="49">
        <v>129098494</v>
      </c>
      <c r="F14" s="49">
        <f t="shared" si="4"/>
        <v>0.163829873112531</v>
      </c>
      <c r="G14" s="49">
        <f t="shared" si="5"/>
        <v>0.163829873112531</v>
      </c>
      <c r="H14" s="48">
        <v>350000</v>
      </c>
      <c r="I14" s="48">
        <v>347400</v>
      </c>
      <c r="J14" s="51">
        <v>122666424</v>
      </c>
      <c r="K14" s="48">
        <f t="shared" si="6"/>
        <v>1.94707550766514</v>
      </c>
      <c r="L14" s="48">
        <f t="shared" si="7"/>
        <v>1.94707550766514</v>
      </c>
      <c r="M14" s="49">
        <v>230700</v>
      </c>
      <c r="N14" s="49">
        <v>229700</v>
      </c>
      <c r="O14" s="49">
        <v>15956260</v>
      </c>
      <c r="P14" s="49">
        <f t="shared" si="8"/>
        <v>40.665992071972298</v>
      </c>
      <c r="Q14" s="49">
        <f t="shared" si="9"/>
        <v>40.665992071972298</v>
      </c>
      <c r="R14" s="48">
        <v>0</v>
      </c>
      <c r="S14" s="48"/>
      <c r="T14" s="48">
        <v>0</v>
      </c>
      <c r="U14" s="48">
        <v>0</v>
      </c>
      <c r="V14" s="48"/>
      <c r="W14" s="49">
        <v>1</v>
      </c>
      <c r="X14" s="49">
        <v>1</v>
      </c>
      <c r="Y14" s="49">
        <v>100000000</v>
      </c>
      <c r="Z14" s="49">
        <f t="shared" si="10"/>
        <v>1438776.9176544</v>
      </c>
      <c r="AA14" s="49">
        <f t="shared" si="11"/>
        <v>1438776.9176544</v>
      </c>
      <c r="AB14" s="82">
        <f t="shared" si="1"/>
        <v>0</v>
      </c>
      <c r="AC14" s="82">
        <f t="shared" si="16"/>
        <v>359694229413600.25</v>
      </c>
      <c r="AD14" s="81">
        <f t="shared" si="0"/>
        <v>428773536532362.25</v>
      </c>
      <c r="AE14" s="80">
        <f t="shared" si="2"/>
        <v>1192.0500844046903</v>
      </c>
      <c r="AF14" s="52">
        <f t="shared" si="12"/>
        <v>6.3967567517744046E-4</v>
      </c>
      <c r="AG14" s="48">
        <f t="shared" si="3"/>
        <v>3.0078285949732178E-2</v>
      </c>
      <c r="AH14" s="48">
        <f t="shared" si="13"/>
        <v>-7.4285714285714285E-3</v>
      </c>
      <c r="AI14" s="48">
        <f t="shared" si="14"/>
        <v>-4.3346337234503683E-3</v>
      </c>
      <c r="AJ14" s="48">
        <f t="shared" si="15"/>
        <v>0</v>
      </c>
    </row>
    <row r="15" spans="1:36" x14ac:dyDescent="0.3">
      <c r="A15" s="48">
        <v>20180117</v>
      </c>
      <c r="B15" s="48" t="s">
        <v>88</v>
      </c>
      <c r="C15" s="49">
        <v>2500000</v>
      </c>
      <c r="D15" s="49">
        <v>2481000</v>
      </c>
      <c r="E15" s="49">
        <v>129098494</v>
      </c>
      <c r="F15" s="49">
        <f t="shared" si="4"/>
        <v>0.163829873112531</v>
      </c>
      <c r="G15" s="49">
        <f t="shared" si="5"/>
        <v>0.163829873112531</v>
      </c>
      <c r="H15" s="48">
        <v>347400</v>
      </c>
      <c r="I15" s="48">
        <v>313500</v>
      </c>
      <c r="J15" s="51">
        <v>122666424</v>
      </c>
      <c r="K15" s="48">
        <f t="shared" si="6"/>
        <v>1.94707550766514</v>
      </c>
      <c r="L15" s="48">
        <f t="shared" si="7"/>
        <v>1.94707550766514</v>
      </c>
      <c r="M15" s="49">
        <v>229700</v>
      </c>
      <c r="N15" s="49">
        <v>249200</v>
      </c>
      <c r="O15" s="49">
        <v>15956260</v>
      </c>
      <c r="P15" s="49">
        <f t="shared" si="8"/>
        <v>40.665992071972298</v>
      </c>
      <c r="Q15" s="49">
        <f t="shared" si="9"/>
        <v>40.665992071972298</v>
      </c>
      <c r="R15" s="48">
        <v>0</v>
      </c>
      <c r="S15" s="48"/>
      <c r="T15" s="48">
        <v>0</v>
      </c>
      <c r="U15" s="48">
        <v>0</v>
      </c>
      <c r="V15" s="48"/>
      <c r="W15" s="49">
        <v>1</v>
      </c>
      <c r="X15" s="49">
        <v>1</v>
      </c>
      <c r="Y15" s="49">
        <v>100000000</v>
      </c>
      <c r="Z15" s="49">
        <f t="shared" si="10"/>
        <v>1438776.9176544</v>
      </c>
      <c r="AA15" s="49">
        <f t="shared" si="11"/>
        <v>1438776.9176544</v>
      </c>
      <c r="AB15" s="82">
        <f t="shared" si="1"/>
        <v>0</v>
      </c>
      <c r="AC15" s="82">
        <f t="shared" si="16"/>
        <v>359694229413600.25</v>
      </c>
      <c r="AD15" s="81">
        <f t="shared" si="0"/>
        <v>432928084432617.19</v>
      </c>
      <c r="AE15" s="80">
        <f t="shared" si="2"/>
        <v>1203.6003055662252</v>
      </c>
      <c r="AF15" s="52">
        <f t="shared" si="12"/>
        <v>9.6893757339927902E-3</v>
      </c>
      <c r="AG15" s="48">
        <f t="shared" si="3"/>
        <v>-7.6E-3</v>
      </c>
      <c r="AH15" s="48">
        <f t="shared" si="13"/>
        <v>-9.7582037996545773E-2</v>
      </c>
      <c r="AI15" s="48">
        <f t="shared" si="14"/>
        <v>8.4893339138006091E-2</v>
      </c>
      <c r="AJ15" s="48">
        <f t="shared" si="15"/>
        <v>0</v>
      </c>
    </row>
    <row r="16" spans="1:36" x14ac:dyDescent="0.3">
      <c r="A16" s="48">
        <v>20180118</v>
      </c>
      <c r="B16" s="48" t="s">
        <v>88</v>
      </c>
      <c r="C16" s="49">
        <v>2481000</v>
      </c>
      <c r="D16" s="49">
        <v>2495000</v>
      </c>
      <c r="E16" s="49">
        <v>129098494</v>
      </c>
      <c r="F16" s="49">
        <f t="shared" si="4"/>
        <v>0.163829873112531</v>
      </c>
      <c r="G16" s="49">
        <f t="shared" si="5"/>
        <v>0.163829873112531</v>
      </c>
      <c r="H16" s="48">
        <v>313500</v>
      </c>
      <c r="I16" s="48">
        <v>319300</v>
      </c>
      <c r="J16" s="51">
        <v>122666424</v>
      </c>
      <c r="K16" s="48">
        <f t="shared" si="6"/>
        <v>1.94707550766514</v>
      </c>
      <c r="L16" s="48">
        <f t="shared" si="7"/>
        <v>1.94707550766514</v>
      </c>
      <c r="M16" s="49">
        <v>249200</v>
      </c>
      <c r="N16" s="49">
        <v>252000</v>
      </c>
      <c r="O16" s="49">
        <v>15956260</v>
      </c>
      <c r="P16" s="49">
        <f t="shared" si="8"/>
        <v>40.665992071972298</v>
      </c>
      <c r="Q16" s="49">
        <f t="shared" si="9"/>
        <v>40.665992071972298</v>
      </c>
      <c r="R16" s="48">
        <v>0</v>
      </c>
      <c r="S16" s="48"/>
      <c r="T16" s="48">
        <v>0</v>
      </c>
      <c r="U16" s="48">
        <v>0</v>
      </c>
      <c r="V16" s="48"/>
      <c r="W16" s="49">
        <v>1</v>
      </c>
      <c r="X16" s="49">
        <v>1</v>
      </c>
      <c r="Y16" s="49">
        <v>100000000</v>
      </c>
      <c r="Z16" s="49">
        <f t="shared" si="10"/>
        <v>1438776.9176544</v>
      </c>
      <c r="AA16" s="49">
        <f t="shared" si="11"/>
        <v>1438776.9176544</v>
      </c>
      <c r="AB16" s="82">
        <f t="shared" si="1"/>
        <v>0</v>
      </c>
      <c r="AC16" s="82">
        <f t="shared" si="16"/>
        <v>359694229413600.25</v>
      </c>
      <c r="AD16" s="81">
        <f t="shared" si="0"/>
        <v>436426319671278</v>
      </c>
      <c r="AE16" s="80">
        <f t="shared" si="2"/>
        <v>1213.325886219448</v>
      </c>
      <c r="AF16" s="52">
        <f t="shared" si="12"/>
        <v>8.080407264974436E-3</v>
      </c>
      <c r="AG16" s="48">
        <f t="shared" si="3"/>
        <v>5.642885933091495E-3</v>
      </c>
      <c r="AH16" s="48">
        <f t="shared" si="13"/>
        <v>1.8500797448165868E-2</v>
      </c>
      <c r="AI16" s="48">
        <f t="shared" si="14"/>
        <v>1.1235955056179775E-2</v>
      </c>
      <c r="AJ16" s="48">
        <f t="shared" si="15"/>
        <v>0</v>
      </c>
    </row>
    <row r="17" spans="1:36" x14ac:dyDescent="0.3">
      <c r="A17" s="48">
        <v>20180119</v>
      </c>
      <c r="B17" s="48" t="s">
        <v>88</v>
      </c>
      <c r="C17" s="49">
        <v>2495000</v>
      </c>
      <c r="D17" s="49">
        <v>2466000</v>
      </c>
      <c r="E17" s="49">
        <v>129098494</v>
      </c>
      <c r="F17" s="49">
        <f t="shared" si="4"/>
        <v>0.163829873112531</v>
      </c>
      <c r="G17" s="49">
        <f t="shared" si="5"/>
        <v>0.163829873112531</v>
      </c>
      <c r="H17" s="48">
        <v>319300</v>
      </c>
      <c r="I17" s="48">
        <v>287800</v>
      </c>
      <c r="J17" s="51">
        <v>122666424</v>
      </c>
      <c r="K17" s="48">
        <f t="shared" si="6"/>
        <v>1.94707550766514</v>
      </c>
      <c r="L17" s="48">
        <f t="shared" si="7"/>
        <v>1.94707550766514</v>
      </c>
      <c r="M17" s="49">
        <v>252000</v>
      </c>
      <c r="N17" s="49">
        <v>236000</v>
      </c>
      <c r="O17" s="49">
        <v>15956260</v>
      </c>
      <c r="P17" s="49">
        <f t="shared" si="8"/>
        <v>40.665992071972298</v>
      </c>
      <c r="Q17" s="49">
        <f t="shared" si="9"/>
        <v>40.665992071972298</v>
      </c>
      <c r="R17" s="48">
        <v>0</v>
      </c>
      <c r="S17" s="48"/>
      <c r="T17" s="48">
        <v>0</v>
      </c>
      <c r="U17" s="48">
        <v>0</v>
      </c>
      <c r="V17" s="48"/>
      <c r="W17" s="49">
        <v>1</v>
      </c>
      <c r="X17" s="49">
        <v>1</v>
      </c>
      <c r="Y17" s="49">
        <v>100000000</v>
      </c>
      <c r="Z17" s="49">
        <f t="shared" si="10"/>
        <v>1438776.9176544</v>
      </c>
      <c r="AA17" s="49">
        <f t="shared" si="11"/>
        <v>1438776.9176544</v>
      </c>
      <c r="AB17" s="82">
        <f t="shared" si="1"/>
        <v>0</v>
      </c>
      <c r="AC17" s="82">
        <f t="shared" si="16"/>
        <v>359694229413600.25</v>
      </c>
      <c r="AD17" s="81">
        <f t="shared" si="0"/>
        <v>417907445003731.69</v>
      </c>
      <c r="AE17" s="80">
        <f t="shared" si="2"/>
        <v>1161.8408382170458</v>
      </c>
      <c r="AF17" s="52">
        <f t="shared" si="12"/>
        <v>-4.2432992312413563E-2</v>
      </c>
      <c r="AG17" s="48">
        <f t="shared" si="3"/>
        <v>-1.1623246492985972E-2</v>
      </c>
      <c r="AH17" s="48">
        <f t="shared" si="13"/>
        <v>-9.8653304102724715E-2</v>
      </c>
      <c r="AI17" s="48">
        <f t="shared" si="14"/>
        <v>-6.3492063492063489E-2</v>
      </c>
      <c r="AJ17" s="48">
        <f t="shared" si="15"/>
        <v>0</v>
      </c>
    </row>
    <row r="18" spans="1:36" x14ac:dyDescent="0.3">
      <c r="A18" s="48">
        <v>20180122</v>
      </c>
      <c r="B18" s="48" t="s">
        <v>88</v>
      </c>
      <c r="C18" s="49">
        <v>2466000</v>
      </c>
      <c r="D18" s="49">
        <v>2412000</v>
      </c>
      <c r="E18" s="49">
        <v>129098494</v>
      </c>
      <c r="F18" s="49">
        <f t="shared" si="4"/>
        <v>0.163829873112531</v>
      </c>
      <c r="G18" s="49">
        <f t="shared" si="5"/>
        <v>0.163829873112531</v>
      </c>
      <c r="H18" s="48">
        <v>287800</v>
      </c>
      <c r="I18" s="48">
        <v>280600</v>
      </c>
      <c r="J18" s="51">
        <v>122666424</v>
      </c>
      <c r="K18" s="48">
        <f t="shared" si="6"/>
        <v>1.94707550766514</v>
      </c>
      <c r="L18" s="48">
        <f t="shared" si="7"/>
        <v>1.94707550766514</v>
      </c>
      <c r="M18" s="49">
        <v>236000</v>
      </c>
      <c r="N18" s="49">
        <v>234900</v>
      </c>
      <c r="O18" s="49">
        <v>15956260</v>
      </c>
      <c r="P18" s="49">
        <f t="shared" si="8"/>
        <v>40.665992071972298</v>
      </c>
      <c r="Q18" s="49">
        <f t="shared" si="9"/>
        <v>40.665992071972298</v>
      </c>
      <c r="R18" s="48">
        <v>0</v>
      </c>
      <c r="S18" s="48"/>
      <c r="T18" s="48">
        <v>0</v>
      </c>
      <c r="U18" s="48">
        <v>0</v>
      </c>
      <c r="V18" s="48"/>
      <c r="W18" s="49">
        <v>1</v>
      </c>
      <c r="X18" s="49">
        <v>1</v>
      </c>
      <c r="Y18" s="49">
        <v>100000000</v>
      </c>
      <c r="Z18" s="49">
        <f t="shared" si="10"/>
        <v>1438776.9176544</v>
      </c>
      <c r="AA18" s="49">
        <f t="shared" si="11"/>
        <v>1438776.9176544</v>
      </c>
      <c r="AB18" s="82">
        <f t="shared" si="1"/>
        <v>0</v>
      </c>
      <c r="AC18" s="82">
        <f t="shared" si="16"/>
        <v>359694229413600.25</v>
      </c>
      <c r="AD18" s="81">
        <f t="shared" si="0"/>
        <v>414331916206251.87</v>
      </c>
      <c r="AE18" s="80">
        <f t="shared" si="2"/>
        <v>1151.900370716889</v>
      </c>
      <c r="AF18" s="52">
        <f t="shared" si="12"/>
        <v>-8.5557910973514343E-3</v>
      </c>
      <c r="AG18" s="48">
        <f t="shared" si="3"/>
        <v>-2.1897810218978103E-2</v>
      </c>
      <c r="AH18" s="48">
        <f t="shared" si="13"/>
        <v>-2.5017373175816541E-2</v>
      </c>
      <c r="AI18" s="48">
        <f t="shared" si="14"/>
        <v>-4.6610169491525426E-3</v>
      </c>
      <c r="AJ18" s="48">
        <f t="shared" si="15"/>
        <v>0</v>
      </c>
    </row>
    <row r="19" spans="1:36" x14ac:dyDescent="0.3">
      <c r="A19" s="48">
        <v>20180123</v>
      </c>
      <c r="B19" s="48" t="s">
        <v>88</v>
      </c>
      <c r="C19" s="49">
        <v>2412000</v>
      </c>
      <c r="D19" s="49">
        <v>2458000</v>
      </c>
      <c r="E19" s="49">
        <v>129098494</v>
      </c>
      <c r="F19" s="49">
        <f t="shared" si="4"/>
        <v>0.163829873112531</v>
      </c>
      <c r="G19" s="49">
        <f t="shared" si="5"/>
        <v>0.163829873112531</v>
      </c>
      <c r="H19" s="48">
        <v>280600</v>
      </c>
      <c r="I19" s="48">
        <v>299000</v>
      </c>
      <c r="J19" s="51">
        <v>122666424</v>
      </c>
      <c r="K19" s="48">
        <f t="shared" si="6"/>
        <v>1.94707550766514</v>
      </c>
      <c r="L19" s="48">
        <f t="shared" si="7"/>
        <v>1.94707550766514</v>
      </c>
      <c r="M19" s="49">
        <v>234900</v>
      </c>
      <c r="N19" s="49">
        <v>242800</v>
      </c>
      <c r="O19" s="49">
        <v>15956260</v>
      </c>
      <c r="P19" s="49">
        <f t="shared" si="8"/>
        <v>40.665992071972298</v>
      </c>
      <c r="Q19" s="49">
        <f t="shared" si="9"/>
        <v>40.665992071972298</v>
      </c>
      <c r="R19" s="48">
        <v>0</v>
      </c>
      <c r="S19" s="48"/>
      <c r="T19" s="48">
        <v>0</v>
      </c>
      <c r="U19" s="48">
        <v>0</v>
      </c>
      <c r="V19" s="48"/>
      <c r="W19" s="49">
        <v>1</v>
      </c>
      <c r="X19" s="49">
        <v>1</v>
      </c>
      <c r="Y19" s="49">
        <v>100000000</v>
      </c>
      <c r="Z19" s="49">
        <f t="shared" si="10"/>
        <v>1438776.9176544</v>
      </c>
      <c r="AA19" s="49">
        <f t="shared" si="11"/>
        <v>1438776.9176544</v>
      </c>
      <c r="AB19" s="82">
        <f t="shared" si="1"/>
        <v>0</v>
      </c>
      <c r="AC19" s="82">
        <f t="shared" si="16"/>
        <v>359694229413600.25</v>
      </c>
      <c r="AD19" s="81">
        <f t="shared" si="0"/>
        <v>424825624900252.62</v>
      </c>
      <c r="AE19" s="80">
        <f t="shared" si="2"/>
        <v>1181.0743408167386</v>
      </c>
      <c r="AF19" s="52">
        <f t="shared" si="12"/>
        <v>2.5326817180979892E-2</v>
      </c>
      <c r="AG19" s="48">
        <f t="shared" si="3"/>
        <v>1.9071310116086235E-2</v>
      </c>
      <c r="AH19" s="48">
        <f t="shared" si="13"/>
        <v>6.5573770491803282E-2</v>
      </c>
      <c r="AI19" s="48">
        <f t="shared" si="14"/>
        <v>3.3631332481907195E-2</v>
      </c>
      <c r="AJ19" s="48">
        <f t="shared" si="15"/>
        <v>0</v>
      </c>
    </row>
    <row r="20" spans="1:36" x14ac:dyDescent="0.3">
      <c r="A20" s="48">
        <v>20180124</v>
      </c>
      <c r="B20" s="48" t="s">
        <v>88</v>
      </c>
      <c r="C20" s="49">
        <v>2458000</v>
      </c>
      <c r="D20" s="49">
        <v>2467000</v>
      </c>
      <c r="E20" s="49">
        <v>129098494</v>
      </c>
      <c r="F20" s="49">
        <f t="shared" si="4"/>
        <v>0.163829873112531</v>
      </c>
      <c r="G20" s="49">
        <f t="shared" si="5"/>
        <v>0.163829873112531</v>
      </c>
      <c r="H20" s="48">
        <v>299000</v>
      </c>
      <c r="I20" s="48">
        <v>293500</v>
      </c>
      <c r="J20" s="51">
        <v>122666424</v>
      </c>
      <c r="K20" s="48">
        <f t="shared" si="6"/>
        <v>1.94707550766514</v>
      </c>
      <c r="L20" s="48">
        <f t="shared" si="7"/>
        <v>1.94707550766514</v>
      </c>
      <c r="M20" s="49">
        <v>242800</v>
      </c>
      <c r="N20" s="49">
        <v>280400</v>
      </c>
      <c r="O20" s="49">
        <v>15956260</v>
      </c>
      <c r="P20" s="49">
        <f t="shared" si="8"/>
        <v>40.665992071972298</v>
      </c>
      <c r="Q20" s="49">
        <f t="shared" si="9"/>
        <v>40.665992071972298</v>
      </c>
      <c r="R20" s="48">
        <v>0</v>
      </c>
      <c r="S20" s="48"/>
      <c r="T20" s="48">
        <v>0</v>
      </c>
      <c r="U20" s="48">
        <v>0</v>
      </c>
      <c r="V20" s="48"/>
      <c r="W20" s="49">
        <v>1</v>
      </c>
      <c r="X20" s="49">
        <v>1</v>
      </c>
      <c r="Y20" s="49">
        <v>100000000</v>
      </c>
      <c r="Z20" s="49">
        <f t="shared" si="10"/>
        <v>1438776.9176544</v>
      </c>
      <c r="AA20" s="49">
        <f t="shared" si="11"/>
        <v>1438776.9176544</v>
      </c>
      <c r="AB20" s="82">
        <f t="shared" si="1"/>
        <v>0</v>
      </c>
      <c r="AC20" s="82">
        <f t="shared" si="16"/>
        <v>359694229413600.25</v>
      </c>
      <c r="AD20" s="81">
        <f t="shared" si="0"/>
        <v>448100132829417.12</v>
      </c>
      <c r="AE20" s="80">
        <f t="shared" si="2"/>
        <v>1245.780710910883</v>
      </c>
      <c r="AF20" s="52">
        <f t="shared" si="12"/>
        <v>5.478602646586881E-2</v>
      </c>
      <c r="AG20" s="48">
        <f t="shared" si="3"/>
        <v>3.6615134255492269E-3</v>
      </c>
      <c r="AH20" s="48">
        <f t="shared" si="13"/>
        <v>-1.839464882943144E-2</v>
      </c>
      <c r="AI20" s="48">
        <f t="shared" si="14"/>
        <v>0.15485996705107083</v>
      </c>
      <c r="AJ20" s="48">
        <f t="shared" si="15"/>
        <v>0</v>
      </c>
    </row>
    <row r="21" spans="1:36" x14ac:dyDescent="0.3">
      <c r="A21" s="48">
        <v>20180125</v>
      </c>
      <c r="B21" s="48" t="s">
        <v>88</v>
      </c>
      <c r="C21" s="49">
        <v>2467000</v>
      </c>
      <c r="D21" s="49">
        <v>2513000</v>
      </c>
      <c r="E21" s="49">
        <v>129098494</v>
      </c>
      <c r="F21" s="49">
        <f t="shared" si="4"/>
        <v>0.163829873112531</v>
      </c>
      <c r="G21" s="49">
        <f t="shared" si="5"/>
        <v>0.163829873112531</v>
      </c>
      <c r="H21" s="48">
        <v>293500</v>
      </c>
      <c r="I21" s="48">
        <v>289700</v>
      </c>
      <c r="J21" s="51">
        <v>122666424</v>
      </c>
      <c r="K21" s="48">
        <f t="shared" si="6"/>
        <v>1.94707550766514</v>
      </c>
      <c r="L21" s="48">
        <f t="shared" si="7"/>
        <v>1.94707550766514</v>
      </c>
      <c r="M21" s="49">
        <v>280400</v>
      </c>
      <c r="N21" s="49">
        <v>275900</v>
      </c>
      <c r="O21" s="49">
        <v>15956260</v>
      </c>
      <c r="P21" s="49">
        <f t="shared" si="8"/>
        <v>40.665992071972298</v>
      </c>
      <c r="Q21" s="49">
        <f t="shared" si="9"/>
        <v>40.665992071972298</v>
      </c>
      <c r="R21" s="48">
        <v>0</v>
      </c>
      <c r="S21" s="48"/>
      <c r="T21" s="48">
        <v>0</v>
      </c>
      <c r="U21" s="48">
        <v>0</v>
      </c>
      <c r="V21" s="48"/>
      <c r="W21" s="49">
        <v>1</v>
      </c>
      <c r="X21" s="49">
        <v>1</v>
      </c>
      <c r="Y21" s="49">
        <v>100000000</v>
      </c>
      <c r="Z21" s="49">
        <f t="shared" si="10"/>
        <v>1438776.9176544</v>
      </c>
      <c r="AA21" s="49">
        <f t="shared" si="11"/>
        <v>1438776.9176544</v>
      </c>
      <c r="AB21" s="82">
        <f t="shared" si="1"/>
        <v>0</v>
      </c>
      <c r="AC21" s="82">
        <f t="shared" si="16"/>
        <v>359694229413600.25</v>
      </c>
      <c r="AD21" s="81">
        <f t="shared" si="0"/>
        <v>445245499421266</v>
      </c>
      <c r="AE21" s="80">
        <f t="shared" si="2"/>
        <v>1237.844432887171</v>
      </c>
      <c r="AF21" s="52">
        <f t="shared" si="12"/>
        <v>-6.3705256906002473E-3</v>
      </c>
      <c r="AG21" s="48">
        <f t="shared" si="3"/>
        <v>1.8646128901499796E-2</v>
      </c>
      <c r="AH21" s="48">
        <f t="shared" si="13"/>
        <v>-1.2947189097103918E-2</v>
      </c>
      <c r="AI21" s="48">
        <f t="shared" si="14"/>
        <v>-1.6048502139800285E-2</v>
      </c>
      <c r="AJ21" s="48">
        <f t="shared" si="15"/>
        <v>0</v>
      </c>
    </row>
    <row r="22" spans="1:36" x14ac:dyDescent="0.3">
      <c r="A22" s="48">
        <v>20180126</v>
      </c>
      <c r="B22" s="48" t="s">
        <v>88</v>
      </c>
      <c r="C22" s="49">
        <v>2513000</v>
      </c>
      <c r="D22" s="49">
        <v>2539000</v>
      </c>
      <c r="E22" s="49">
        <v>129098494</v>
      </c>
      <c r="F22" s="49">
        <f t="shared" si="4"/>
        <v>0.163829873112531</v>
      </c>
      <c r="G22" s="49">
        <f t="shared" si="5"/>
        <v>0.163829873112531</v>
      </c>
      <c r="H22" s="48">
        <v>289700</v>
      </c>
      <c r="I22" s="48">
        <v>300000</v>
      </c>
      <c r="J22" s="51">
        <v>122666424</v>
      </c>
      <c r="K22" s="48">
        <f t="shared" si="6"/>
        <v>1.94707550766514</v>
      </c>
      <c r="L22" s="48">
        <f t="shared" si="7"/>
        <v>1.94707550766514</v>
      </c>
      <c r="M22" s="49">
        <v>275900</v>
      </c>
      <c r="N22" s="49">
        <v>274400</v>
      </c>
      <c r="O22" s="49">
        <v>15956260</v>
      </c>
      <c r="P22" s="49">
        <f t="shared" si="8"/>
        <v>40.665992071972298</v>
      </c>
      <c r="Q22" s="49">
        <f t="shared" si="9"/>
        <v>40.665992071972298</v>
      </c>
      <c r="R22" s="48">
        <v>0</v>
      </c>
      <c r="S22" s="48"/>
      <c r="T22" s="48">
        <v>0</v>
      </c>
      <c r="U22" s="48">
        <v>0</v>
      </c>
      <c r="V22" s="48"/>
      <c r="W22" s="49">
        <v>1</v>
      </c>
      <c r="X22" s="49">
        <v>1</v>
      </c>
      <c r="Y22" s="49">
        <v>100000000</v>
      </c>
      <c r="Z22" s="49">
        <f t="shared" si="10"/>
        <v>1438776.9176544</v>
      </c>
      <c r="AA22" s="49">
        <f t="shared" si="11"/>
        <v>1438776.9176544</v>
      </c>
      <c r="AB22" s="82">
        <f t="shared" si="1"/>
        <v>0</v>
      </c>
      <c r="AC22" s="82">
        <f t="shared" si="16"/>
        <v>359694229413600.25</v>
      </c>
      <c r="AD22" s="81">
        <f t="shared" si="0"/>
        <v>447282148779213.25</v>
      </c>
      <c r="AE22" s="80">
        <f t="shared" si="2"/>
        <v>1243.506601449807</v>
      </c>
      <c r="AF22" s="52">
        <f t="shared" si="12"/>
        <v>4.5742166076794093E-3</v>
      </c>
      <c r="AG22" s="48">
        <f t="shared" si="3"/>
        <v>1.0346199761241544E-2</v>
      </c>
      <c r="AH22" s="48">
        <f t="shared" si="13"/>
        <v>3.5554021401449774E-2</v>
      </c>
      <c r="AI22" s="48">
        <f t="shared" si="14"/>
        <v>-5.4367524465386008E-3</v>
      </c>
      <c r="AJ22" s="48">
        <f t="shared" si="15"/>
        <v>0</v>
      </c>
    </row>
    <row r="23" spans="1:36" x14ac:dyDescent="0.3">
      <c r="A23" s="48">
        <v>20180129</v>
      </c>
      <c r="B23" s="48" t="s">
        <v>88</v>
      </c>
      <c r="C23" s="49">
        <v>2539000</v>
      </c>
      <c r="D23" s="49">
        <v>2561000</v>
      </c>
      <c r="E23" s="49">
        <v>129098494</v>
      </c>
      <c r="F23" s="49">
        <f t="shared" si="4"/>
        <v>0.163829873112531</v>
      </c>
      <c r="G23" s="49">
        <f t="shared" si="5"/>
        <v>0.163829873112531</v>
      </c>
      <c r="H23" s="48">
        <v>300000</v>
      </c>
      <c r="I23" s="48">
        <v>328300</v>
      </c>
      <c r="J23" s="51">
        <v>122666424</v>
      </c>
      <c r="K23" s="48">
        <f t="shared" si="6"/>
        <v>1.94707550766514</v>
      </c>
      <c r="L23" s="48">
        <f t="shared" si="7"/>
        <v>1.94707550766514</v>
      </c>
      <c r="M23" s="49">
        <v>274400</v>
      </c>
      <c r="N23" s="49">
        <v>290000</v>
      </c>
      <c r="O23" s="49">
        <v>15956260</v>
      </c>
      <c r="P23" s="49">
        <f t="shared" si="8"/>
        <v>40.665992071972298</v>
      </c>
      <c r="Q23" s="49">
        <f t="shared" si="9"/>
        <v>40.665992071972298</v>
      </c>
      <c r="R23" s="48">
        <v>0</v>
      </c>
      <c r="S23" s="48"/>
      <c r="T23" s="48">
        <v>0</v>
      </c>
      <c r="U23" s="48">
        <v>0</v>
      </c>
      <c r="V23" s="48"/>
      <c r="W23" s="49">
        <v>1</v>
      </c>
      <c r="X23" s="49">
        <v>1</v>
      </c>
      <c r="Y23" s="49">
        <v>100000000</v>
      </c>
      <c r="Z23" s="49">
        <f t="shared" si="10"/>
        <v>1438776.9176544</v>
      </c>
      <c r="AA23" s="49">
        <f t="shared" si="11"/>
        <v>1438776.9176544</v>
      </c>
      <c r="AB23" s="82">
        <f t="shared" si="1"/>
        <v>0</v>
      </c>
      <c r="AC23" s="82">
        <f t="shared" si="16"/>
        <v>359694229413600.25</v>
      </c>
      <c r="AD23" s="81">
        <f t="shared" si="0"/>
        <v>464629130733152.44</v>
      </c>
      <c r="AE23" s="80">
        <f t="shared" si="2"/>
        <v>1291.7336246695554</v>
      </c>
      <c r="AF23" s="52">
        <f t="shared" si="12"/>
        <v>3.8783085802295218E-2</v>
      </c>
      <c r="AG23" s="48">
        <f t="shared" si="3"/>
        <v>8.6648286727057898E-3</v>
      </c>
      <c r="AH23" s="48">
        <f t="shared" si="13"/>
        <v>9.4333333333333338E-2</v>
      </c>
      <c r="AI23" s="48">
        <f t="shared" si="14"/>
        <v>5.6851311953352766E-2</v>
      </c>
      <c r="AJ23" s="48">
        <f t="shared" si="15"/>
        <v>0</v>
      </c>
    </row>
    <row r="24" spans="1:36" x14ac:dyDescent="0.3">
      <c r="A24" s="48">
        <v>20180130</v>
      </c>
      <c r="B24" s="48" t="s">
        <v>88</v>
      </c>
      <c r="C24" s="49">
        <v>2561000</v>
      </c>
      <c r="D24" s="49">
        <v>2490000</v>
      </c>
      <c r="E24" s="49">
        <v>129098494</v>
      </c>
      <c r="F24" s="49">
        <f t="shared" si="4"/>
        <v>0.163829873112531</v>
      </c>
      <c r="G24" s="49">
        <f t="shared" si="5"/>
        <v>0.163829873112531</v>
      </c>
      <c r="H24" s="48">
        <v>328300</v>
      </c>
      <c r="I24" s="48">
        <v>326600</v>
      </c>
      <c r="J24" s="51">
        <v>122666424</v>
      </c>
      <c r="K24" s="48">
        <f t="shared" si="6"/>
        <v>1.94707550766514</v>
      </c>
      <c r="L24" s="48">
        <f t="shared" si="7"/>
        <v>1.94707550766514</v>
      </c>
      <c r="M24" s="49">
        <v>290000</v>
      </c>
      <c r="N24" s="49">
        <v>290300</v>
      </c>
      <c r="O24" s="49">
        <v>15956260</v>
      </c>
      <c r="P24" s="49">
        <f t="shared" si="8"/>
        <v>40.665992071972298</v>
      </c>
      <c r="Q24" s="49">
        <f t="shared" si="9"/>
        <v>40.665992071972298</v>
      </c>
      <c r="R24" s="48">
        <v>0</v>
      </c>
      <c r="S24" s="48"/>
      <c r="T24" s="48">
        <v>0</v>
      </c>
      <c r="U24" s="48">
        <v>0</v>
      </c>
      <c r="V24" s="48"/>
      <c r="W24" s="49">
        <v>1</v>
      </c>
      <c r="X24" s="49">
        <v>1</v>
      </c>
      <c r="Y24" s="49">
        <v>100000000</v>
      </c>
      <c r="Z24" s="49">
        <f t="shared" si="10"/>
        <v>1438776.9176544</v>
      </c>
      <c r="AA24" s="49">
        <f t="shared" si="11"/>
        <v>1438776.9176544</v>
      </c>
      <c r="AB24" s="82">
        <f t="shared" si="1"/>
        <v>0</v>
      </c>
      <c r="AC24" s="82">
        <f t="shared" si="16"/>
        <v>359694229413600.25</v>
      </c>
      <c r="AD24" s="81">
        <f t="shared" si="0"/>
        <v>462916101051054.62</v>
      </c>
      <c r="AE24" s="80">
        <f t="shared" si="2"/>
        <v>1286.9711638291617</v>
      </c>
      <c r="AF24" s="52">
        <f t="shared" si="12"/>
        <v>-3.6868753351620947E-3</v>
      </c>
      <c r="AG24" s="48">
        <f t="shared" si="3"/>
        <v>-2.7723545490042953E-2</v>
      </c>
      <c r="AH24" s="48">
        <f t="shared" si="13"/>
        <v>-5.1781906792567776E-3</v>
      </c>
      <c r="AI24" s="48">
        <f t="shared" si="14"/>
        <v>1.0344827586206897E-3</v>
      </c>
      <c r="AJ24" s="48">
        <f t="shared" si="15"/>
        <v>0</v>
      </c>
    </row>
    <row r="25" spans="1:36" x14ac:dyDescent="0.3">
      <c r="A25" s="48">
        <v>20180131</v>
      </c>
      <c r="B25" s="48" t="s">
        <v>88</v>
      </c>
      <c r="C25" s="49">
        <v>2490000</v>
      </c>
      <c r="D25" s="49">
        <v>2495000</v>
      </c>
      <c r="E25" s="49">
        <v>129098494</v>
      </c>
      <c r="F25" s="49">
        <f t="shared" si="4"/>
        <v>0.163829873112531</v>
      </c>
      <c r="G25" s="49">
        <f t="shared" si="5"/>
        <v>0.163829873112531</v>
      </c>
      <c r="H25" s="48">
        <v>326600</v>
      </c>
      <c r="I25" s="48">
        <v>315700</v>
      </c>
      <c r="J25" s="51">
        <v>122666424</v>
      </c>
      <c r="K25" s="48">
        <f t="shared" si="6"/>
        <v>1.94707550766514</v>
      </c>
      <c r="L25" s="48">
        <f t="shared" si="7"/>
        <v>1.94707550766514</v>
      </c>
      <c r="M25" s="49">
        <v>290300</v>
      </c>
      <c r="N25" s="49">
        <v>267000</v>
      </c>
      <c r="O25" s="49">
        <v>15956260</v>
      </c>
      <c r="P25" s="49">
        <f t="shared" si="8"/>
        <v>40.665992071972298</v>
      </c>
      <c r="Q25" s="49">
        <f t="shared" si="9"/>
        <v>40.665992071972298</v>
      </c>
      <c r="R25" s="48">
        <v>0</v>
      </c>
      <c r="S25" s="48"/>
      <c r="T25" s="48">
        <v>0</v>
      </c>
      <c r="U25" s="48">
        <v>0</v>
      </c>
      <c r="V25" s="48"/>
      <c r="W25" s="49">
        <v>1</v>
      </c>
      <c r="X25" s="49">
        <v>1</v>
      </c>
      <c r="Y25" s="49">
        <v>100000000</v>
      </c>
      <c r="Z25" s="49">
        <f t="shared" si="10"/>
        <v>1438776.9176544</v>
      </c>
      <c r="AA25" s="49">
        <f t="shared" si="11"/>
        <v>1438776.9176544</v>
      </c>
      <c r="AB25" s="82">
        <f t="shared" si="1"/>
        <v>0</v>
      </c>
      <c r="AC25" s="82">
        <f t="shared" si="16"/>
        <v>359694229413600.25</v>
      </c>
      <c r="AD25" s="81">
        <f t="shared" si="0"/>
        <v>445299649967933.12</v>
      </c>
      <c r="AE25" s="80">
        <f t="shared" si="2"/>
        <v>1237.9949789405659</v>
      </c>
      <c r="AF25" s="52">
        <f t="shared" si="12"/>
        <v>-3.8055386371576135E-2</v>
      </c>
      <c r="AG25" s="48">
        <f t="shared" si="3"/>
        <v>2.008032128514056E-3</v>
      </c>
      <c r="AH25" s="48">
        <f t="shared" si="13"/>
        <v>-3.3374157991426824E-2</v>
      </c>
      <c r="AI25" s="48">
        <f t="shared" si="14"/>
        <v>-8.0261798139855317E-2</v>
      </c>
      <c r="AJ25" s="48">
        <f t="shared" si="15"/>
        <v>0</v>
      </c>
    </row>
    <row r="26" spans="1:36" x14ac:dyDescent="0.3">
      <c r="A26" s="48">
        <v>20180201</v>
      </c>
      <c r="B26" s="48" t="s">
        <v>88</v>
      </c>
      <c r="C26" s="49">
        <v>2495000</v>
      </c>
      <c r="D26" s="49">
        <v>2491000</v>
      </c>
      <c r="E26" s="49">
        <v>129098494</v>
      </c>
      <c r="F26" s="49">
        <f t="shared" si="4"/>
        <v>0.163829873112531</v>
      </c>
      <c r="G26" s="49">
        <f t="shared" si="5"/>
        <v>0.163829873112531</v>
      </c>
      <c r="H26" s="48">
        <v>315700</v>
      </c>
      <c r="I26" s="48">
        <v>299800</v>
      </c>
      <c r="J26" s="51">
        <v>122666424</v>
      </c>
      <c r="K26" s="48">
        <f t="shared" si="6"/>
        <v>1.94707550766514</v>
      </c>
      <c r="L26" s="48">
        <f t="shared" si="7"/>
        <v>1.94707550766514</v>
      </c>
      <c r="M26" s="49">
        <v>267000</v>
      </c>
      <c r="N26" s="49">
        <v>245400</v>
      </c>
      <c r="O26" s="49">
        <v>15956260</v>
      </c>
      <c r="P26" s="49">
        <f t="shared" si="8"/>
        <v>40.665992071972298</v>
      </c>
      <c r="Q26" s="49">
        <f t="shared" si="9"/>
        <v>40.665992071972298</v>
      </c>
      <c r="R26" s="48">
        <v>0</v>
      </c>
      <c r="S26" s="48"/>
      <c r="T26" s="48">
        <v>0</v>
      </c>
      <c r="U26" s="48">
        <v>0</v>
      </c>
      <c r="V26" s="48"/>
      <c r="W26" s="49">
        <v>1</v>
      </c>
      <c r="X26" s="49">
        <v>1</v>
      </c>
      <c r="Y26" s="49">
        <v>100000000</v>
      </c>
      <c r="Z26" s="49">
        <f t="shared" si="10"/>
        <v>1438776.9176544</v>
      </c>
      <c r="AA26" s="49">
        <f t="shared" si="11"/>
        <v>1438776.9176544</v>
      </c>
      <c r="AB26" s="82">
        <f t="shared" si="1"/>
        <v>0</v>
      </c>
      <c r="AC26" s="82">
        <f t="shared" si="16"/>
        <v>359694229413600.25</v>
      </c>
      <c r="AD26" s="81">
        <f t="shared" si="0"/>
        <v>427401734369395.19</v>
      </c>
      <c r="AE26" s="80">
        <f t="shared" si="2"/>
        <v>1188.2362835405411</v>
      </c>
      <c r="AF26" s="52">
        <f t="shared" si="12"/>
        <v>-4.0192970283778259E-2</v>
      </c>
      <c r="AG26" s="48">
        <f t="shared" si="3"/>
        <v>-1.6032064128256513E-3</v>
      </c>
      <c r="AH26" s="48">
        <f t="shared" si="13"/>
        <v>-5.0364269876465001E-2</v>
      </c>
      <c r="AI26" s="48">
        <f t="shared" si="14"/>
        <v>-8.0898876404494377E-2</v>
      </c>
      <c r="AJ26" s="48">
        <f t="shared" si="15"/>
        <v>0</v>
      </c>
    </row>
    <row r="27" spans="1:36" x14ac:dyDescent="0.3">
      <c r="A27" s="48">
        <v>20180202</v>
      </c>
      <c r="B27" s="48" t="s">
        <v>88</v>
      </c>
      <c r="C27" s="49">
        <v>2491000</v>
      </c>
      <c r="D27" s="49">
        <v>2385000</v>
      </c>
      <c r="E27" s="49">
        <v>129098494</v>
      </c>
      <c r="F27" s="49">
        <f t="shared" si="4"/>
        <v>0.163829873112531</v>
      </c>
      <c r="G27" s="49">
        <f t="shared" si="5"/>
        <v>0.163829873112531</v>
      </c>
      <c r="H27" s="48">
        <v>299800</v>
      </c>
      <c r="I27" s="48">
        <v>301400</v>
      </c>
      <c r="J27" s="51">
        <v>122666424</v>
      </c>
      <c r="K27" s="48">
        <f t="shared" si="6"/>
        <v>1.94707550766514</v>
      </c>
      <c r="L27" s="48">
        <f t="shared" si="7"/>
        <v>1.94707550766514</v>
      </c>
      <c r="M27" s="49">
        <v>245400</v>
      </c>
      <c r="N27" s="49">
        <v>253300</v>
      </c>
      <c r="O27" s="49">
        <v>15956260</v>
      </c>
      <c r="P27" s="49">
        <f t="shared" si="8"/>
        <v>40.665992071972298</v>
      </c>
      <c r="Q27" s="49">
        <f t="shared" si="9"/>
        <v>40.665992071972298</v>
      </c>
      <c r="R27" s="48">
        <v>0</v>
      </c>
      <c r="S27" s="48"/>
      <c r="T27" s="48">
        <v>0</v>
      </c>
      <c r="U27" s="48">
        <v>0</v>
      </c>
      <c r="V27" s="48"/>
      <c r="W27" s="49">
        <v>1</v>
      </c>
      <c r="X27" s="49">
        <v>1</v>
      </c>
      <c r="Y27" s="49">
        <v>100000000</v>
      </c>
      <c r="Z27" s="49">
        <f t="shared" si="10"/>
        <v>1438776.9176544</v>
      </c>
      <c r="AA27" s="49">
        <f t="shared" si="11"/>
        <v>1438776.9176544</v>
      </c>
      <c r="AB27" s="82">
        <f t="shared" si="1"/>
        <v>0</v>
      </c>
      <c r="AC27" s="82">
        <f t="shared" si="16"/>
        <v>359694229413600.25</v>
      </c>
      <c r="AD27" s="81">
        <f t="shared" si="0"/>
        <v>430668088931599.06</v>
      </c>
      <c r="AE27" s="80">
        <f t="shared" si="2"/>
        <v>1197.3172036529627</v>
      </c>
      <c r="AF27" s="52">
        <f t="shared" si="12"/>
        <v>7.6423521467999167E-3</v>
      </c>
      <c r="AG27" s="48">
        <f t="shared" si="3"/>
        <v>-4.2553191489361701E-2</v>
      </c>
      <c r="AH27" s="48">
        <f t="shared" si="13"/>
        <v>5.3368912608405599E-3</v>
      </c>
      <c r="AI27" s="48">
        <f t="shared" si="14"/>
        <v>3.2192339038304811E-2</v>
      </c>
      <c r="AJ27" s="48">
        <f t="shared" si="15"/>
        <v>0</v>
      </c>
    </row>
    <row r="28" spans="1:36" x14ac:dyDescent="0.3">
      <c r="A28" s="48">
        <v>20180205</v>
      </c>
      <c r="B28" s="48" t="s">
        <v>88</v>
      </c>
      <c r="C28" s="49">
        <v>2385000</v>
      </c>
      <c r="D28" s="49">
        <v>2396000</v>
      </c>
      <c r="E28" s="49">
        <v>129098494</v>
      </c>
      <c r="F28" s="49">
        <f t="shared" si="4"/>
        <v>0.163829873112531</v>
      </c>
      <c r="G28" s="49">
        <f t="shared" si="5"/>
        <v>0.163829873112531</v>
      </c>
      <c r="H28" s="48">
        <v>301400</v>
      </c>
      <c r="I28" s="48">
        <v>286000</v>
      </c>
      <c r="J28" s="51">
        <v>122666424</v>
      </c>
      <c r="K28" s="48">
        <f t="shared" si="6"/>
        <v>1.94707550766514</v>
      </c>
      <c r="L28" s="48">
        <f t="shared" si="7"/>
        <v>1.94707550766514</v>
      </c>
      <c r="M28" s="49">
        <v>253300</v>
      </c>
      <c r="N28" s="49">
        <v>216000</v>
      </c>
      <c r="O28" s="49">
        <v>15956260</v>
      </c>
      <c r="P28" s="49">
        <f t="shared" si="8"/>
        <v>40.665992071972298</v>
      </c>
      <c r="Q28" s="49">
        <f t="shared" si="9"/>
        <v>40.665992071972298</v>
      </c>
      <c r="R28" s="48">
        <v>0</v>
      </c>
      <c r="S28" s="48"/>
      <c r="T28" s="48">
        <v>0</v>
      </c>
      <c r="U28" s="48">
        <v>0</v>
      </c>
      <c r="V28" s="48"/>
      <c r="W28" s="49">
        <v>1</v>
      </c>
      <c r="X28" s="49">
        <v>1</v>
      </c>
      <c r="Y28" s="49">
        <v>100000000</v>
      </c>
      <c r="Z28" s="49">
        <f t="shared" si="10"/>
        <v>1438776.9176544</v>
      </c>
      <c r="AA28" s="49">
        <f t="shared" si="11"/>
        <v>1438776.9176544</v>
      </c>
      <c r="AB28" s="82">
        <f t="shared" si="1"/>
        <v>0</v>
      </c>
      <c r="AC28" s="82">
        <f t="shared" si="16"/>
        <v>359694229413600.25</v>
      </c>
      <c r="AD28" s="81">
        <f t="shared" si="0"/>
        <v>403019475436582.5</v>
      </c>
      <c r="AE28" s="80">
        <f t="shared" si="2"/>
        <v>1120.4502115411033</v>
      </c>
      <c r="AF28" s="52">
        <f t="shared" si="12"/>
        <v>-6.4199354922272536E-2</v>
      </c>
      <c r="AG28" s="48">
        <f t="shared" si="3"/>
        <v>4.6121593291404616E-3</v>
      </c>
      <c r="AH28" s="48">
        <f t="shared" si="13"/>
        <v>-5.1094890510948905E-2</v>
      </c>
      <c r="AI28" s="48">
        <f t="shared" si="14"/>
        <v>-0.14725621792341098</v>
      </c>
      <c r="AJ28" s="48">
        <f t="shared" si="15"/>
        <v>0</v>
      </c>
    </row>
    <row r="29" spans="1:36" x14ac:dyDescent="0.3">
      <c r="A29" s="48">
        <v>20180206</v>
      </c>
      <c r="B29" s="48" t="s">
        <v>88</v>
      </c>
      <c r="C29" s="49">
        <v>2396000</v>
      </c>
      <c r="D29" s="49">
        <v>2371000</v>
      </c>
      <c r="E29" s="49">
        <v>129098494</v>
      </c>
      <c r="F29" s="49">
        <f t="shared" si="4"/>
        <v>0.163829873112531</v>
      </c>
      <c r="G29" s="49">
        <f t="shared" si="5"/>
        <v>0.163829873112531</v>
      </c>
      <c r="H29" s="48">
        <v>286000</v>
      </c>
      <c r="I29" s="48">
        <v>284200</v>
      </c>
      <c r="J29" s="51">
        <v>122666424</v>
      </c>
      <c r="K29" s="48">
        <f t="shared" si="6"/>
        <v>1.94707550766514</v>
      </c>
      <c r="L29" s="48">
        <f t="shared" si="7"/>
        <v>1.94707550766514</v>
      </c>
      <c r="M29" s="49">
        <v>216000</v>
      </c>
      <c r="N29" s="49">
        <v>231200</v>
      </c>
      <c r="O29" s="49">
        <v>15956260</v>
      </c>
      <c r="P29" s="49">
        <f t="shared" si="8"/>
        <v>40.665992071972298</v>
      </c>
      <c r="Q29" s="49">
        <f t="shared" si="9"/>
        <v>40.665992071972298</v>
      </c>
      <c r="R29" s="48">
        <v>0</v>
      </c>
      <c r="S29" s="48"/>
      <c r="T29" s="48">
        <v>0</v>
      </c>
      <c r="U29" s="48">
        <v>0</v>
      </c>
      <c r="V29" s="48"/>
      <c r="W29" s="49">
        <v>1</v>
      </c>
      <c r="X29" s="49">
        <v>1</v>
      </c>
      <c r="Y29" s="49">
        <v>100000000</v>
      </c>
      <c r="Z29" s="49">
        <f t="shared" si="10"/>
        <v>1438776.9176544</v>
      </c>
      <c r="AA29" s="49">
        <f t="shared" si="11"/>
        <v>1438776.9176544</v>
      </c>
      <c r="AB29" s="82">
        <f t="shared" si="1"/>
        <v>0</v>
      </c>
      <c r="AC29" s="82">
        <f t="shared" si="16"/>
        <v>359694229413600.25</v>
      </c>
      <c r="AD29" s="81">
        <f t="shared" si="0"/>
        <v>411923739836103.25</v>
      </c>
      <c r="AE29" s="80">
        <f t="shared" si="2"/>
        <v>1145.2053053718746</v>
      </c>
      <c r="AF29" s="52">
        <f t="shared" si="12"/>
        <v>2.2093881170072143E-2</v>
      </c>
      <c r="AG29" s="48">
        <f t="shared" si="3"/>
        <v>-1.0434056761268781E-2</v>
      </c>
      <c r="AH29" s="48">
        <f t="shared" si="13"/>
        <v>-6.2937062937062941E-3</v>
      </c>
      <c r="AI29" s="48">
        <f t="shared" si="14"/>
        <v>7.0370370370370375E-2</v>
      </c>
      <c r="AJ29" s="48">
        <f t="shared" si="15"/>
        <v>0</v>
      </c>
    </row>
    <row r="30" spans="1:36" x14ac:dyDescent="0.3">
      <c r="A30" s="48">
        <v>20180207</v>
      </c>
      <c r="B30" s="48" t="s">
        <v>88</v>
      </c>
      <c r="C30" s="49">
        <v>2371000</v>
      </c>
      <c r="D30" s="49">
        <v>2290000</v>
      </c>
      <c r="E30" s="49">
        <v>129098494</v>
      </c>
      <c r="F30" s="49">
        <f t="shared" si="4"/>
        <v>0.163829873112531</v>
      </c>
      <c r="G30" s="49">
        <f t="shared" si="5"/>
        <v>0.163829873112531</v>
      </c>
      <c r="H30" s="48">
        <v>284200</v>
      </c>
      <c r="I30" s="48">
        <v>256000</v>
      </c>
      <c r="J30" s="51">
        <v>122666424</v>
      </c>
      <c r="K30" s="48">
        <f t="shared" si="6"/>
        <v>1.94707550766514</v>
      </c>
      <c r="L30" s="48">
        <f t="shared" si="7"/>
        <v>1.94707550766514</v>
      </c>
      <c r="M30" s="49">
        <v>231200</v>
      </c>
      <c r="N30" s="49">
        <v>210000</v>
      </c>
      <c r="O30" s="49">
        <v>15956260</v>
      </c>
      <c r="P30" s="49">
        <f t="shared" si="8"/>
        <v>40.665992071972298</v>
      </c>
      <c r="Q30" s="49">
        <f t="shared" si="9"/>
        <v>40.665992071972298</v>
      </c>
      <c r="R30" s="48">
        <v>0</v>
      </c>
      <c r="S30" s="48"/>
      <c r="T30" s="48">
        <v>0</v>
      </c>
      <c r="U30" s="48">
        <v>0</v>
      </c>
      <c r="V30" s="48"/>
      <c r="W30" s="49">
        <v>1</v>
      </c>
      <c r="X30" s="49">
        <v>1</v>
      </c>
      <c r="Y30" s="49">
        <v>100000000</v>
      </c>
      <c r="Z30" s="49">
        <f t="shared" si="10"/>
        <v>1438776.9176544</v>
      </c>
      <c r="AA30" s="49">
        <f t="shared" si="11"/>
        <v>1438776.9176544</v>
      </c>
      <c r="AB30" s="82">
        <f t="shared" si="1"/>
        <v>0</v>
      </c>
      <c r="AC30" s="82">
        <f t="shared" si="16"/>
        <v>359694229413600.25</v>
      </c>
      <c r="AD30" s="81">
        <f t="shared" si="0"/>
        <v>389719068758684.37</v>
      </c>
      <c r="AE30" s="80">
        <f t="shared" si="2"/>
        <v>1083.4732305659527</v>
      </c>
      <c r="AF30" s="52">
        <f t="shared" si="12"/>
        <v>-5.3904810357018107E-2</v>
      </c>
      <c r="AG30" s="48">
        <f t="shared" si="3"/>
        <v>-3.4162800506115566E-2</v>
      </c>
      <c r="AH30" s="48">
        <f t="shared" si="13"/>
        <v>-9.9225897255453901E-2</v>
      </c>
      <c r="AI30" s="48">
        <f t="shared" si="14"/>
        <v>-9.1695501730103809E-2</v>
      </c>
      <c r="AJ30" s="48">
        <f t="shared" si="15"/>
        <v>0</v>
      </c>
    </row>
    <row r="31" spans="1:36" s="64" customFormat="1" x14ac:dyDescent="0.3">
      <c r="A31" s="65">
        <v>20180208</v>
      </c>
      <c r="B31" s="48" t="s">
        <v>88</v>
      </c>
      <c r="C31" s="49">
        <v>2290000</v>
      </c>
      <c r="D31" s="49">
        <v>2300000</v>
      </c>
      <c r="E31" s="49">
        <v>128386494</v>
      </c>
      <c r="F31" s="49">
        <f t="shared" si="4"/>
        <v>0.163829873112531</v>
      </c>
      <c r="G31" s="49">
        <f t="shared" si="5"/>
        <v>0.13896978488078299</v>
      </c>
      <c r="H31" s="48">
        <v>256000</v>
      </c>
      <c r="I31" s="48">
        <v>271400</v>
      </c>
      <c r="J31" s="51">
        <v>122666424</v>
      </c>
      <c r="K31" s="48">
        <f t="shared" si="6"/>
        <v>1.94707550766514</v>
      </c>
      <c r="L31" s="48">
        <f t="shared" si="7"/>
        <v>1.6425108510831099</v>
      </c>
      <c r="M31" s="49">
        <v>210000</v>
      </c>
      <c r="N31" s="49">
        <v>220800</v>
      </c>
      <c r="O31" s="49">
        <v>15956260</v>
      </c>
      <c r="P31" s="49">
        <f t="shared" si="8"/>
        <v>40.665992071972298</v>
      </c>
      <c r="Q31" s="49">
        <f t="shared" si="9"/>
        <v>34.3049527279872</v>
      </c>
      <c r="R31" s="48">
        <v>0</v>
      </c>
      <c r="S31" s="48"/>
      <c r="T31" s="48">
        <v>0</v>
      </c>
      <c r="U31" s="48">
        <v>0</v>
      </c>
      <c r="V31" s="48"/>
      <c r="W31" s="49">
        <v>1</v>
      </c>
      <c r="X31" s="49">
        <v>1</v>
      </c>
      <c r="Y31" s="49">
        <v>100000000</v>
      </c>
      <c r="Z31" s="49">
        <f t="shared" si="10"/>
        <v>1438776.9176544</v>
      </c>
      <c r="AA31" s="49">
        <f t="shared" si="11"/>
        <v>1213721.1372809701</v>
      </c>
      <c r="AB31" s="82">
        <f t="shared" si="1"/>
        <v>1</v>
      </c>
      <c r="AC31" s="82">
        <f t="shared" si="16"/>
        <v>303430284320243.37</v>
      </c>
      <c r="AD31" s="81">
        <f t="shared" si="0"/>
        <v>337951505644941.31</v>
      </c>
      <c r="AE31" s="80">
        <f t="shared" si="2"/>
        <v>1113.7698611792614</v>
      </c>
      <c r="AF31" s="52">
        <f t="shared" si="12"/>
        <v>2.7962509602090721E-2</v>
      </c>
      <c r="AG31" s="48">
        <f t="shared" si="3"/>
        <v>4.3668122270742356E-3</v>
      </c>
      <c r="AH31" s="48">
        <f t="shared" si="13"/>
        <v>6.0156250000000001E-2</v>
      </c>
      <c r="AI31" s="48">
        <f t="shared" si="14"/>
        <v>5.1428571428571428E-2</v>
      </c>
      <c r="AJ31" s="48">
        <f t="shared" si="15"/>
        <v>0</v>
      </c>
    </row>
    <row r="32" spans="1:36" s="47" customFormat="1" x14ac:dyDescent="0.3">
      <c r="A32" s="48">
        <v>20180209</v>
      </c>
      <c r="B32" s="48" t="s">
        <v>88</v>
      </c>
      <c r="C32" s="49">
        <v>2300000</v>
      </c>
      <c r="D32" s="49">
        <v>2235000</v>
      </c>
      <c r="E32" s="49">
        <v>128386494</v>
      </c>
      <c r="F32" s="49">
        <f t="shared" si="4"/>
        <v>0.13896978488078299</v>
      </c>
      <c r="G32" s="49">
        <f t="shared" si="5"/>
        <v>0.13657019999015099</v>
      </c>
      <c r="H32" s="74">
        <v>271500</v>
      </c>
      <c r="I32" s="74">
        <v>288000</v>
      </c>
      <c r="J32" s="67">
        <v>122666424</v>
      </c>
      <c r="K32" s="48">
        <f t="shared" si="6"/>
        <v>1.6425108510831099</v>
      </c>
      <c r="L32" s="48">
        <f t="shared" si="7"/>
        <v>1.6135551614087</v>
      </c>
      <c r="M32" s="49">
        <v>220800</v>
      </c>
      <c r="N32" s="49">
        <v>203900</v>
      </c>
      <c r="O32" s="49">
        <v>15956260</v>
      </c>
      <c r="P32" s="49">
        <f t="shared" si="8"/>
        <v>34.3049527279872</v>
      </c>
      <c r="Q32" s="49">
        <f t="shared" si="9"/>
        <v>33.712610685358698</v>
      </c>
      <c r="R32" s="48">
        <v>0</v>
      </c>
      <c r="S32" s="48"/>
      <c r="T32" s="48">
        <v>0</v>
      </c>
      <c r="U32" s="48">
        <v>0</v>
      </c>
      <c r="V32" s="48"/>
      <c r="W32" s="49">
        <v>1</v>
      </c>
      <c r="X32" s="49">
        <v>1</v>
      </c>
      <c r="Y32" s="49">
        <v>100000000</v>
      </c>
      <c r="Z32" s="49">
        <f t="shared" si="10"/>
        <v>1213721.1372809701</v>
      </c>
      <c r="AA32" s="49">
        <f t="shared" si="11"/>
        <v>1192763.87016741</v>
      </c>
      <c r="AB32" s="82">
        <f t="shared" si="1"/>
        <v>1</v>
      </c>
      <c r="AC32" s="82">
        <f t="shared" si="16"/>
        <v>298190967541853.69</v>
      </c>
      <c r="AD32" s="81">
        <f t="shared" si="0"/>
        <v>325151277349284.75</v>
      </c>
      <c r="AE32" s="80">
        <f t="shared" si="2"/>
        <v>1090.4128989207125</v>
      </c>
      <c r="AF32" s="52">
        <f t="shared" si="12"/>
        <v>-2.0971084846755104E-2</v>
      </c>
      <c r="AG32" s="48">
        <f t="shared" si="3"/>
        <v>-2.8260869565217391E-2</v>
      </c>
      <c r="AH32" s="48">
        <f t="shared" si="13"/>
        <v>6.0773480662983423E-2</v>
      </c>
      <c r="AI32" s="48">
        <f t="shared" si="14"/>
        <v>-7.6539855072463775E-2</v>
      </c>
      <c r="AJ32" s="48">
        <f t="shared" si="15"/>
        <v>0</v>
      </c>
    </row>
    <row r="33" spans="1:36" x14ac:dyDescent="0.3">
      <c r="A33" s="48">
        <v>20180212</v>
      </c>
      <c r="B33" s="48" t="s">
        <v>88</v>
      </c>
      <c r="C33" s="49">
        <v>2235000</v>
      </c>
      <c r="D33" s="49">
        <v>2286000</v>
      </c>
      <c r="E33" s="49">
        <v>128386494</v>
      </c>
      <c r="F33" s="49">
        <f t="shared" si="4"/>
        <v>0.13657019999015099</v>
      </c>
      <c r="G33" s="49">
        <f t="shared" si="5"/>
        <v>0.13657019999015099</v>
      </c>
      <c r="H33" s="48">
        <v>288000</v>
      </c>
      <c r="I33" s="48">
        <v>302500</v>
      </c>
      <c r="J33" s="51">
        <v>122666424</v>
      </c>
      <c r="K33" s="48">
        <f t="shared" si="6"/>
        <v>1.6135551614087</v>
      </c>
      <c r="L33" s="48">
        <f t="shared" si="7"/>
        <v>1.6135551614087</v>
      </c>
      <c r="M33" s="49">
        <v>203900</v>
      </c>
      <c r="N33" s="49">
        <v>216500</v>
      </c>
      <c r="O33" s="49">
        <v>15956260</v>
      </c>
      <c r="P33" s="49">
        <f t="shared" si="8"/>
        <v>33.712610685358698</v>
      </c>
      <c r="Q33" s="49">
        <f t="shared" si="9"/>
        <v>33.712610685358698</v>
      </c>
      <c r="R33" s="48">
        <v>0</v>
      </c>
      <c r="S33" s="48"/>
      <c r="T33" s="48">
        <v>0</v>
      </c>
      <c r="U33" s="48">
        <v>0</v>
      </c>
      <c r="V33" s="48"/>
      <c r="W33" s="49">
        <v>1</v>
      </c>
      <c r="X33" s="49">
        <v>1</v>
      </c>
      <c r="Y33" s="49">
        <v>100000000</v>
      </c>
      <c r="Z33" s="49">
        <f t="shared" si="10"/>
        <v>1192763.87016741</v>
      </c>
      <c r="AA33" s="49">
        <f t="shared" si="11"/>
        <v>1192763.87016741</v>
      </c>
      <c r="AB33" s="82">
        <f t="shared" si="1"/>
        <v>0</v>
      </c>
      <c r="AC33" s="82">
        <f t="shared" si="16"/>
        <v>298190967541853.69</v>
      </c>
      <c r="AD33" s="81">
        <f t="shared" si="0"/>
        <v>335693353164706.87</v>
      </c>
      <c r="AE33" s="80">
        <f t="shared" si="2"/>
        <v>1125.7663366935801</v>
      </c>
      <c r="AF33" s="52">
        <f t="shared" si="12"/>
        <v>3.2422064896573025E-2</v>
      </c>
      <c r="AG33" s="48">
        <f t="shared" si="3"/>
        <v>2.2818791946308724E-2</v>
      </c>
      <c r="AH33" s="48">
        <f t="shared" si="13"/>
        <v>5.0347222222222224E-2</v>
      </c>
      <c r="AI33" s="48">
        <f t="shared" si="14"/>
        <v>6.1794997547817559E-2</v>
      </c>
      <c r="AJ33" s="48">
        <f t="shared" si="15"/>
        <v>0</v>
      </c>
    </row>
    <row r="34" spans="1:36" x14ac:dyDescent="0.3">
      <c r="A34" s="48">
        <v>20180213</v>
      </c>
      <c r="B34" s="48" t="s">
        <v>88</v>
      </c>
      <c r="C34" s="49">
        <v>2286000</v>
      </c>
      <c r="D34" s="49">
        <v>2377000</v>
      </c>
      <c r="E34" s="49">
        <v>128386494</v>
      </c>
      <c r="F34" s="49">
        <f t="shared" si="4"/>
        <v>0.13657019999015099</v>
      </c>
      <c r="G34" s="49">
        <f t="shared" si="5"/>
        <v>0.13657019999015099</v>
      </c>
      <c r="H34" s="48">
        <v>302500</v>
      </c>
      <c r="I34" s="48">
        <v>294000</v>
      </c>
      <c r="J34" s="51">
        <v>122666424</v>
      </c>
      <c r="K34" s="48">
        <f t="shared" si="6"/>
        <v>1.6135551614087</v>
      </c>
      <c r="L34" s="48">
        <f t="shared" si="7"/>
        <v>1.6135551614087</v>
      </c>
      <c r="M34" s="49">
        <v>216500</v>
      </c>
      <c r="N34" s="49">
        <v>200200</v>
      </c>
      <c r="O34" s="49">
        <v>15956260</v>
      </c>
      <c r="P34" s="49">
        <f t="shared" si="8"/>
        <v>33.712610685358698</v>
      </c>
      <c r="Q34" s="49">
        <f t="shared" si="9"/>
        <v>33.712610685358698</v>
      </c>
      <c r="R34" s="48">
        <v>0</v>
      </c>
      <c r="S34" s="48"/>
      <c r="T34" s="48">
        <v>0</v>
      </c>
      <c r="U34" s="48">
        <v>0</v>
      </c>
      <c r="V34" s="48"/>
      <c r="W34" s="49">
        <v>1</v>
      </c>
      <c r="X34" s="49">
        <v>1</v>
      </c>
      <c r="Y34" s="49">
        <v>100000000</v>
      </c>
      <c r="Z34" s="49">
        <f t="shared" si="10"/>
        <v>1192763.87016741</v>
      </c>
      <c r="AA34" s="49">
        <f t="shared" si="11"/>
        <v>1192763.87016741</v>
      </c>
      <c r="AB34" s="82">
        <f t="shared" si="1"/>
        <v>0</v>
      </c>
      <c r="AC34" s="82">
        <f t="shared" si="16"/>
        <v>298190967541853.69</v>
      </c>
      <c r="AD34" s="81">
        <f t="shared" si="0"/>
        <v>326838316248609.37</v>
      </c>
      <c r="AE34" s="80">
        <f t="shared" si="2"/>
        <v>1096.070477730801</v>
      </c>
      <c r="AF34" s="52">
        <f t="shared" si="12"/>
        <v>-2.6378350457695321E-2</v>
      </c>
      <c r="AG34" s="48">
        <f t="shared" si="3"/>
        <v>3.9807524059492561E-2</v>
      </c>
      <c r="AH34" s="48">
        <f t="shared" si="13"/>
        <v>-2.809917355371901E-2</v>
      </c>
      <c r="AI34" s="48">
        <f t="shared" si="14"/>
        <v>-7.5288683602771356E-2</v>
      </c>
      <c r="AJ34" s="48">
        <f t="shared" si="15"/>
        <v>0</v>
      </c>
    </row>
    <row r="35" spans="1:36" x14ac:dyDescent="0.3">
      <c r="A35" s="48">
        <v>20180214</v>
      </c>
      <c r="B35" s="48" t="s">
        <v>88</v>
      </c>
      <c r="C35" s="49">
        <v>2377000</v>
      </c>
      <c r="D35" s="49">
        <v>2450000</v>
      </c>
      <c r="E35" s="49">
        <v>128386494</v>
      </c>
      <c r="F35" s="49">
        <f t="shared" si="4"/>
        <v>0.13657019999015099</v>
      </c>
      <c r="G35" s="49">
        <f t="shared" si="5"/>
        <v>0.13657019999015099</v>
      </c>
      <c r="H35" s="48">
        <v>294000</v>
      </c>
      <c r="I35" s="48">
        <v>312500</v>
      </c>
      <c r="J35" s="51">
        <v>122666424</v>
      </c>
      <c r="K35" s="48">
        <f t="shared" si="6"/>
        <v>1.6135551614087</v>
      </c>
      <c r="L35" s="48">
        <f t="shared" si="7"/>
        <v>1.6135551614087</v>
      </c>
      <c r="M35" s="49">
        <v>200200</v>
      </c>
      <c r="N35" s="49">
        <v>205600</v>
      </c>
      <c r="O35" s="49">
        <v>15956260</v>
      </c>
      <c r="P35" s="49">
        <f t="shared" si="8"/>
        <v>33.712610685358698</v>
      </c>
      <c r="Q35" s="49">
        <f t="shared" si="9"/>
        <v>33.712610685358698</v>
      </c>
      <c r="R35" s="48">
        <v>0</v>
      </c>
      <c r="S35" s="48"/>
      <c r="T35" s="48">
        <v>0</v>
      </c>
      <c r="U35" s="48">
        <v>0</v>
      </c>
      <c r="V35" s="48"/>
      <c r="W35" s="49">
        <v>1</v>
      </c>
      <c r="X35" s="49">
        <v>1</v>
      </c>
      <c r="Y35" s="49">
        <v>100000000</v>
      </c>
      <c r="Z35" s="49">
        <f t="shared" si="10"/>
        <v>1192763.87016741</v>
      </c>
      <c r="AA35" s="49">
        <f t="shared" si="11"/>
        <v>1192763.87016741</v>
      </c>
      <c r="AB35" s="82">
        <f t="shared" si="1"/>
        <v>0</v>
      </c>
      <c r="AC35" s="82">
        <f t="shared" si="16"/>
        <v>298190967541853.69</v>
      </c>
      <c r="AD35" s="81">
        <f t="shared" si="0"/>
        <v>334684775445998.56</v>
      </c>
      <c r="AE35" s="80">
        <f t="shared" si="2"/>
        <v>1122.3840151999998</v>
      </c>
      <c r="AF35" s="52">
        <f t="shared" si="12"/>
        <v>2.4007158302152051E-2</v>
      </c>
      <c r="AG35" s="48">
        <f t="shared" si="3"/>
        <v>3.0710980227177113E-2</v>
      </c>
      <c r="AH35" s="48">
        <f t="shared" si="13"/>
        <v>6.2925170068027211E-2</v>
      </c>
      <c r="AI35" s="48">
        <f t="shared" si="14"/>
        <v>2.6973026973026972E-2</v>
      </c>
      <c r="AJ35" s="48">
        <f t="shared" si="15"/>
        <v>0</v>
      </c>
    </row>
    <row r="36" spans="1:36" x14ac:dyDescent="0.3">
      <c r="A36" s="48">
        <v>20180219</v>
      </c>
      <c r="B36" s="48" t="s">
        <v>88</v>
      </c>
      <c r="C36" s="49">
        <v>2450000</v>
      </c>
      <c r="D36" s="49">
        <v>2419000</v>
      </c>
      <c r="E36" s="49">
        <v>128386494</v>
      </c>
      <c r="F36" s="49">
        <f t="shared" si="4"/>
        <v>0.13657019999015099</v>
      </c>
      <c r="G36" s="49">
        <f t="shared" si="5"/>
        <v>0.13657019999015099</v>
      </c>
      <c r="H36" s="48">
        <v>312500</v>
      </c>
      <c r="I36" s="48">
        <v>316500</v>
      </c>
      <c r="J36" s="51">
        <v>122666424</v>
      </c>
      <c r="K36" s="48">
        <f t="shared" si="6"/>
        <v>1.6135551614087</v>
      </c>
      <c r="L36" s="48">
        <f t="shared" si="7"/>
        <v>1.6135551614087</v>
      </c>
      <c r="M36" s="49">
        <v>205600</v>
      </c>
      <c r="N36" s="49">
        <v>219500</v>
      </c>
      <c r="O36" s="49">
        <v>15956260</v>
      </c>
      <c r="P36" s="49">
        <f t="shared" si="8"/>
        <v>33.712610685358698</v>
      </c>
      <c r="Q36" s="49">
        <f t="shared" si="9"/>
        <v>33.712610685358698</v>
      </c>
      <c r="R36" s="48">
        <v>0</v>
      </c>
      <c r="S36" s="48"/>
      <c r="T36" s="48">
        <v>0</v>
      </c>
      <c r="U36" s="48">
        <v>0</v>
      </c>
      <c r="V36" s="48"/>
      <c r="W36" s="49">
        <v>1</v>
      </c>
      <c r="X36" s="49">
        <v>1</v>
      </c>
      <c r="Y36" s="49">
        <v>100000000</v>
      </c>
      <c r="Z36" s="49">
        <f t="shared" si="10"/>
        <v>1192763.87016741</v>
      </c>
      <c r="AA36" s="49">
        <f t="shared" si="11"/>
        <v>1192763.87016741</v>
      </c>
      <c r="AB36" s="82">
        <f t="shared" si="1"/>
        <v>0</v>
      </c>
      <c r="AC36" s="82">
        <f t="shared" si="16"/>
        <v>298190967541853.69</v>
      </c>
      <c r="AD36" s="81">
        <f t="shared" si="0"/>
        <v>342410132589399.12</v>
      </c>
      <c r="AE36" s="80">
        <f t="shared" si="2"/>
        <v>1148.2914301934343</v>
      </c>
      <c r="AF36" s="52">
        <f t="shared" si="12"/>
        <v>2.3082487493211488E-2</v>
      </c>
      <c r="AG36" s="48">
        <f t="shared" si="3"/>
        <v>-1.2653061224489797E-2</v>
      </c>
      <c r="AH36" s="48">
        <f t="shared" si="13"/>
        <v>1.2800000000000001E-2</v>
      </c>
      <c r="AI36" s="48">
        <f t="shared" si="14"/>
        <v>6.7607003891050579E-2</v>
      </c>
      <c r="AJ36" s="48">
        <f t="shared" si="15"/>
        <v>0</v>
      </c>
    </row>
    <row r="37" spans="1:36" x14ac:dyDescent="0.3">
      <c r="A37" s="48">
        <v>20180220</v>
      </c>
      <c r="B37" s="48" t="s">
        <v>88</v>
      </c>
      <c r="C37" s="49">
        <v>2419000</v>
      </c>
      <c r="D37" s="49">
        <v>2370000</v>
      </c>
      <c r="E37" s="49">
        <v>128386494</v>
      </c>
      <c r="F37" s="49">
        <f t="shared" si="4"/>
        <v>0.13657019999015099</v>
      </c>
      <c r="G37" s="49">
        <f t="shared" si="5"/>
        <v>0.13657019999015099</v>
      </c>
      <c r="H37" s="48">
        <v>316500</v>
      </c>
      <c r="I37" s="48">
        <v>304000</v>
      </c>
      <c r="J37" s="51">
        <v>122666424</v>
      </c>
      <c r="K37" s="48">
        <f t="shared" si="6"/>
        <v>1.6135551614087</v>
      </c>
      <c r="L37" s="48">
        <f t="shared" si="7"/>
        <v>1.6135551614087</v>
      </c>
      <c r="M37" s="49">
        <v>219500</v>
      </c>
      <c r="N37" s="49">
        <v>215000</v>
      </c>
      <c r="O37" s="49">
        <v>15956260</v>
      </c>
      <c r="P37" s="49">
        <f t="shared" si="8"/>
        <v>33.712610685358698</v>
      </c>
      <c r="Q37" s="49">
        <f t="shared" si="9"/>
        <v>33.712610685358698</v>
      </c>
      <c r="R37" s="48">
        <v>0</v>
      </c>
      <c r="S37" s="48"/>
      <c r="T37" s="48">
        <v>0</v>
      </c>
      <c r="U37" s="48">
        <v>0</v>
      </c>
      <c r="V37" s="48"/>
      <c r="W37" s="49">
        <v>1</v>
      </c>
      <c r="X37" s="49">
        <v>1</v>
      </c>
      <c r="Y37" s="49">
        <v>100000000</v>
      </c>
      <c r="Z37" s="49">
        <f t="shared" si="10"/>
        <v>1192763.87016741</v>
      </c>
      <c r="AA37" s="49">
        <f t="shared" si="11"/>
        <v>1192763.87016741</v>
      </c>
      <c r="AB37" s="82">
        <f t="shared" si="1"/>
        <v>0</v>
      </c>
      <c r="AC37" s="82">
        <f t="shared" si="16"/>
        <v>298190967541853.69</v>
      </c>
      <c r="AD37" s="81">
        <f t="shared" si="0"/>
        <v>336656192564586.06</v>
      </c>
      <c r="AE37" s="80">
        <f t="shared" si="2"/>
        <v>1128.9952721902398</v>
      </c>
      <c r="AF37" s="52">
        <f t="shared" si="12"/>
        <v>-1.6804234095820051E-2</v>
      </c>
      <c r="AG37" s="48">
        <f t="shared" si="3"/>
        <v>-2.0256304257957835E-2</v>
      </c>
      <c r="AH37" s="48">
        <f t="shared" si="13"/>
        <v>-3.9494470774091628E-2</v>
      </c>
      <c r="AI37" s="48">
        <f t="shared" si="14"/>
        <v>-2.0501138952164009E-2</v>
      </c>
      <c r="AJ37" s="48">
        <f t="shared" si="15"/>
        <v>0</v>
      </c>
    </row>
    <row r="38" spans="1:36" x14ac:dyDescent="0.3">
      <c r="A38" s="48">
        <v>20180221</v>
      </c>
      <c r="B38" s="48" t="s">
        <v>88</v>
      </c>
      <c r="C38" s="49">
        <v>2370000</v>
      </c>
      <c r="D38" s="49">
        <v>2364000</v>
      </c>
      <c r="E38" s="49">
        <v>128386494</v>
      </c>
      <c r="F38" s="49">
        <f t="shared" si="4"/>
        <v>0.13657019999015099</v>
      </c>
      <c r="G38" s="49">
        <f t="shared" si="5"/>
        <v>0.13657019999015099</v>
      </c>
      <c r="H38" s="48">
        <v>304000</v>
      </c>
      <c r="I38" s="48">
        <v>307500</v>
      </c>
      <c r="J38" s="51">
        <v>122666424</v>
      </c>
      <c r="K38" s="48">
        <f t="shared" si="6"/>
        <v>1.6135551614087</v>
      </c>
      <c r="L38" s="48">
        <f t="shared" si="7"/>
        <v>1.6135551614087</v>
      </c>
      <c r="M38" s="49">
        <v>215000</v>
      </c>
      <c r="N38" s="49">
        <v>221200</v>
      </c>
      <c r="O38" s="49">
        <v>15956260</v>
      </c>
      <c r="P38" s="49">
        <f t="shared" si="8"/>
        <v>33.712610685358698</v>
      </c>
      <c r="Q38" s="49">
        <f t="shared" si="9"/>
        <v>33.712610685358698</v>
      </c>
      <c r="R38" s="48">
        <v>0</v>
      </c>
      <c r="S38" s="48"/>
      <c r="T38" s="48">
        <v>0</v>
      </c>
      <c r="U38" s="48">
        <v>0</v>
      </c>
      <c r="V38" s="48"/>
      <c r="W38" s="49">
        <v>1</v>
      </c>
      <c r="X38" s="49">
        <v>1</v>
      </c>
      <c r="Y38" s="49">
        <v>100000000</v>
      </c>
      <c r="Z38" s="49">
        <f t="shared" si="10"/>
        <v>1192763.87016741</v>
      </c>
      <c r="AA38" s="49">
        <f t="shared" si="11"/>
        <v>1192763.87016741</v>
      </c>
      <c r="AB38" s="82">
        <f t="shared" si="1"/>
        <v>0</v>
      </c>
      <c r="AC38" s="82">
        <f t="shared" si="16"/>
        <v>298190967541853.69</v>
      </c>
      <c r="AD38" s="81">
        <f t="shared" si="0"/>
        <v>340578890119656.06</v>
      </c>
      <c r="AE38" s="80">
        <f t="shared" si="2"/>
        <v>1142.1502566869431</v>
      </c>
      <c r="AF38" s="52">
        <f t="shared" si="12"/>
        <v>1.1651939401998311E-2</v>
      </c>
      <c r="AG38" s="48">
        <f t="shared" si="3"/>
        <v>-2.5316455696202532E-3</v>
      </c>
      <c r="AH38" s="48">
        <f t="shared" si="13"/>
        <v>1.1513157894736841E-2</v>
      </c>
      <c r="AI38" s="48">
        <f t="shared" si="14"/>
        <v>2.883720930232558E-2</v>
      </c>
      <c r="AJ38" s="48">
        <f t="shared" si="15"/>
        <v>0</v>
      </c>
    </row>
    <row r="39" spans="1:36" x14ac:dyDescent="0.3">
      <c r="A39" s="48">
        <v>20180222</v>
      </c>
      <c r="B39" s="48" t="s">
        <v>88</v>
      </c>
      <c r="C39" s="49">
        <v>2364000</v>
      </c>
      <c r="D39" s="49">
        <v>2338000</v>
      </c>
      <c r="E39" s="49">
        <v>128386494</v>
      </c>
      <c r="F39" s="49">
        <f t="shared" si="4"/>
        <v>0.13657019999015099</v>
      </c>
      <c r="G39" s="49">
        <f t="shared" si="5"/>
        <v>0.13657019999015099</v>
      </c>
      <c r="H39" s="48">
        <v>307500</v>
      </c>
      <c r="I39" s="48">
        <v>307500</v>
      </c>
      <c r="J39" s="51">
        <v>122666424</v>
      </c>
      <c r="K39" s="48">
        <f t="shared" si="6"/>
        <v>1.6135551614087</v>
      </c>
      <c r="L39" s="48">
        <f t="shared" si="7"/>
        <v>1.6135551614087</v>
      </c>
      <c r="M39" s="49">
        <v>221200</v>
      </c>
      <c r="N39" s="49">
        <v>219300</v>
      </c>
      <c r="O39" s="49">
        <v>15956260</v>
      </c>
      <c r="P39" s="49">
        <f t="shared" si="8"/>
        <v>33.712610685358698</v>
      </c>
      <c r="Q39" s="49">
        <f t="shared" si="9"/>
        <v>33.712610685358698</v>
      </c>
      <c r="R39" s="48">
        <v>0</v>
      </c>
      <c r="S39" s="48"/>
      <c r="T39" s="48">
        <v>0</v>
      </c>
      <c r="U39" s="48">
        <v>0</v>
      </c>
      <c r="V39" s="48"/>
      <c r="W39" s="49">
        <v>1</v>
      </c>
      <c r="X39" s="49">
        <v>1</v>
      </c>
      <c r="Y39" s="49">
        <v>100000000</v>
      </c>
      <c r="Z39" s="49">
        <f t="shared" si="10"/>
        <v>1192763.87016741</v>
      </c>
      <c r="AA39" s="49">
        <f t="shared" si="11"/>
        <v>1192763.87016741</v>
      </c>
      <c r="AB39" s="82">
        <f t="shared" si="1"/>
        <v>0</v>
      </c>
      <c r="AC39" s="82">
        <f t="shared" si="16"/>
        <v>298190967541853.69</v>
      </c>
      <c r="AD39" s="81">
        <f t="shared" si="0"/>
        <v>339100950476842.81</v>
      </c>
      <c r="AE39" s="80">
        <f t="shared" si="2"/>
        <v>1137.1939038671485</v>
      </c>
      <c r="AF39" s="52">
        <f t="shared" si="12"/>
        <v>-4.3394928038378777E-3</v>
      </c>
      <c r="AG39" s="48">
        <f t="shared" si="3"/>
        <v>-1.0998307952622674E-2</v>
      </c>
      <c r="AH39" s="48">
        <f t="shared" si="13"/>
        <v>0</v>
      </c>
      <c r="AI39" s="48">
        <f t="shared" si="14"/>
        <v>-8.5895117540687165E-3</v>
      </c>
      <c r="AJ39" s="48">
        <f t="shared" si="15"/>
        <v>0</v>
      </c>
    </row>
    <row r="40" spans="1:36" x14ac:dyDescent="0.3">
      <c r="A40" s="48">
        <v>20180223</v>
      </c>
      <c r="B40" s="48" t="s">
        <v>88</v>
      </c>
      <c r="C40" s="49">
        <v>2338000</v>
      </c>
      <c r="D40" s="49">
        <v>2361000</v>
      </c>
      <c r="E40" s="49">
        <v>128386494</v>
      </c>
      <c r="F40" s="49">
        <f t="shared" si="4"/>
        <v>0.13657019999015099</v>
      </c>
      <c r="G40" s="49">
        <f t="shared" si="5"/>
        <v>0.13657019999015099</v>
      </c>
      <c r="H40" s="48">
        <v>307500</v>
      </c>
      <c r="I40" s="48">
        <v>318000</v>
      </c>
      <c r="J40" s="51">
        <v>122666424</v>
      </c>
      <c r="K40" s="48">
        <f t="shared" si="6"/>
        <v>1.6135551614087</v>
      </c>
      <c r="L40" s="48">
        <f t="shared" si="7"/>
        <v>1.6135551614087</v>
      </c>
      <c r="M40" s="49">
        <v>219300</v>
      </c>
      <c r="N40" s="49">
        <v>222700</v>
      </c>
      <c r="O40" s="49">
        <v>15956260</v>
      </c>
      <c r="P40" s="49">
        <f t="shared" si="8"/>
        <v>33.712610685358698</v>
      </c>
      <c r="Q40" s="49">
        <f t="shared" si="9"/>
        <v>33.712610685358698</v>
      </c>
      <c r="R40" s="48">
        <v>0</v>
      </c>
      <c r="S40" s="48"/>
      <c r="T40" s="48">
        <v>0</v>
      </c>
      <c r="U40" s="48">
        <v>0</v>
      </c>
      <c r="V40" s="48"/>
      <c r="W40" s="49">
        <v>1</v>
      </c>
      <c r="X40" s="49">
        <v>1</v>
      </c>
      <c r="Y40" s="49">
        <v>100000000</v>
      </c>
      <c r="Z40" s="49">
        <f t="shared" si="10"/>
        <v>1192763.87016741</v>
      </c>
      <c r="AA40" s="49">
        <f t="shared" si="11"/>
        <v>1192763.87016741</v>
      </c>
      <c r="AB40" s="82">
        <f t="shared" si="1"/>
        <v>0</v>
      </c>
      <c r="AC40" s="82">
        <f t="shared" si="16"/>
        <v>298190967541853.69</v>
      </c>
      <c r="AD40" s="81">
        <f t="shared" si="0"/>
        <v>343411434520788.62</v>
      </c>
      <c r="AE40" s="80">
        <f t="shared" si="2"/>
        <v>1151.6493519294404</v>
      </c>
      <c r="AF40" s="52">
        <f t="shared" si="12"/>
        <v>1.2711506817909085E-2</v>
      </c>
      <c r="AG40" s="48">
        <f t="shared" si="3"/>
        <v>9.8374679213002574E-3</v>
      </c>
      <c r="AH40" s="48">
        <f t="shared" si="13"/>
        <v>3.4146341463414637E-2</v>
      </c>
      <c r="AI40" s="48">
        <f t="shared" si="14"/>
        <v>1.5503875968992248E-2</v>
      </c>
      <c r="AJ40" s="48">
        <f t="shared" si="15"/>
        <v>0</v>
      </c>
    </row>
    <row r="41" spans="1:36" x14ac:dyDescent="0.3">
      <c r="A41" s="48">
        <v>20180226</v>
      </c>
      <c r="B41" s="48" t="s">
        <v>88</v>
      </c>
      <c r="C41" s="49">
        <v>2361000</v>
      </c>
      <c r="D41" s="49">
        <v>2369000</v>
      </c>
      <c r="E41" s="49">
        <v>128386494</v>
      </c>
      <c r="F41" s="49">
        <f t="shared" si="4"/>
        <v>0.13657019999015099</v>
      </c>
      <c r="G41" s="49">
        <f t="shared" si="5"/>
        <v>0.13657019999015099</v>
      </c>
      <c r="H41" s="48">
        <v>318000</v>
      </c>
      <c r="I41" s="48">
        <v>326500</v>
      </c>
      <c r="J41" s="51">
        <v>122666424</v>
      </c>
      <c r="K41" s="48">
        <f t="shared" si="6"/>
        <v>1.6135551614087</v>
      </c>
      <c r="L41" s="48">
        <f t="shared" si="7"/>
        <v>1.6135551614087</v>
      </c>
      <c r="M41" s="49">
        <v>222700</v>
      </c>
      <c r="N41" s="49">
        <v>224300</v>
      </c>
      <c r="O41" s="49">
        <v>15956260</v>
      </c>
      <c r="P41" s="49">
        <f t="shared" si="8"/>
        <v>33.712610685358698</v>
      </c>
      <c r="Q41" s="49">
        <f t="shared" si="9"/>
        <v>33.712610685358698</v>
      </c>
      <c r="R41" s="48">
        <v>0</v>
      </c>
      <c r="S41" s="48"/>
      <c r="T41" s="48">
        <v>0</v>
      </c>
      <c r="U41" s="48">
        <v>0</v>
      </c>
      <c r="V41" s="48"/>
      <c r="W41" s="49">
        <v>1</v>
      </c>
      <c r="X41" s="49">
        <v>1</v>
      </c>
      <c r="Y41" s="49">
        <v>100000000</v>
      </c>
      <c r="Z41" s="49">
        <f t="shared" si="10"/>
        <v>1192763.87016741</v>
      </c>
      <c r="AA41" s="49">
        <f t="shared" si="11"/>
        <v>1192763.87016741</v>
      </c>
      <c r="AB41" s="82">
        <f t="shared" si="1"/>
        <v>0</v>
      </c>
      <c r="AC41" s="82">
        <f t="shared" si="16"/>
        <v>298190967541853.69</v>
      </c>
      <c r="AD41" s="81">
        <f t="shared" si="0"/>
        <v>346094785017682.87</v>
      </c>
      <c r="AE41" s="80">
        <f t="shared" si="2"/>
        <v>1160.6481171134249</v>
      </c>
      <c r="AF41" s="52">
        <f t="shared" si="12"/>
        <v>7.8138064931901237E-3</v>
      </c>
      <c r="AG41" s="48">
        <f t="shared" si="3"/>
        <v>3.3883947479881405E-3</v>
      </c>
      <c r="AH41" s="48">
        <f t="shared" si="13"/>
        <v>2.6729559748427674E-2</v>
      </c>
      <c r="AI41" s="48">
        <f t="shared" si="14"/>
        <v>7.1845532105972157E-3</v>
      </c>
      <c r="AJ41" s="48">
        <f t="shared" si="15"/>
        <v>0</v>
      </c>
    </row>
    <row r="42" spans="1:36" x14ac:dyDescent="0.3">
      <c r="A42" s="48">
        <v>20180227</v>
      </c>
      <c r="B42" s="48" t="s">
        <v>88</v>
      </c>
      <c r="C42" s="49">
        <v>2369000</v>
      </c>
      <c r="D42" s="49">
        <v>2369000</v>
      </c>
      <c r="E42" s="49">
        <v>128386494</v>
      </c>
      <c r="F42" s="49">
        <f t="shared" si="4"/>
        <v>0.13657019999015099</v>
      </c>
      <c r="G42" s="49">
        <f t="shared" si="5"/>
        <v>0.13657019999015099</v>
      </c>
      <c r="H42" s="48">
        <v>326500</v>
      </c>
      <c r="I42" s="48">
        <v>351000</v>
      </c>
      <c r="J42" s="51">
        <v>122666424</v>
      </c>
      <c r="K42" s="48">
        <f t="shared" si="6"/>
        <v>1.6135551614087</v>
      </c>
      <c r="L42" s="48">
        <f t="shared" si="7"/>
        <v>1.6135551614087</v>
      </c>
      <c r="M42" s="49">
        <v>224300</v>
      </c>
      <c r="N42" s="49">
        <v>225200</v>
      </c>
      <c r="O42" s="49">
        <v>15956260</v>
      </c>
      <c r="P42" s="49">
        <f t="shared" si="8"/>
        <v>33.712610685358698</v>
      </c>
      <c r="Q42" s="49">
        <f t="shared" si="9"/>
        <v>33.712610685358698</v>
      </c>
      <c r="R42" s="48">
        <v>0</v>
      </c>
      <c r="S42" s="48"/>
      <c r="T42" s="48">
        <v>0</v>
      </c>
      <c r="U42" s="48">
        <v>0</v>
      </c>
      <c r="V42" s="48"/>
      <c r="W42" s="49">
        <v>1</v>
      </c>
      <c r="X42" s="49">
        <v>1</v>
      </c>
      <c r="Y42" s="49">
        <v>100000000</v>
      </c>
      <c r="Z42" s="49">
        <f t="shared" si="10"/>
        <v>1192763.87016741</v>
      </c>
      <c r="AA42" s="49">
        <f t="shared" si="11"/>
        <v>1192763.87016741</v>
      </c>
      <c r="AB42" s="82">
        <f t="shared" si="1"/>
        <v>0</v>
      </c>
      <c r="AC42" s="82">
        <f t="shared" si="16"/>
        <v>298190967541853.69</v>
      </c>
      <c r="AD42" s="81">
        <f t="shared" si="0"/>
        <v>351428180999550.12</v>
      </c>
      <c r="AE42" s="80">
        <f t="shared" si="2"/>
        <v>1178.5339572709361</v>
      </c>
      <c r="AF42" s="52">
        <f t="shared" si="12"/>
        <v>1.5410217699740006E-2</v>
      </c>
      <c r="AG42" s="48">
        <f t="shared" si="3"/>
        <v>0</v>
      </c>
      <c r="AH42" s="48">
        <f t="shared" si="13"/>
        <v>7.5038284839203676E-2</v>
      </c>
      <c r="AI42" s="48">
        <f t="shared" si="14"/>
        <v>4.012483281319661E-3</v>
      </c>
      <c r="AJ42" s="48">
        <f t="shared" si="15"/>
        <v>0</v>
      </c>
    </row>
    <row r="43" spans="1:36" x14ac:dyDescent="0.3">
      <c r="A43" s="48">
        <v>20180228</v>
      </c>
      <c r="B43" s="48" t="s">
        <v>88</v>
      </c>
      <c r="C43" s="49">
        <v>2369000</v>
      </c>
      <c r="D43" s="49">
        <v>2353000</v>
      </c>
      <c r="E43" s="49">
        <v>128386494</v>
      </c>
      <c r="F43" s="49">
        <f t="shared" si="4"/>
        <v>0.13657019999015099</v>
      </c>
      <c r="G43" s="49">
        <f t="shared" si="5"/>
        <v>0.13657019999015099</v>
      </c>
      <c r="H43" s="48">
        <v>351000</v>
      </c>
      <c r="I43" s="48">
        <v>353000</v>
      </c>
      <c r="J43" s="51">
        <v>122666424</v>
      </c>
      <c r="K43" s="48">
        <f t="shared" si="6"/>
        <v>1.6135551614087</v>
      </c>
      <c r="L43" s="48">
        <f t="shared" si="7"/>
        <v>1.6135551614087</v>
      </c>
      <c r="M43" s="49">
        <v>225200</v>
      </c>
      <c r="N43" s="49">
        <v>234000</v>
      </c>
      <c r="O43" s="49">
        <v>15956260</v>
      </c>
      <c r="P43" s="49">
        <f t="shared" si="8"/>
        <v>33.712610685358698</v>
      </c>
      <c r="Q43" s="49">
        <f t="shared" si="9"/>
        <v>33.712610685358698</v>
      </c>
      <c r="R43" s="48">
        <v>0</v>
      </c>
      <c r="S43" s="48"/>
      <c r="T43" s="48">
        <v>0</v>
      </c>
      <c r="U43" s="48">
        <v>0</v>
      </c>
      <c r="V43" s="48"/>
      <c r="W43" s="49">
        <v>1</v>
      </c>
      <c r="X43" s="49">
        <v>1</v>
      </c>
      <c r="Y43" s="49">
        <v>100000000</v>
      </c>
      <c r="Z43" s="49">
        <f t="shared" si="10"/>
        <v>1192763.87016741</v>
      </c>
      <c r="AA43" s="49">
        <f t="shared" si="11"/>
        <v>1192763.87016741</v>
      </c>
      <c r="AB43" s="82">
        <f t="shared" si="1"/>
        <v>0</v>
      </c>
      <c r="AC43" s="82">
        <f t="shared" si="16"/>
        <v>298190967541853.69</v>
      </c>
      <c r="AD43" s="81">
        <f t="shared" si="0"/>
        <v>356277257972212.12</v>
      </c>
      <c r="AE43" s="80">
        <f t="shared" si="2"/>
        <v>1194.7956066851875</v>
      </c>
      <c r="AF43" s="52">
        <f t="shared" si="12"/>
        <v>1.3798201837058328E-2</v>
      </c>
      <c r="AG43" s="48">
        <f t="shared" si="3"/>
        <v>-6.7539046010975093E-3</v>
      </c>
      <c r="AH43" s="48">
        <f t="shared" si="13"/>
        <v>5.6980056980056983E-3</v>
      </c>
      <c r="AI43" s="48">
        <f t="shared" si="14"/>
        <v>3.9076376554174071E-2</v>
      </c>
      <c r="AJ43" s="48">
        <f t="shared" si="15"/>
        <v>0</v>
      </c>
    </row>
    <row r="44" spans="1:36" x14ac:dyDescent="0.3">
      <c r="A44" s="48">
        <v>20180302</v>
      </c>
      <c r="B44" s="48" t="s">
        <v>88</v>
      </c>
      <c r="C44" s="49">
        <v>2353000</v>
      </c>
      <c r="D44" s="49">
        <v>2301000</v>
      </c>
      <c r="E44" s="49">
        <v>128386494</v>
      </c>
      <c r="F44" s="49">
        <f t="shared" si="4"/>
        <v>0.13657019999015099</v>
      </c>
      <c r="G44" s="49">
        <f t="shared" si="5"/>
        <v>0.13657019999015099</v>
      </c>
      <c r="H44" s="48">
        <v>353000</v>
      </c>
      <c r="I44" s="48">
        <v>372000</v>
      </c>
      <c r="J44" s="51">
        <v>122666424</v>
      </c>
      <c r="K44" s="48">
        <f t="shared" si="6"/>
        <v>1.6135551614087</v>
      </c>
      <c r="L44" s="48">
        <f t="shared" si="7"/>
        <v>1.6135551614087</v>
      </c>
      <c r="M44" s="49">
        <v>234000</v>
      </c>
      <c r="N44" s="49">
        <v>239000</v>
      </c>
      <c r="O44" s="49">
        <v>15956260</v>
      </c>
      <c r="P44" s="49">
        <f t="shared" si="8"/>
        <v>33.712610685358698</v>
      </c>
      <c r="Q44" s="49">
        <f t="shared" si="9"/>
        <v>33.712610685358698</v>
      </c>
      <c r="R44" s="48">
        <v>0</v>
      </c>
      <c r="S44" s="48"/>
      <c r="T44" s="48">
        <v>0</v>
      </c>
      <c r="U44" s="48">
        <v>0</v>
      </c>
      <c r="V44" s="48"/>
      <c r="W44" s="49">
        <v>1</v>
      </c>
      <c r="X44" s="49">
        <v>1</v>
      </c>
      <c r="Y44" s="49">
        <v>100000000</v>
      </c>
      <c r="Z44" s="49">
        <f t="shared" si="10"/>
        <v>1192763.87016741</v>
      </c>
      <c r="AA44" s="49">
        <f t="shared" si="11"/>
        <v>1192763.87016741</v>
      </c>
      <c r="AB44" s="82">
        <f t="shared" si="1"/>
        <v>0</v>
      </c>
      <c r="AC44" s="82">
        <f t="shared" si="16"/>
        <v>298190967541853.69</v>
      </c>
      <c r="AD44" s="81">
        <f t="shared" si="0"/>
        <v>361815789672638.25</v>
      </c>
      <c r="AE44" s="80">
        <f t="shared" si="2"/>
        <v>1213.3693808879516</v>
      </c>
      <c r="AF44" s="52">
        <f t="shared" si="12"/>
        <v>1.5545566202988231E-2</v>
      </c>
      <c r="AG44" s="48">
        <f t="shared" si="3"/>
        <v>-2.2099447513812154E-2</v>
      </c>
      <c r="AH44" s="48">
        <f t="shared" si="13"/>
        <v>5.3824362606232294E-2</v>
      </c>
      <c r="AI44" s="48">
        <f t="shared" si="14"/>
        <v>2.1367521367521368E-2</v>
      </c>
      <c r="AJ44" s="48">
        <f t="shared" si="15"/>
        <v>0</v>
      </c>
    </row>
    <row r="45" spans="1:36" x14ac:dyDescent="0.3">
      <c r="A45" s="48">
        <v>20180305</v>
      </c>
      <c r="B45" s="48" t="s">
        <v>88</v>
      </c>
      <c r="C45" s="49">
        <v>2301000</v>
      </c>
      <c r="D45" s="49">
        <v>2260000</v>
      </c>
      <c r="E45" s="49">
        <v>128386494</v>
      </c>
      <c r="F45" s="49">
        <f t="shared" si="4"/>
        <v>0.13657019999015099</v>
      </c>
      <c r="G45" s="49">
        <f t="shared" si="5"/>
        <v>0.13657019999015099</v>
      </c>
      <c r="H45" s="48">
        <v>372000</v>
      </c>
      <c r="I45" s="48">
        <v>373500</v>
      </c>
      <c r="J45" s="51">
        <v>122666424</v>
      </c>
      <c r="K45" s="48">
        <f t="shared" si="6"/>
        <v>1.6135551614087</v>
      </c>
      <c r="L45" s="48">
        <f t="shared" si="7"/>
        <v>1.6135551614087</v>
      </c>
      <c r="M45" s="49">
        <v>239000</v>
      </c>
      <c r="N45" s="49">
        <v>228900</v>
      </c>
      <c r="O45" s="49">
        <v>15956260</v>
      </c>
      <c r="P45" s="49">
        <f t="shared" si="8"/>
        <v>33.712610685358698</v>
      </c>
      <c r="Q45" s="49">
        <f t="shared" si="9"/>
        <v>33.712610685358698</v>
      </c>
      <c r="R45" s="48">
        <v>0</v>
      </c>
      <c r="S45" s="48"/>
      <c r="T45" s="48">
        <v>0</v>
      </c>
      <c r="U45" s="48">
        <v>0</v>
      </c>
      <c r="V45" s="48"/>
      <c r="W45" s="49">
        <v>1</v>
      </c>
      <c r="X45" s="49">
        <v>1</v>
      </c>
      <c r="Y45" s="49">
        <v>100000000</v>
      </c>
      <c r="Z45" s="49">
        <f t="shared" si="10"/>
        <v>1192763.87016741</v>
      </c>
      <c r="AA45" s="49">
        <f t="shared" si="11"/>
        <v>1192763.87016741</v>
      </c>
      <c r="AB45" s="82">
        <f t="shared" si="1"/>
        <v>0</v>
      </c>
      <c r="AC45" s="82">
        <f t="shared" si="16"/>
        <v>298190967541853.69</v>
      </c>
      <c r="AD45" s="81">
        <f t="shared" si="0"/>
        <v>355960734167496.12</v>
      </c>
      <c r="AE45" s="80">
        <f t="shared" si="2"/>
        <v>1193.7341264957461</v>
      </c>
      <c r="AF45" s="52">
        <f t="shared" si="12"/>
        <v>-1.6182421199582537E-2</v>
      </c>
      <c r="AG45" s="48">
        <f t="shared" si="3"/>
        <v>-1.7818339852238158E-2</v>
      </c>
      <c r="AH45" s="48">
        <f t="shared" si="13"/>
        <v>4.0322580645161289E-3</v>
      </c>
      <c r="AI45" s="48">
        <f t="shared" si="14"/>
        <v>-4.225941422594142E-2</v>
      </c>
      <c r="AJ45" s="48">
        <f t="shared" si="15"/>
        <v>0</v>
      </c>
    </row>
    <row r="46" spans="1:36" x14ac:dyDescent="0.3">
      <c r="A46" s="48">
        <v>20180306</v>
      </c>
      <c r="B46" s="48" t="s">
        <v>88</v>
      </c>
      <c r="C46" s="49">
        <v>2260000</v>
      </c>
      <c r="D46" s="49">
        <v>2351000</v>
      </c>
      <c r="E46" s="49">
        <v>128386494</v>
      </c>
      <c r="F46" s="49">
        <f t="shared" si="4"/>
        <v>0.13657019999015099</v>
      </c>
      <c r="G46" s="49">
        <f t="shared" si="5"/>
        <v>0.13657019999015099</v>
      </c>
      <c r="H46" s="48">
        <v>373500</v>
      </c>
      <c r="I46" s="48">
        <v>370000</v>
      </c>
      <c r="J46" s="51">
        <v>122666424</v>
      </c>
      <c r="K46" s="48">
        <f t="shared" si="6"/>
        <v>1.6135551614087</v>
      </c>
      <c r="L46" s="48">
        <f t="shared" si="7"/>
        <v>1.6135551614087</v>
      </c>
      <c r="M46" s="49">
        <v>228900</v>
      </c>
      <c r="N46" s="49">
        <v>236700</v>
      </c>
      <c r="O46" s="49">
        <v>15956260</v>
      </c>
      <c r="P46" s="49">
        <f t="shared" si="8"/>
        <v>33.712610685358698</v>
      </c>
      <c r="Q46" s="49">
        <f t="shared" si="9"/>
        <v>33.712610685358698</v>
      </c>
      <c r="R46" s="48">
        <v>0</v>
      </c>
      <c r="S46" s="48"/>
      <c r="T46" s="48">
        <v>0</v>
      </c>
      <c r="U46" s="48">
        <v>0</v>
      </c>
      <c r="V46" s="48"/>
      <c r="W46" s="49">
        <v>1</v>
      </c>
      <c r="X46" s="49">
        <v>1</v>
      </c>
      <c r="Y46" s="49">
        <v>100000000</v>
      </c>
      <c r="Z46" s="49">
        <f t="shared" si="10"/>
        <v>1192763.87016741</v>
      </c>
      <c r="AA46" s="49">
        <f t="shared" si="11"/>
        <v>1192763.87016741</v>
      </c>
      <c r="AB46" s="82">
        <f t="shared" si="1"/>
        <v>0</v>
      </c>
      <c r="AC46" s="82">
        <f t="shared" si="16"/>
        <v>298190967541853.69</v>
      </c>
      <c r="AD46" s="81">
        <f t="shared" si="0"/>
        <v>361059387530404.44</v>
      </c>
      <c r="AE46" s="80">
        <f t="shared" si="2"/>
        <v>1210.8327442202844</v>
      </c>
      <c r="AF46" s="52">
        <f t="shared" si="12"/>
        <v>1.4323639866719771E-2</v>
      </c>
      <c r="AG46" s="48">
        <f t="shared" si="3"/>
        <v>4.026548672566372E-2</v>
      </c>
      <c r="AH46" s="48">
        <f t="shared" si="13"/>
        <v>-9.3708165997322627E-3</v>
      </c>
      <c r="AI46" s="48">
        <f t="shared" si="14"/>
        <v>3.4076015727391877E-2</v>
      </c>
      <c r="AJ46" s="48">
        <f t="shared" si="15"/>
        <v>0</v>
      </c>
    </row>
    <row r="47" spans="1:36" x14ac:dyDescent="0.3">
      <c r="A47" s="48">
        <v>20180307</v>
      </c>
      <c r="B47" s="48" t="s">
        <v>88</v>
      </c>
      <c r="C47" s="49">
        <v>2351000</v>
      </c>
      <c r="D47" s="49">
        <v>2431000</v>
      </c>
      <c r="E47" s="49">
        <v>128386494</v>
      </c>
      <c r="F47" s="49">
        <f t="shared" si="4"/>
        <v>0.13657019999015099</v>
      </c>
      <c r="G47" s="49">
        <f t="shared" si="5"/>
        <v>0.13657019999015099</v>
      </c>
      <c r="H47" s="48">
        <v>370000</v>
      </c>
      <c r="I47" s="48">
        <v>325000</v>
      </c>
      <c r="J47" s="51">
        <v>122666424</v>
      </c>
      <c r="K47" s="48">
        <f t="shared" si="6"/>
        <v>1.6135551614087</v>
      </c>
      <c r="L47" s="48">
        <f t="shared" si="7"/>
        <v>1.6135551614087</v>
      </c>
      <c r="M47" s="49">
        <v>236700</v>
      </c>
      <c r="N47" s="49">
        <v>223700</v>
      </c>
      <c r="O47" s="49">
        <v>15956260</v>
      </c>
      <c r="P47" s="49">
        <f t="shared" si="8"/>
        <v>33.712610685358698</v>
      </c>
      <c r="Q47" s="49">
        <f t="shared" si="9"/>
        <v>33.712610685358698</v>
      </c>
      <c r="R47" s="48">
        <v>0</v>
      </c>
      <c r="S47" s="48"/>
      <c r="T47" s="48">
        <v>0</v>
      </c>
      <c r="U47" s="48">
        <v>0</v>
      </c>
      <c r="V47" s="48"/>
      <c r="W47" s="49">
        <v>1</v>
      </c>
      <c r="X47" s="49">
        <v>1</v>
      </c>
      <c r="Y47" s="49">
        <v>100000000</v>
      </c>
      <c r="Z47" s="49">
        <f t="shared" si="10"/>
        <v>1192763.87016741</v>
      </c>
      <c r="AA47" s="49">
        <f t="shared" si="11"/>
        <v>1192763.87016741</v>
      </c>
      <c r="AB47" s="82">
        <f t="shared" si="1"/>
        <v>0</v>
      </c>
      <c r="AC47" s="82">
        <f t="shared" si="16"/>
        <v>298190967541853.69</v>
      </c>
      <c r="AD47" s="81">
        <f t="shared" si="0"/>
        <v>346562228834513.25</v>
      </c>
      <c r="AE47" s="80">
        <f t="shared" si="2"/>
        <v>1162.2157159601766</v>
      </c>
      <c r="AF47" s="52">
        <f t="shared" si="12"/>
        <v>-4.0151729041168933E-2</v>
      </c>
      <c r="AG47" s="48">
        <f t="shared" si="3"/>
        <v>3.4028073160357296E-2</v>
      </c>
      <c r="AH47" s="48">
        <f t="shared" si="13"/>
        <v>-0.12162162162162163</v>
      </c>
      <c r="AI47" s="48">
        <f t="shared" si="14"/>
        <v>-5.4921841994085341E-2</v>
      </c>
      <c r="AJ47" s="48">
        <f t="shared" si="15"/>
        <v>0</v>
      </c>
    </row>
    <row r="48" spans="1:36" x14ac:dyDescent="0.3">
      <c r="A48" s="48">
        <v>20180308</v>
      </c>
      <c r="B48" s="48" t="s">
        <v>88</v>
      </c>
      <c r="C48" s="49">
        <v>2431000</v>
      </c>
      <c r="D48" s="49">
        <v>2460000</v>
      </c>
      <c r="E48" s="49">
        <v>128386494</v>
      </c>
      <c r="F48" s="49">
        <f t="shared" si="4"/>
        <v>0.13657019999015099</v>
      </c>
      <c r="G48" s="49">
        <f t="shared" si="5"/>
        <v>0.13657019999015099</v>
      </c>
      <c r="H48" s="48">
        <v>325000</v>
      </c>
      <c r="I48" s="48">
        <v>354000</v>
      </c>
      <c r="J48" s="51">
        <v>122666424</v>
      </c>
      <c r="K48" s="48">
        <f t="shared" si="6"/>
        <v>1.6135551614087</v>
      </c>
      <c r="L48" s="48">
        <f t="shared" si="7"/>
        <v>1.6135551614087</v>
      </c>
      <c r="M48" s="49">
        <v>223700</v>
      </c>
      <c r="N48" s="49">
        <v>234300</v>
      </c>
      <c r="O48" s="49">
        <v>15956260</v>
      </c>
      <c r="P48" s="49">
        <f t="shared" si="8"/>
        <v>33.712610685358698</v>
      </c>
      <c r="Q48" s="49">
        <f t="shared" si="9"/>
        <v>33.712610685358698</v>
      </c>
      <c r="R48" s="48">
        <v>0</v>
      </c>
      <c r="S48" s="48"/>
      <c r="T48" s="48">
        <v>0</v>
      </c>
      <c r="U48" s="48">
        <v>0</v>
      </c>
      <c r="V48" s="48"/>
      <c r="W48" s="49">
        <v>1</v>
      </c>
      <c r="X48" s="49">
        <v>1</v>
      </c>
      <c r="Y48" s="49">
        <v>100000000</v>
      </c>
      <c r="Z48" s="49">
        <f t="shared" si="10"/>
        <v>1192763.87016741</v>
      </c>
      <c r="AA48" s="49">
        <f t="shared" si="11"/>
        <v>1192763.87016741</v>
      </c>
      <c r="AB48" s="82">
        <f t="shared" si="1"/>
        <v>0</v>
      </c>
      <c r="AC48" s="82">
        <f t="shared" si="16"/>
        <v>298190967541853.69</v>
      </c>
      <c r="AD48" s="81">
        <f t="shared" si="0"/>
        <v>358512678468493.94</v>
      </c>
      <c r="AE48" s="80">
        <f t="shared" si="2"/>
        <v>1202.2922136907905</v>
      </c>
      <c r="AF48" s="52">
        <f t="shared" si="12"/>
        <v>3.4482839270078468E-2</v>
      </c>
      <c r="AG48" s="48">
        <f t="shared" si="3"/>
        <v>1.192924722336487E-2</v>
      </c>
      <c r="AH48" s="48">
        <f t="shared" si="13"/>
        <v>8.9230769230769225E-2</v>
      </c>
      <c r="AI48" s="48">
        <f t="shared" si="14"/>
        <v>4.7384890478319175E-2</v>
      </c>
      <c r="AJ48" s="48">
        <f t="shared" si="15"/>
        <v>0</v>
      </c>
    </row>
    <row r="49" spans="1:36" x14ac:dyDescent="0.3">
      <c r="A49" s="48">
        <v>20180309</v>
      </c>
      <c r="B49" s="48" t="s">
        <v>88</v>
      </c>
      <c r="C49" s="49">
        <v>2460000</v>
      </c>
      <c r="D49" s="49">
        <v>2487000</v>
      </c>
      <c r="E49" s="49">
        <v>128386494</v>
      </c>
      <c r="F49" s="49">
        <f t="shared" si="4"/>
        <v>0.13657019999015099</v>
      </c>
      <c r="G49" s="49">
        <f t="shared" si="5"/>
        <v>0.13657019999015099</v>
      </c>
      <c r="H49" s="48">
        <v>354000</v>
      </c>
      <c r="I49" s="48">
        <v>326000</v>
      </c>
      <c r="J49" s="51">
        <v>122666424</v>
      </c>
      <c r="K49" s="48">
        <f t="shared" si="6"/>
        <v>1.6135551614087</v>
      </c>
      <c r="L49" s="48">
        <f t="shared" si="7"/>
        <v>1.6135551614087</v>
      </c>
      <c r="M49" s="49">
        <v>234300</v>
      </c>
      <c r="N49" s="49">
        <v>243200</v>
      </c>
      <c r="O49" s="49">
        <v>15956260</v>
      </c>
      <c r="P49" s="49">
        <f t="shared" si="8"/>
        <v>33.712610685358698</v>
      </c>
      <c r="Q49" s="49">
        <f t="shared" si="9"/>
        <v>33.712610685358698</v>
      </c>
      <c r="R49" s="48">
        <v>0</v>
      </c>
      <c r="S49" s="48"/>
      <c r="T49" s="48">
        <v>0</v>
      </c>
      <c r="U49" s="48">
        <v>0</v>
      </c>
      <c r="V49" s="48"/>
      <c r="W49" s="49">
        <v>1</v>
      </c>
      <c r="X49" s="49">
        <v>1</v>
      </c>
      <c r="Y49" s="49">
        <v>100000000</v>
      </c>
      <c r="Z49" s="49">
        <f t="shared" si="10"/>
        <v>1192763.87016741</v>
      </c>
      <c r="AA49" s="49">
        <f t="shared" si="11"/>
        <v>1192763.87016741</v>
      </c>
      <c r="AB49" s="82">
        <f t="shared" si="1"/>
        <v>0</v>
      </c>
      <c r="AC49" s="82">
        <f t="shared" si="16"/>
        <v>298190967541853.69</v>
      </c>
      <c r="AD49" s="81">
        <f t="shared" si="0"/>
        <v>358231628985940.37</v>
      </c>
      <c r="AE49" s="80">
        <f t="shared" si="2"/>
        <v>1201.3496986143937</v>
      </c>
      <c r="AF49" s="52">
        <f t="shared" si="12"/>
        <v>-7.839317810297569E-4</v>
      </c>
      <c r="AG49" s="48">
        <f t="shared" si="3"/>
        <v>1.097560975609756E-2</v>
      </c>
      <c r="AH49" s="48">
        <f t="shared" si="13"/>
        <v>-7.909604519774012E-2</v>
      </c>
      <c r="AI49" s="48">
        <f t="shared" si="14"/>
        <v>3.7985488689714041E-2</v>
      </c>
      <c r="AJ49" s="48">
        <f t="shared" si="15"/>
        <v>0</v>
      </c>
    </row>
    <row r="50" spans="1:36" x14ac:dyDescent="0.3">
      <c r="A50" s="48">
        <v>20180312</v>
      </c>
      <c r="B50" s="48" t="s">
        <v>88</v>
      </c>
      <c r="C50" s="49">
        <v>2487000</v>
      </c>
      <c r="D50" s="49">
        <v>2487000</v>
      </c>
      <c r="E50" s="49">
        <v>128386494</v>
      </c>
      <c r="F50" s="49">
        <f t="shared" si="4"/>
        <v>0.13657019999015099</v>
      </c>
      <c r="G50" s="49">
        <f t="shared" si="5"/>
        <v>0.13657019999015099</v>
      </c>
      <c r="H50" s="48">
        <v>326000</v>
      </c>
      <c r="I50" s="48">
        <v>322000</v>
      </c>
      <c r="J50" s="51">
        <v>122666424</v>
      </c>
      <c r="K50" s="48">
        <f t="shared" si="6"/>
        <v>1.6135551614087</v>
      </c>
      <c r="L50" s="48">
        <f t="shared" si="7"/>
        <v>1.6135551614087</v>
      </c>
      <c r="M50" s="49">
        <v>243200</v>
      </c>
      <c r="N50" s="49">
        <v>255300</v>
      </c>
      <c r="O50" s="49">
        <v>15956260</v>
      </c>
      <c r="P50" s="49">
        <f t="shared" si="8"/>
        <v>33.712610685358698</v>
      </c>
      <c r="Q50" s="49">
        <f t="shared" si="9"/>
        <v>33.712610685358698</v>
      </c>
      <c r="R50" s="48">
        <v>0</v>
      </c>
      <c r="S50" s="48"/>
      <c r="T50" s="48">
        <v>0</v>
      </c>
      <c r="U50" s="48">
        <v>0</v>
      </c>
      <c r="V50" s="48"/>
      <c r="W50" s="49">
        <v>1</v>
      </c>
      <c r="X50" s="49">
        <v>1</v>
      </c>
      <c r="Y50" s="49">
        <v>100000000</v>
      </c>
      <c r="Z50" s="49">
        <f t="shared" si="10"/>
        <v>1192763.87016741</v>
      </c>
      <c r="AA50" s="49">
        <f t="shared" si="11"/>
        <v>1192763.87016741</v>
      </c>
      <c r="AB50" s="82">
        <f t="shared" si="1"/>
        <v>0</v>
      </c>
      <c r="AC50" s="82">
        <f t="shared" si="16"/>
        <v>298190967541853.69</v>
      </c>
      <c r="AD50" s="81">
        <f t="shared" si="0"/>
        <v>363948831714263.19</v>
      </c>
      <c r="AE50" s="80">
        <f t="shared" si="2"/>
        <v>1220.5226560498679</v>
      </c>
      <c r="AF50" s="52">
        <f t="shared" si="12"/>
        <v>1.5959514084523306E-2</v>
      </c>
      <c r="AG50" s="48">
        <f t="shared" si="3"/>
        <v>0</v>
      </c>
      <c r="AH50" s="48">
        <f t="shared" si="13"/>
        <v>-1.2269938650306749E-2</v>
      </c>
      <c r="AI50" s="48">
        <f t="shared" si="14"/>
        <v>4.9753289473684209E-2</v>
      </c>
      <c r="AJ50" s="48">
        <f t="shared" si="15"/>
        <v>0</v>
      </c>
    </row>
    <row r="51" spans="1:36" x14ac:dyDescent="0.3">
      <c r="A51" s="48">
        <v>20180313</v>
      </c>
      <c r="B51" s="48" t="s">
        <v>88</v>
      </c>
      <c r="C51" s="49">
        <v>2487000</v>
      </c>
      <c r="D51" s="49">
        <v>2583000</v>
      </c>
      <c r="E51" s="49">
        <v>128386494</v>
      </c>
      <c r="F51" s="49">
        <f t="shared" si="4"/>
        <v>0.13657019999015099</v>
      </c>
      <c r="G51" s="49">
        <f t="shared" si="5"/>
        <v>0.13657019999015099</v>
      </c>
      <c r="H51" s="48">
        <v>322000</v>
      </c>
      <c r="I51" s="48">
        <v>311000</v>
      </c>
      <c r="J51" s="51">
        <v>122666424</v>
      </c>
      <c r="K51" s="48">
        <f t="shared" si="6"/>
        <v>1.6135551614087</v>
      </c>
      <c r="L51" s="48">
        <f t="shared" si="7"/>
        <v>1.6135551614087</v>
      </c>
      <c r="M51" s="49">
        <v>255300</v>
      </c>
      <c r="N51" s="49">
        <v>256000</v>
      </c>
      <c r="O51" s="49">
        <v>15956260</v>
      </c>
      <c r="P51" s="49">
        <f t="shared" si="8"/>
        <v>33.712610685358698</v>
      </c>
      <c r="Q51" s="49">
        <f t="shared" si="9"/>
        <v>33.712610685358698</v>
      </c>
      <c r="R51" s="48">
        <v>0</v>
      </c>
      <c r="S51" s="48"/>
      <c r="T51" s="48">
        <v>0</v>
      </c>
      <c r="U51" s="48">
        <v>0</v>
      </c>
      <c r="V51" s="48"/>
      <c r="W51" s="49">
        <v>1</v>
      </c>
      <c r="X51" s="49">
        <v>1</v>
      </c>
      <c r="Y51" s="49">
        <v>100000000</v>
      </c>
      <c r="Z51" s="49">
        <f t="shared" si="10"/>
        <v>1192763.87016741</v>
      </c>
      <c r="AA51" s="49">
        <f t="shared" si="11"/>
        <v>1192763.87016741</v>
      </c>
      <c r="AB51" s="82">
        <f t="shared" si="1"/>
        <v>0</v>
      </c>
      <c r="AC51" s="82">
        <f t="shared" si="16"/>
        <v>298190967541853.69</v>
      </c>
      <c r="AD51" s="81">
        <f t="shared" si="0"/>
        <v>363831403123396</v>
      </c>
      <c r="AE51" s="80">
        <f t="shared" si="2"/>
        <v>1220.1288527370607</v>
      </c>
      <c r="AF51" s="52">
        <f t="shared" si="12"/>
        <v>-3.2265137468380766E-4</v>
      </c>
      <c r="AG51" s="48">
        <f t="shared" si="3"/>
        <v>3.8600723763570564E-2</v>
      </c>
      <c r="AH51" s="48">
        <f t="shared" si="13"/>
        <v>-3.4161490683229816E-2</v>
      </c>
      <c r="AI51" s="48">
        <f t="shared" si="14"/>
        <v>2.7418723070896985E-3</v>
      </c>
      <c r="AJ51" s="48">
        <f t="shared" si="15"/>
        <v>0</v>
      </c>
    </row>
    <row r="52" spans="1:36" x14ac:dyDescent="0.3">
      <c r="A52" s="48">
        <v>20180314</v>
      </c>
      <c r="B52" s="48" t="s">
        <v>88</v>
      </c>
      <c r="C52" s="49">
        <v>2583000</v>
      </c>
      <c r="D52" s="49">
        <v>2588000</v>
      </c>
      <c r="E52" s="49">
        <v>128386494</v>
      </c>
      <c r="F52" s="49">
        <f t="shared" si="4"/>
        <v>0.13657019999015099</v>
      </c>
      <c r="G52" s="49">
        <f t="shared" si="5"/>
        <v>0.13657019999015099</v>
      </c>
      <c r="H52" s="48">
        <v>311000</v>
      </c>
      <c r="I52" s="48">
        <v>306500</v>
      </c>
      <c r="J52" s="51">
        <v>122666424</v>
      </c>
      <c r="K52" s="48">
        <f t="shared" si="6"/>
        <v>1.6135551614087</v>
      </c>
      <c r="L52" s="48">
        <f t="shared" si="7"/>
        <v>1.6135551614087</v>
      </c>
      <c r="M52" s="49">
        <v>256000</v>
      </c>
      <c r="N52" s="49">
        <v>243500</v>
      </c>
      <c r="O52" s="49">
        <v>15956260</v>
      </c>
      <c r="P52" s="49">
        <f t="shared" si="8"/>
        <v>33.712610685358698</v>
      </c>
      <c r="Q52" s="49">
        <f t="shared" si="9"/>
        <v>33.712610685358698</v>
      </c>
      <c r="R52" s="48">
        <v>0</v>
      </c>
      <c r="S52" s="48"/>
      <c r="T52" s="48">
        <v>0</v>
      </c>
      <c r="U52" s="48">
        <v>0</v>
      </c>
      <c r="V52" s="48"/>
      <c r="W52" s="49">
        <v>1</v>
      </c>
      <c r="X52" s="49">
        <v>1</v>
      </c>
      <c r="Y52" s="49">
        <v>100000000</v>
      </c>
      <c r="Z52" s="49">
        <f t="shared" si="10"/>
        <v>1192763.87016741</v>
      </c>
      <c r="AA52" s="49">
        <f t="shared" si="11"/>
        <v>1192763.87016741</v>
      </c>
      <c r="AB52" s="82">
        <f t="shared" si="1"/>
        <v>0</v>
      </c>
      <c r="AC52" s="82">
        <f t="shared" si="16"/>
        <v>298190967541853.69</v>
      </c>
      <c r="AD52" s="81">
        <f t="shared" si="0"/>
        <v>356304301514929.19</v>
      </c>
      <c r="AE52" s="80">
        <f t="shared" si="2"/>
        <v>1194.8862987103014</v>
      </c>
      <c r="AF52" s="52">
        <f t="shared" si="12"/>
        <v>-2.0688433004541946E-2</v>
      </c>
      <c r="AG52" s="48">
        <f t="shared" si="3"/>
        <v>1.9357336430507162E-3</v>
      </c>
      <c r="AH52" s="48">
        <f t="shared" si="13"/>
        <v>-1.4469453376205787E-2</v>
      </c>
      <c r="AI52" s="48">
        <f t="shared" si="14"/>
        <v>-4.8828125E-2</v>
      </c>
      <c r="AJ52" s="48">
        <f t="shared" si="15"/>
        <v>0</v>
      </c>
    </row>
    <row r="53" spans="1:36" x14ac:dyDescent="0.3">
      <c r="A53" s="48">
        <v>20180315</v>
      </c>
      <c r="B53" s="48" t="s">
        <v>88</v>
      </c>
      <c r="C53" s="49">
        <v>2588000</v>
      </c>
      <c r="D53" s="49">
        <v>2577000</v>
      </c>
      <c r="E53" s="49">
        <v>128386494</v>
      </c>
      <c r="F53" s="49">
        <f t="shared" si="4"/>
        <v>0.13657019999015099</v>
      </c>
      <c r="G53" s="49">
        <f t="shared" si="5"/>
        <v>0.13657019999015099</v>
      </c>
      <c r="H53" s="48">
        <v>306500</v>
      </c>
      <c r="I53" s="48">
        <v>322500</v>
      </c>
      <c r="J53" s="51">
        <v>122666424</v>
      </c>
      <c r="K53" s="48">
        <f t="shared" si="6"/>
        <v>1.6135551614087</v>
      </c>
      <c r="L53" s="48">
        <f t="shared" si="7"/>
        <v>1.6135551614087</v>
      </c>
      <c r="M53" s="49">
        <v>243500</v>
      </c>
      <c r="N53" s="49">
        <v>240000</v>
      </c>
      <c r="O53" s="49">
        <v>15956260</v>
      </c>
      <c r="P53" s="49">
        <f t="shared" si="8"/>
        <v>33.712610685358698</v>
      </c>
      <c r="Q53" s="49">
        <f t="shared" si="9"/>
        <v>33.712610685358698</v>
      </c>
      <c r="R53" s="48">
        <v>0</v>
      </c>
      <c r="S53" s="48"/>
      <c r="T53" s="48">
        <v>0</v>
      </c>
      <c r="U53" s="48">
        <v>0</v>
      </c>
      <c r="V53" s="48"/>
      <c r="W53" s="49">
        <v>1</v>
      </c>
      <c r="X53" s="49">
        <v>1</v>
      </c>
      <c r="Y53" s="49">
        <v>100000000</v>
      </c>
      <c r="Z53" s="49">
        <f t="shared" si="10"/>
        <v>1192763.87016741</v>
      </c>
      <c r="AA53" s="49">
        <f t="shared" si="11"/>
        <v>1192763.87016741</v>
      </c>
      <c r="AB53" s="82">
        <f t="shared" si="1"/>
        <v>0</v>
      </c>
      <c r="AC53" s="82">
        <f t="shared" si="16"/>
        <v>298190967541853.69</v>
      </c>
      <c r="AD53" s="81">
        <f t="shared" si="0"/>
        <v>357395549584569.12</v>
      </c>
      <c r="AE53" s="80">
        <f t="shared" si="2"/>
        <v>1198.5458598252328</v>
      </c>
      <c r="AF53" s="52">
        <f t="shared" si="12"/>
        <v>3.0626856453884878E-3</v>
      </c>
      <c r="AG53" s="48">
        <f t="shared" si="3"/>
        <v>-4.250386398763524E-3</v>
      </c>
      <c r="AH53" s="48">
        <f t="shared" si="13"/>
        <v>5.2202283849918436E-2</v>
      </c>
      <c r="AI53" s="48">
        <f t="shared" si="14"/>
        <v>-1.4373716632443531E-2</v>
      </c>
      <c r="AJ53" s="48">
        <f t="shared" si="15"/>
        <v>0</v>
      </c>
    </row>
    <row r="54" spans="1:36" x14ac:dyDescent="0.3">
      <c r="A54" s="48">
        <v>20180316</v>
      </c>
      <c r="B54" s="48" t="s">
        <v>88</v>
      </c>
      <c r="C54" s="49">
        <v>2577000</v>
      </c>
      <c r="D54" s="49">
        <v>2557000</v>
      </c>
      <c r="E54" s="49">
        <v>128386494</v>
      </c>
      <c r="F54" s="49">
        <f t="shared" si="4"/>
        <v>0.13657019999015099</v>
      </c>
      <c r="G54" s="49">
        <f t="shared" si="5"/>
        <v>0.13657019999015099</v>
      </c>
      <c r="H54" s="48">
        <v>322500</v>
      </c>
      <c r="I54" s="48">
        <v>324000</v>
      </c>
      <c r="J54" s="51">
        <v>122666424</v>
      </c>
      <c r="K54" s="48">
        <f t="shared" si="6"/>
        <v>1.6135551614087</v>
      </c>
      <c r="L54" s="48">
        <f t="shared" si="7"/>
        <v>1.6135551614087</v>
      </c>
      <c r="M54" s="49">
        <v>240000</v>
      </c>
      <c r="N54" s="49">
        <v>241000</v>
      </c>
      <c r="O54" s="49">
        <v>15956260</v>
      </c>
      <c r="P54" s="49">
        <f t="shared" si="8"/>
        <v>33.712610685358698</v>
      </c>
      <c r="Q54" s="49">
        <f t="shared" si="9"/>
        <v>33.712610685358698</v>
      </c>
      <c r="R54" s="48">
        <v>0</v>
      </c>
      <c r="S54" s="48"/>
      <c r="T54" s="48">
        <v>0</v>
      </c>
      <c r="U54" s="48">
        <v>0</v>
      </c>
      <c r="V54" s="48"/>
      <c r="W54" s="49">
        <v>1</v>
      </c>
      <c r="X54" s="49">
        <v>1</v>
      </c>
      <c r="Y54" s="49">
        <v>100000000</v>
      </c>
      <c r="Z54" s="49">
        <f t="shared" si="10"/>
        <v>1192763.87016741</v>
      </c>
      <c r="AA54" s="49">
        <f t="shared" si="11"/>
        <v>1192763.87016741</v>
      </c>
      <c r="AB54" s="82">
        <f t="shared" si="1"/>
        <v>0</v>
      </c>
      <c r="AC54" s="82">
        <f t="shared" si="16"/>
        <v>298190967541853.69</v>
      </c>
      <c r="AD54" s="81">
        <f t="shared" si="0"/>
        <v>357879694945076.31</v>
      </c>
      <c r="AE54" s="80">
        <f t="shared" si="2"/>
        <v>1200.1694682279226</v>
      </c>
      <c r="AF54" s="52">
        <f t="shared" si="12"/>
        <v>1.3546485429656776E-3</v>
      </c>
      <c r="AG54" s="48">
        <f t="shared" si="3"/>
        <v>-7.7609623593325574E-3</v>
      </c>
      <c r="AH54" s="48">
        <f t="shared" si="13"/>
        <v>4.6511627906976744E-3</v>
      </c>
      <c r="AI54" s="48">
        <f t="shared" si="14"/>
        <v>4.1666666666666666E-3</v>
      </c>
      <c r="AJ54" s="48">
        <f t="shared" si="15"/>
        <v>0</v>
      </c>
    </row>
    <row r="55" spans="1:36" x14ac:dyDescent="0.3">
      <c r="A55" s="48">
        <v>20180319</v>
      </c>
      <c r="B55" s="48" t="s">
        <v>88</v>
      </c>
      <c r="C55" s="49">
        <v>2557000</v>
      </c>
      <c r="D55" s="49">
        <v>2537000</v>
      </c>
      <c r="E55" s="49">
        <v>128386494</v>
      </c>
      <c r="F55" s="49">
        <f t="shared" si="4"/>
        <v>0.13657019999015099</v>
      </c>
      <c r="G55" s="49">
        <f t="shared" si="5"/>
        <v>0.13657019999015099</v>
      </c>
      <c r="H55" s="48">
        <v>324000</v>
      </c>
      <c r="I55" s="48">
        <v>319000</v>
      </c>
      <c r="J55" s="51">
        <v>122666424</v>
      </c>
      <c r="K55" s="48">
        <f t="shared" si="6"/>
        <v>1.6135551614087</v>
      </c>
      <c r="L55" s="48">
        <f t="shared" si="7"/>
        <v>1.6135551614087</v>
      </c>
      <c r="M55" s="49">
        <v>241000</v>
      </c>
      <c r="N55" s="49">
        <v>233000</v>
      </c>
      <c r="O55" s="49">
        <v>15956260</v>
      </c>
      <c r="P55" s="49">
        <f t="shared" si="8"/>
        <v>33.712610685358698</v>
      </c>
      <c r="Q55" s="49">
        <f t="shared" si="9"/>
        <v>33.712610685358698</v>
      </c>
      <c r="R55" s="48">
        <v>0</v>
      </c>
      <c r="S55" s="48"/>
      <c r="T55" s="48">
        <v>0</v>
      </c>
      <c r="U55" s="48">
        <v>0</v>
      </c>
      <c r="V55" s="48"/>
      <c r="W55" s="49">
        <v>1</v>
      </c>
      <c r="X55" s="49">
        <v>1</v>
      </c>
      <c r="Y55" s="49">
        <v>100000000</v>
      </c>
      <c r="Z55" s="49">
        <f t="shared" si="10"/>
        <v>1192763.87016741</v>
      </c>
      <c r="AA55" s="49">
        <f t="shared" si="11"/>
        <v>1192763.87016741</v>
      </c>
      <c r="AB55" s="82">
        <f t="shared" si="1"/>
        <v>0</v>
      </c>
      <c r="AC55" s="82">
        <f t="shared" si="16"/>
        <v>298190967541853.69</v>
      </c>
      <c r="AD55" s="81">
        <f t="shared" si="0"/>
        <v>352235956902965.37</v>
      </c>
      <c r="AE55" s="80">
        <f t="shared" si="2"/>
        <v>1181.2428787049896</v>
      </c>
      <c r="AF55" s="52">
        <f t="shared" si="12"/>
        <v>-1.5769930850581076E-2</v>
      </c>
      <c r="AG55" s="48">
        <f t="shared" si="3"/>
        <v>-7.8216660148611658E-3</v>
      </c>
      <c r="AH55" s="48">
        <f t="shared" si="13"/>
        <v>-1.5432098765432098E-2</v>
      </c>
      <c r="AI55" s="48">
        <f t="shared" si="14"/>
        <v>-3.3195020746887967E-2</v>
      </c>
      <c r="AJ55" s="48">
        <f t="shared" si="15"/>
        <v>0</v>
      </c>
    </row>
    <row r="56" spans="1:36" x14ac:dyDescent="0.3">
      <c r="A56" s="48">
        <v>20180320</v>
      </c>
      <c r="B56" s="48" t="s">
        <v>88</v>
      </c>
      <c r="C56" s="49">
        <v>2537000</v>
      </c>
      <c r="D56" s="49">
        <v>2560000</v>
      </c>
      <c r="E56" s="49">
        <v>128386494</v>
      </c>
      <c r="F56" s="49">
        <f t="shared" si="4"/>
        <v>0.13657019999015099</v>
      </c>
      <c r="G56" s="49">
        <f t="shared" si="5"/>
        <v>0.13657019999015099</v>
      </c>
      <c r="H56" s="48">
        <v>319000</v>
      </c>
      <c r="I56" s="48">
        <v>322500</v>
      </c>
      <c r="J56" s="51">
        <v>122666424</v>
      </c>
      <c r="K56" s="48">
        <f t="shared" si="6"/>
        <v>1.6135551614087</v>
      </c>
      <c r="L56" s="48">
        <f t="shared" si="7"/>
        <v>1.6135551614087</v>
      </c>
      <c r="M56" s="49">
        <v>233000</v>
      </c>
      <c r="N56" s="49">
        <v>240600</v>
      </c>
      <c r="O56" s="49">
        <v>15956260</v>
      </c>
      <c r="P56" s="49">
        <f t="shared" si="8"/>
        <v>33.712610685358698</v>
      </c>
      <c r="Q56" s="49">
        <f t="shared" si="9"/>
        <v>33.712610685358698</v>
      </c>
      <c r="R56" s="48">
        <v>0</v>
      </c>
      <c r="S56" s="48"/>
      <c r="T56" s="48">
        <v>0</v>
      </c>
      <c r="U56" s="48">
        <v>0</v>
      </c>
      <c r="V56" s="48"/>
      <c r="W56" s="49">
        <v>1</v>
      </c>
      <c r="X56" s="49">
        <v>1</v>
      </c>
      <c r="Y56" s="49">
        <v>100000000</v>
      </c>
      <c r="Z56" s="49">
        <f t="shared" si="10"/>
        <v>1192763.87016741</v>
      </c>
      <c r="AA56" s="49">
        <f t="shared" si="11"/>
        <v>1192763.87016741</v>
      </c>
      <c r="AB56" s="82">
        <f t="shared" si="1"/>
        <v>0</v>
      </c>
      <c r="AC56" s="82">
        <f t="shared" si="16"/>
        <v>298190967541853.69</v>
      </c>
      <c r="AD56" s="81">
        <f t="shared" si="0"/>
        <v>357420231817646.31</v>
      </c>
      <c r="AE56" s="80">
        <f t="shared" si="2"/>
        <v>1198.6286330670941</v>
      </c>
      <c r="AF56" s="52">
        <f t="shared" si="12"/>
        <v>1.4718187661088582E-2</v>
      </c>
      <c r="AG56" s="48">
        <f t="shared" si="3"/>
        <v>9.0658257784785173E-3</v>
      </c>
      <c r="AH56" s="48">
        <f t="shared" si="13"/>
        <v>1.0971786833855799E-2</v>
      </c>
      <c r="AI56" s="48">
        <f t="shared" si="14"/>
        <v>3.2618025751072963E-2</v>
      </c>
      <c r="AJ56" s="48">
        <f t="shared" si="15"/>
        <v>0</v>
      </c>
    </row>
    <row r="57" spans="1:36" x14ac:dyDescent="0.3">
      <c r="A57" s="48">
        <v>20180321</v>
      </c>
      <c r="B57" s="48" t="s">
        <v>88</v>
      </c>
      <c r="C57" s="49">
        <v>2560000</v>
      </c>
      <c r="D57" s="49">
        <v>2553000</v>
      </c>
      <c r="E57" s="49">
        <v>128386494</v>
      </c>
      <c r="F57" s="49">
        <f t="shared" si="4"/>
        <v>0.13657019999015099</v>
      </c>
      <c r="G57" s="49">
        <f t="shared" si="5"/>
        <v>0.13657019999015099</v>
      </c>
      <c r="H57" s="48">
        <v>322500</v>
      </c>
      <c r="I57" s="48">
        <v>311500</v>
      </c>
      <c r="J57" s="51">
        <v>122666424</v>
      </c>
      <c r="K57" s="48">
        <f t="shared" si="6"/>
        <v>1.6135551614087</v>
      </c>
      <c r="L57" s="48">
        <f t="shared" si="7"/>
        <v>1.6135551614087</v>
      </c>
      <c r="M57" s="49">
        <v>240600</v>
      </c>
      <c r="N57" s="49">
        <v>241000</v>
      </c>
      <c r="O57" s="49">
        <v>15956260</v>
      </c>
      <c r="P57" s="49">
        <f t="shared" si="8"/>
        <v>33.712610685358698</v>
      </c>
      <c r="Q57" s="49">
        <f t="shared" si="9"/>
        <v>33.712610685358698</v>
      </c>
      <c r="R57" s="48">
        <v>0</v>
      </c>
      <c r="S57" s="48"/>
      <c r="T57" s="48">
        <v>0</v>
      </c>
      <c r="U57" s="48">
        <v>0</v>
      </c>
      <c r="V57" s="48"/>
      <c r="W57" s="49">
        <v>1</v>
      </c>
      <c r="X57" s="49">
        <v>1</v>
      </c>
      <c r="Y57" s="49">
        <v>100000000</v>
      </c>
      <c r="Z57" s="49">
        <f t="shared" si="10"/>
        <v>1192763.87016741</v>
      </c>
      <c r="AA57" s="49">
        <f t="shared" si="11"/>
        <v>1192763.87016741</v>
      </c>
      <c r="AB57" s="82">
        <f t="shared" si="1"/>
        <v>0</v>
      </c>
      <c r="AC57" s="82">
        <f t="shared" si="16"/>
        <v>298190967541853.69</v>
      </c>
      <c r="AD57" s="81">
        <f t="shared" si="0"/>
        <v>355335446848720.5</v>
      </c>
      <c r="AE57" s="80">
        <f t="shared" si="2"/>
        <v>1191.6371906833365</v>
      </c>
      <c r="AF57" s="52">
        <f t="shared" si="12"/>
        <v>-5.8328678215100729E-3</v>
      </c>
      <c r="AG57" s="48">
        <f t="shared" si="3"/>
        <v>-2.7343749999999998E-3</v>
      </c>
      <c r="AH57" s="48">
        <f t="shared" si="13"/>
        <v>-3.4108527131782945E-2</v>
      </c>
      <c r="AI57" s="48">
        <f t="shared" si="14"/>
        <v>1.6625103906899418E-3</v>
      </c>
      <c r="AJ57" s="48">
        <f t="shared" si="15"/>
        <v>0</v>
      </c>
    </row>
    <row r="58" spans="1:36" x14ac:dyDescent="0.3">
      <c r="A58" s="48">
        <v>20180322</v>
      </c>
      <c r="B58" s="48" t="s">
        <v>88</v>
      </c>
      <c r="C58" s="49">
        <v>2553000</v>
      </c>
      <c r="D58" s="49">
        <v>2589000</v>
      </c>
      <c r="E58" s="49">
        <v>128386494</v>
      </c>
      <c r="F58" s="49">
        <f t="shared" si="4"/>
        <v>0.13657019999015099</v>
      </c>
      <c r="G58" s="49">
        <f t="shared" si="5"/>
        <v>0.13657019999015099</v>
      </c>
      <c r="H58" s="48">
        <v>311500</v>
      </c>
      <c r="I58" s="48">
        <v>310500</v>
      </c>
      <c r="J58" s="51">
        <v>122666424</v>
      </c>
      <c r="K58" s="48">
        <f t="shared" si="6"/>
        <v>1.6135551614087</v>
      </c>
      <c r="L58" s="48">
        <f t="shared" si="7"/>
        <v>1.6135551614087</v>
      </c>
      <c r="M58" s="49">
        <v>241000</v>
      </c>
      <c r="N58" s="49">
        <v>227900</v>
      </c>
      <c r="O58" s="49">
        <v>15956260</v>
      </c>
      <c r="P58" s="49">
        <f t="shared" si="8"/>
        <v>33.712610685358698</v>
      </c>
      <c r="Q58" s="49">
        <f t="shared" si="9"/>
        <v>33.712610685358698</v>
      </c>
      <c r="R58" s="48">
        <v>0</v>
      </c>
      <c r="S58" s="48"/>
      <c r="T58" s="48">
        <v>0</v>
      </c>
      <c r="U58" s="48">
        <v>0</v>
      </c>
      <c r="V58" s="48"/>
      <c r="W58" s="49">
        <v>1</v>
      </c>
      <c r="X58" s="49">
        <v>1</v>
      </c>
      <c r="Y58" s="49">
        <v>100000000</v>
      </c>
      <c r="Z58" s="49">
        <f t="shared" si="10"/>
        <v>1192763.87016741</v>
      </c>
      <c r="AA58" s="49">
        <f t="shared" si="11"/>
        <v>1192763.87016741</v>
      </c>
      <c r="AB58" s="82">
        <f t="shared" si="1"/>
        <v>0</v>
      </c>
      <c r="AC58" s="82">
        <f t="shared" si="16"/>
        <v>298190967541853.69</v>
      </c>
      <c r="AD58" s="81">
        <f t="shared" si="0"/>
        <v>348721887420957.75</v>
      </c>
      <c r="AE58" s="80">
        <f t="shared" si="2"/>
        <v>1169.4582511860008</v>
      </c>
      <c r="AF58" s="52">
        <f t="shared" si="12"/>
        <v>-1.8612157853698186E-2</v>
      </c>
      <c r="AG58" s="48">
        <f t="shared" si="3"/>
        <v>1.4101057579318449E-2</v>
      </c>
      <c r="AH58" s="48">
        <f t="shared" si="13"/>
        <v>-3.2102728731942215E-3</v>
      </c>
      <c r="AI58" s="48">
        <f t="shared" si="14"/>
        <v>-5.4356846473029047E-2</v>
      </c>
      <c r="AJ58" s="48">
        <f t="shared" si="15"/>
        <v>0</v>
      </c>
    </row>
    <row r="59" spans="1:36" x14ac:dyDescent="0.3">
      <c r="A59" s="48">
        <v>20180323</v>
      </c>
      <c r="B59" s="48" t="s">
        <v>88</v>
      </c>
      <c r="C59" s="49">
        <v>2589000</v>
      </c>
      <c r="D59" s="49">
        <v>2486000</v>
      </c>
      <c r="E59" s="49">
        <v>128386494</v>
      </c>
      <c r="F59" s="49">
        <f t="shared" si="4"/>
        <v>0.13657019999015099</v>
      </c>
      <c r="G59" s="49">
        <f t="shared" si="5"/>
        <v>0.13657019999015099</v>
      </c>
      <c r="H59" s="48">
        <v>310500</v>
      </c>
      <c r="I59" s="48">
        <v>300000</v>
      </c>
      <c r="J59" s="51">
        <v>122666424</v>
      </c>
      <c r="K59" s="48">
        <f t="shared" si="6"/>
        <v>1.6135551614087</v>
      </c>
      <c r="L59" s="48">
        <f t="shared" si="7"/>
        <v>1.6135551614087</v>
      </c>
      <c r="M59" s="49">
        <v>227900</v>
      </c>
      <c r="N59" s="49">
        <v>201500</v>
      </c>
      <c r="O59" s="49">
        <v>15956260</v>
      </c>
      <c r="P59" s="49">
        <f t="shared" si="8"/>
        <v>33.712610685358698</v>
      </c>
      <c r="Q59" s="49">
        <f t="shared" si="9"/>
        <v>33.712610685358698</v>
      </c>
      <c r="R59" s="48">
        <v>0</v>
      </c>
      <c r="S59" s="48"/>
      <c r="T59" s="48">
        <v>0</v>
      </c>
      <c r="U59" s="48">
        <v>0</v>
      </c>
      <c r="V59" s="48"/>
      <c r="W59" s="49">
        <v>1</v>
      </c>
      <c r="X59" s="49">
        <v>1</v>
      </c>
      <c r="Y59" s="49">
        <v>100000000</v>
      </c>
      <c r="Z59" s="49">
        <f t="shared" si="10"/>
        <v>1192763.87016741</v>
      </c>
      <c r="AA59" s="49">
        <f t="shared" si="11"/>
        <v>1192763.87016741</v>
      </c>
      <c r="AB59" s="82">
        <f t="shared" si="1"/>
        <v>0</v>
      </c>
      <c r="AC59" s="82">
        <f t="shared" si="16"/>
        <v>298190967541853.69</v>
      </c>
      <c r="AD59" s="81">
        <f t="shared" si="0"/>
        <v>330636376672472.5</v>
      </c>
      <c r="AE59" s="80">
        <f t="shared" si="2"/>
        <v>1108.8074846736088</v>
      </c>
      <c r="AF59" s="52">
        <f t="shared" si="12"/>
        <v>-5.1862275930657044E-2</v>
      </c>
      <c r="AG59" s="48">
        <f t="shared" si="3"/>
        <v>-3.9783700270374665E-2</v>
      </c>
      <c r="AH59" s="48">
        <f t="shared" si="13"/>
        <v>-3.3816425120772944E-2</v>
      </c>
      <c r="AI59" s="48">
        <f t="shared" si="14"/>
        <v>-0.11584028082492322</v>
      </c>
      <c r="AJ59" s="48">
        <f t="shared" si="15"/>
        <v>0</v>
      </c>
    </row>
    <row r="60" spans="1:36" x14ac:dyDescent="0.3">
      <c r="A60" s="48">
        <v>20180326</v>
      </c>
      <c r="B60" s="48" t="s">
        <v>88</v>
      </c>
      <c r="C60" s="49">
        <v>2486000</v>
      </c>
      <c r="D60" s="49">
        <v>2514000</v>
      </c>
      <c r="E60" s="49">
        <v>128386494</v>
      </c>
      <c r="F60" s="49">
        <f t="shared" si="4"/>
        <v>0.13657019999015099</v>
      </c>
      <c r="G60" s="49">
        <f t="shared" si="5"/>
        <v>0.13657019999015099</v>
      </c>
      <c r="H60" s="48">
        <v>300000</v>
      </c>
      <c r="I60" s="48">
        <v>300000</v>
      </c>
      <c r="J60" s="51">
        <v>122666424</v>
      </c>
      <c r="K60" s="48">
        <f t="shared" si="6"/>
        <v>1.6135551614087</v>
      </c>
      <c r="L60" s="48">
        <f t="shared" si="7"/>
        <v>1.6135551614087</v>
      </c>
      <c r="M60" s="49">
        <v>201500</v>
      </c>
      <c r="N60" s="49">
        <v>208600</v>
      </c>
      <c r="O60" s="49">
        <v>15956260</v>
      </c>
      <c r="P60" s="49">
        <f t="shared" si="8"/>
        <v>33.712610685358698</v>
      </c>
      <c r="Q60" s="49">
        <f t="shared" si="9"/>
        <v>33.712610685358698</v>
      </c>
      <c r="R60" s="48">
        <v>0</v>
      </c>
      <c r="S60" s="48"/>
      <c r="T60" s="48">
        <v>0</v>
      </c>
      <c r="U60" s="48">
        <v>0</v>
      </c>
      <c r="V60" s="48"/>
      <c r="W60" s="49">
        <v>1</v>
      </c>
      <c r="X60" s="49">
        <v>1</v>
      </c>
      <c r="Y60" s="49">
        <v>100000000</v>
      </c>
      <c r="Z60" s="49">
        <f t="shared" si="10"/>
        <v>1192763.87016741</v>
      </c>
      <c r="AA60" s="49">
        <f t="shared" si="11"/>
        <v>1192763.87016741</v>
      </c>
      <c r="AB60" s="82">
        <f t="shared" si="1"/>
        <v>0</v>
      </c>
      <c r="AC60" s="82">
        <f t="shared" si="16"/>
        <v>298190967541853.69</v>
      </c>
      <c r="AD60" s="81">
        <f t="shared" si="0"/>
        <v>334946605196755.62</v>
      </c>
      <c r="AE60" s="80">
        <f t="shared" si="2"/>
        <v>1123.2620758364956</v>
      </c>
      <c r="AF60" s="52">
        <f t="shared" si="12"/>
        <v>1.303615944398291E-2</v>
      </c>
      <c r="AG60" s="48">
        <f t="shared" si="3"/>
        <v>1.1263073209975865E-2</v>
      </c>
      <c r="AH60" s="48">
        <f t="shared" si="13"/>
        <v>0</v>
      </c>
      <c r="AI60" s="48">
        <f t="shared" si="14"/>
        <v>3.5235732009925559E-2</v>
      </c>
      <c r="AJ60" s="48">
        <f t="shared" si="15"/>
        <v>0</v>
      </c>
    </row>
    <row r="61" spans="1:36" x14ac:dyDescent="0.3">
      <c r="A61" s="48">
        <v>20180327</v>
      </c>
      <c r="B61" s="48" t="s">
        <v>88</v>
      </c>
      <c r="C61" s="49">
        <v>2514000</v>
      </c>
      <c r="D61" s="49">
        <v>2499000</v>
      </c>
      <c r="E61" s="49">
        <v>128386494</v>
      </c>
      <c r="F61" s="49">
        <f t="shared" si="4"/>
        <v>0.13657019999015099</v>
      </c>
      <c r="G61" s="49">
        <f t="shared" si="5"/>
        <v>0.13657019999015099</v>
      </c>
      <c r="H61" s="48">
        <v>300000</v>
      </c>
      <c r="I61" s="48">
        <v>297000</v>
      </c>
      <c r="J61" s="51">
        <v>122666424</v>
      </c>
      <c r="K61" s="48">
        <f t="shared" si="6"/>
        <v>1.6135551614087</v>
      </c>
      <c r="L61" s="48">
        <f t="shared" si="7"/>
        <v>1.6135551614087</v>
      </c>
      <c r="M61" s="49">
        <v>208600</v>
      </c>
      <c r="N61" s="49">
        <v>213100</v>
      </c>
      <c r="O61" s="49">
        <v>15956260</v>
      </c>
      <c r="P61" s="49">
        <f t="shared" si="8"/>
        <v>33.712610685358698</v>
      </c>
      <c r="Q61" s="49">
        <f t="shared" si="9"/>
        <v>33.712610685358698</v>
      </c>
      <c r="R61" s="48">
        <v>0</v>
      </c>
      <c r="S61" s="48"/>
      <c r="T61" s="48">
        <v>0</v>
      </c>
      <c r="U61" s="48">
        <v>0</v>
      </c>
      <c r="V61" s="48"/>
      <c r="W61" s="49">
        <v>1</v>
      </c>
      <c r="X61" s="49">
        <v>1</v>
      </c>
      <c r="Y61" s="49">
        <v>100000000</v>
      </c>
      <c r="Z61" s="49">
        <f t="shared" si="10"/>
        <v>1192763.87016741</v>
      </c>
      <c r="AA61" s="49">
        <f t="shared" si="11"/>
        <v>1192763.87016741</v>
      </c>
      <c r="AB61" s="82">
        <f t="shared" si="1"/>
        <v>0</v>
      </c>
      <c r="AC61" s="82">
        <f t="shared" si="16"/>
        <v>298190967541853.69</v>
      </c>
      <c r="AD61" s="81">
        <f t="shared" si="0"/>
        <v>336510483850785.81</v>
      </c>
      <c r="AE61" s="80">
        <f t="shared" si="2"/>
        <v>1128.506629911765</v>
      </c>
      <c r="AF61" s="52">
        <f t="shared" si="12"/>
        <v>4.6690386759152391E-3</v>
      </c>
      <c r="AG61" s="48">
        <f t="shared" si="3"/>
        <v>-5.9665871121718375E-3</v>
      </c>
      <c r="AH61" s="48">
        <f t="shared" si="13"/>
        <v>-0.01</v>
      </c>
      <c r="AI61" s="48">
        <f t="shared" si="14"/>
        <v>2.1572387344199424E-2</v>
      </c>
      <c r="AJ61" s="48">
        <f t="shared" si="15"/>
        <v>0</v>
      </c>
    </row>
    <row r="62" spans="1:36" x14ac:dyDescent="0.3">
      <c r="A62" s="48">
        <v>20180328</v>
      </c>
      <c r="B62" s="48" t="s">
        <v>88</v>
      </c>
      <c r="C62" s="49">
        <v>2499000</v>
      </c>
      <c r="D62" s="49">
        <v>2435000</v>
      </c>
      <c r="E62" s="49">
        <v>128386494</v>
      </c>
      <c r="F62" s="49">
        <f t="shared" si="4"/>
        <v>0.13657019999015099</v>
      </c>
      <c r="G62" s="49">
        <f t="shared" si="5"/>
        <v>0.13657019999015099</v>
      </c>
      <c r="H62" s="48">
        <v>297000</v>
      </c>
      <c r="I62" s="48">
        <v>289500</v>
      </c>
      <c r="J62" s="51">
        <v>122666424</v>
      </c>
      <c r="K62" s="48">
        <f t="shared" si="6"/>
        <v>1.6135551614087</v>
      </c>
      <c r="L62" s="48">
        <f t="shared" si="7"/>
        <v>1.6135551614087</v>
      </c>
      <c r="M62" s="49">
        <v>213100</v>
      </c>
      <c r="N62" s="49">
        <v>212000</v>
      </c>
      <c r="O62" s="49">
        <v>15956260</v>
      </c>
      <c r="P62" s="49">
        <f t="shared" si="8"/>
        <v>33.712610685358698</v>
      </c>
      <c r="Q62" s="49">
        <f t="shared" si="9"/>
        <v>33.712610685358698</v>
      </c>
      <c r="R62" s="48">
        <v>0</v>
      </c>
      <c r="S62" s="48"/>
      <c r="T62" s="48">
        <v>0</v>
      </c>
      <c r="U62" s="48">
        <v>0</v>
      </c>
      <c r="V62" s="48"/>
      <c r="W62" s="49">
        <v>1</v>
      </c>
      <c r="X62" s="49">
        <v>1</v>
      </c>
      <c r="Y62" s="49">
        <v>100000000</v>
      </c>
      <c r="Z62" s="49">
        <f t="shared" si="10"/>
        <v>1192763.87016741</v>
      </c>
      <c r="AA62" s="49">
        <f t="shared" si="11"/>
        <v>1192763.87016741</v>
      </c>
      <c r="AB62" s="82">
        <f t="shared" si="1"/>
        <v>0</v>
      </c>
      <c r="AC62" s="82">
        <f t="shared" si="16"/>
        <v>298190967541853.69</v>
      </c>
      <c r="AD62" s="81">
        <f t="shared" si="0"/>
        <v>333312134913105.06</v>
      </c>
      <c r="AE62" s="80">
        <f t="shared" si="2"/>
        <v>1117.7807888038119</v>
      </c>
      <c r="AF62" s="52">
        <f t="shared" si="12"/>
        <v>-9.5044555553844886E-3</v>
      </c>
      <c r="AG62" s="48">
        <f t="shared" si="3"/>
        <v>-2.5610244097639057E-2</v>
      </c>
      <c r="AH62" s="48">
        <f t="shared" si="13"/>
        <v>-2.5252525252525252E-2</v>
      </c>
      <c r="AI62" s="48">
        <f t="shared" si="14"/>
        <v>-5.1618958235570157E-3</v>
      </c>
      <c r="AJ62" s="48">
        <f t="shared" si="15"/>
        <v>0</v>
      </c>
    </row>
    <row r="63" spans="1:36" x14ac:dyDescent="0.3">
      <c r="A63" s="48">
        <v>20180329</v>
      </c>
      <c r="B63" s="48" t="s">
        <v>88</v>
      </c>
      <c r="C63" s="49">
        <v>2435000</v>
      </c>
      <c r="D63" s="49">
        <v>2452000</v>
      </c>
      <c r="E63" s="49">
        <v>128386494</v>
      </c>
      <c r="F63" s="49">
        <f t="shared" si="4"/>
        <v>0.13657019999015099</v>
      </c>
      <c r="G63" s="49">
        <f t="shared" si="5"/>
        <v>0.13657019999015099</v>
      </c>
      <c r="H63" s="48">
        <v>289500</v>
      </c>
      <c r="I63" s="48">
        <v>317000</v>
      </c>
      <c r="J63" s="51">
        <v>122666424</v>
      </c>
      <c r="K63" s="48">
        <f t="shared" si="6"/>
        <v>1.6135551614087</v>
      </c>
      <c r="L63" s="48">
        <f t="shared" si="7"/>
        <v>1.6135551614087</v>
      </c>
      <c r="M63" s="49">
        <v>212000</v>
      </c>
      <c r="N63" s="49">
        <v>221000</v>
      </c>
      <c r="O63" s="49">
        <v>15956260</v>
      </c>
      <c r="P63" s="49">
        <f t="shared" si="8"/>
        <v>33.712610685358698</v>
      </c>
      <c r="Q63" s="49">
        <f t="shared" si="9"/>
        <v>33.712610685358698</v>
      </c>
      <c r="R63" s="48">
        <v>0</v>
      </c>
      <c r="S63" s="48"/>
      <c r="T63" s="48">
        <v>0</v>
      </c>
      <c r="U63" s="48">
        <v>0</v>
      </c>
      <c r="V63" s="48"/>
      <c r="W63" s="49">
        <v>1</v>
      </c>
      <c r="X63" s="49">
        <v>1</v>
      </c>
      <c r="Y63" s="49">
        <v>100000000</v>
      </c>
      <c r="Z63" s="49">
        <f t="shared" si="10"/>
        <v>1192763.87016741</v>
      </c>
      <c r="AA63" s="49">
        <f t="shared" si="11"/>
        <v>1192763.87016741</v>
      </c>
      <c r="AB63" s="82">
        <f t="shared" si="1"/>
        <v>0</v>
      </c>
      <c r="AC63" s="82">
        <f t="shared" si="16"/>
        <v>298190967541853.69</v>
      </c>
      <c r="AD63" s="81">
        <f t="shared" si="0"/>
        <v>343894602264582.37</v>
      </c>
      <c r="AE63" s="80">
        <f t="shared" si="2"/>
        <v>1153.2696818400905</v>
      </c>
      <c r="AF63" s="52">
        <f t="shared" si="12"/>
        <v>3.1749421167147497E-2</v>
      </c>
      <c r="AG63" s="48">
        <f t="shared" si="3"/>
        <v>6.9815195071868588E-3</v>
      </c>
      <c r="AH63" s="48">
        <f t="shared" si="13"/>
        <v>9.499136442141623E-2</v>
      </c>
      <c r="AI63" s="48">
        <f t="shared" si="14"/>
        <v>4.2452830188679243E-2</v>
      </c>
      <c r="AJ63" s="48">
        <f t="shared" si="15"/>
        <v>0</v>
      </c>
    </row>
    <row r="64" spans="1:36" x14ac:dyDescent="0.3">
      <c r="A64" s="48">
        <v>20180330</v>
      </c>
      <c r="B64" s="48" t="s">
        <v>88</v>
      </c>
      <c r="C64" s="49">
        <v>2452000</v>
      </c>
      <c r="D64" s="49">
        <v>2461000</v>
      </c>
      <c r="E64" s="49">
        <v>128386494</v>
      </c>
      <c r="F64" s="49">
        <f t="shared" si="4"/>
        <v>0.13657019999015099</v>
      </c>
      <c r="G64" s="49">
        <f t="shared" si="5"/>
        <v>0.13657019999015099</v>
      </c>
      <c r="H64" s="48">
        <v>317000</v>
      </c>
      <c r="I64" s="48">
        <v>309500</v>
      </c>
      <c r="J64" s="51">
        <v>122666424</v>
      </c>
      <c r="K64" s="48">
        <f t="shared" si="6"/>
        <v>1.6135551614087</v>
      </c>
      <c r="L64" s="48">
        <f t="shared" si="7"/>
        <v>1.6135551614087</v>
      </c>
      <c r="M64" s="49">
        <v>221000</v>
      </c>
      <c r="N64" s="49">
        <v>224900</v>
      </c>
      <c r="O64" s="49">
        <v>15956260</v>
      </c>
      <c r="P64" s="49">
        <f t="shared" si="8"/>
        <v>33.712610685358698</v>
      </c>
      <c r="Q64" s="49">
        <f t="shared" si="9"/>
        <v>33.712610685358698</v>
      </c>
      <c r="R64" s="48">
        <v>0</v>
      </c>
      <c r="S64" s="48"/>
      <c r="T64" s="48">
        <v>0</v>
      </c>
      <c r="U64" s="48">
        <v>0</v>
      </c>
      <c r="V64" s="48"/>
      <c r="W64" s="49">
        <v>1</v>
      </c>
      <c r="X64" s="49">
        <v>1</v>
      </c>
      <c r="Y64" s="49">
        <v>100000000</v>
      </c>
      <c r="Z64" s="49">
        <f t="shared" si="10"/>
        <v>1192763.87016741</v>
      </c>
      <c r="AA64" s="49">
        <f t="shared" si="11"/>
        <v>1192763.87016741</v>
      </c>
      <c r="AB64" s="82">
        <f t="shared" si="1"/>
        <v>0</v>
      </c>
      <c r="AC64" s="82">
        <f t="shared" si="16"/>
        <v>298190967541853.69</v>
      </c>
      <c r="AD64" s="81">
        <f t="shared" si="0"/>
        <v>344665854382571.25</v>
      </c>
      <c r="AE64" s="80">
        <f t="shared" si="2"/>
        <v>1155.8561187276553</v>
      </c>
      <c r="AF64" s="52">
        <f t="shared" si="12"/>
        <v>2.2426991087097837E-3</v>
      </c>
      <c r="AG64" s="48">
        <f t="shared" si="3"/>
        <v>3.67047308319739E-3</v>
      </c>
      <c r="AH64" s="48">
        <f t="shared" si="13"/>
        <v>-2.365930599369085E-2</v>
      </c>
      <c r="AI64" s="48">
        <f t="shared" si="14"/>
        <v>1.7647058823529412E-2</v>
      </c>
      <c r="AJ64" s="48">
        <f t="shared" si="15"/>
        <v>0</v>
      </c>
    </row>
    <row r="65" spans="1:36" x14ac:dyDescent="0.3">
      <c r="A65" s="48">
        <v>20180402</v>
      </c>
      <c r="B65" s="48" t="s">
        <v>88</v>
      </c>
      <c r="C65" s="49">
        <v>2461000</v>
      </c>
      <c r="D65" s="49">
        <v>2427000</v>
      </c>
      <c r="E65" s="49">
        <v>128386494</v>
      </c>
      <c r="F65" s="49">
        <f t="shared" si="4"/>
        <v>0.13657019999015099</v>
      </c>
      <c r="G65" s="49">
        <f t="shared" si="5"/>
        <v>0.13657019999015099</v>
      </c>
      <c r="H65" s="48">
        <v>309500</v>
      </c>
      <c r="I65" s="48">
        <v>304000</v>
      </c>
      <c r="J65" s="51">
        <v>122666424</v>
      </c>
      <c r="K65" s="48">
        <f t="shared" si="6"/>
        <v>1.6135551614087</v>
      </c>
      <c r="L65" s="48">
        <f t="shared" si="7"/>
        <v>1.6135551614087</v>
      </c>
      <c r="M65" s="49">
        <v>224900</v>
      </c>
      <c r="N65" s="49">
        <v>224000</v>
      </c>
      <c r="O65" s="49">
        <v>15956260</v>
      </c>
      <c r="P65" s="49">
        <f t="shared" si="8"/>
        <v>33.712610685358698</v>
      </c>
      <c r="Q65" s="49">
        <f t="shared" si="9"/>
        <v>33.712610685358698</v>
      </c>
      <c r="R65" s="48">
        <v>0</v>
      </c>
      <c r="S65" s="48"/>
      <c r="T65" s="48">
        <v>0</v>
      </c>
      <c r="U65" s="48">
        <v>0</v>
      </c>
      <c r="V65" s="48"/>
      <c r="W65" s="49">
        <v>1</v>
      </c>
      <c r="X65" s="49">
        <v>1</v>
      </c>
      <c r="Y65" s="49">
        <v>100000000</v>
      </c>
      <c r="Z65" s="49">
        <f t="shared" si="10"/>
        <v>1192763.87016741</v>
      </c>
      <c r="AA65" s="49">
        <f t="shared" si="11"/>
        <v>1192763.87016741</v>
      </c>
      <c r="AB65" s="82">
        <f t="shared" si="1"/>
        <v>0</v>
      </c>
      <c r="AC65" s="82">
        <f t="shared" si="16"/>
        <v>298190967541853.69</v>
      </c>
      <c r="AD65" s="81">
        <f t="shared" si="0"/>
        <v>342496962039167.37</v>
      </c>
      <c r="AE65" s="80">
        <f t="shared" si="2"/>
        <v>1148.5826175841325</v>
      </c>
      <c r="AF65" s="52">
        <f t="shared" si="12"/>
        <v>-6.2927392308389056E-3</v>
      </c>
      <c r="AG65" s="48">
        <f t="shared" si="3"/>
        <v>-1.3815522145469321E-2</v>
      </c>
      <c r="AH65" s="48">
        <f t="shared" si="13"/>
        <v>-1.7770597738287562E-2</v>
      </c>
      <c r="AI65" s="48">
        <f t="shared" si="14"/>
        <v>-4.0017785682525571E-3</v>
      </c>
      <c r="AJ65" s="48">
        <f t="shared" si="15"/>
        <v>0</v>
      </c>
    </row>
    <row r="66" spans="1:36" x14ac:dyDescent="0.3">
      <c r="A66" s="48">
        <v>20180403</v>
      </c>
      <c r="B66" s="48" t="s">
        <v>88</v>
      </c>
      <c r="C66" s="49">
        <v>2427000</v>
      </c>
      <c r="D66" s="49">
        <v>2406000</v>
      </c>
      <c r="E66" s="49">
        <v>128386494</v>
      </c>
      <c r="F66" s="49">
        <f t="shared" si="4"/>
        <v>0.13657019999015099</v>
      </c>
      <c r="G66" s="49">
        <f t="shared" si="5"/>
        <v>0.13657019999015099</v>
      </c>
      <c r="H66" s="48">
        <v>304000</v>
      </c>
      <c r="I66" s="48">
        <v>299000</v>
      </c>
      <c r="J66" s="51">
        <v>122666424</v>
      </c>
      <c r="K66" s="48">
        <f t="shared" si="6"/>
        <v>1.6135551614087</v>
      </c>
      <c r="L66" s="48">
        <f t="shared" si="7"/>
        <v>1.6135551614087</v>
      </c>
      <c r="M66" s="49">
        <v>224000</v>
      </c>
      <c r="N66" s="49">
        <v>237300</v>
      </c>
      <c r="O66" s="49">
        <v>15956260</v>
      </c>
      <c r="P66" s="49">
        <f t="shared" si="8"/>
        <v>33.712610685358698</v>
      </c>
      <c r="Q66" s="49">
        <f t="shared" si="9"/>
        <v>33.712610685358698</v>
      </c>
      <c r="R66" s="48">
        <v>0</v>
      </c>
      <c r="S66" s="48"/>
      <c r="T66" s="48">
        <v>0</v>
      </c>
      <c r="U66" s="48">
        <v>0</v>
      </c>
      <c r="V66" s="48"/>
      <c r="W66" s="49">
        <v>1</v>
      </c>
      <c r="X66" s="49">
        <v>1</v>
      </c>
      <c r="Y66" s="49">
        <v>100000000</v>
      </c>
      <c r="Z66" s="49">
        <f t="shared" si="10"/>
        <v>1192763.87016741</v>
      </c>
      <c r="AA66" s="49">
        <f t="shared" si="11"/>
        <v>1192763.87016741</v>
      </c>
      <c r="AB66" s="82">
        <f t="shared" si="1"/>
        <v>0</v>
      </c>
      <c r="AC66" s="82">
        <f t="shared" si="16"/>
        <v>298190967541853.69</v>
      </c>
      <c r="AD66" s="81">
        <f t="shared" si="0"/>
        <v>348293539191168.75</v>
      </c>
      <c r="AE66" s="80">
        <f t="shared" si="2"/>
        <v>1168.0217615655401</v>
      </c>
      <c r="AF66" s="52">
        <f t="shared" si="12"/>
        <v>1.6924462971845123E-2</v>
      </c>
      <c r="AG66" s="48">
        <f t="shared" si="3"/>
        <v>-8.65265760197775E-3</v>
      </c>
      <c r="AH66" s="48">
        <f t="shared" si="13"/>
        <v>-1.6447368421052631E-2</v>
      </c>
      <c r="AI66" s="48">
        <f t="shared" si="14"/>
        <v>5.9374999999999997E-2</v>
      </c>
      <c r="AJ66" s="48">
        <f t="shared" si="15"/>
        <v>0</v>
      </c>
    </row>
    <row r="67" spans="1:36" x14ac:dyDescent="0.3">
      <c r="A67" s="48">
        <v>20180404</v>
      </c>
      <c r="B67" s="48" t="s">
        <v>88</v>
      </c>
      <c r="C67" s="49">
        <v>2406000</v>
      </c>
      <c r="D67" s="49">
        <v>2346000</v>
      </c>
      <c r="E67" s="49">
        <v>128386494</v>
      </c>
      <c r="F67" s="49">
        <f t="shared" si="4"/>
        <v>0.13657019999015099</v>
      </c>
      <c r="G67" s="49">
        <f t="shared" si="5"/>
        <v>0.13657019999015099</v>
      </c>
      <c r="H67" s="48">
        <v>299000</v>
      </c>
      <c r="I67" s="48">
        <v>294000</v>
      </c>
      <c r="J67" s="51">
        <v>122666424</v>
      </c>
      <c r="K67" s="48">
        <f t="shared" si="6"/>
        <v>1.6135551614087</v>
      </c>
      <c r="L67" s="48">
        <f t="shared" si="7"/>
        <v>1.6135551614087</v>
      </c>
      <c r="M67" s="49">
        <v>237300</v>
      </c>
      <c r="N67" s="49">
        <v>241600</v>
      </c>
      <c r="O67" s="49">
        <v>15956260</v>
      </c>
      <c r="P67" s="49">
        <f t="shared" si="8"/>
        <v>33.712610685358698</v>
      </c>
      <c r="Q67" s="49">
        <f t="shared" si="9"/>
        <v>33.712610685358698</v>
      </c>
      <c r="R67" s="48">
        <v>0</v>
      </c>
      <c r="S67" s="48"/>
      <c r="T67" s="48">
        <v>0</v>
      </c>
      <c r="U67" s="48">
        <v>0</v>
      </c>
      <c r="V67" s="48"/>
      <c r="W67" s="49">
        <v>1</v>
      </c>
      <c r="X67" s="49">
        <v>1</v>
      </c>
      <c r="Y67" s="49">
        <v>100000000</v>
      </c>
      <c r="Z67" s="49">
        <f t="shared" si="10"/>
        <v>1192763.87016741</v>
      </c>
      <c r="AA67" s="49">
        <f t="shared" si="11"/>
        <v>1192763.87016741</v>
      </c>
      <c r="AB67" s="82">
        <f t="shared" si="1"/>
        <v>0</v>
      </c>
      <c r="AC67" s="82">
        <f t="shared" si="16"/>
        <v>298190967541853.69</v>
      </c>
      <c r="AD67" s="81">
        <f t="shared" ref="AD67:AD130" si="17">D67*E67*G67+I67*J67*L67+N67*O67*Q67+X67*Y67*AA67</f>
        <v>348564954713497.87</v>
      </c>
      <c r="AE67" s="80">
        <f t="shared" si="2"/>
        <v>1168.931968620323</v>
      </c>
      <c r="AF67" s="52">
        <f t="shared" si="12"/>
        <v>7.7927234297662119E-4</v>
      </c>
      <c r="AG67" s="48">
        <f t="shared" si="3"/>
        <v>-2.4937655860349128E-2</v>
      </c>
      <c r="AH67" s="48">
        <f t="shared" si="13"/>
        <v>-1.6722408026755852E-2</v>
      </c>
      <c r="AI67" s="48">
        <f t="shared" si="14"/>
        <v>1.8120522545301308E-2</v>
      </c>
      <c r="AJ67" s="48">
        <f t="shared" si="15"/>
        <v>0</v>
      </c>
    </row>
    <row r="68" spans="1:36" x14ac:dyDescent="0.3">
      <c r="A68" s="48">
        <v>20180405</v>
      </c>
      <c r="B68" s="48" t="s">
        <v>88</v>
      </c>
      <c r="C68" s="49">
        <v>2346000</v>
      </c>
      <c r="D68" s="49">
        <v>2437000</v>
      </c>
      <c r="E68" s="49">
        <v>128386494</v>
      </c>
      <c r="F68" s="49">
        <f t="shared" si="4"/>
        <v>0.13657019999015099</v>
      </c>
      <c r="G68" s="49">
        <f t="shared" si="5"/>
        <v>0.13657019999015099</v>
      </c>
      <c r="H68" s="48">
        <v>294000</v>
      </c>
      <c r="I68" s="48">
        <v>295000</v>
      </c>
      <c r="J68" s="51">
        <v>122666424</v>
      </c>
      <c r="K68" s="48">
        <f t="shared" si="6"/>
        <v>1.6135551614087</v>
      </c>
      <c r="L68" s="48">
        <f t="shared" si="7"/>
        <v>1.6135551614087</v>
      </c>
      <c r="M68" s="49">
        <v>241600</v>
      </c>
      <c r="N68" s="49">
        <v>240400</v>
      </c>
      <c r="O68" s="49">
        <v>15956260</v>
      </c>
      <c r="P68" s="49">
        <f t="shared" si="8"/>
        <v>33.712610685358698</v>
      </c>
      <c r="Q68" s="49">
        <f t="shared" si="9"/>
        <v>33.712610685358698</v>
      </c>
      <c r="R68" s="48">
        <v>0</v>
      </c>
      <c r="S68" s="48"/>
      <c r="T68" s="48">
        <v>0</v>
      </c>
      <c r="U68" s="48">
        <v>0</v>
      </c>
      <c r="V68" s="48"/>
      <c r="W68" s="49">
        <v>1</v>
      </c>
      <c r="X68" s="49">
        <v>1</v>
      </c>
      <c r="Y68" s="49">
        <v>100000000</v>
      </c>
      <c r="Z68" s="49">
        <f t="shared" si="10"/>
        <v>1192763.87016741</v>
      </c>
      <c r="AA68" s="49">
        <f t="shared" si="11"/>
        <v>1192763.87016741</v>
      </c>
      <c r="AB68" s="82">
        <f t="shared" ref="AB68:AB131" si="18">IF(AD67&lt;&gt;(C68*E68*F68+H68*J68*K68+M68*O68*P68+W68*Y68*Z68),1,0)</f>
        <v>0</v>
      </c>
      <c r="AC68" s="82">
        <f t="shared" ref="AC68:AC131" si="19">IF(AND(AB68=0,B68="N"),AC67,AC67*(C68*E68*G68+H68*J68*L68+M68*O68*Q68+W68*Y68*AA68)/AD67)</f>
        <v>298190967541853.69</v>
      </c>
      <c r="AD68" s="81">
        <f t="shared" si="17"/>
        <v>349712944131132.31</v>
      </c>
      <c r="AE68" s="80">
        <f t="shared" ref="AE68:AE131" si="20">AD68/AC68*1000</f>
        <v>1172.7818150026528</v>
      </c>
      <c r="AF68" s="52">
        <f t="shared" si="12"/>
        <v>3.2934734318830761E-3</v>
      </c>
      <c r="AG68" s="48">
        <f t="shared" ref="AG68:AG131" si="21">(D68-C68)/C68</f>
        <v>3.8789428815004259E-2</v>
      </c>
      <c r="AH68" s="48">
        <f t="shared" si="13"/>
        <v>3.4013605442176869E-3</v>
      </c>
      <c r="AI68" s="48">
        <f t="shared" si="14"/>
        <v>-4.9668874172185433E-3</v>
      </c>
      <c r="AJ68" s="48">
        <f t="shared" si="15"/>
        <v>0</v>
      </c>
    </row>
    <row r="69" spans="1:36" x14ac:dyDescent="0.3">
      <c r="A69" s="48">
        <v>20180406</v>
      </c>
      <c r="B69" s="48" t="s">
        <v>88</v>
      </c>
      <c r="C69" s="49">
        <v>2437000</v>
      </c>
      <c r="D69" s="49">
        <v>2420000</v>
      </c>
      <c r="E69" s="49">
        <v>128386494</v>
      </c>
      <c r="F69" s="49">
        <f t="shared" ref="F69:F132" si="22">G68</f>
        <v>0.13657019999015099</v>
      </c>
      <c r="G69" s="49">
        <f t="shared" ref="G69:G132" si="23">IF(B69="Y",ROUND(0.15*(C69*E69+H69*J69+M69*O69+W69*Y69)/(C69*E69),17),IF(AB69=0,F69,ROUND(D68*E68*G68/AD68*(C69*E69+H69*J69+M69*O69+W69*Y69)/(C69*E69),17)))</f>
        <v>0.13657019999015099</v>
      </c>
      <c r="H69" s="48">
        <v>295000</v>
      </c>
      <c r="I69" s="48">
        <v>292000</v>
      </c>
      <c r="J69" s="51">
        <v>122666424</v>
      </c>
      <c r="K69" s="48">
        <f t="shared" ref="K69:K132" si="24">L68</f>
        <v>1.6135551614087</v>
      </c>
      <c r="L69" s="48">
        <f t="shared" ref="L69:L132" si="25">IF(B69="Y",ROUND(0.15*(C69*E69+H69*J69+M69*O69+W69*Y69)/(H69*J69),17),IF(AB69=0,K69,ROUND(I68*J68*L68/AD68*(C69*E69+H69*J69+M69*O69+W69*Y69)/(H69*J69),17)))</f>
        <v>1.6135551614087</v>
      </c>
      <c r="M69" s="49">
        <v>240400</v>
      </c>
      <c r="N69" s="49">
        <v>241600</v>
      </c>
      <c r="O69" s="49">
        <v>15956260</v>
      </c>
      <c r="P69" s="49">
        <f t="shared" ref="P69:P132" si="26">Q68</f>
        <v>33.712610685358698</v>
      </c>
      <c r="Q69" s="49">
        <f t="shared" ref="Q69:Q132" si="27">IF(B69="Y",ROUND(0.3*(C69*E69+H69*J69+M69*O69+W69*Y69)/(M69*O69),17),IF(AB69=0,P69,ROUND(N68*O68*Q68/AD68*(C69*E69+H69*J69+M69*O69+W69*Y69)/(M69*O69),17)))</f>
        <v>33.712610685358698</v>
      </c>
      <c r="R69" s="48">
        <v>0</v>
      </c>
      <c r="S69" s="48"/>
      <c r="T69" s="48">
        <v>0</v>
      </c>
      <c r="U69" s="48">
        <v>0</v>
      </c>
      <c r="V69" s="48"/>
      <c r="W69" s="49">
        <v>1</v>
      </c>
      <c r="X69" s="49">
        <v>1</v>
      </c>
      <c r="Y69" s="49">
        <v>100000000</v>
      </c>
      <c r="Z69" s="49">
        <f t="shared" ref="Z69:Z132" si="28">AA68</f>
        <v>1192763.87016741</v>
      </c>
      <c r="AA69" s="49">
        <f t="shared" ref="AA69:AA132" si="29">IF(B69="Y",ROUND(0.4*(C69*E69+H69*J69+M69*O69+W69*Y69)/(W69*Y69),17),IF(AB69=0,Z69,ROUND(X68*Y68*AA68/AD68*(C69*E69+H69*J69+M69*O69+W69*Y69)/(W69*Y69),17)))</f>
        <v>1192763.87016741</v>
      </c>
      <c r="AB69" s="82">
        <f t="shared" si="18"/>
        <v>0</v>
      </c>
      <c r="AC69" s="82">
        <f t="shared" si="19"/>
        <v>298190967541853.69</v>
      </c>
      <c r="AD69" s="81">
        <f t="shared" si="17"/>
        <v>349466595548303.87</v>
      </c>
      <c r="AE69" s="80">
        <f t="shared" si="20"/>
        <v>1171.9556713241261</v>
      </c>
      <c r="AF69" s="52">
        <f t="shared" ref="AF69:AF132" si="30">(AE69-AE68)/AE68</f>
        <v>-7.0443083952903584E-4</v>
      </c>
      <c r="AG69" s="48">
        <f t="shared" si="21"/>
        <v>-6.9757899056216658E-3</v>
      </c>
      <c r="AH69" s="48">
        <f t="shared" ref="AH69:AH132" si="31">(I69-H69)/H69</f>
        <v>-1.0169491525423728E-2</v>
      </c>
      <c r="AI69" s="48">
        <f t="shared" ref="AI69:AI132" si="32">(N69-M69)/M69</f>
        <v>4.9916805324459234E-3</v>
      </c>
      <c r="AJ69" s="48">
        <f t="shared" ref="AJ69:AJ132" si="33">(X69-W69)/X69</f>
        <v>0</v>
      </c>
    </row>
    <row r="70" spans="1:36" x14ac:dyDescent="0.3">
      <c r="A70" s="48">
        <v>20180409</v>
      </c>
      <c r="B70" s="48" t="s">
        <v>88</v>
      </c>
      <c r="C70" s="49">
        <v>2420000</v>
      </c>
      <c r="D70" s="49">
        <v>2460000</v>
      </c>
      <c r="E70" s="49">
        <v>128386494</v>
      </c>
      <c r="F70" s="49">
        <f t="shared" si="22"/>
        <v>0.13657019999015099</v>
      </c>
      <c r="G70" s="49">
        <f t="shared" si="23"/>
        <v>0.13657019999015099</v>
      </c>
      <c r="H70" s="48">
        <v>292000</v>
      </c>
      <c r="I70" s="48">
        <v>306000</v>
      </c>
      <c r="J70" s="51">
        <v>122666424</v>
      </c>
      <c r="K70" s="48">
        <f t="shared" si="24"/>
        <v>1.6135551614087</v>
      </c>
      <c r="L70" s="48">
        <f t="shared" si="25"/>
        <v>1.6135551614087</v>
      </c>
      <c r="M70" s="49">
        <v>241600</v>
      </c>
      <c r="N70" s="49">
        <v>255100</v>
      </c>
      <c r="O70" s="49">
        <v>15956260</v>
      </c>
      <c r="P70" s="49">
        <f t="shared" si="26"/>
        <v>33.712610685358698</v>
      </c>
      <c r="Q70" s="49">
        <f t="shared" si="27"/>
        <v>33.712610685358698</v>
      </c>
      <c r="R70" s="48">
        <v>0</v>
      </c>
      <c r="S70" s="48"/>
      <c r="T70" s="48">
        <v>0</v>
      </c>
      <c r="U70" s="48">
        <v>0</v>
      </c>
      <c r="V70" s="48"/>
      <c r="W70" s="49">
        <v>1</v>
      </c>
      <c r="X70" s="49">
        <v>1</v>
      </c>
      <c r="Y70" s="49">
        <v>100000000</v>
      </c>
      <c r="Z70" s="49">
        <f t="shared" si="28"/>
        <v>1192763.87016741</v>
      </c>
      <c r="AA70" s="49">
        <f t="shared" si="29"/>
        <v>1192763.87016741</v>
      </c>
      <c r="AB70" s="82">
        <f t="shared" si="18"/>
        <v>0</v>
      </c>
      <c r="AC70" s="82">
        <f t="shared" si="19"/>
        <v>298190967541853.69</v>
      </c>
      <c r="AD70" s="81">
        <f t="shared" si="17"/>
        <v>360200969845396.75</v>
      </c>
      <c r="AE70" s="80">
        <f t="shared" si="20"/>
        <v>1207.9539927541214</v>
      </c>
      <c r="AF70" s="52">
        <f t="shared" si="30"/>
        <v>3.0716453114069408E-2</v>
      </c>
      <c r="AG70" s="48">
        <f t="shared" si="21"/>
        <v>1.6528925619834711E-2</v>
      </c>
      <c r="AH70" s="48">
        <f t="shared" si="31"/>
        <v>4.7945205479452052E-2</v>
      </c>
      <c r="AI70" s="48">
        <f t="shared" si="32"/>
        <v>5.587748344370861E-2</v>
      </c>
      <c r="AJ70" s="48">
        <f t="shared" si="33"/>
        <v>0</v>
      </c>
    </row>
    <row r="71" spans="1:36" x14ac:dyDescent="0.3">
      <c r="A71" s="48">
        <v>20180410</v>
      </c>
      <c r="B71" s="48" t="s">
        <v>88</v>
      </c>
      <c r="C71" s="49">
        <v>2460000</v>
      </c>
      <c r="D71" s="49">
        <v>2444000</v>
      </c>
      <c r="E71" s="49">
        <v>128386494</v>
      </c>
      <c r="F71" s="49">
        <f t="shared" si="22"/>
        <v>0.13657019999015099</v>
      </c>
      <c r="G71" s="49">
        <f t="shared" si="23"/>
        <v>0.13657019999015099</v>
      </c>
      <c r="H71" s="48">
        <v>306000</v>
      </c>
      <c r="I71" s="48">
        <v>303000</v>
      </c>
      <c r="J71" s="51">
        <v>122666424</v>
      </c>
      <c r="K71" s="48">
        <f t="shared" si="24"/>
        <v>1.6135551614087</v>
      </c>
      <c r="L71" s="48">
        <f t="shared" si="25"/>
        <v>1.6135551614087</v>
      </c>
      <c r="M71" s="49">
        <v>255100</v>
      </c>
      <c r="N71" s="49">
        <v>260200</v>
      </c>
      <c r="O71" s="49">
        <v>15956260</v>
      </c>
      <c r="P71" s="49">
        <f t="shared" si="26"/>
        <v>33.712610685358698</v>
      </c>
      <c r="Q71" s="49">
        <f t="shared" si="27"/>
        <v>33.712610685358698</v>
      </c>
      <c r="R71" s="48">
        <v>0</v>
      </c>
      <c r="S71" s="48"/>
      <c r="T71" s="48">
        <v>0</v>
      </c>
      <c r="U71" s="48">
        <v>0</v>
      </c>
      <c r="V71" s="48"/>
      <c r="W71" s="49">
        <v>1</v>
      </c>
      <c r="X71" s="49">
        <v>1</v>
      </c>
      <c r="Y71" s="49">
        <v>100000000</v>
      </c>
      <c r="Z71" s="49">
        <f t="shared" si="28"/>
        <v>1192763.87016741</v>
      </c>
      <c r="AA71" s="49">
        <f t="shared" si="29"/>
        <v>1192763.87016741</v>
      </c>
      <c r="AB71" s="82">
        <f t="shared" si="18"/>
        <v>0</v>
      </c>
      <c r="AC71" s="82">
        <f t="shared" si="19"/>
        <v>298190967541853.69</v>
      </c>
      <c r="AD71" s="81">
        <f t="shared" si="17"/>
        <v>362070071039089.94</v>
      </c>
      <c r="AE71" s="80">
        <f t="shared" si="20"/>
        <v>1214.2221275977124</v>
      </c>
      <c r="AF71" s="52">
        <f t="shared" si="30"/>
        <v>5.1890509747807246E-3</v>
      </c>
      <c r="AG71" s="48">
        <f t="shared" si="21"/>
        <v>-6.5040650406504065E-3</v>
      </c>
      <c r="AH71" s="48">
        <f t="shared" si="31"/>
        <v>-9.8039215686274508E-3</v>
      </c>
      <c r="AI71" s="48">
        <f t="shared" si="32"/>
        <v>1.9992159937279499E-2</v>
      </c>
      <c r="AJ71" s="48">
        <f t="shared" si="33"/>
        <v>0</v>
      </c>
    </row>
    <row r="72" spans="1:36" x14ac:dyDescent="0.3">
      <c r="A72" s="48">
        <v>20180411</v>
      </c>
      <c r="B72" s="48" t="s">
        <v>88</v>
      </c>
      <c r="C72" s="49">
        <v>2444000</v>
      </c>
      <c r="D72" s="49">
        <v>2443000</v>
      </c>
      <c r="E72" s="49">
        <v>128386494</v>
      </c>
      <c r="F72" s="49">
        <f t="shared" si="22"/>
        <v>0.13657019999015099</v>
      </c>
      <c r="G72" s="49">
        <f t="shared" si="23"/>
        <v>0.13657019999015099</v>
      </c>
      <c r="H72" s="48">
        <v>303000</v>
      </c>
      <c r="I72" s="48">
        <v>298000</v>
      </c>
      <c r="J72" s="51">
        <v>122666424</v>
      </c>
      <c r="K72" s="48">
        <f t="shared" si="24"/>
        <v>1.6135551614087</v>
      </c>
      <c r="L72" s="48">
        <f t="shared" si="25"/>
        <v>1.6135551614087</v>
      </c>
      <c r="M72" s="49">
        <v>260200</v>
      </c>
      <c r="N72" s="49">
        <v>256500</v>
      </c>
      <c r="O72" s="49">
        <v>15956260</v>
      </c>
      <c r="P72" s="49">
        <f t="shared" si="26"/>
        <v>33.712610685358698</v>
      </c>
      <c r="Q72" s="49">
        <f t="shared" si="27"/>
        <v>33.712610685358698</v>
      </c>
      <c r="R72" s="48">
        <v>0</v>
      </c>
      <c r="S72" s="48"/>
      <c r="T72" s="48">
        <v>0</v>
      </c>
      <c r="U72" s="48">
        <v>0</v>
      </c>
      <c r="V72" s="48"/>
      <c r="W72" s="49">
        <v>1</v>
      </c>
      <c r="X72" s="49">
        <v>1</v>
      </c>
      <c r="Y72" s="49">
        <v>100000000</v>
      </c>
      <c r="Z72" s="49">
        <f t="shared" si="28"/>
        <v>1192763.87016741</v>
      </c>
      <c r="AA72" s="49">
        <f t="shared" si="29"/>
        <v>1192763.87016741</v>
      </c>
      <c r="AB72" s="82">
        <f t="shared" si="18"/>
        <v>0</v>
      </c>
      <c r="AC72" s="82">
        <f t="shared" si="19"/>
        <v>298190967541853.69</v>
      </c>
      <c r="AD72" s="81">
        <f t="shared" si="17"/>
        <v>359072561490959.44</v>
      </c>
      <c r="AE72" s="80">
        <f t="shared" si="20"/>
        <v>1204.1698125566479</v>
      </c>
      <c r="AF72" s="52">
        <f t="shared" si="30"/>
        <v>-8.2788106167630028E-3</v>
      </c>
      <c r="AG72" s="48">
        <f t="shared" si="21"/>
        <v>-4.0916530278232408E-4</v>
      </c>
      <c r="AH72" s="48">
        <f t="shared" si="31"/>
        <v>-1.65016501650165E-2</v>
      </c>
      <c r="AI72" s="48">
        <f t="shared" si="32"/>
        <v>-1.4219830899308224E-2</v>
      </c>
      <c r="AJ72" s="48">
        <f t="shared" si="33"/>
        <v>0</v>
      </c>
    </row>
    <row r="73" spans="1:36" x14ac:dyDescent="0.3">
      <c r="A73" s="48">
        <v>20180412</v>
      </c>
      <c r="B73" s="48" t="s">
        <v>88</v>
      </c>
      <c r="C73" s="49">
        <v>2443000</v>
      </c>
      <c r="D73" s="49">
        <v>2450000</v>
      </c>
      <c r="E73" s="49">
        <v>128386494</v>
      </c>
      <c r="F73" s="49">
        <f t="shared" si="22"/>
        <v>0.13657019999015099</v>
      </c>
      <c r="G73" s="49">
        <f t="shared" si="23"/>
        <v>0.13657019999015099</v>
      </c>
      <c r="H73" s="48">
        <v>298000</v>
      </c>
      <c r="I73" s="48">
        <v>298500</v>
      </c>
      <c r="J73" s="51">
        <v>122666424</v>
      </c>
      <c r="K73" s="48">
        <f t="shared" si="24"/>
        <v>1.6135551614087</v>
      </c>
      <c r="L73" s="48">
        <f t="shared" si="25"/>
        <v>1.6135551614087</v>
      </c>
      <c r="M73" s="49">
        <v>256500</v>
      </c>
      <c r="N73" s="49">
        <v>232100</v>
      </c>
      <c r="O73" s="49">
        <v>15956260</v>
      </c>
      <c r="P73" s="49">
        <f t="shared" si="26"/>
        <v>33.712610685358698</v>
      </c>
      <c r="Q73" s="49">
        <f t="shared" si="27"/>
        <v>33.712610685358698</v>
      </c>
      <c r="R73" s="48">
        <v>0</v>
      </c>
      <c r="S73" s="48"/>
      <c r="T73" s="48">
        <v>0</v>
      </c>
      <c r="U73" s="48">
        <v>0</v>
      </c>
      <c r="V73" s="48"/>
      <c r="W73" s="49">
        <v>1</v>
      </c>
      <c r="X73" s="49">
        <v>1</v>
      </c>
      <c r="Y73" s="49">
        <v>100000000</v>
      </c>
      <c r="Z73" s="49">
        <f t="shared" si="28"/>
        <v>1192763.87016741</v>
      </c>
      <c r="AA73" s="49">
        <f t="shared" si="29"/>
        <v>1192763.87016741</v>
      </c>
      <c r="AB73" s="82">
        <f t="shared" si="18"/>
        <v>0</v>
      </c>
      <c r="AC73" s="82">
        <f t="shared" si="19"/>
        <v>298190967541853.69</v>
      </c>
      <c r="AD73" s="81">
        <f t="shared" si="17"/>
        <v>346168839170344.69</v>
      </c>
      <c r="AE73" s="80">
        <f t="shared" si="20"/>
        <v>1160.8964618345017</v>
      </c>
      <c r="AF73" s="52">
        <f t="shared" si="30"/>
        <v>-3.5936252736870962E-2</v>
      </c>
      <c r="AG73" s="48">
        <f t="shared" si="21"/>
        <v>2.8653295128939827E-3</v>
      </c>
      <c r="AH73" s="48">
        <f t="shared" si="31"/>
        <v>1.6778523489932886E-3</v>
      </c>
      <c r="AI73" s="48">
        <f t="shared" si="32"/>
        <v>-9.5126705653021448E-2</v>
      </c>
      <c r="AJ73" s="48">
        <f t="shared" si="33"/>
        <v>0</v>
      </c>
    </row>
    <row r="74" spans="1:36" x14ac:dyDescent="0.3">
      <c r="A74" s="48">
        <v>20180413</v>
      </c>
      <c r="B74" s="48" t="s">
        <v>88</v>
      </c>
      <c r="C74" s="49">
        <v>2450000</v>
      </c>
      <c r="D74" s="49">
        <v>2490000</v>
      </c>
      <c r="E74" s="49">
        <v>128386494</v>
      </c>
      <c r="F74" s="49">
        <f t="shared" si="22"/>
        <v>0.13657019999015099</v>
      </c>
      <c r="G74" s="49">
        <f t="shared" si="23"/>
        <v>0.13657019999015099</v>
      </c>
      <c r="H74" s="48">
        <v>298500</v>
      </c>
      <c r="I74" s="48">
        <v>290000</v>
      </c>
      <c r="J74" s="51">
        <v>122666424</v>
      </c>
      <c r="K74" s="48">
        <f t="shared" si="24"/>
        <v>1.6135551614087</v>
      </c>
      <c r="L74" s="48">
        <f t="shared" si="25"/>
        <v>1.6135551614087</v>
      </c>
      <c r="M74" s="49">
        <v>232100</v>
      </c>
      <c r="N74" s="49">
        <v>236000</v>
      </c>
      <c r="O74" s="49">
        <v>15956260</v>
      </c>
      <c r="P74" s="49">
        <f t="shared" si="26"/>
        <v>33.712610685358698</v>
      </c>
      <c r="Q74" s="49">
        <f t="shared" si="27"/>
        <v>33.712610685358698</v>
      </c>
      <c r="R74" s="48">
        <v>0</v>
      </c>
      <c r="S74" s="48"/>
      <c r="T74" s="48">
        <v>0</v>
      </c>
      <c r="U74" s="48">
        <v>0</v>
      </c>
      <c r="V74" s="48"/>
      <c r="W74" s="49">
        <v>1</v>
      </c>
      <c r="X74" s="49">
        <v>1</v>
      </c>
      <c r="Y74" s="49">
        <v>100000000</v>
      </c>
      <c r="Z74" s="49">
        <f t="shared" si="28"/>
        <v>1192763.87016741</v>
      </c>
      <c r="AA74" s="49">
        <f t="shared" si="29"/>
        <v>1192763.87016741</v>
      </c>
      <c r="AB74" s="82">
        <f t="shared" si="18"/>
        <v>0</v>
      </c>
      <c r="AC74" s="82">
        <f t="shared" si="19"/>
        <v>298190967541853.69</v>
      </c>
      <c r="AD74" s="81">
        <f t="shared" si="17"/>
        <v>347285709090766.94</v>
      </c>
      <c r="AE74" s="80">
        <f t="shared" si="20"/>
        <v>1164.6419472515456</v>
      </c>
      <c r="AF74" s="52">
        <f t="shared" si="30"/>
        <v>3.2263733590204508E-3</v>
      </c>
      <c r="AG74" s="48">
        <f t="shared" si="21"/>
        <v>1.6326530612244899E-2</v>
      </c>
      <c r="AH74" s="48">
        <f t="shared" si="31"/>
        <v>-2.8475711892797319E-2</v>
      </c>
      <c r="AI74" s="48">
        <f t="shared" si="32"/>
        <v>1.6803102111158982E-2</v>
      </c>
      <c r="AJ74" s="48">
        <f t="shared" si="33"/>
        <v>0</v>
      </c>
    </row>
    <row r="75" spans="1:36" x14ac:dyDescent="0.3">
      <c r="A75" s="48">
        <v>20180416</v>
      </c>
      <c r="B75" s="48" t="s">
        <v>88</v>
      </c>
      <c r="C75" s="49">
        <v>2490000</v>
      </c>
      <c r="D75" s="49">
        <v>2517000</v>
      </c>
      <c r="E75" s="49">
        <v>128386494</v>
      </c>
      <c r="F75" s="49">
        <f t="shared" si="22"/>
        <v>0.13657019999015099</v>
      </c>
      <c r="G75" s="49">
        <f t="shared" si="23"/>
        <v>0.13657019999015099</v>
      </c>
      <c r="H75" s="48">
        <v>290000</v>
      </c>
      <c r="I75" s="48">
        <v>295500</v>
      </c>
      <c r="J75" s="51">
        <v>122666424</v>
      </c>
      <c r="K75" s="48">
        <f t="shared" si="24"/>
        <v>1.6135551614087</v>
      </c>
      <c r="L75" s="48">
        <f t="shared" si="25"/>
        <v>1.6135551614087</v>
      </c>
      <c r="M75" s="49">
        <v>236000</v>
      </c>
      <c r="N75" s="49">
        <v>227300</v>
      </c>
      <c r="O75" s="49">
        <v>15956260</v>
      </c>
      <c r="P75" s="49">
        <f t="shared" si="26"/>
        <v>33.712610685358698</v>
      </c>
      <c r="Q75" s="49">
        <f t="shared" si="27"/>
        <v>33.712610685358698</v>
      </c>
      <c r="R75" s="48">
        <v>0</v>
      </c>
      <c r="S75" s="48"/>
      <c r="T75" s="48">
        <v>0</v>
      </c>
      <c r="U75" s="48">
        <v>0</v>
      </c>
      <c r="V75" s="48"/>
      <c r="W75" s="49">
        <v>1</v>
      </c>
      <c r="X75" s="49">
        <v>1</v>
      </c>
      <c r="Y75" s="49">
        <v>100000000</v>
      </c>
      <c r="Z75" s="49">
        <f t="shared" si="28"/>
        <v>1192763.87016741</v>
      </c>
      <c r="AA75" s="49">
        <f t="shared" si="29"/>
        <v>1192763.87016741</v>
      </c>
      <c r="AB75" s="82">
        <f t="shared" si="18"/>
        <v>0</v>
      </c>
      <c r="AC75" s="82">
        <f t="shared" si="19"/>
        <v>298190967541853.69</v>
      </c>
      <c r="AD75" s="81">
        <f t="shared" si="17"/>
        <v>344167764108845.69</v>
      </c>
      <c r="AE75" s="80">
        <f t="shared" si="20"/>
        <v>1154.1857452826391</v>
      </c>
      <c r="AF75" s="52">
        <f t="shared" si="30"/>
        <v>-8.9780399835178801E-3</v>
      </c>
      <c r="AG75" s="48">
        <f t="shared" si="21"/>
        <v>1.0843373493975903E-2</v>
      </c>
      <c r="AH75" s="48">
        <f t="shared" si="31"/>
        <v>1.896551724137931E-2</v>
      </c>
      <c r="AI75" s="48">
        <f t="shared" si="32"/>
        <v>-3.6864406779661019E-2</v>
      </c>
      <c r="AJ75" s="48">
        <f t="shared" si="33"/>
        <v>0</v>
      </c>
    </row>
    <row r="76" spans="1:36" s="47" customFormat="1" x14ac:dyDescent="0.3">
      <c r="A76" s="48">
        <v>20180417</v>
      </c>
      <c r="B76" s="48" t="s">
        <v>88</v>
      </c>
      <c r="C76" s="49">
        <v>2517000</v>
      </c>
      <c r="D76" s="49">
        <v>2499000</v>
      </c>
      <c r="E76" s="49">
        <v>128386494</v>
      </c>
      <c r="F76" s="49">
        <f t="shared" si="22"/>
        <v>0.13657019999015099</v>
      </c>
      <c r="G76" s="49">
        <f t="shared" si="23"/>
        <v>0.144338813810161</v>
      </c>
      <c r="H76" s="48">
        <v>295500</v>
      </c>
      <c r="I76" s="48">
        <v>290000</v>
      </c>
      <c r="J76" s="51">
        <v>125108377</v>
      </c>
      <c r="K76" s="48">
        <f t="shared" si="24"/>
        <v>1.6135551614087</v>
      </c>
      <c r="L76" s="48">
        <f t="shared" si="25"/>
        <v>1.6720540729881499</v>
      </c>
      <c r="M76" s="49">
        <v>227300</v>
      </c>
      <c r="N76" s="49">
        <v>234100</v>
      </c>
      <c r="O76" s="49">
        <v>15956260</v>
      </c>
      <c r="P76" s="49">
        <f t="shared" si="26"/>
        <v>33.712610685358698</v>
      </c>
      <c r="Q76" s="49">
        <f t="shared" si="27"/>
        <v>35.630307615565798</v>
      </c>
      <c r="R76" s="48">
        <v>0</v>
      </c>
      <c r="S76" s="48"/>
      <c r="T76" s="48">
        <v>0</v>
      </c>
      <c r="U76" s="48">
        <v>0</v>
      </c>
      <c r="V76" s="48"/>
      <c r="W76" s="49">
        <v>1</v>
      </c>
      <c r="X76" s="49">
        <v>1</v>
      </c>
      <c r="Y76" s="49">
        <v>100000000</v>
      </c>
      <c r="Z76" s="49">
        <f t="shared" si="28"/>
        <v>1192763.87016741</v>
      </c>
      <c r="AA76" s="49">
        <f t="shared" si="29"/>
        <v>1260612.6533313701</v>
      </c>
      <c r="AB76" s="82">
        <f t="shared" si="18"/>
        <v>1</v>
      </c>
      <c r="AC76" s="82">
        <f t="shared" si="19"/>
        <v>315153163332844.37</v>
      </c>
      <c r="AD76" s="81">
        <f t="shared" si="17"/>
        <v>366127173955558.62</v>
      </c>
      <c r="AE76" s="80">
        <f t="shared" si="20"/>
        <v>1161.743610895883</v>
      </c>
      <c r="AF76" s="52">
        <f t="shared" si="30"/>
        <v>6.5482229737580623E-3</v>
      </c>
      <c r="AG76" s="48">
        <f t="shared" si="21"/>
        <v>-7.1513706793802142E-3</v>
      </c>
      <c r="AH76" s="48">
        <f t="shared" si="31"/>
        <v>-1.8612521150592216E-2</v>
      </c>
      <c r="AI76" s="48">
        <f t="shared" si="32"/>
        <v>2.9916410030796304E-2</v>
      </c>
      <c r="AJ76" s="48">
        <f t="shared" si="33"/>
        <v>0</v>
      </c>
    </row>
    <row r="77" spans="1:36" x14ac:dyDescent="0.3">
      <c r="A77" s="48">
        <v>20180418</v>
      </c>
      <c r="B77" s="48" t="s">
        <v>88</v>
      </c>
      <c r="C77" s="49">
        <v>2499000</v>
      </c>
      <c r="D77" s="49">
        <v>2568000</v>
      </c>
      <c r="E77" s="49">
        <v>128386494</v>
      </c>
      <c r="F77" s="49">
        <f t="shared" si="22"/>
        <v>0.144338813810161</v>
      </c>
      <c r="G77" s="49">
        <f t="shared" si="23"/>
        <v>0.144338813810161</v>
      </c>
      <c r="H77" s="48">
        <v>290000</v>
      </c>
      <c r="I77" s="48">
        <v>284500</v>
      </c>
      <c r="J77" s="51">
        <v>125108377</v>
      </c>
      <c r="K77" s="48">
        <f t="shared" si="24"/>
        <v>1.6720540729881499</v>
      </c>
      <c r="L77" s="48">
        <f t="shared" si="25"/>
        <v>1.6720540729881499</v>
      </c>
      <c r="M77" s="49">
        <v>234100</v>
      </c>
      <c r="N77" s="49">
        <v>233500</v>
      </c>
      <c r="O77" s="49">
        <v>15956260</v>
      </c>
      <c r="P77" s="49">
        <f t="shared" si="26"/>
        <v>35.630307615565798</v>
      </c>
      <c r="Q77" s="49">
        <f t="shared" si="27"/>
        <v>35.630307615565798</v>
      </c>
      <c r="R77" s="48">
        <v>0</v>
      </c>
      <c r="S77" s="48"/>
      <c r="T77" s="48">
        <v>0</v>
      </c>
      <c r="U77" s="48">
        <v>0</v>
      </c>
      <c r="V77" s="48"/>
      <c r="W77" s="49">
        <v>1</v>
      </c>
      <c r="X77" s="49">
        <v>1</v>
      </c>
      <c r="Y77" s="49">
        <v>100000000</v>
      </c>
      <c r="Z77" s="49">
        <f t="shared" si="28"/>
        <v>1260612.6533313701</v>
      </c>
      <c r="AA77" s="49">
        <f t="shared" si="29"/>
        <v>1260612.6533313701</v>
      </c>
      <c r="AB77" s="82">
        <f t="shared" si="18"/>
        <v>0</v>
      </c>
      <c r="AC77" s="82">
        <f t="shared" si="19"/>
        <v>315153163332844.37</v>
      </c>
      <c r="AD77" s="81">
        <f t="shared" si="17"/>
        <v>365914173885410.56</v>
      </c>
      <c r="AE77" s="80">
        <f t="shared" si="20"/>
        <v>1161.06774882331</v>
      </c>
      <c r="AF77" s="52">
        <f t="shared" si="30"/>
        <v>-5.8176525890403714E-4</v>
      </c>
      <c r="AG77" s="48">
        <f t="shared" si="21"/>
        <v>2.7611044417767107E-2</v>
      </c>
      <c r="AH77" s="48">
        <f t="shared" si="31"/>
        <v>-1.896551724137931E-2</v>
      </c>
      <c r="AI77" s="48">
        <f t="shared" si="32"/>
        <v>-2.5630072618539087E-3</v>
      </c>
      <c r="AJ77" s="48">
        <f t="shared" si="33"/>
        <v>0</v>
      </c>
    </row>
    <row r="78" spans="1:36" x14ac:dyDescent="0.3">
      <c r="A78" s="48">
        <v>20180419</v>
      </c>
      <c r="B78" s="48" t="s">
        <v>88</v>
      </c>
      <c r="C78" s="49">
        <v>2568000</v>
      </c>
      <c r="D78" s="49">
        <v>2639000</v>
      </c>
      <c r="E78" s="49">
        <v>128386494</v>
      </c>
      <c r="F78" s="49">
        <f t="shared" si="22"/>
        <v>0.144338813810161</v>
      </c>
      <c r="G78" s="49">
        <f t="shared" si="23"/>
        <v>0.144338813810161</v>
      </c>
      <c r="H78" s="48">
        <v>284500</v>
      </c>
      <c r="I78" s="48">
        <v>266500</v>
      </c>
      <c r="J78" s="51">
        <v>125108377</v>
      </c>
      <c r="K78" s="48">
        <f t="shared" si="24"/>
        <v>1.6720540729881499</v>
      </c>
      <c r="L78" s="48">
        <f t="shared" si="25"/>
        <v>1.6720540729881499</v>
      </c>
      <c r="M78" s="49">
        <v>233500</v>
      </c>
      <c r="N78" s="49">
        <v>223200</v>
      </c>
      <c r="O78" s="49">
        <v>15956260</v>
      </c>
      <c r="P78" s="49">
        <f t="shared" si="26"/>
        <v>35.630307615565798</v>
      </c>
      <c r="Q78" s="49">
        <f t="shared" si="27"/>
        <v>35.630307615565798</v>
      </c>
      <c r="R78" s="48">
        <v>0</v>
      </c>
      <c r="S78" s="48"/>
      <c r="T78" s="48">
        <v>0</v>
      </c>
      <c r="U78" s="48">
        <v>0</v>
      </c>
      <c r="V78" s="48"/>
      <c r="W78" s="49">
        <v>1</v>
      </c>
      <c r="X78" s="49">
        <v>1</v>
      </c>
      <c r="Y78" s="49">
        <v>100000000</v>
      </c>
      <c r="Z78" s="49">
        <f t="shared" si="28"/>
        <v>1260612.6533313701</v>
      </c>
      <c r="AA78" s="49">
        <f t="shared" si="29"/>
        <v>1260612.6533313701</v>
      </c>
      <c r="AB78" s="82">
        <f t="shared" si="18"/>
        <v>0</v>
      </c>
      <c r="AC78" s="82">
        <f t="shared" si="19"/>
        <v>315153163332844.37</v>
      </c>
      <c r="AD78" s="81">
        <f t="shared" si="17"/>
        <v>357608679895890.31</v>
      </c>
      <c r="AE78" s="80">
        <f t="shared" si="20"/>
        <v>1134.7139153358494</v>
      </c>
      <c r="AF78" s="52">
        <f t="shared" si="30"/>
        <v>-2.2697929138217006E-2</v>
      </c>
      <c r="AG78" s="48">
        <f t="shared" si="21"/>
        <v>2.764797507788162E-2</v>
      </c>
      <c r="AH78" s="48">
        <f t="shared" si="31"/>
        <v>-6.32688927943761E-2</v>
      </c>
      <c r="AI78" s="48">
        <f t="shared" si="32"/>
        <v>-4.411134903640257E-2</v>
      </c>
      <c r="AJ78" s="48">
        <f t="shared" si="33"/>
        <v>0</v>
      </c>
    </row>
    <row r="79" spans="1:36" x14ac:dyDescent="0.3">
      <c r="A79" s="48">
        <v>20180420</v>
      </c>
      <c r="B79" s="48" t="s">
        <v>88</v>
      </c>
      <c r="C79" s="49">
        <v>2639000</v>
      </c>
      <c r="D79" s="49">
        <v>2581000</v>
      </c>
      <c r="E79" s="49">
        <v>128386494</v>
      </c>
      <c r="F79" s="49">
        <f t="shared" si="22"/>
        <v>0.144338813810161</v>
      </c>
      <c r="G79" s="49">
        <f t="shared" si="23"/>
        <v>0.144338813810161</v>
      </c>
      <c r="H79" s="48">
        <v>266500</v>
      </c>
      <c r="I79" s="48">
        <v>269000</v>
      </c>
      <c r="J79" s="51">
        <v>125108377</v>
      </c>
      <c r="K79" s="48">
        <f t="shared" si="24"/>
        <v>1.6720540729881499</v>
      </c>
      <c r="L79" s="48">
        <f t="shared" si="25"/>
        <v>1.6720540729881499</v>
      </c>
      <c r="M79" s="49">
        <v>223200</v>
      </c>
      <c r="N79" s="49">
        <v>224200</v>
      </c>
      <c r="O79" s="49">
        <v>15956260</v>
      </c>
      <c r="P79" s="49">
        <f t="shared" si="26"/>
        <v>35.630307615565798</v>
      </c>
      <c r="Q79" s="49">
        <f t="shared" si="27"/>
        <v>35.630307615565798</v>
      </c>
      <c r="R79" s="48">
        <v>0</v>
      </c>
      <c r="S79" s="48"/>
      <c r="T79" s="48">
        <v>0</v>
      </c>
      <c r="U79" s="48">
        <v>0</v>
      </c>
      <c r="V79" s="48"/>
      <c r="W79" s="49">
        <v>1</v>
      </c>
      <c r="X79" s="49">
        <v>1</v>
      </c>
      <c r="Y79" s="49">
        <v>100000000</v>
      </c>
      <c r="Z79" s="49">
        <f t="shared" si="28"/>
        <v>1260612.6533313701</v>
      </c>
      <c r="AA79" s="49">
        <f t="shared" si="29"/>
        <v>1260612.6533313701</v>
      </c>
      <c r="AB79" s="82">
        <f t="shared" si="18"/>
        <v>0</v>
      </c>
      <c r="AC79" s="82">
        <f t="shared" si="19"/>
        <v>315153163332844.37</v>
      </c>
      <c r="AD79" s="81">
        <f t="shared" si="17"/>
        <v>357625369329717.87</v>
      </c>
      <c r="AE79" s="80">
        <f t="shared" si="20"/>
        <v>1134.7668719162343</v>
      </c>
      <c r="AF79" s="52">
        <f t="shared" si="30"/>
        <v>4.6669543458687316E-5</v>
      </c>
      <c r="AG79" s="48">
        <f t="shared" si="21"/>
        <v>-2.197802197802198E-2</v>
      </c>
      <c r="AH79" s="48">
        <f t="shared" si="31"/>
        <v>9.3808630393996256E-3</v>
      </c>
      <c r="AI79" s="48">
        <f t="shared" si="32"/>
        <v>4.4802867383512543E-3</v>
      </c>
      <c r="AJ79" s="48">
        <f t="shared" si="33"/>
        <v>0</v>
      </c>
    </row>
    <row r="80" spans="1:36" x14ac:dyDescent="0.3">
      <c r="A80" s="48">
        <v>20180423</v>
      </c>
      <c r="B80" s="48" t="s">
        <v>88</v>
      </c>
      <c r="C80" s="49">
        <v>2581000</v>
      </c>
      <c r="D80" s="49">
        <v>2595000</v>
      </c>
      <c r="E80" s="49">
        <v>128386494</v>
      </c>
      <c r="F80" s="49">
        <f t="shared" si="22"/>
        <v>0.144338813810161</v>
      </c>
      <c r="G80" s="49">
        <f t="shared" si="23"/>
        <v>0.144338813810161</v>
      </c>
      <c r="H80" s="48">
        <v>269000</v>
      </c>
      <c r="I80" s="48">
        <v>250500</v>
      </c>
      <c r="J80" s="51">
        <v>125108377</v>
      </c>
      <c r="K80" s="48">
        <f t="shared" si="24"/>
        <v>1.6720540729881499</v>
      </c>
      <c r="L80" s="48">
        <f t="shared" si="25"/>
        <v>1.6720540729881499</v>
      </c>
      <c r="M80" s="49">
        <v>224200</v>
      </c>
      <c r="N80" s="49">
        <v>214000</v>
      </c>
      <c r="O80" s="49">
        <v>15956260</v>
      </c>
      <c r="P80" s="49">
        <f t="shared" si="26"/>
        <v>35.630307615565798</v>
      </c>
      <c r="Q80" s="49">
        <f t="shared" si="27"/>
        <v>35.630307615565798</v>
      </c>
      <c r="R80" s="48">
        <v>0</v>
      </c>
      <c r="S80" s="48"/>
      <c r="T80" s="48">
        <v>0</v>
      </c>
      <c r="U80" s="48">
        <v>0</v>
      </c>
      <c r="V80" s="48"/>
      <c r="W80" s="49">
        <v>1</v>
      </c>
      <c r="X80" s="49">
        <v>1</v>
      </c>
      <c r="Y80" s="49">
        <v>100000000</v>
      </c>
      <c r="Z80" s="49">
        <f t="shared" si="28"/>
        <v>1260612.6533313701</v>
      </c>
      <c r="AA80" s="49">
        <f t="shared" si="29"/>
        <v>1260612.6533313701</v>
      </c>
      <c r="AB80" s="82">
        <f t="shared" si="18"/>
        <v>0</v>
      </c>
      <c r="AC80" s="82">
        <f t="shared" si="19"/>
        <v>315153163332844.37</v>
      </c>
      <c r="AD80" s="81">
        <f t="shared" si="17"/>
        <v>348215858207320.37</v>
      </c>
      <c r="AE80" s="80">
        <f t="shared" si="20"/>
        <v>1104.9099254623611</v>
      </c>
      <c r="AF80" s="52">
        <f t="shared" si="30"/>
        <v>-2.631108397045025E-2</v>
      </c>
      <c r="AG80" s="48">
        <f t="shared" si="21"/>
        <v>5.424254165052305E-3</v>
      </c>
      <c r="AH80" s="48">
        <f t="shared" si="31"/>
        <v>-6.8773234200743494E-2</v>
      </c>
      <c r="AI80" s="48">
        <f t="shared" si="32"/>
        <v>-4.5495093666369314E-2</v>
      </c>
      <c r="AJ80" s="48">
        <f t="shared" si="33"/>
        <v>0</v>
      </c>
    </row>
    <row r="81" spans="1:36" x14ac:dyDescent="0.3">
      <c r="A81" s="48">
        <v>20180424</v>
      </c>
      <c r="B81" s="48" t="s">
        <v>88</v>
      </c>
      <c r="C81" s="49">
        <v>2595000</v>
      </c>
      <c r="D81" s="49">
        <v>2523000</v>
      </c>
      <c r="E81" s="49">
        <v>128386494</v>
      </c>
      <c r="F81" s="49">
        <f t="shared" si="22"/>
        <v>0.144338813810161</v>
      </c>
      <c r="G81" s="49">
        <f t="shared" si="23"/>
        <v>0.144338813810161</v>
      </c>
      <c r="H81" s="48">
        <v>250500</v>
      </c>
      <c r="I81" s="48">
        <v>248500</v>
      </c>
      <c r="J81" s="51">
        <v>125108377</v>
      </c>
      <c r="K81" s="48">
        <f t="shared" si="24"/>
        <v>1.6720540729881499</v>
      </c>
      <c r="L81" s="48">
        <f t="shared" si="25"/>
        <v>1.6720540729881499</v>
      </c>
      <c r="M81" s="49">
        <v>214000</v>
      </c>
      <c r="N81" s="49">
        <v>208900</v>
      </c>
      <c r="O81" s="49">
        <v>15956260</v>
      </c>
      <c r="P81" s="49">
        <f t="shared" si="26"/>
        <v>35.630307615565798</v>
      </c>
      <c r="Q81" s="49">
        <f t="shared" si="27"/>
        <v>35.630307615565798</v>
      </c>
      <c r="R81" s="48">
        <v>0</v>
      </c>
      <c r="S81" s="48"/>
      <c r="T81" s="48">
        <v>0</v>
      </c>
      <c r="U81" s="48">
        <v>0</v>
      </c>
      <c r="V81" s="48"/>
      <c r="W81" s="49">
        <v>1</v>
      </c>
      <c r="X81" s="49">
        <v>1</v>
      </c>
      <c r="Y81" s="49">
        <v>100000000</v>
      </c>
      <c r="Z81" s="49">
        <f t="shared" si="28"/>
        <v>1260612.6533313701</v>
      </c>
      <c r="AA81" s="49">
        <f t="shared" si="29"/>
        <v>1260612.6533313701</v>
      </c>
      <c r="AB81" s="82">
        <f t="shared" si="18"/>
        <v>0</v>
      </c>
      <c r="AC81" s="82">
        <f t="shared" si="19"/>
        <v>315153163332844.37</v>
      </c>
      <c r="AD81" s="81">
        <f t="shared" si="17"/>
        <v>343563754252244.87</v>
      </c>
      <c r="AE81" s="80">
        <f t="shared" si="20"/>
        <v>1090.1485189580503</v>
      </c>
      <c r="AF81" s="52">
        <f t="shared" si="30"/>
        <v>-1.3359827949897122E-2</v>
      </c>
      <c r="AG81" s="48">
        <f t="shared" si="21"/>
        <v>-2.7745664739884393E-2</v>
      </c>
      <c r="AH81" s="48">
        <f t="shared" si="31"/>
        <v>-7.9840319361277438E-3</v>
      </c>
      <c r="AI81" s="48">
        <f t="shared" si="32"/>
        <v>-2.3831775700934581E-2</v>
      </c>
      <c r="AJ81" s="48">
        <f t="shared" si="33"/>
        <v>0</v>
      </c>
    </row>
    <row r="82" spans="1:36" x14ac:dyDescent="0.3">
      <c r="A82" s="48">
        <v>20180425</v>
      </c>
      <c r="B82" s="48" t="s">
        <v>88</v>
      </c>
      <c r="C82" s="49">
        <v>2523000</v>
      </c>
      <c r="D82" s="49">
        <v>2520000</v>
      </c>
      <c r="E82" s="49">
        <v>128386494</v>
      </c>
      <c r="F82" s="49">
        <f t="shared" si="22"/>
        <v>0.144338813810161</v>
      </c>
      <c r="G82" s="49">
        <f t="shared" si="23"/>
        <v>0.144338813810161</v>
      </c>
      <c r="H82" s="48">
        <v>248500</v>
      </c>
      <c r="I82" s="48">
        <v>251000</v>
      </c>
      <c r="J82" s="51">
        <v>125108377</v>
      </c>
      <c r="K82" s="48">
        <f t="shared" si="24"/>
        <v>1.6720540729881499</v>
      </c>
      <c r="L82" s="48">
        <f t="shared" si="25"/>
        <v>1.6720540729881499</v>
      </c>
      <c r="M82" s="49">
        <v>208900</v>
      </c>
      <c r="N82" s="49">
        <v>215000</v>
      </c>
      <c r="O82" s="49">
        <v>15956260</v>
      </c>
      <c r="P82" s="49">
        <f t="shared" si="26"/>
        <v>35.630307615565798</v>
      </c>
      <c r="Q82" s="49">
        <f t="shared" si="27"/>
        <v>35.630307615565798</v>
      </c>
      <c r="R82" s="48">
        <v>0</v>
      </c>
      <c r="S82" s="48"/>
      <c r="T82" s="48">
        <v>0</v>
      </c>
      <c r="U82" s="48">
        <v>0</v>
      </c>
      <c r="V82" s="48"/>
      <c r="W82" s="49">
        <v>1</v>
      </c>
      <c r="X82" s="49">
        <v>1</v>
      </c>
      <c r="Y82" s="49">
        <v>100000000</v>
      </c>
      <c r="Z82" s="49">
        <f t="shared" si="28"/>
        <v>1260612.6533313701</v>
      </c>
      <c r="AA82" s="49">
        <f t="shared" si="29"/>
        <v>1260612.6533313701</v>
      </c>
      <c r="AB82" s="82">
        <f t="shared" si="18"/>
        <v>0</v>
      </c>
      <c r="AC82" s="82">
        <f t="shared" si="19"/>
        <v>315153163332844.37</v>
      </c>
      <c r="AD82" s="81">
        <f t="shared" si="17"/>
        <v>347499142076187.81</v>
      </c>
      <c r="AE82" s="80">
        <f t="shared" si="20"/>
        <v>1102.6357419398064</v>
      </c>
      <c r="AF82" s="52">
        <f t="shared" si="30"/>
        <v>1.1454607115084833E-2</v>
      </c>
      <c r="AG82" s="48">
        <f t="shared" si="21"/>
        <v>-1.1890606420927466E-3</v>
      </c>
      <c r="AH82" s="48">
        <f t="shared" si="31"/>
        <v>1.0060362173038229E-2</v>
      </c>
      <c r="AI82" s="48">
        <f t="shared" si="32"/>
        <v>2.9200574437529919E-2</v>
      </c>
      <c r="AJ82" s="48">
        <f t="shared" si="33"/>
        <v>0</v>
      </c>
    </row>
    <row r="83" spans="1:36" x14ac:dyDescent="0.3">
      <c r="A83" s="48">
        <v>20180426</v>
      </c>
      <c r="B83" s="48" t="s">
        <v>88</v>
      </c>
      <c r="C83" s="49">
        <v>2520000</v>
      </c>
      <c r="D83" s="49">
        <v>2607000</v>
      </c>
      <c r="E83" s="49">
        <v>128386494</v>
      </c>
      <c r="F83" s="49">
        <f t="shared" si="22"/>
        <v>0.144338813810161</v>
      </c>
      <c r="G83" s="49">
        <f t="shared" si="23"/>
        <v>0.144338813810161</v>
      </c>
      <c r="H83" s="48">
        <v>251000</v>
      </c>
      <c r="I83" s="48">
        <v>257000</v>
      </c>
      <c r="J83" s="51">
        <v>125108377</v>
      </c>
      <c r="K83" s="48">
        <f t="shared" si="24"/>
        <v>1.6720540729881499</v>
      </c>
      <c r="L83" s="48">
        <f t="shared" si="25"/>
        <v>1.6720540729881499</v>
      </c>
      <c r="M83" s="49">
        <v>215000</v>
      </c>
      <c r="N83" s="49">
        <v>218700</v>
      </c>
      <c r="O83" s="49">
        <v>15956260</v>
      </c>
      <c r="P83" s="49">
        <f t="shared" si="26"/>
        <v>35.630307615565798</v>
      </c>
      <c r="Q83" s="49">
        <f t="shared" si="27"/>
        <v>35.630307615565798</v>
      </c>
      <c r="R83" s="48">
        <v>0</v>
      </c>
      <c r="S83" s="48"/>
      <c r="T83" s="48">
        <v>0</v>
      </c>
      <c r="U83" s="48">
        <v>0</v>
      </c>
      <c r="V83" s="48"/>
      <c r="W83" s="49">
        <v>1</v>
      </c>
      <c r="X83" s="49">
        <v>1</v>
      </c>
      <c r="Y83" s="49">
        <v>100000000</v>
      </c>
      <c r="Z83" s="49">
        <f t="shared" si="28"/>
        <v>1260612.6533313701</v>
      </c>
      <c r="AA83" s="49">
        <f t="shared" si="29"/>
        <v>1260612.6533313701</v>
      </c>
      <c r="AB83" s="82">
        <f t="shared" si="18"/>
        <v>0</v>
      </c>
      <c r="AC83" s="82">
        <f t="shared" si="19"/>
        <v>315153163332844.37</v>
      </c>
      <c r="AD83" s="81">
        <f t="shared" si="17"/>
        <v>352470028197301</v>
      </c>
      <c r="AE83" s="80">
        <f t="shared" si="20"/>
        <v>1118.4086634886319</v>
      </c>
      <c r="AF83" s="52">
        <f t="shared" si="30"/>
        <v>1.4304743578397927E-2</v>
      </c>
      <c r="AG83" s="48">
        <f t="shared" si="21"/>
        <v>3.4523809523809526E-2</v>
      </c>
      <c r="AH83" s="48">
        <f t="shared" si="31"/>
        <v>2.3904382470119521E-2</v>
      </c>
      <c r="AI83" s="48">
        <f t="shared" si="32"/>
        <v>1.7209302325581394E-2</v>
      </c>
      <c r="AJ83" s="48">
        <f t="shared" si="33"/>
        <v>0</v>
      </c>
    </row>
    <row r="84" spans="1:36" x14ac:dyDescent="0.3">
      <c r="A84" s="48">
        <v>20180427</v>
      </c>
      <c r="B84" s="48" t="s">
        <v>88</v>
      </c>
      <c r="C84" s="49">
        <v>2607000</v>
      </c>
      <c r="D84" s="49">
        <v>2650000</v>
      </c>
      <c r="E84" s="49">
        <v>128386494</v>
      </c>
      <c r="F84" s="49">
        <f t="shared" si="22"/>
        <v>0.144338813810161</v>
      </c>
      <c r="G84" s="49">
        <f t="shared" si="23"/>
        <v>0.144338813810161</v>
      </c>
      <c r="H84" s="48">
        <v>257000</v>
      </c>
      <c r="I84" s="48">
        <v>276500</v>
      </c>
      <c r="J84" s="51">
        <v>125108377</v>
      </c>
      <c r="K84" s="48">
        <f t="shared" si="24"/>
        <v>1.6720540729881499</v>
      </c>
      <c r="L84" s="48">
        <f t="shared" si="25"/>
        <v>1.6720540729881499</v>
      </c>
      <c r="M84" s="49">
        <v>218700</v>
      </c>
      <c r="N84" s="49">
        <v>223000</v>
      </c>
      <c r="O84" s="49">
        <v>15956260</v>
      </c>
      <c r="P84" s="49">
        <f t="shared" si="26"/>
        <v>35.630307615565798</v>
      </c>
      <c r="Q84" s="49">
        <f t="shared" si="27"/>
        <v>35.630307615565798</v>
      </c>
      <c r="R84" s="48">
        <v>0</v>
      </c>
      <c r="S84" s="48"/>
      <c r="T84" s="48">
        <v>0</v>
      </c>
      <c r="U84" s="48">
        <v>0</v>
      </c>
      <c r="V84" s="48"/>
      <c r="W84" s="49">
        <v>1</v>
      </c>
      <c r="X84" s="49">
        <v>1</v>
      </c>
      <c r="Y84" s="49">
        <v>100000000</v>
      </c>
      <c r="Z84" s="49">
        <f t="shared" si="28"/>
        <v>1260612.6533313701</v>
      </c>
      <c r="AA84" s="49">
        <f t="shared" si="29"/>
        <v>1260612.6533313701</v>
      </c>
      <c r="AB84" s="82">
        <f t="shared" si="18"/>
        <v>0</v>
      </c>
      <c r="AC84" s="82">
        <f t="shared" si="19"/>
        <v>315153163332844.37</v>
      </c>
      <c r="AD84" s="81">
        <f t="shared" si="17"/>
        <v>359790697015514.69</v>
      </c>
      <c r="AE84" s="80">
        <f t="shared" si="20"/>
        <v>1141.6375872944261</v>
      </c>
      <c r="AF84" s="52">
        <f t="shared" si="30"/>
        <v>2.0769620769331917E-2</v>
      </c>
      <c r="AG84" s="48">
        <f t="shared" si="21"/>
        <v>1.6494054468738015E-2</v>
      </c>
      <c r="AH84" s="48">
        <f t="shared" si="31"/>
        <v>7.5875486381322951E-2</v>
      </c>
      <c r="AI84" s="48">
        <f t="shared" si="32"/>
        <v>1.9661636945587563E-2</v>
      </c>
      <c r="AJ84" s="48">
        <f t="shared" si="33"/>
        <v>0</v>
      </c>
    </row>
    <row r="85" spans="1:36" x14ac:dyDescent="0.3">
      <c r="A85" s="48">
        <v>20180430</v>
      </c>
      <c r="B85" s="48" t="s">
        <v>88</v>
      </c>
      <c r="C85" s="49">
        <v>2650000</v>
      </c>
      <c r="D85" s="49">
        <v>2650000</v>
      </c>
      <c r="E85" s="49">
        <v>128386494</v>
      </c>
      <c r="F85" s="49">
        <f t="shared" si="22"/>
        <v>0.144338813810161</v>
      </c>
      <c r="G85" s="49">
        <f t="shared" si="23"/>
        <v>0.144338813810161</v>
      </c>
      <c r="H85" s="48">
        <v>276500</v>
      </c>
      <c r="I85" s="48">
        <v>271000</v>
      </c>
      <c r="J85" s="51">
        <v>125108377</v>
      </c>
      <c r="K85" s="48">
        <f t="shared" si="24"/>
        <v>1.6720540729881499</v>
      </c>
      <c r="L85" s="48">
        <f t="shared" si="25"/>
        <v>1.6720540729881499</v>
      </c>
      <c r="M85" s="49">
        <v>223000</v>
      </c>
      <c r="N85" s="49">
        <v>216500</v>
      </c>
      <c r="O85" s="49">
        <v>15956260</v>
      </c>
      <c r="P85" s="49">
        <f t="shared" si="26"/>
        <v>35.630307615565798</v>
      </c>
      <c r="Q85" s="49">
        <f t="shared" si="27"/>
        <v>35.630307615565798</v>
      </c>
      <c r="R85" s="48">
        <v>0</v>
      </c>
      <c r="S85" s="48"/>
      <c r="T85" s="48">
        <v>0</v>
      </c>
      <c r="U85" s="48">
        <v>0</v>
      </c>
      <c r="V85" s="48"/>
      <c r="W85" s="49">
        <v>1</v>
      </c>
      <c r="X85" s="49">
        <v>1</v>
      </c>
      <c r="Y85" s="49">
        <v>100000000</v>
      </c>
      <c r="Z85" s="49">
        <f t="shared" si="28"/>
        <v>1260612.6533313701</v>
      </c>
      <c r="AA85" s="49">
        <f t="shared" si="29"/>
        <v>1260612.6533313701</v>
      </c>
      <c r="AB85" s="82">
        <f t="shared" si="18"/>
        <v>0</v>
      </c>
      <c r="AC85" s="82">
        <f t="shared" si="19"/>
        <v>315153163332844.37</v>
      </c>
      <c r="AD85" s="81">
        <f t="shared" si="17"/>
        <v>354944741233951.19</v>
      </c>
      <c r="AE85" s="80">
        <f t="shared" si="20"/>
        <v>1126.2610772498624</v>
      </c>
      <c r="AF85" s="52">
        <f t="shared" si="30"/>
        <v>-1.3468819015502623E-2</v>
      </c>
      <c r="AG85" s="48">
        <f t="shared" si="21"/>
        <v>0</v>
      </c>
      <c r="AH85" s="48">
        <f t="shared" si="31"/>
        <v>-1.9891500904159132E-2</v>
      </c>
      <c r="AI85" s="48">
        <f t="shared" si="32"/>
        <v>-2.914798206278027E-2</v>
      </c>
      <c r="AJ85" s="48">
        <f t="shared" si="33"/>
        <v>0</v>
      </c>
    </row>
    <row r="86" spans="1:36" x14ac:dyDescent="0.3">
      <c r="A86" s="48">
        <v>20180502</v>
      </c>
      <c r="B86" s="48" t="s">
        <v>88</v>
      </c>
      <c r="C86" s="49">
        <v>2650000</v>
      </c>
      <c r="D86" s="49">
        <v>2650000</v>
      </c>
      <c r="E86" s="49">
        <v>128386494</v>
      </c>
      <c r="F86" s="49">
        <f t="shared" si="22"/>
        <v>0.144338813810161</v>
      </c>
      <c r="G86" s="49">
        <f t="shared" si="23"/>
        <v>0.144338813810161</v>
      </c>
      <c r="H86" s="48">
        <v>271000</v>
      </c>
      <c r="I86" s="48">
        <v>259000</v>
      </c>
      <c r="J86" s="51">
        <v>125108377</v>
      </c>
      <c r="K86" s="48">
        <f t="shared" si="24"/>
        <v>1.6720540729881499</v>
      </c>
      <c r="L86" s="48">
        <f t="shared" si="25"/>
        <v>1.6720540729881499</v>
      </c>
      <c r="M86" s="49">
        <v>216500</v>
      </c>
      <c r="N86" s="49">
        <v>214700</v>
      </c>
      <c r="O86" s="49">
        <v>15956260</v>
      </c>
      <c r="P86" s="49">
        <f t="shared" si="26"/>
        <v>35.630307615565798</v>
      </c>
      <c r="Q86" s="49">
        <f t="shared" si="27"/>
        <v>35.630307615565798</v>
      </c>
      <c r="R86" s="48">
        <v>0</v>
      </c>
      <c r="S86" s="48"/>
      <c r="T86" s="48">
        <v>0</v>
      </c>
      <c r="U86" s="48">
        <v>0</v>
      </c>
      <c r="V86" s="48"/>
      <c r="W86" s="49">
        <v>1</v>
      </c>
      <c r="X86" s="49">
        <v>1</v>
      </c>
      <c r="Y86" s="49">
        <v>100000000</v>
      </c>
      <c r="Z86" s="49">
        <f t="shared" si="28"/>
        <v>1260612.6533313701</v>
      </c>
      <c r="AA86" s="49">
        <f t="shared" si="29"/>
        <v>1260612.6533313701</v>
      </c>
      <c r="AB86" s="82">
        <f t="shared" si="18"/>
        <v>0</v>
      </c>
      <c r="AC86" s="82">
        <f t="shared" si="19"/>
        <v>315153163332844.37</v>
      </c>
      <c r="AD86" s="81">
        <f t="shared" si="17"/>
        <v>351411137964068.62</v>
      </c>
      <c r="AE86" s="80">
        <f t="shared" si="20"/>
        <v>1115.0487408972344</v>
      </c>
      <c r="AF86" s="52">
        <f t="shared" si="30"/>
        <v>-9.9553616644611261E-3</v>
      </c>
      <c r="AG86" s="48">
        <f t="shared" si="21"/>
        <v>0</v>
      </c>
      <c r="AH86" s="48">
        <f t="shared" si="31"/>
        <v>-4.4280442804428041E-2</v>
      </c>
      <c r="AI86" s="48">
        <f t="shared" si="32"/>
        <v>-8.3140877598152432E-3</v>
      </c>
      <c r="AJ86" s="48">
        <f t="shared" si="33"/>
        <v>0</v>
      </c>
    </row>
    <row r="87" spans="1:36" x14ac:dyDescent="0.3">
      <c r="A87" s="48">
        <v>20180503</v>
      </c>
      <c r="B87" s="48" t="s">
        <v>88</v>
      </c>
      <c r="C87" s="49">
        <v>2650000</v>
      </c>
      <c r="D87" s="49">
        <v>2650000</v>
      </c>
      <c r="E87" s="49">
        <v>128386494</v>
      </c>
      <c r="F87" s="49">
        <f t="shared" si="22"/>
        <v>0.144338813810161</v>
      </c>
      <c r="G87" s="49">
        <f t="shared" si="23"/>
        <v>0.144338813810161</v>
      </c>
      <c r="H87" s="48">
        <v>259000</v>
      </c>
      <c r="I87" s="48">
        <v>262000</v>
      </c>
      <c r="J87" s="51">
        <v>125108377</v>
      </c>
      <c r="K87" s="48">
        <f t="shared" si="24"/>
        <v>1.6720540729881499</v>
      </c>
      <c r="L87" s="48">
        <f t="shared" si="25"/>
        <v>1.6720540729881499</v>
      </c>
      <c r="M87" s="49">
        <v>214700</v>
      </c>
      <c r="N87" s="49">
        <v>207700</v>
      </c>
      <c r="O87" s="49">
        <v>15956260</v>
      </c>
      <c r="P87" s="49">
        <f t="shared" si="26"/>
        <v>35.630307615565798</v>
      </c>
      <c r="Q87" s="49">
        <f t="shared" si="27"/>
        <v>35.630307615565798</v>
      </c>
      <c r="R87" s="48">
        <v>0</v>
      </c>
      <c r="S87" s="48"/>
      <c r="T87" s="48">
        <v>0</v>
      </c>
      <c r="U87" s="48">
        <v>0</v>
      </c>
      <c r="V87" s="48"/>
      <c r="W87" s="49">
        <v>1</v>
      </c>
      <c r="X87" s="49">
        <v>1</v>
      </c>
      <c r="Y87" s="49">
        <v>100000000</v>
      </c>
      <c r="Z87" s="49">
        <f t="shared" si="28"/>
        <v>1260612.6533313701</v>
      </c>
      <c r="AA87" s="49">
        <f t="shared" si="29"/>
        <v>1260612.6533313701</v>
      </c>
      <c r="AB87" s="82">
        <f t="shared" si="18"/>
        <v>0</v>
      </c>
      <c r="AC87" s="82">
        <f t="shared" si="19"/>
        <v>315153163332844.37</v>
      </c>
      <c r="AD87" s="81">
        <f t="shared" si="17"/>
        <v>348059016712694.37</v>
      </c>
      <c r="AE87" s="80">
        <f t="shared" si="20"/>
        <v>1104.412257937887</v>
      </c>
      <c r="AF87" s="52">
        <f t="shared" si="30"/>
        <v>-9.5390296129913201E-3</v>
      </c>
      <c r="AG87" s="48">
        <f t="shared" si="21"/>
        <v>0</v>
      </c>
      <c r="AH87" s="48">
        <f t="shared" si="31"/>
        <v>1.1583011583011582E-2</v>
      </c>
      <c r="AI87" s="48">
        <f t="shared" si="32"/>
        <v>-3.2603632976245925E-2</v>
      </c>
      <c r="AJ87" s="48">
        <f t="shared" si="33"/>
        <v>0</v>
      </c>
    </row>
    <row r="88" spans="1:36" x14ac:dyDescent="0.3">
      <c r="A88" s="48">
        <v>20180504</v>
      </c>
      <c r="B88" s="48" t="s">
        <v>88</v>
      </c>
      <c r="C88" s="49">
        <v>53000</v>
      </c>
      <c r="D88" s="49">
        <v>51900</v>
      </c>
      <c r="E88" s="49">
        <v>6419324700</v>
      </c>
      <c r="F88" s="49">
        <f t="shared" si="22"/>
        <v>0.144338813810161</v>
      </c>
      <c r="G88" s="49">
        <f t="shared" si="23"/>
        <v>0.144338813810161</v>
      </c>
      <c r="H88" s="48">
        <v>262000</v>
      </c>
      <c r="I88" s="48">
        <v>250000</v>
      </c>
      <c r="J88" s="51">
        <v>125108377</v>
      </c>
      <c r="K88" s="48">
        <f t="shared" si="24"/>
        <v>1.6720540729881499</v>
      </c>
      <c r="L88" s="48">
        <f t="shared" si="25"/>
        <v>1.6720540729881499</v>
      </c>
      <c r="M88" s="49">
        <v>207700</v>
      </c>
      <c r="N88" s="49">
        <v>200200</v>
      </c>
      <c r="O88" s="49">
        <v>15956260</v>
      </c>
      <c r="P88" s="49">
        <f t="shared" si="26"/>
        <v>35.630307615565798</v>
      </c>
      <c r="Q88" s="49">
        <f t="shared" si="27"/>
        <v>35.630307615565798</v>
      </c>
      <c r="R88" s="48">
        <v>0</v>
      </c>
      <c r="S88" s="48"/>
      <c r="T88" s="48">
        <v>0</v>
      </c>
      <c r="U88" s="48">
        <v>0</v>
      </c>
      <c r="V88" s="48"/>
      <c r="W88" s="49">
        <v>1</v>
      </c>
      <c r="X88" s="49">
        <v>1</v>
      </c>
      <c r="Y88" s="49">
        <v>100000000</v>
      </c>
      <c r="Z88" s="49">
        <f t="shared" si="28"/>
        <v>1260612.6533313701</v>
      </c>
      <c r="AA88" s="49">
        <f t="shared" si="29"/>
        <v>1260612.6533313701</v>
      </c>
      <c r="AB88" s="82">
        <f t="shared" si="18"/>
        <v>0</v>
      </c>
      <c r="AC88" s="82">
        <f t="shared" si="19"/>
        <v>315153163332844.37</v>
      </c>
      <c r="AD88" s="81">
        <f t="shared" si="17"/>
        <v>340265599181380</v>
      </c>
      <c r="AE88" s="80">
        <f t="shared" si="20"/>
        <v>1079.6832739451627</v>
      </c>
      <c r="AF88" s="52">
        <f t="shared" si="30"/>
        <v>-2.2391080699246575E-2</v>
      </c>
      <c r="AG88" s="48">
        <f t="shared" si="21"/>
        <v>-2.0754716981132074E-2</v>
      </c>
      <c r="AH88" s="48">
        <f t="shared" si="31"/>
        <v>-4.5801526717557252E-2</v>
      </c>
      <c r="AI88" s="48">
        <f t="shared" si="32"/>
        <v>-3.6109773712084736E-2</v>
      </c>
      <c r="AJ88" s="48">
        <f t="shared" si="33"/>
        <v>0</v>
      </c>
    </row>
    <row r="89" spans="1:36" x14ac:dyDescent="0.3">
      <c r="A89" s="48">
        <v>20180508</v>
      </c>
      <c r="B89" s="48" t="s">
        <v>88</v>
      </c>
      <c r="C89" s="49">
        <v>51900</v>
      </c>
      <c r="D89" s="49">
        <v>52600</v>
      </c>
      <c r="E89" s="49">
        <v>6419324700</v>
      </c>
      <c r="F89" s="49">
        <f t="shared" si="22"/>
        <v>0.144338813810161</v>
      </c>
      <c r="G89" s="49">
        <f t="shared" si="23"/>
        <v>0.144338813810161</v>
      </c>
      <c r="H89" s="48">
        <v>250000</v>
      </c>
      <c r="I89" s="48">
        <v>236000</v>
      </c>
      <c r="J89" s="51">
        <v>125108377</v>
      </c>
      <c r="K89" s="48">
        <f t="shared" si="24"/>
        <v>1.6720540729881499</v>
      </c>
      <c r="L89" s="48">
        <f t="shared" si="25"/>
        <v>1.6720540729881499</v>
      </c>
      <c r="M89" s="49">
        <v>200200</v>
      </c>
      <c r="N89" s="49">
        <v>194500</v>
      </c>
      <c r="O89" s="49">
        <v>15956260</v>
      </c>
      <c r="P89" s="49">
        <f t="shared" si="26"/>
        <v>35.630307615565798</v>
      </c>
      <c r="Q89" s="49">
        <f t="shared" si="27"/>
        <v>35.630307615565798</v>
      </c>
      <c r="R89" s="48">
        <v>0</v>
      </c>
      <c r="S89" s="48"/>
      <c r="T89" s="48">
        <v>0</v>
      </c>
      <c r="U89" s="48">
        <v>0</v>
      </c>
      <c r="V89" s="48"/>
      <c r="W89" s="49">
        <v>1</v>
      </c>
      <c r="X89" s="49">
        <v>1</v>
      </c>
      <c r="Y89" s="49">
        <v>100000000</v>
      </c>
      <c r="Z89" s="49">
        <f t="shared" si="28"/>
        <v>1260612.6533313701</v>
      </c>
      <c r="AA89" s="49">
        <f t="shared" si="29"/>
        <v>1260612.6533313701</v>
      </c>
      <c r="AB89" s="82">
        <f t="shared" si="18"/>
        <v>0</v>
      </c>
      <c r="AC89" s="82">
        <f t="shared" si="19"/>
        <v>315153163332844.37</v>
      </c>
      <c r="AD89" s="81">
        <f t="shared" si="17"/>
        <v>334744957204147.69</v>
      </c>
      <c r="AE89" s="80">
        <f t="shared" si="20"/>
        <v>1062.1659438988772</v>
      </c>
      <c r="AF89" s="52">
        <f t="shared" si="30"/>
        <v>-1.6224508121050286E-2</v>
      </c>
      <c r="AG89" s="48">
        <f t="shared" si="21"/>
        <v>1.348747591522158E-2</v>
      </c>
      <c r="AH89" s="48">
        <f t="shared" si="31"/>
        <v>-5.6000000000000001E-2</v>
      </c>
      <c r="AI89" s="48">
        <f t="shared" si="32"/>
        <v>-2.8471528471528472E-2</v>
      </c>
      <c r="AJ89" s="48">
        <f t="shared" si="33"/>
        <v>0</v>
      </c>
    </row>
    <row r="90" spans="1:36" x14ac:dyDescent="0.3">
      <c r="A90" s="48">
        <v>20180509</v>
      </c>
      <c r="B90" s="48" t="s">
        <v>88</v>
      </c>
      <c r="C90" s="49">
        <v>52600</v>
      </c>
      <c r="D90" s="49">
        <v>50900</v>
      </c>
      <c r="E90" s="49">
        <v>6419324700</v>
      </c>
      <c r="F90" s="49">
        <f t="shared" si="22"/>
        <v>0.144338813810161</v>
      </c>
      <c r="G90" s="49">
        <f t="shared" si="23"/>
        <v>0.144338813810161</v>
      </c>
      <c r="H90" s="48">
        <v>236000</v>
      </c>
      <c r="I90" s="48">
        <v>259000</v>
      </c>
      <c r="J90" s="51">
        <v>125108377</v>
      </c>
      <c r="K90" s="48">
        <f t="shared" si="24"/>
        <v>1.6720540729881499</v>
      </c>
      <c r="L90" s="48">
        <f t="shared" si="25"/>
        <v>1.6720540729881499</v>
      </c>
      <c r="M90" s="49">
        <v>194500</v>
      </c>
      <c r="N90" s="49">
        <v>201900</v>
      </c>
      <c r="O90" s="49">
        <v>15956260</v>
      </c>
      <c r="P90" s="49">
        <f t="shared" si="26"/>
        <v>35.630307615565798</v>
      </c>
      <c r="Q90" s="49">
        <f t="shared" si="27"/>
        <v>35.630307615565798</v>
      </c>
      <c r="R90" s="48">
        <v>0</v>
      </c>
      <c r="S90" s="48"/>
      <c r="T90" s="48">
        <v>0</v>
      </c>
      <c r="U90" s="48">
        <v>0</v>
      </c>
      <c r="V90" s="48"/>
      <c r="W90" s="49">
        <v>1</v>
      </c>
      <c r="X90" s="49">
        <v>1</v>
      </c>
      <c r="Y90" s="49">
        <v>100000000</v>
      </c>
      <c r="Z90" s="49">
        <f t="shared" si="28"/>
        <v>1260612.6533313701</v>
      </c>
      <c r="AA90" s="49">
        <f t="shared" si="29"/>
        <v>1260612.6533313701</v>
      </c>
      <c r="AB90" s="82">
        <f t="shared" si="18"/>
        <v>0</v>
      </c>
      <c r="AC90" s="82">
        <f t="shared" si="19"/>
        <v>315153163332844.37</v>
      </c>
      <c r="AD90" s="81">
        <f t="shared" si="17"/>
        <v>342188228179399.56</v>
      </c>
      <c r="AE90" s="80">
        <f t="shared" si="20"/>
        <v>1085.7838917453687</v>
      </c>
      <c r="AF90" s="52">
        <f t="shared" si="30"/>
        <v>2.2235647812052228E-2</v>
      </c>
      <c r="AG90" s="48">
        <f t="shared" si="21"/>
        <v>-3.2319391634980987E-2</v>
      </c>
      <c r="AH90" s="48">
        <f t="shared" si="31"/>
        <v>9.7457627118644072E-2</v>
      </c>
      <c r="AI90" s="48">
        <f t="shared" si="32"/>
        <v>3.8046272493573265E-2</v>
      </c>
      <c r="AJ90" s="48">
        <f t="shared" si="33"/>
        <v>0</v>
      </c>
    </row>
    <row r="91" spans="1:36" x14ac:dyDescent="0.3">
      <c r="A91" s="48">
        <v>20180510</v>
      </c>
      <c r="B91" s="48" t="s">
        <v>88</v>
      </c>
      <c r="C91" s="49">
        <v>50900</v>
      </c>
      <c r="D91" s="49">
        <v>51600</v>
      </c>
      <c r="E91" s="49">
        <v>6419324700</v>
      </c>
      <c r="F91" s="49">
        <f t="shared" si="22"/>
        <v>0.144338813810161</v>
      </c>
      <c r="G91" s="49">
        <f t="shared" si="23"/>
        <v>0.144338813810161</v>
      </c>
      <c r="H91" s="48">
        <v>259000</v>
      </c>
      <c r="I91" s="48">
        <v>259000</v>
      </c>
      <c r="J91" s="51">
        <v>125108377</v>
      </c>
      <c r="K91" s="48">
        <f t="shared" si="24"/>
        <v>1.6720540729881499</v>
      </c>
      <c r="L91" s="48">
        <f t="shared" si="25"/>
        <v>1.6720540729881499</v>
      </c>
      <c r="M91" s="49">
        <v>201900</v>
      </c>
      <c r="N91" s="49">
        <v>198600</v>
      </c>
      <c r="O91" s="49">
        <v>15956260</v>
      </c>
      <c r="P91" s="49">
        <f t="shared" si="26"/>
        <v>35.630307615565798</v>
      </c>
      <c r="Q91" s="49">
        <f t="shared" si="27"/>
        <v>35.630307615565798</v>
      </c>
      <c r="R91" s="48">
        <v>0</v>
      </c>
      <c r="S91" s="48"/>
      <c r="T91" s="48">
        <v>0</v>
      </c>
      <c r="U91" s="48">
        <v>0</v>
      </c>
      <c r="V91" s="48"/>
      <c r="W91" s="49">
        <v>1</v>
      </c>
      <c r="X91" s="49">
        <v>1</v>
      </c>
      <c r="Y91" s="49">
        <v>100000000</v>
      </c>
      <c r="Z91" s="49">
        <f t="shared" si="28"/>
        <v>1260612.6533313701</v>
      </c>
      <c r="AA91" s="49">
        <f t="shared" si="29"/>
        <v>1260612.6533313701</v>
      </c>
      <c r="AB91" s="82">
        <f t="shared" si="18"/>
        <v>0</v>
      </c>
      <c r="AC91" s="82">
        <f t="shared" si="19"/>
        <v>315153163332844.37</v>
      </c>
      <c r="AD91" s="81">
        <f t="shared" si="17"/>
        <v>340960681286021.69</v>
      </c>
      <c r="AE91" s="80">
        <f t="shared" si="20"/>
        <v>1081.8888113965118</v>
      </c>
      <c r="AF91" s="52">
        <f t="shared" si="30"/>
        <v>-3.5873440179663178E-3</v>
      </c>
      <c r="AG91" s="48">
        <f t="shared" si="21"/>
        <v>1.37524557956778E-2</v>
      </c>
      <c r="AH91" s="48">
        <f t="shared" si="31"/>
        <v>0</v>
      </c>
      <c r="AI91" s="48">
        <f t="shared" si="32"/>
        <v>-1.6344725111441308E-2</v>
      </c>
      <c r="AJ91" s="48">
        <f t="shared" si="33"/>
        <v>0</v>
      </c>
    </row>
    <row r="92" spans="1:36" x14ac:dyDescent="0.3">
      <c r="A92" s="48">
        <v>20180511</v>
      </c>
      <c r="B92" s="48" t="s">
        <v>88</v>
      </c>
      <c r="C92" s="49">
        <v>51600</v>
      </c>
      <c r="D92" s="49">
        <v>51300</v>
      </c>
      <c r="E92" s="49">
        <v>6419324700</v>
      </c>
      <c r="F92" s="49">
        <f t="shared" si="22"/>
        <v>0.144338813810161</v>
      </c>
      <c r="G92" s="49">
        <f t="shared" si="23"/>
        <v>0.144338813810161</v>
      </c>
      <c r="H92" s="48">
        <v>259000</v>
      </c>
      <c r="I92" s="48">
        <v>260000</v>
      </c>
      <c r="J92" s="51">
        <v>125108377</v>
      </c>
      <c r="K92" s="48">
        <f t="shared" si="24"/>
        <v>1.6720540729881499</v>
      </c>
      <c r="L92" s="48">
        <f t="shared" si="25"/>
        <v>1.6720540729881499</v>
      </c>
      <c r="M92" s="49">
        <v>198600</v>
      </c>
      <c r="N92" s="49">
        <v>198700</v>
      </c>
      <c r="O92" s="49">
        <v>15956260</v>
      </c>
      <c r="P92" s="49">
        <f t="shared" si="26"/>
        <v>35.630307615565798</v>
      </c>
      <c r="Q92" s="49">
        <f t="shared" si="27"/>
        <v>35.630307615565798</v>
      </c>
      <c r="R92" s="48">
        <v>0</v>
      </c>
      <c r="S92" s="48"/>
      <c r="T92" s="48">
        <v>0</v>
      </c>
      <c r="U92" s="48">
        <v>0</v>
      </c>
      <c r="V92" s="48"/>
      <c r="W92" s="49">
        <v>1</v>
      </c>
      <c r="X92" s="49">
        <v>1</v>
      </c>
      <c r="Y92" s="49">
        <v>100000000</v>
      </c>
      <c r="Z92" s="49">
        <f t="shared" si="28"/>
        <v>1260612.6533313701</v>
      </c>
      <c r="AA92" s="49">
        <f t="shared" si="29"/>
        <v>1260612.6533313701</v>
      </c>
      <c r="AB92" s="82">
        <f t="shared" si="18"/>
        <v>0</v>
      </c>
      <c r="AC92" s="82">
        <f t="shared" si="19"/>
        <v>315153163332844.37</v>
      </c>
      <c r="AD92" s="81">
        <f t="shared" si="17"/>
        <v>340948754588770.81</v>
      </c>
      <c r="AE92" s="80">
        <f t="shared" si="20"/>
        <v>1081.8509672666139</v>
      </c>
      <c r="AF92" s="52">
        <f t="shared" si="30"/>
        <v>-3.497968506486276E-5</v>
      </c>
      <c r="AG92" s="48">
        <f t="shared" si="21"/>
        <v>-5.8139534883720929E-3</v>
      </c>
      <c r="AH92" s="48">
        <f t="shared" si="31"/>
        <v>3.8610038610038611E-3</v>
      </c>
      <c r="AI92" s="48">
        <f t="shared" si="32"/>
        <v>5.0352467270896274E-4</v>
      </c>
      <c r="AJ92" s="48">
        <f t="shared" si="33"/>
        <v>0</v>
      </c>
    </row>
    <row r="93" spans="1:36" x14ac:dyDescent="0.3">
      <c r="A93" s="48">
        <v>20180514</v>
      </c>
      <c r="B93" s="48" t="s">
        <v>88</v>
      </c>
      <c r="C93" s="49">
        <v>51300</v>
      </c>
      <c r="D93" s="49">
        <v>50100</v>
      </c>
      <c r="E93" s="49">
        <v>6419324700</v>
      </c>
      <c r="F93" s="49">
        <f t="shared" si="22"/>
        <v>0.144338813810161</v>
      </c>
      <c r="G93" s="49">
        <f t="shared" si="23"/>
        <v>0.144338813810161</v>
      </c>
      <c r="H93" s="48">
        <v>260000</v>
      </c>
      <c r="I93" s="48">
        <v>255000</v>
      </c>
      <c r="J93" s="51">
        <v>125108377</v>
      </c>
      <c r="K93" s="48">
        <f t="shared" si="24"/>
        <v>1.6720540729881499</v>
      </c>
      <c r="L93" s="48">
        <f t="shared" si="25"/>
        <v>1.6720540729881499</v>
      </c>
      <c r="M93" s="49">
        <v>198700</v>
      </c>
      <c r="N93" s="49">
        <v>187700</v>
      </c>
      <c r="O93" s="49">
        <v>15956260</v>
      </c>
      <c r="P93" s="49">
        <f t="shared" si="26"/>
        <v>35.630307615565798</v>
      </c>
      <c r="Q93" s="49">
        <f t="shared" si="27"/>
        <v>35.630307615565798</v>
      </c>
      <c r="R93" s="48">
        <v>0</v>
      </c>
      <c r="S93" s="48"/>
      <c r="T93" s="48">
        <v>0</v>
      </c>
      <c r="U93" s="48">
        <v>0</v>
      </c>
      <c r="V93" s="48"/>
      <c r="W93" s="49">
        <v>1</v>
      </c>
      <c r="X93" s="49">
        <v>1</v>
      </c>
      <c r="Y93" s="49">
        <v>100000000</v>
      </c>
      <c r="Z93" s="49">
        <f t="shared" si="28"/>
        <v>1260612.6533313701</v>
      </c>
      <c r="AA93" s="49">
        <f t="shared" si="29"/>
        <v>1260612.6533313701</v>
      </c>
      <c r="AB93" s="82">
        <f t="shared" si="18"/>
        <v>0</v>
      </c>
      <c r="AC93" s="82">
        <f t="shared" si="19"/>
        <v>315153163332844.37</v>
      </c>
      <c r="AD93" s="81">
        <f t="shared" si="17"/>
        <v>332537154502806.12</v>
      </c>
      <c r="AE93" s="80">
        <f t="shared" si="20"/>
        <v>1055.1604527339043</v>
      </c>
      <c r="AF93" s="52">
        <f t="shared" si="30"/>
        <v>-2.4671156508872364E-2</v>
      </c>
      <c r="AG93" s="48">
        <f t="shared" si="21"/>
        <v>-2.3391812865497075E-2</v>
      </c>
      <c r="AH93" s="48">
        <f t="shared" si="31"/>
        <v>-1.9230769230769232E-2</v>
      </c>
      <c r="AI93" s="48">
        <f t="shared" si="32"/>
        <v>-5.5359838953195774E-2</v>
      </c>
      <c r="AJ93" s="48">
        <f t="shared" si="33"/>
        <v>0</v>
      </c>
    </row>
    <row r="94" spans="1:36" s="47" customFormat="1" x14ac:dyDescent="0.3">
      <c r="A94" s="48">
        <v>20180515</v>
      </c>
      <c r="B94" s="48" t="s">
        <v>88</v>
      </c>
      <c r="C94" s="49">
        <v>50100</v>
      </c>
      <c r="D94" s="49">
        <v>49200</v>
      </c>
      <c r="E94" s="49">
        <v>6419324700</v>
      </c>
      <c r="F94" s="49">
        <f t="shared" si="22"/>
        <v>0.144338813810161</v>
      </c>
      <c r="G94" s="49">
        <f t="shared" si="23"/>
        <v>0.15477434596074699</v>
      </c>
      <c r="H94" s="48">
        <v>255000</v>
      </c>
      <c r="I94" s="48">
        <v>268000</v>
      </c>
      <c r="J94" s="51">
        <v>125395903</v>
      </c>
      <c r="K94" s="48">
        <f t="shared" si="24"/>
        <v>1.6720540729881499</v>
      </c>
      <c r="L94" s="48">
        <f t="shared" si="25"/>
        <v>1.78883056366515</v>
      </c>
      <c r="M94" s="49">
        <v>187700</v>
      </c>
      <c r="N94" s="49">
        <v>196900</v>
      </c>
      <c r="O94" s="49">
        <v>15956260</v>
      </c>
      <c r="P94" s="49">
        <f t="shared" si="26"/>
        <v>35.630307615565798</v>
      </c>
      <c r="Q94" s="49">
        <f t="shared" si="27"/>
        <v>38.206338350767297</v>
      </c>
      <c r="R94" s="48">
        <v>0</v>
      </c>
      <c r="S94" s="48"/>
      <c r="T94" s="48">
        <v>0</v>
      </c>
      <c r="U94" s="48">
        <v>0</v>
      </c>
      <c r="V94" s="48"/>
      <c r="W94" s="49">
        <v>1</v>
      </c>
      <c r="X94" s="49">
        <v>1</v>
      </c>
      <c r="Y94" s="49">
        <v>100000000</v>
      </c>
      <c r="Z94" s="49">
        <f t="shared" si="28"/>
        <v>1260612.6533313701</v>
      </c>
      <c r="AA94" s="49">
        <f t="shared" si="29"/>
        <v>1351753.51507198</v>
      </c>
      <c r="AB94" s="82">
        <f t="shared" si="18"/>
        <v>1</v>
      </c>
      <c r="AC94" s="82">
        <f t="shared" si="19"/>
        <v>337938378767996.19</v>
      </c>
      <c r="AD94" s="81">
        <f t="shared" si="17"/>
        <v>364209675412255.62</v>
      </c>
      <c r="AE94" s="80">
        <f t="shared" si="20"/>
        <v>1077.7399025823445</v>
      </c>
      <c r="AF94" s="52">
        <f t="shared" si="30"/>
        <v>2.1399067591982963E-2</v>
      </c>
      <c r="AG94" s="48">
        <f t="shared" si="21"/>
        <v>-1.7964071856287425E-2</v>
      </c>
      <c r="AH94" s="48">
        <f t="shared" si="31"/>
        <v>5.0980392156862744E-2</v>
      </c>
      <c r="AI94" s="48">
        <f t="shared" si="32"/>
        <v>4.9014384656366546E-2</v>
      </c>
      <c r="AJ94" s="48">
        <f t="shared" si="33"/>
        <v>0</v>
      </c>
    </row>
    <row r="95" spans="1:36" x14ac:dyDescent="0.3">
      <c r="A95" s="48">
        <v>20180516</v>
      </c>
      <c r="B95" s="48" t="s">
        <v>88</v>
      </c>
      <c r="C95" s="49">
        <v>49200</v>
      </c>
      <c r="D95" s="49">
        <v>49850</v>
      </c>
      <c r="E95" s="49">
        <v>6419324700</v>
      </c>
      <c r="F95" s="49">
        <f t="shared" si="22"/>
        <v>0.15477434596074699</v>
      </c>
      <c r="G95" s="49">
        <f t="shared" si="23"/>
        <v>0.15477434596074699</v>
      </c>
      <c r="H95" s="48">
        <v>268000</v>
      </c>
      <c r="I95" s="48">
        <v>268500</v>
      </c>
      <c r="J95" s="51">
        <v>125395903</v>
      </c>
      <c r="K95" s="48">
        <f t="shared" si="24"/>
        <v>1.78883056366515</v>
      </c>
      <c r="L95" s="48">
        <f t="shared" si="25"/>
        <v>1.78883056366515</v>
      </c>
      <c r="M95" s="49">
        <v>196900</v>
      </c>
      <c r="N95" s="49">
        <v>205500</v>
      </c>
      <c r="O95" s="49">
        <v>15956260</v>
      </c>
      <c r="P95" s="49">
        <f t="shared" si="26"/>
        <v>38.206338350767297</v>
      </c>
      <c r="Q95" s="49">
        <f t="shared" si="27"/>
        <v>38.206338350767297</v>
      </c>
      <c r="R95" s="48">
        <v>0</v>
      </c>
      <c r="S95" s="48"/>
      <c r="T95" s="48">
        <v>0</v>
      </c>
      <c r="U95" s="48">
        <v>0</v>
      </c>
      <c r="V95" s="48"/>
      <c r="W95" s="49">
        <v>1</v>
      </c>
      <c r="X95" s="49">
        <v>1</v>
      </c>
      <c r="Y95" s="49">
        <v>100000000</v>
      </c>
      <c r="Z95" s="49">
        <f t="shared" si="28"/>
        <v>1351753.51507198</v>
      </c>
      <c r="AA95" s="49">
        <f t="shared" si="29"/>
        <v>1351753.51507198</v>
      </c>
      <c r="AB95" s="82">
        <f t="shared" si="18"/>
        <v>0</v>
      </c>
      <c r="AC95" s="82">
        <f t="shared" si="19"/>
        <v>337938378767996.19</v>
      </c>
      <c r="AD95" s="81">
        <f t="shared" si="17"/>
        <v>370210457140453.12</v>
      </c>
      <c r="AE95" s="80">
        <f t="shared" si="20"/>
        <v>1095.4969319853801</v>
      </c>
      <c r="AF95" s="52">
        <f t="shared" si="30"/>
        <v>1.6476173296069371E-2</v>
      </c>
      <c r="AG95" s="48">
        <f t="shared" si="21"/>
        <v>1.3211382113821139E-2</v>
      </c>
      <c r="AH95" s="48">
        <f t="shared" si="31"/>
        <v>1.8656716417910447E-3</v>
      </c>
      <c r="AI95" s="48">
        <f t="shared" si="32"/>
        <v>4.3676993397663788E-2</v>
      </c>
      <c r="AJ95" s="48">
        <f t="shared" si="33"/>
        <v>0</v>
      </c>
    </row>
    <row r="96" spans="1:36" x14ac:dyDescent="0.3">
      <c r="A96" s="48">
        <v>20180517</v>
      </c>
      <c r="B96" s="48" t="s">
        <v>88</v>
      </c>
      <c r="C96" s="49">
        <v>49850</v>
      </c>
      <c r="D96" s="49">
        <v>49400</v>
      </c>
      <c r="E96" s="49">
        <v>6419324700</v>
      </c>
      <c r="F96" s="49">
        <f t="shared" si="22"/>
        <v>0.15477434596074699</v>
      </c>
      <c r="G96" s="49">
        <f t="shared" si="23"/>
        <v>0.15477434596074699</v>
      </c>
      <c r="H96" s="48">
        <v>268500</v>
      </c>
      <c r="I96" s="48">
        <v>267500</v>
      </c>
      <c r="J96" s="51">
        <v>125395903</v>
      </c>
      <c r="K96" s="48">
        <f t="shared" si="24"/>
        <v>1.78883056366515</v>
      </c>
      <c r="L96" s="48">
        <f t="shared" si="25"/>
        <v>1.78883056366515</v>
      </c>
      <c r="M96" s="49">
        <v>205500</v>
      </c>
      <c r="N96" s="49">
        <v>213000</v>
      </c>
      <c r="O96" s="49">
        <v>15956260</v>
      </c>
      <c r="P96" s="49">
        <f t="shared" si="26"/>
        <v>38.206338350767297</v>
      </c>
      <c r="Q96" s="49">
        <f t="shared" si="27"/>
        <v>38.206338350767297</v>
      </c>
      <c r="R96" s="48">
        <v>0</v>
      </c>
      <c r="S96" s="48"/>
      <c r="T96" s="48">
        <v>0</v>
      </c>
      <c r="U96" s="48">
        <v>0</v>
      </c>
      <c r="V96" s="48"/>
      <c r="W96" s="49">
        <v>1</v>
      </c>
      <c r="X96" s="49">
        <v>1</v>
      </c>
      <c r="Y96" s="49">
        <v>100000000</v>
      </c>
      <c r="Z96" s="49">
        <f t="shared" si="28"/>
        <v>1351753.51507198</v>
      </c>
      <c r="AA96" s="49">
        <f t="shared" si="29"/>
        <v>1351753.51507198</v>
      </c>
      <c r="AB96" s="82">
        <f t="shared" si="18"/>
        <v>0</v>
      </c>
      <c r="AC96" s="82">
        <f t="shared" si="19"/>
        <v>337938378767996.19</v>
      </c>
      <c r="AD96" s="81">
        <f t="shared" si="17"/>
        <v>374111276077526</v>
      </c>
      <c r="AE96" s="80">
        <f t="shared" si="20"/>
        <v>1107.0399208323227</v>
      </c>
      <c r="AF96" s="52">
        <f t="shared" si="30"/>
        <v>1.0536760542106732E-2</v>
      </c>
      <c r="AG96" s="48">
        <f t="shared" si="21"/>
        <v>-9.0270812437311942E-3</v>
      </c>
      <c r="AH96" s="48">
        <f t="shared" si="31"/>
        <v>-3.7243947858472998E-3</v>
      </c>
      <c r="AI96" s="48">
        <f t="shared" si="32"/>
        <v>3.6496350364963501E-2</v>
      </c>
      <c r="AJ96" s="48">
        <f t="shared" si="33"/>
        <v>0</v>
      </c>
    </row>
    <row r="97" spans="1:36" x14ac:dyDescent="0.3">
      <c r="A97" s="48">
        <v>20180518</v>
      </c>
      <c r="B97" s="48" t="s">
        <v>88</v>
      </c>
      <c r="C97" s="49">
        <v>49400</v>
      </c>
      <c r="D97" s="49">
        <v>49500</v>
      </c>
      <c r="E97" s="49">
        <v>6419324700</v>
      </c>
      <c r="F97" s="49">
        <f t="shared" si="22"/>
        <v>0.15477434596074699</v>
      </c>
      <c r="G97" s="49">
        <f t="shared" si="23"/>
        <v>0.15477434596074699</v>
      </c>
      <c r="H97" s="48">
        <v>267500</v>
      </c>
      <c r="I97" s="48">
        <v>270000</v>
      </c>
      <c r="J97" s="51">
        <v>125395903</v>
      </c>
      <c r="K97" s="48">
        <f t="shared" si="24"/>
        <v>1.78883056366515</v>
      </c>
      <c r="L97" s="48">
        <f t="shared" si="25"/>
        <v>1.78883056366515</v>
      </c>
      <c r="M97" s="49">
        <v>213000</v>
      </c>
      <c r="N97" s="49">
        <v>220100</v>
      </c>
      <c r="O97" s="49">
        <v>15956260</v>
      </c>
      <c r="P97" s="49">
        <f t="shared" si="26"/>
        <v>38.206338350767297</v>
      </c>
      <c r="Q97" s="49">
        <f t="shared" si="27"/>
        <v>38.206338350767297</v>
      </c>
      <c r="R97" s="48">
        <v>0</v>
      </c>
      <c r="S97" s="48"/>
      <c r="T97" s="48">
        <v>0</v>
      </c>
      <c r="U97" s="48">
        <v>0</v>
      </c>
      <c r="V97" s="48"/>
      <c r="W97" s="49">
        <v>1</v>
      </c>
      <c r="X97" s="49">
        <v>1</v>
      </c>
      <c r="Y97" s="49">
        <v>100000000</v>
      </c>
      <c r="Z97" s="49">
        <f t="shared" si="28"/>
        <v>1351753.51507198</v>
      </c>
      <c r="AA97" s="49">
        <f t="shared" si="29"/>
        <v>1351753.51507198</v>
      </c>
      <c r="AB97" s="82">
        <f t="shared" si="18"/>
        <v>0</v>
      </c>
      <c r="AC97" s="82">
        <f t="shared" si="19"/>
        <v>337938378767996.19</v>
      </c>
      <c r="AD97" s="81">
        <f t="shared" si="17"/>
        <v>379099785720780.19</v>
      </c>
      <c r="AE97" s="80">
        <f t="shared" si="20"/>
        <v>1121.8015163085174</v>
      </c>
      <c r="AF97" s="52">
        <f t="shared" si="30"/>
        <v>1.3334293730885816E-2</v>
      </c>
      <c r="AG97" s="48">
        <f t="shared" si="21"/>
        <v>2.0242914979757085E-3</v>
      </c>
      <c r="AH97" s="48">
        <f t="shared" si="31"/>
        <v>9.3457943925233638E-3</v>
      </c>
      <c r="AI97" s="48">
        <f t="shared" si="32"/>
        <v>3.3333333333333333E-2</v>
      </c>
      <c r="AJ97" s="48">
        <f t="shared" si="33"/>
        <v>0</v>
      </c>
    </row>
    <row r="98" spans="1:36" x14ac:dyDescent="0.3">
      <c r="A98" s="48">
        <v>20180521</v>
      </c>
      <c r="B98" s="48" t="s">
        <v>88</v>
      </c>
      <c r="C98" s="49">
        <v>49500</v>
      </c>
      <c r="D98" s="49">
        <v>50000</v>
      </c>
      <c r="E98" s="49">
        <v>6419324700</v>
      </c>
      <c r="F98" s="49">
        <f t="shared" si="22"/>
        <v>0.15477434596074699</v>
      </c>
      <c r="G98" s="49">
        <f t="shared" si="23"/>
        <v>0.15477434596074699</v>
      </c>
      <c r="H98" s="48">
        <v>270000</v>
      </c>
      <c r="I98" s="48">
        <v>270000</v>
      </c>
      <c r="J98" s="51">
        <v>125395903</v>
      </c>
      <c r="K98" s="48">
        <f t="shared" si="24"/>
        <v>1.78883056366515</v>
      </c>
      <c r="L98" s="48">
        <f t="shared" si="25"/>
        <v>1.78883056366515</v>
      </c>
      <c r="M98" s="49">
        <v>220100</v>
      </c>
      <c r="N98" s="49">
        <v>224300</v>
      </c>
      <c r="O98" s="49">
        <v>15956260</v>
      </c>
      <c r="P98" s="49">
        <f t="shared" si="26"/>
        <v>38.206338350767297</v>
      </c>
      <c r="Q98" s="49">
        <f t="shared" si="27"/>
        <v>38.206338350767297</v>
      </c>
      <c r="R98" s="48">
        <v>0</v>
      </c>
      <c r="S98" s="48"/>
      <c r="T98" s="48">
        <v>0</v>
      </c>
      <c r="U98" s="48">
        <v>0</v>
      </c>
      <c r="V98" s="48"/>
      <c r="W98" s="49">
        <v>1</v>
      </c>
      <c r="X98" s="49">
        <v>1</v>
      </c>
      <c r="Y98" s="49">
        <v>100000000</v>
      </c>
      <c r="Z98" s="49">
        <f t="shared" si="28"/>
        <v>1351753.51507198</v>
      </c>
      <c r="AA98" s="49">
        <f t="shared" si="29"/>
        <v>1351753.51507198</v>
      </c>
      <c r="AB98" s="82">
        <f t="shared" si="18"/>
        <v>0</v>
      </c>
      <c r="AC98" s="82">
        <f t="shared" si="19"/>
        <v>337938378767996.19</v>
      </c>
      <c r="AD98" s="81">
        <f t="shared" si="17"/>
        <v>382157006238922.06</v>
      </c>
      <c r="AE98" s="80">
        <f t="shared" si="20"/>
        <v>1130.8481967396876</v>
      </c>
      <c r="AF98" s="52">
        <f t="shared" si="30"/>
        <v>8.0644216464779688E-3</v>
      </c>
      <c r="AG98" s="48">
        <f t="shared" si="21"/>
        <v>1.0101010101010102E-2</v>
      </c>
      <c r="AH98" s="48">
        <f t="shared" si="31"/>
        <v>0</v>
      </c>
      <c r="AI98" s="48">
        <f t="shared" si="32"/>
        <v>1.9082235347569285E-2</v>
      </c>
      <c r="AJ98" s="48">
        <f t="shared" si="33"/>
        <v>0</v>
      </c>
    </row>
    <row r="99" spans="1:36" x14ac:dyDescent="0.3">
      <c r="A99" s="48">
        <v>20180523</v>
      </c>
      <c r="B99" s="48" t="s">
        <v>88</v>
      </c>
      <c r="C99" s="49">
        <v>50000</v>
      </c>
      <c r="D99" s="49">
        <v>51800</v>
      </c>
      <c r="E99" s="49">
        <v>6419324700</v>
      </c>
      <c r="F99" s="49">
        <f t="shared" si="22"/>
        <v>0.15477434596074699</v>
      </c>
      <c r="G99" s="49">
        <f t="shared" si="23"/>
        <v>0.15477434596074699</v>
      </c>
      <c r="H99" s="48">
        <v>270000</v>
      </c>
      <c r="I99" s="48">
        <v>257500</v>
      </c>
      <c r="J99" s="51">
        <v>125395903</v>
      </c>
      <c r="K99" s="48">
        <f t="shared" si="24"/>
        <v>1.78883056366515</v>
      </c>
      <c r="L99" s="48">
        <f t="shared" si="25"/>
        <v>1.78883056366515</v>
      </c>
      <c r="M99" s="49">
        <v>224300</v>
      </c>
      <c r="N99" s="49">
        <v>256000</v>
      </c>
      <c r="O99" s="49">
        <v>15956260</v>
      </c>
      <c r="P99" s="49">
        <f t="shared" si="26"/>
        <v>38.206338350767297</v>
      </c>
      <c r="Q99" s="49">
        <f t="shared" si="27"/>
        <v>38.206338350767297</v>
      </c>
      <c r="R99" s="48">
        <v>0</v>
      </c>
      <c r="S99" s="48"/>
      <c r="T99" s="48">
        <v>0</v>
      </c>
      <c r="U99" s="48">
        <v>0</v>
      </c>
      <c r="V99" s="48"/>
      <c r="W99" s="49">
        <v>1</v>
      </c>
      <c r="X99" s="49">
        <v>1</v>
      </c>
      <c r="Y99" s="49">
        <v>100000000</v>
      </c>
      <c r="Z99" s="49">
        <f t="shared" si="28"/>
        <v>1351753.51507198</v>
      </c>
      <c r="AA99" s="49">
        <f t="shared" si="29"/>
        <v>1351753.51507198</v>
      </c>
      <c r="AB99" s="82">
        <f t="shared" si="18"/>
        <v>0</v>
      </c>
      <c r="AC99" s="82">
        <f t="shared" si="19"/>
        <v>337938378767996.19</v>
      </c>
      <c r="AD99" s="81">
        <f t="shared" si="17"/>
        <v>400466769655794.31</v>
      </c>
      <c r="AE99" s="80">
        <f t="shared" si="20"/>
        <v>1185.02897219237</v>
      </c>
      <c r="AF99" s="52">
        <f t="shared" si="30"/>
        <v>4.7911625635420604E-2</v>
      </c>
      <c r="AG99" s="48">
        <f t="shared" si="21"/>
        <v>3.5999999999999997E-2</v>
      </c>
      <c r="AH99" s="48">
        <f t="shared" si="31"/>
        <v>-4.6296296296296294E-2</v>
      </c>
      <c r="AI99" s="48">
        <f t="shared" si="32"/>
        <v>0.1413285777975925</v>
      </c>
      <c r="AJ99" s="48">
        <f t="shared" si="33"/>
        <v>0</v>
      </c>
    </row>
    <row r="100" spans="1:36" x14ac:dyDescent="0.3">
      <c r="A100" s="48">
        <v>20180524</v>
      </c>
      <c r="B100" s="48" t="s">
        <v>88</v>
      </c>
      <c r="C100" s="49">
        <v>51800</v>
      </c>
      <c r="D100" s="49">
        <v>51400</v>
      </c>
      <c r="E100" s="49">
        <v>6419324700</v>
      </c>
      <c r="F100" s="49">
        <f t="shared" si="22"/>
        <v>0.15477434596074699</v>
      </c>
      <c r="G100" s="49">
        <f t="shared" si="23"/>
        <v>0.15477434596074699</v>
      </c>
      <c r="H100" s="48">
        <v>257500</v>
      </c>
      <c r="I100" s="48">
        <v>264500</v>
      </c>
      <c r="J100" s="51">
        <v>125395903</v>
      </c>
      <c r="K100" s="48">
        <f t="shared" si="24"/>
        <v>1.78883056366515</v>
      </c>
      <c r="L100" s="48">
        <f t="shared" si="25"/>
        <v>1.78883056366515</v>
      </c>
      <c r="M100" s="49">
        <v>256000</v>
      </c>
      <c r="N100" s="49">
        <v>255000</v>
      </c>
      <c r="O100" s="49">
        <v>15956260</v>
      </c>
      <c r="P100" s="49">
        <f t="shared" si="26"/>
        <v>38.206338350767297</v>
      </c>
      <c r="Q100" s="49">
        <f t="shared" si="27"/>
        <v>38.206338350767297</v>
      </c>
      <c r="R100" s="48">
        <v>0</v>
      </c>
      <c r="S100" s="48"/>
      <c r="T100" s="48">
        <v>0</v>
      </c>
      <c r="U100" s="48">
        <v>0</v>
      </c>
      <c r="V100" s="48"/>
      <c r="W100" s="49">
        <v>1</v>
      </c>
      <c r="X100" s="49">
        <v>1</v>
      </c>
      <c r="Y100" s="49">
        <v>100000000</v>
      </c>
      <c r="Z100" s="49">
        <f t="shared" si="28"/>
        <v>1351753.51507198</v>
      </c>
      <c r="AA100" s="49">
        <f t="shared" si="29"/>
        <v>1351753.51507198</v>
      </c>
      <c r="AB100" s="82">
        <f t="shared" si="18"/>
        <v>0</v>
      </c>
      <c r="AC100" s="82">
        <f t="shared" si="19"/>
        <v>337938378767996.19</v>
      </c>
      <c r="AD100" s="81">
        <f t="shared" si="17"/>
        <v>401029904841554.12</v>
      </c>
      <c r="AE100" s="80">
        <f t="shared" si="20"/>
        <v>1186.6953564243497</v>
      </c>
      <c r="AF100" s="52">
        <f t="shared" si="30"/>
        <v>1.4061970391295894E-3</v>
      </c>
      <c r="AG100" s="48">
        <f t="shared" si="21"/>
        <v>-7.7220077220077222E-3</v>
      </c>
      <c r="AH100" s="48">
        <f t="shared" si="31"/>
        <v>2.7184466019417475E-2</v>
      </c>
      <c r="AI100" s="48">
        <f t="shared" si="32"/>
        <v>-3.90625E-3</v>
      </c>
      <c r="AJ100" s="48">
        <f t="shared" si="33"/>
        <v>0</v>
      </c>
    </row>
    <row r="101" spans="1:36" x14ac:dyDescent="0.3">
      <c r="A101" s="48">
        <v>20180525</v>
      </c>
      <c r="B101" s="48" t="s">
        <v>88</v>
      </c>
      <c r="C101" s="49">
        <v>51400</v>
      </c>
      <c r="D101" s="49">
        <v>52700</v>
      </c>
      <c r="E101" s="49">
        <v>6419324700</v>
      </c>
      <c r="F101" s="49">
        <f t="shared" si="22"/>
        <v>0.15477434596074699</v>
      </c>
      <c r="G101" s="49">
        <f t="shared" si="23"/>
        <v>0.15477434596074699</v>
      </c>
      <c r="H101" s="48">
        <v>264500</v>
      </c>
      <c r="I101" s="48">
        <v>275000</v>
      </c>
      <c r="J101" s="51">
        <v>125395903</v>
      </c>
      <c r="K101" s="48">
        <f t="shared" si="24"/>
        <v>1.78883056366515</v>
      </c>
      <c r="L101" s="48">
        <f t="shared" si="25"/>
        <v>1.78883056366515</v>
      </c>
      <c r="M101" s="49">
        <v>255000</v>
      </c>
      <c r="N101" s="49">
        <v>259800</v>
      </c>
      <c r="O101" s="49">
        <v>15956260</v>
      </c>
      <c r="P101" s="49">
        <f t="shared" si="26"/>
        <v>38.206338350767297</v>
      </c>
      <c r="Q101" s="49">
        <f t="shared" si="27"/>
        <v>38.206338350767297</v>
      </c>
      <c r="R101" s="48">
        <v>0</v>
      </c>
      <c r="S101" s="48"/>
      <c r="T101" s="48">
        <v>0</v>
      </c>
      <c r="U101" s="48">
        <v>0</v>
      </c>
      <c r="V101" s="48"/>
      <c r="W101" s="49">
        <v>1</v>
      </c>
      <c r="X101" s="49">
        <v>1</v>
      </c>
      <c r="Y101" s="49">
        <v>100000000</v>
      </c>
      <c r="Z101" s="49">
        <f t="shared" si="28"/>
        <v>1351753.51507198</v>
      </c>
      <c r="AA101" s="49">
        <f t="shared" si="29"/>
        <v>1351753.51507198</v>
      </c>
      <c r="AB101" s="82">
        <f t="shared" si="18"/>
        <v>0</v>
      </c>
      <c r="AC101" s="82">
        <f t="shared" si="19"/>
        <v>337938378767996.19</v>
      </c>
      <c r="AD101" s="81">
        <f t="shared" si="17"/>
        <v>407603017196651.75</v>
      </c>
      <c r="AE101" s="80">
        <f t="shared" si="20"/>
        <v>1206.1459804672916</v>
      </c>
      <c r="AF101" s="52">
        <f t="shared" si="30"/>
        <v>1.6390579045955679E-2</v>
      </c>
      <c r="AG101" s="48">
        <f t="shared" si="21"/>
        <v>2.5291828793774319E-2</v>
      </c>
      <c r="AH101" s="48">
        <f t="shared" si="31"/>
        <v>3.9697542533081283E-2</v>
      </c>
      <c r="AI101" s="48">
        <f t="shared" si="32"/>
        <v>1.8823529411764704E-2</v>
      </c>
      <c r="AJ101" s="48">
        <f t="shared" si="33"/>
        <v>0</v>
      </c>
    </row>
    <row r="102" spans="1:36" x14ac:dyDescent="0.3">
      <c r="A102" s="48">
        <v>20180528</v>
      </c>
      <c r="B102" s="48" t="s">
        <v>88</v>
      </c>
      <c r="C102" s="49">
        <v>52700</v>
      </c>
      <c r="D102" s="49">
        <v>52300</v>
      </c>
      <c r="E102" s="49">
        <v>6419324700</v>
      </c>
      <c r="F102" s="49">
        <f t="shared" si="22"/>
        <v>0.15477434596074699</v>
      </c>
      <c r="G102" s="49">
        <f t="shared" si="23"/>
        <v>0.15477434596074699</v>
      </c>
      <c r="H102" s="48">
        <v>275000</v>
      </c>
      <c r="I102" s="48">
        <v>271000</v>
      </c>
      <c r="J102" s="51">
        <v>125395903</v>
      </c>
      <c r="K102" s="48">
        <f t="shared" si="24"/>
        <v>1.78883056366515</v>
      </c>
      <c r="L102" s="48">
        <f t="shared" si="25"/>
        <v>1.78883056366515</v>
      </c>
      <c r="M102" s="49">
        <v>259800</v>
      </c>
      <c r="N102" s="49">
        <v>261000</v>
      </c>
      <c r="O102" s="49">
        <v>15956260</v>
      </c>
      <c r="P102" s="49">
        <f t="shared" si="26"/>
        <v>38.206338350767297</v>
      </c>
      <c r="Q102" s="49">
        <f t="shared" si="27"/>
        <v>38.206338350767297</v>
      </c>
      <c r="R102" s="48">
        <v>0</v>
      </c>
      <c r="S102" s="48"/>
      <c r="T102" s="48">
        <v>0</v>
      </c>
      <c r="U102" s="48">
        <v>0</v>
      </c>
      <c r="V102" s="48"/>
      <c r="W102" s="49">
        <v>1</v>
      </c>
      <c r="X102" s="49">
        <v>1</v>
      </c>
      <c r="Y102" s="49">
        <v>100000000</v>
      </c>
      <c r="Z102" s="49">
        <f t="shared" si="28"/>
        <v>1351753.51507198</v>
      </c>
      <c r="AA102" s="49">
        <f t="shared" si="29"/>
        <v>1351753.51507198</v>
      </c>
      <c r="AB102" s="82">
        <f t="shared" si="18"/>
        <v>0</v>
      </c>
      <c r="AC102" s="82">
        <f t="shared" si="19"/>
        <v>337938378767996.19</v>
      </c>
      <c r="AD102" s="81">
        <f t="shared" si="17"/>
        <v>407039906710539.12</v>
      </c>
      <c r="AE102" s="80">
        <f t="shared" si="20"/>
        <v>1204.4796693245162</v>
      </c>
      <c r="AF102" s="52">
        <f t="shared" si="30"/>
        <v>-1.3815169720416541E-3</v>
      </c>
      <c r="AG102" s="48">
        <f t="shared" si="21"/>
        <v>-7.5901328273244783E-3</v>
      </c>
      <c r="AH102" s="48">
        <f t="shared" si="31"/>
        <v>-1.4545454545454545E-2</v>
      </c>
      <c r="AI102" s="48">
        <f t="shared" si="32"/>
        <v>4.6189376443418013E-3</v>
      </c>
      <c r="AJ102" s="48">
        <f t="shared" si="33"/>
        <v>0</v>
      </c>
    </row>
    <row r="103" spans="1:36" x14ac:dyDescent="0.3">
      <c r="A103" s="48">
        <v>20180529</v>
      </c>
      <c r="B103" s="48" t="s">
        <v>88</v>
      </c>
      <c r="C103" s="49">
        <v>52300</v>
      </c>
      <c r="D103" s="49">
        <v>51300</v>
      </c>
      <c r="E103" s="49">
        <v>6419324700</v>
      </c>
      <c r="F103" s="49">
        <f t="shared" si="22"/>
        <v>0.15477434596074699</v>
      </c>
      <c r="G103" s="49">
        <f t="shared" si="23"/>
        <v>0.15477434596074699</v>
      </c>
      <c r="H103" s="48">
        <v>271000</v>
      </c>
      <c r="I103" s="48">
        <v>270500</v>
      </c>
      <c r="J103" s="51">
        <v>125395903</v>
      </c>
      <c r="K103" s="48">
        <f t="shared" si="24"/>
        <v>1.78883056366515</v>
      </c>
      <c r="L103" s="48">
        <f t="shared" si="25"/>
        <v>1.78883056366515</v>
      </c>
      <c r="M103" s="49">
        <v>261000</v>
      </c>
      <c r="N103" s="49">
        <v>249000</v>
      </c>
      <c r="O103" s="49">
        <v>15956260</v>
      </c>
      <c r="P103" s="49">
        <f t="shared" si="26"/>
        <v>38.206338350767297</v>
      </c>
      <c r="Q103" s="49">
        <f t="shared" si="27"/>
        <v>38.206338350767297</v>
      </c>
      <c r="R103" s="48">
        <v>0</v>
      </c>
      <c r="S103" s="48"/>
      <c r="T103" s="48">
        <v>0</v>
      </c>
      <c r="U103" s="48">
        <v>0</v>
      </c>
      <c r="V103" s="48"/>
      <c r="W103" s="49">
        <v>1</v>
      </c>
      <c r="X103" s="49">
        <v>1</v>
      </c>
      <c r="Y103" s="49">
        <v>100000000</v>
      </c>
      <c r="Z103" s="49">
        <f t="shared" si="28"/>
        <v>1351753.51507198</v>
      </c>
      <c r="AA103" s="49">
        <f t="shared" si="29"/>
        <v>1351753.51507198</v>
      </c>
      <c r="AB103" s="82">
        <f t="shared" si="18"/>
        <v>0</v>
      </c>
      <c r="AC103" s="82">
        <f t="shared" si="19"/>
        <v>337938378767996.19</v>
      </c>
      <c r="AD103" s="81">
        <f t="shared" si="17"/>
        <v>398618640696190.75</v>
      </c>
      <c r="AE103" s="80">
        <f t="shared" si="20"/>
        <v>1179.5601380033049</v>
      </c>
      <c r="AF103" s="52">
        <f t="shared" si="30"/>
        <v>-2.0689042709360436E-2</v>
      </c>
      <c r="AG103" s="48">
        <f t="shared" si="21"/>
        <v>-1.9120458891013385E-2</v>
      </c>
      <c r="AH103" s="48">
        <f t="shared" si="31"/>
        <v>-1.8450184501845018E-3</v>
      </c>
      <c r="AI103" s="48">
        <f t="shared" si="32"/>
        <v>-4.5977011494252873E-2</v>
      </c>
      <c r="AJ103" s="48">
        <f t="shared" si="33"/>
        <v>0</v>
      </c>
    </row>
    <row r="104" spans="1:36" x14ac:dyDescent="0.3">
      <c r="A104" s="48">
        <v>20180530</v>
      </c>
      <c r="B104" s="48" t="s">
        <v>88</v>
      </c>
      <c r="C104" s="49">
        <v>51300</v>
      </c>
      <c r="D104" s="49">
        <v>49500</v>
      </c>
      <c r="E104" s="49">
        <v>6419324700</v>
      </c>
      <c r="F104" s="49">
        <f t="shared" si="22"/>
        <v>0.15477434596074699</v>
      </c>
      <c r="G104" s="49">
        <f t="shared" si="23"/>
        <v>0.15477434596074699</v>
      </c>
      <c r="H104" s="48">
        <v>270500</v>
      </c>
      <c r="I104" s="48">
        <v>269500</v>
      </c>
      <c r="J104" s="51">
        <v>125395903</v>
      </c>
      <c r="K104" s="48">
        <f t="shared" si="24"/>
        <v>1.78883056366515</v>
      </c>
      <c r="L104" s="48">
        <f t="shared" si="25"/>
        <v>1.78883056366515</v>
      </c>
      <c r="M104" s="49">
        <v>249000</v>
      </c>
      <c r="N104" s="49">
        <v>261400</v>
      </c>
      <c r="O104" s="49">
        <v>15956260</v>
      </c>
      <c r="P104" s="49">
        <f t="shared" si="26"/>
        <v>38.206338350767297</v>
      </c>
      <c r="Q104" s="49">
        <f t="shared" si="27"/>
        <v>38.206338350767297</v>
      </c>
      <c r="R104" s="48">
        <v>0</v>
      </c>
      <c r="S104" s="48"/>
      <c r="T104" s="48">
        <v>0</v>
      </c>
      <c r="U104" s="48">
        <v>0</v>
      </c>
      <c r="V104" s="48"/>
      <c r="W104" s="49">
        <v>1</v>
      </c>
      <c r="X104" s="49">
        <v>1</v>
      </c>
      <c r="Y104" s="49">
        <v>100000000</v>
      </c>
      <c r="Z104" s="49">
        <f t="shared" si="28"/>
        <v>1351753.51507198</v>
      </c>
      <c r="AA104" s="49">
        <f t="shared" si="29"/>
        <v>1351753.51507198</v>
      </c>
      <c r="AB104" s="82">
        <f t="shared" si="18"/>
        <v>0</v>
      </c>
      <c r="AC104" s="82">
        <f t="shared" si="19"/>
        <v>337938378767996.19</v>
      </c>
      <c r="AD104" s="81">
        <f t="shared" si="17"/>
        <v>404165359792655</v>
      </c>
      <c r="AE104" s="80">
        <f t="shared" si="20"/>
        <v>1195.9735418809162</v>
      </c>
      <c r="AF104" s="52">
        <f t="shared" si="30"/>
        <v>1.3914851264298369E-2</v>
      </c>
      <c r="AG104" s="48">
        <f t="shared" si="21"/>
        <v>-3.5087719298245612E-2</v>
      </c>
      <c r="AH104" s="48">
        <f t="shared" si="31"/>
        <v>-3.6968576709796672E-3</v>
      </c>
      <c r="AI104" s="48">
        <f t="shared" si="32"/>
        <v>4.9799196787148593E-2</v>
      </c>
      <c r="AJ104" s="48">
        <f t="shared" si="33"/>
        <v>0</v>
      </c>
    </row>
    <row r="105" spans="1:36" x14ac:dyDescent="0.3">
      <c r="A105" s="48">
        <v>20180531</v>
      </c>
      <c r="B105" s="48" t="s">
        <v>88</v>
      </c>
      <c r="C105" s="49">
        <v>49500</v>
      </c>
      <c r="D105" s="49">
        <v>50700</v>
      </c>
      <c r="E105" s="49">
        <v>6419324700</v>
      </c>
      <c r="F105" s="49">
        <f t="shared" si="22"/>
        <v>0.15477434596074699</v>
      </c>
      <c r="G105" s="49">
        <f t="shared" si="23"/>
        <v>0.15477434596074699</v>
      </c>
      <c r="H105" s="48">
        <v>269500</v>
      </c>
      <c r="I105" s="48">
        <v>265500</v>
      </c>
      <c r="J105" s="51">
        <v>125395903</v>
      </c>
      <c r="K105" s="48">
        <f t="shared" si="24"/>
        <v>1.78883056366515</v>
      </c>
      <c r="L105" s="48">
        <f t="shared" si="25"/>
        <v>1.78883056366515</v>
      </c>
      <c r="M105" s="49">
        <v>261400</v>
      </c>
      <c r="N105" s="49">
        <v>265000</v>
      </c>
      <c r="O105" s="49">
        <v>15956260</v>
      </c>
      <c r="P105" s="49">
        <f t="shared" si="26"/>
        <v>38.206338350767297</v>
      </c>
      <c r="Q105" s="49">
        <f t="shared" si="27"/>
        <v>38.206338350767297</v>
      </c>
      <c r="R105" s="48">
        <v>0</v>
      </c>
      <c r="S105" s="48"/>
      <c r="T105" s="48">
        <v>0</v>
      </c>
      <c r="U105" s="48">
        <v>0</v>
      </c>
      <c r="V105" s="48"/>
      <c r="W105" s="49">
        <v>1</v>
      </c>
      <c r="X105" s="49">
        <v>1</v>
      </c>
      <c r="Y105" s="49">
        <v>100000000</v>
      </c>
      <c r="Z105" s="49">
        <f t="shared" si="28"/>
        <v>1351753.51507198</v>
      </c>
      <c r="AA105" s="49">
        <f t="shared" si="29"/>
        <v>1351753.51507198</v>
      </c>
      <c r="AB105" s="82">
        <f t="shared" si="18"/>
        <v>0</v>
      </c>
      <c r="AC105" s="82">
        <f t="shared" si="19"/>
        <v>337938378767996.19</v>
      </c>
      <c r="AD105" s="81">
        <f t="shared" si="17"/>
        <v>406655036801760.56</v>
      </c>
      <c r="AE105" s="80">
        <f t="shared" si="20"/>
        <v>1203.3407933253425</v>
      </c>
      <c r="AF105" s="52">
        <f t="shared" si="30"/>
        <v>6.1600455080634744E-3</v>
      </c>
      <c r="AG105" s="48">
        <f t="shared" si="21"/>
        <v>2.4242424242424242E-2</v>
      </c>
      <c r="AH105" s="48">
        <f t="shared" si="31"/>
        <v>-1.4842300556586271E-2</v>
      </c>
      <c r="AI105" s="48">
        <f t="shared" si="32"/>
        <v>1.3771996939556235E-2</v>
      </c>
      <c r="AJ105" s="48">
        <f t="shared" si="33"/>
        <v>0</v>
      </c>
    </row>
    <row r="106" spans="1:36" x14ac:dyDescent="0.3">
      <c r="A106" s="48">
        <v>20180601</v>
      </c>
      <c r="B106" s="48" t="s">
        <v>88</v>
      </c>
      <c r="C106" s="49">
        <v>50700</v>
      </c>
      <c r="D106" s="49">
        <v>51300</v>
      </c>
      <c r="E106" s="49">
        <v>6419324700</v>
      </c>
      <c r="F106" s="49">
        <f t="shared" si="22"/>
        <v>0.15477434596074699</v>
      </c>
      <c r="G106" s="49">
        <f t="shared" si="23"/>
        <v>0.15477434596074699</v>
      </c>
      <c r="H106" s="48">
        <v>265500</v>
      </c>
      <c r="I106" s="48">
        <v>273500</v>
      </c>
      <c r="J106" s="51">
        <v>125395903</v>
      </c>
      <c r="K106" s="48">
        <f t="shared" si="24"/>
        <v>1.78883056366515</v>
      </c>
      <c r="L106" s="48">
        <f t="shared" si="25"/>
        <v>1.78883056366515</v>
      </c>
      <c r="M106" s="49">
        <v>265000</v>
      </c>
      <c r="N106" s="49">
        <v>263500</v>
      </c>
      <c r="O106" s="49">
        <v>15956260</v>
      </c>
      <c r="P106" s="49">
        <f t="shared" si="26"/>
        <v>38.206338350767297</v>
      </c>
      <c r="Q106" s="49">
        <f t="shared" si="27"/>
        <v>38.206338350767297</v>
      </c>
      <c r="R106" s="48">
        <v>0</v>
      </c>
      <c r="S106" s="48"/>
      <c r="T106" s="48">
        <v>0</v>
      </c>
      <c r="U106" s="48">
        <v>0</v>
      </c>
      <c r="V106" s="48"/>
      <c r="W106" s="49">
        <v>1</v>
      </c>
      <c r="X106" s="49">
        <v>1</v>
      </c>
      <c r="Y106" s="49">
        <v>100000000</v>
      </c>
      <c r="Z106" s="49">
        <f t="shared" si="28"/>
        <v>1351753.51507198</v>
      </c>
      <c r="AA106" s="49">
        <f t="shared" si="29"/>
        <v>1351753.51507198</v>
      </c>
      <c r="AB106" s="82">
        <f t="shared" si="18"/>
        <v>0</v>
      </c>
      <c r="AC106" s="82">
        <f t="shared" si="19"/>
        <v>337938378767996.19</v>
      </c>
      <c r="AD106" s="81">
        <f t="shared" si="17"/>
        <v>408131215659131</v>
      </c>
      <c r="AE106" s="80">
        <f t="shared" si="20"/>
        <v>1207.7089827649438</v>
      </c>
      <c r="AF106" s="52">
        <f t="shared" si="30"/>
        <v>3.6300518222524246E-3</v>
      </c>
      <c r="AG106" s="48">
        <f t="shared" si="21"/>
        <v>1.1834319526627219E-2</v>
      </c>
      <c r="AH106" s="48">
        <f t="shared" si="31"/>
        <v>3.0131826741996232E-2</v>
      </c>
      <c r="AI106" s="48">
        <f t="shared" si="32"/>
        <v>-5.6603773584905656E-3</v>
      </c>
      <c r="AJ106" s="48">
        <f t="shared" si="33"/>
        <v>0</v>
      </c>
    </row>
    <row r="107" spans="1:36" x14ac:dyDescent="0.3">
      <c r="A107" s="48">
        <v>20180604</v>
      </c>
      <c r="B107" s="48" t="s">
        <v>88</v>
      </c>
      <c r="C107" s="49">
        <v>51300</v>
      </c>
      <c r="D107" s="49">
        <v>51100</v>
      </c>
      <c r="E107" s="49">
        <v>6419324700</v>
      </c>
      <c r="F107" s="49">
        <f t="shared" si="22"/>
        <v>0.15477434596074699</v>
      </c>
      <c r="G107" s="49">
        <f t="shared" si="23"/>
        <v>0.15477434596074699</v>
      </c>
      <c r="H107" s="48">
        <v>273500</v>
      </c>
      <c r="I107" s="48">
        <v>266500</v>
      </c>
      <c r="J107" s="51">
        <v>125395903</v>
      </c>
      <c r="K107" s="48">
        <f t="shared" si="24"/>
        <v>1.78883056366515</v>
      </c>
      <c r="L107" s="48">
        <f t="shared" si="25"/>
        <v>1.78883056366515</v>
      </c>
      <c r="M107" s="49">
        <v>263500</v>
      </c>
      <c r="N107" s="49">
        <v>253000</v>
      </c>
      <c r="O107" s="49">
        <v>15956260</v>
      </c>
      <c r="P107" s="49">
        <f t="shared" si="26"/>
        <v>38.206338350767297</v>
      </c>
      <c r="Q107" s="49">
        <f t="shared" si="27"/>
        <v>38.206338350767297</v>
      </c>
      <c r="R107" s="48">
        <v>0</v>
      </c>
      <c r="S107" s="48"/>
      <c r="T107" s="48">
        <v>0</v>
      </c>
      <c r="U107" s="48">
        <v>0</v>
      </c>
      <c r="V107" s="48"/>
      <c r="W107" s="49">
        <v>1</v>
      </c>
      <c r="X107" s="49">
        <v>1</v>
      </c>
      <c r="Y107" s="49">
        <v>100000000</v>
      </c>
      <c r="Z107" s="49">
        <f t="shared" si="28"/>
        <v>1351753.51507198</v>
      </c>
      <c r="AA107" s="49">
        <f t="shared" si="29"/>
        <v>1351753.51507198</v>
      </c>
      <c r="AB107" s="82">
        <f t="shared" si="18"/>
        <v>0</v>
      </c>
      <c r="AC107" s="82">
        <f t="shared" si="19"/>
        <v>337938378767996.19</v>
      </c>
      <c r="AD107" s="81">
        <f t="shared" si="17"/>
        <v>399961204317912.5</v>
      </c>
      <c r="AE107" s="80">
        <f t="shared" si="20"/>
        <v>1183.5329440119515</v>
      </c>
      <c r="AF107" s="52">
        <f t="shared" si="30"/>
        <v>-2.0018099639901168E-2</v>
      </c>
      <c r="AG107" s="48">
        <f t="shared" si="21"/>
        <v>-3.8986354775828458E-3</v>
      </c>
      <c r="AH107" s="48">
        <f t="shared" si="31"/>
        <v>-2.5594149908592323E-2</v>
      </c>
      <c r="AI107" s="48">
        <f t="shared" si="32"/>
        <v>-3.9848197343453511E-2</v>
      </c>
      <c r="AJ107" s="48">
        <f t="shared" si="33"/>
        <v>0</v>
      </c>
    </row>
    <row r="108" spans="1:36" x14ac:dyDescent="0.3">
      <c r="A108" s="48">
        <v>20180605</v>
      </c>
      <c r="B108" s="48" t="s">
        <v>88</v>
      </c>
      <c r="C108" s="49">
        <v>51100</v>
      </c>
      <c r="D108" s="49">
        <v>51300</v>
      </c>
      <c r="E108" s="49">
        <v>6419324700</v>
      </c>
      <c r="F108" s="49">
        <f t="shared" si="22"/>
        <v>0.15477434596074699</v>
      </c>
      <c r="G108" s="49">
        <f t="shared" si="23"/>
        <v>0.15477434596074699</v>
      </c>
      <c r="H108" s="48">
        <v>266500</v>
      </c>
      <c r="I108" s="48">
        <v>267000</v>
      </c>
      <c r="J108" s="51">
        <v>125395903</v>
      </c>
      <c r="K108" s="48">
        <f t="shared" si="24"/>
        <v>1.78883056366515</v>
      </c>
      <c r="L108" s="48">
        <f t="shared" si="25"/>
        <v>1.78883056366515</v>
      </c>
      <c r="M108" s="49">
        <v>253000</v>
      </c>
      <c r="N108" s="49">
        <v>245000</v>
      </c>
      <c r="O108" s="49">
        <v>15956260</v>
      </c>
      <c r="P108" s="49">
        <f t="shared" si="26"/>
        <v>38.206338350767297</v>
      </c>
      <c r="Q108" s="49">
        <f t="shared" si="27"/>
        <v>38.206338350767297</v>
      </c>
      <c r="R108" s="48">
        <v>0</v>
      </c>
      <c r="S108" s="48"/>
      <c r="T108" s="48">
        <v>0</v>
      </c>
      <c r="U108" s="48">
        <v>0</v>
      </c>
      <c r="V108" s="48"/>
      <c r="W108" s="49">
        <v>1</v>
      </c>
      <c r="X108" s="49">
        <v>1</v>
      </c>
      <c r="Y108" s="49">
        <v>100000000</v>
      </c>
      <c r="Z108" s="49">
        <f t="shared" si="28"/>
        <v>1351753.51507198</v>
      </c>
      <c r="AA108" s="49">
        <f t="shared" si="29"/>
        <v>1351753.51507198</v>
      </c>
      <c r="AB108" s="82">
        <f t="shared" si="18"/>
        <v>0</v>
      </c>
      <c r="AC108" s="82">
        <f t="shared" si="19"/>
        <v>337938378767996.19</v>
      </c>
      <c r="AD108" s="81">
        <f t="shared" si="17"/>
        <v>395395027539242.75</v>
      </c>
      <c r="AE108" s="80">
        <f t="shared" si="20"/>
        <v>1170.0210818928385</v>
      </c>
      <c r="AF108" s="52">
        <f t="shared" si="30"/>
        <v>-1.1416549228710361E-2</v>
      </c>
      <c r="AG108" s="48">
        <f t="shared" si="21"/>
        <v>3.9138943248532287E-3</v>
      </c>
      <c r="AH108" s="48">
        <f t="shared" si="31"/>
        <v>1.876172607879925E-3</v>
      </c>
      <c r="AI108" s="48">
        <f t="shared" si="32"/>
        <v>-3.1620553359683792E-2</v>
      </c>
      <c r="AJ108" s="48">
        <f t="shared" si="33"/>
        <v>0</v>
      </c>
    </row>
    <row r="109" spans="1:36" x14ac:dyDescent="0.3">
      <c r="A109" s="48">
        <v>20180607</v>
      </c>
      <c r="B109" s="48" t="s">
        <v>88</v>
      </c>
      <c r="C109" s="49">
        <v>51300</v>
      </c>
      <c r="D109" s="49">
        <v>50600</v>
      </c>
      <c r="E109" s="49">
        <v>6419324700</v>
      </c>
      <c r="F109" s="49">
        <f t="shared" si="22"/>
        <v>0.15477434596074699</v>
      </c>
      <c r="G109" s="49">
        <f t="shared" si="23"/>
        <v>0.15477434596074699</v>
      </c>
      <c r="H109" s="48">
        <v>267000</v>
      </c>
      <c r="I109" s="48">
        <v>271000</v>
      </c>
      <c r="J109" s="51">
        <v>125395903</v>
      </c>
      <c r="K109" s="48">
        <f t="shared" si="24"/>
        <v>1.78883056366515</v>
      </c>
      <c r="L109" s="48">
        <f t="shared" si="25"/>
        <v>1.78883056366515</v>
      </c>
      <c r="M109" s="49">
        <v>245000</v>
      </c>
      <c r="N109" s="49">
        <v>257100</v>
      </c>
      <c r="O109" s="49">
        <v>15956260</v>
      </c>
      <c r="P109" s="49">
        <f t="shared" si="26"/>
        <v>38.206338350767297</v>
      </c>
      <c r="Q109" s="49">
        <f t="shared" si="27"/>
        <v>38.206338350767297</v>
      </c>
      <c r="R109" s="48">
        <v>0</v>
      </c>
      <c r="S109" s="48"/>
      <c r="T109" s="48">
        <v>0</v>
      </c>
      <c r="U109" s="48">
        <v>0</v>
      </c>
      <c r="V109" s="48"/>
      <c r="W109" s="49">
        <v>1</v>
      </c>
      <c r="X109" s="49">
        <v>1</v>
      </c>
      <c r="Y109" s="49">
        <v>100000000</v>
      </c>
      <c r="Z109" s="49">
        <f t="shared" si="28"/>
        <v>1351753.51507198</v>
      </c>
      <c r="AA109" s="49">
        <f t="shared" si="29"/>
        <v>1351753.51507198</v>
      </c>
      <c r="AB109" s="82">
        <f t="shared" si="18"/>
        <v>0</v>
      </c>
      <c r="AC109" s="82">
        <f t="shared" si="19"/>
        <v>337938378767996.19</v>
      </c>
      <c r="AD109" s="81">
        <f t="shared" si="17"/>
        <v>402973319134566.5</v>
      </c>
      <c r="AE109" s="80">
        <f t="shared" si="20"/>
        <v>1192.4461512884825</v>
      </c>
      <c r="AF109" s="52">
        <f t="shared" si="30"/>
        <v>1.9166380625693594E-2</v>
      </c>
      <c r="AG109" s="48">
        <f t="shared" si="21"/>
        <v>-1.364522417153996E-2</v>
      </c>
      <c r="AH109" s="48">
        <f t="shared" si="31"/>
        <v>1.4981273408239701E-2</v>
      </c>
      <c r="AI109" s="48">
        <f t="shared" si="32"/>
        <v>4.9387755102040819E-2</v>
      </c>
      <c r="AJ109" s="48">
        <f t="shared" si="33"/>
        <v>0</v>
      </c>
    </row>
    <row r="110" spans="1:36" x14ac:dyDescent="0.3">
      <c r="A110" s="48">
        <v>20180608</v>
      </c>
      <c r="B110" s="48" t="s">
        <v>88</v>
      </c>
      <c r="C110" s="49">
        <v>50600</v>
      </c>
      <c r="D110" s="49">
        <v>49650</v>
      </c>
      <c r="E110" s="49">
        <v>6419324700</v>
      </c>
      <c r="F110" s="49">
        <f t="shared" si="22"/>
        <v>0.15477434596074699</v>
      </c>
      <c r="G110" s="49">
        <f t="shared" si="23"/>
        <v>0.15477434596074699</v>
      </c>
      <c r="H110" s="48">
        <v>271000</v>
      </c>
      <c r="I110" s="48">
        <v>269500</v>
      </c>
      <c r="J110" s="51">
        <v>125395903</v>
      </c>
      <c r="K110" s="48">
        <f t="shared" si="24"/>
        <v>1.78883056366515</v>
      </c>
      <c r="L110" s="48">
        <f t="shared" si="25"/>
        <v>1.78883056366515</v>
      </c>
      <c r="M110" s="49">
        <v>257100</v>
      </c>
      <c r="N110" s="49">
        <v>248300</v>
      </c>
      <c r="O110" s="49">
        <v>15956260</v>
      </c>
      <c r="P110" s="49">
        <f t="shared" si="26"/>
        <v>38.206338350767297</v>
      </c>
      <c r="Q110" s="49">
        <f t="shared" si="27"/>
        <v>38.206338350767297</v>
      </c>
      <c r="R110" s="48">
        <v>0</v>
      </c>
      <c r="S110" s="48"/>
      <c r="T110" s="48">
        <v>0</v>
      </c>
      <c r="U110" s="48">
        <v>0</v>
      </c>
      <c r="V110" s="48"/>
      <c r="W110" s="49">
        <v>1</v>
      </c>
      <c r="X110" s="49">
        <v>1</v>
      </c>
      <c r="Y110" s="49">
        <v>100000000</v>
      </c>
      <c r="Z110" s="49">
        <f t="shared" si="28"/>
        <v>1351753.51507198</v>
      </c>
      <c r="AA110" s="49">
        <f t="shared" si="29"/>
        <v>1351753.51507198</v>
      </c>
      <c r="AB110" s="82">
        <f t="shared" si="18"/>
        <v>0</v>
      </c>
      <c r="AC110" s="82">
        <f t="shared" si="19"/>
        <v>337938378767996.19</v>
      </c>
      <c r="AD110" s="81">
        <f t="shared" si="17"/>
        <v>396328235294263.94</v>
      </c>
      <c r="AE110" s="80">
        <f t="shared" si="20"/>
        <v>1172.7825550301109</v>
      </c>
      <c r="AF110" s="52">
        <f t="shared" si="30"/>
        <v>-1.6490133526888721E-2</v>
      </c>
      <c r="AG110" s="48">
        <f t="shared" si="21"/>
        <v>-1.8774703557312252E-2</v>
      </c>
      <c r="AH110" s="48">
        <f t="shared" si="31"/>
        <v>-5.5350553505535052E-3</v>
      </c>
      <c r="AI110" s="48">
        <f t="shared" si="32"/>
        <v>-3.4227926876701675E-2</v>
      </c>
      <c r="AJ110" s="48">
        <f t="shared" si="33"/>
        <v>0</v>
      </c>
    </row>
    <row r="111" spans="1:36" x14ac:dyDescent="0.3">
      <c r="A111" s="48">
        <v>20180611</v>
      </c>
      <c r="B111" s="48" t="s">
        <v>88</v>
      </c>
      <c r="C111" s="49">
        <v>49650</v>
      </c>
      <c r="D111" s="49">
        <v>49900</v>
      </c>
      <c r="E111" s="49">
        <v>6419324700</v>
      </c>
      <c r="F111" s="49">
        <f t="shared" si="22"/>
        <v>0.15477434596074699</v>
      </c>
      <c r="G111" s="49">
        <f t="shared" si="23"/>
        <v>0.15477434596074699</v>
      </c>
      <c r="H111" s="48">
        <v>269500</v>
      </c>
      <c r="I111" s="48">
        <v>267500</v>
      </c>
      <c r="J111" s="51">
        <v>125395903</v>
      </c>
      <c r="K111" s="48">
        <f t="shared" si="24"/>
        <v>1.78883056366515</v>
      </c>
      <c r="L111" s="48">
        <f t="shared" si="25"/>
        <v>1.78883056366515</v>
      </c>
      <c r="M111" s="49">
        <v>248300</v>
      </c>
      <c r="N111" s="49">
        <v>245000</v>
      </c>
      <c r="O111" s="49">
        <v>15956260</v>
      </c>
      <c r="P111" s="49">
        <f t="shared" si="26"/>
        <v>38.206338350767297</v>
      </c>
      <c r="Q111" s="49">
        <f t="shared" si="27"/>
        <v>38.206338350767297</v>
      </c>
      <c r="R111" s="48">
        <v>0</v>
      </c>
      <c r="S111" s="48"/>
      <c r="T111" s="48">
        <v>0</v>
      </c>
      <c r="U111" s="48">
        <v>0</v>
      </c>
      <c r="V111" s="48"/>
      <c r="W111" s="49">
        <v>1</v>
      </c>
      <c r="X111" s="49">
        <v>1</v>
      </c>
      <c r="Y111" s="49">
        <v>100000000</v>
      </c>
      <c r="Z111" s="49">
        <f t="shared" si="28"/>
        <v>1351753.51507198</v>
      </c>
      <c r="AA111" s="49">
        <f t="shared" si="29"/>
        <v>1351753.51507198</v>
      </c>
      <c r="AB111" s="82">
        <f t="shared" si="18"/>
        <v>0</v>
      </c>
      <c r="AC111" s="82">
        <f t="shared" si="19"/>
        <v>337938378767996.19</v>
      </c>
      <c r="AD111" s="81">
        <f t="shared" si="17"/>
        <v>394116218056432.12</v>
      </c>
      <c r="AE111" s="80">
        <f t="shared" si="20"/>
        <v>1166.2369319910938</v>
      </c>
      <c r="AF111" s="52">
        <f t="shared" si="30"/>
        <v>-5.5812759244607078E-3</v>
      </c>
      <c r="AG111" s="48">
        <f t="shared" si="21"/>
        <v>5.0352467270896274E-3</v>
      </c>
      <c r="AH111" s="48">
        <f t="shared" si="31"/>
        <v>-7.4211502782931356E-3</v>
      </c>
      <c r="AI111" s="48">
        <f t="shared" si="32"/>
        <v>-1.3290374546919049E-2</v>
      </c>
      <c r="AJ111" s="48">
        <f t="shared" si="33"/>
        <v>0</v>
      </c>
    </row>
    <row r="112" spans="1:36" x14ac:dyDescent="0.3">
      <c r="A112" s="48">
        <v>20180612</v>
      </c>
      <c r="B112" s="48" t="s">
        <v>88</v>
      </c>
      <c r="C112" s="49">
        <v>49900</v>
      </c>
      <c r="D112" s="49">
        <v>49400</v>
      </c>
      <c r="E112" s="49">
        <v>6419324700</v>
      </c>
      <c r="F112" s="49">
        <f t="shared" si="22"/>
        <v>0.15477434596074699</v>
      </c>
      <c r="G112" s="49">
        <f t="shared" si="23"/>
        <v>0.15477434596074699</v>
      </c>
      <c r="H112" s="48">
        <v>267500</v>
      </c>
      <c r="I112" s="48">
        <v>273000</v>
      </c>
      <c r="J112" s="51">
        <v>125395903</v>
      </c>
      <c r="K112" s="48">
        <f t="shared" si="24"/>
        <v>1.78883056366515</v>
      </c>
      <c r="L112" s="48">
        <f t="shared" si="25"/>
        <v>1.78883056366515</v>
      </c>
      <c r="M112" s="49">
        <v>245000</v>
      </c>
      <c r="N112" s="49">
        <v>246500</v>
      </c>
      <c r="O112" s="49">
        <v>15956260</v>
      </c>
      <c r="P112" s="49">
        <f t="shared" si="26"/>
        <v>38.206338350767297</v>
      </c>
      <c r="Q112" s="49">
        <f t="shared" si="27"/>
        <v>38.206338350767297</v>
      </c>
      <c r="R112" s="48">
        <v>0</v>
      </c>
      <c r="S112" s="48"/>
      <c r="T112" s="48">
        <v>0</v>
      </c>
      <c r="U112" s="48">
        <v>0</v>
      </c>
      <c r="V112" s="48"/>
      <c r="W112" s="49">
        <v>1</v>
      </c>
      <c r="X112" s="49">
        <v>1</v>
      </c>
      <c r="Y112" s="49">
        <v>100000000</v>
      </c>
      <c r="Z112" s="49">
        <f t="shared" si="28"/>
        <v>1351753.51507198</v>
      </c>
      <c r="AA112" s="49">
        <f t="shared" si="29"/>
        <v>1351753.51507198</v>
      </c>
      <c r="AB112" s="82">
        <f t="shared" si="18"/>
        <v>0</v>
      </c>
      <c r="AC112" s="82">
        <f t="shared" si="19"/>
        <v>337938378767996.19</v>
      </c>
      <c r="AD112" s="81">
        <f t="shared" si="17"/>
        <v>395767606199161.62</v>
      </c>
      <c r="AE112" s="80">
        <f t="shared" si="20"/>
        <v>1171.1235866195202</v>
      </c>
      <c r="AF112" s="52">
        <f t="shared" si="30"/>
        <v>4.1901045099673887E-3</v>
      </c>
      <c r="AG112" s="48">
        <f t="shared" si="21"/>
        <v>-1.002004008016032E-2</v>
      </c>
      <c r="AH112" s="48">
        <f t="shared" si="31"/>
        <v>2.0560747663551402E-2</v>
      </c>
      <c r="AI112" s="48">
        <f t="shared" si="32"/>
        <v>6.1224489795918364E-3</v>
      </c>
      <c r="AJ112" s="48">
        <f t="shared" si="33"/>
        <v>0</v>
      </c>
    </row>
    <row r="113" spans="1:36" x14ac:dyDescent="0.3">
      <c r="A113" s="48">
        <v>20180614</v>
      </c>
      <c r="B113" s="48" t="s">
        <v>88</v>
      </c>
      <c r="C113" s="49">
        <v>49400</v>
      </c>
      <c r="D113" s="49">
        <v>48200</v>
      </c>
      <c r="E113" s="49">
        <v>6419324700</v>
      </c>
      <c r="F113" s="49">
        <f t="shared" si="22"/>
        <v>0.15477434596074699</v>
      </c>
      <c r="G113" s="49">
        <f t="shared" si="23"/>
        <v>0.15477434596074699</v>
      </c>
      <c r="H113" s="48">
        <v>273000</v>
      </c>
      <c r="I113" s="48">
        <v>280000</v>
      </c>
      <c r="J113" s="51">
        <v>125395903</v>
      </c>
      <c r="K113" s="48">
        <f t="shared" si="24"/>
        <v>1.78883056366515</v>
      </c>
      <c r="L113" s="48">
        <f t="shared" si="25"/>
        <v>1.78883056366515</v>
      </c>
      <c r="M113" s="49">
        <v>246500</v>
      </c>
      <c r="N113" s="49">
        <v>236100</v>
      </c>
      <c r="O113" s="49">
        <v>15956260</v>
      </c>
      <c r="P113" s="49">
        <f t="shared" si="26"/>
        <v>38.206338350767297</v>
      </c>
      <c r="Q113" s="49">
        <f t="shared" si="27"/>
        <v>38.206338350767297</v>
      </c>
      <c r="R113" s="48">
        <v>0</v>
      </c>
      <c r="S113" s="48"/>
      <c r="T113" s="48">
        <v>0</v>
      </c>
      <c r="U113" s="48">
        <v>0</v>
      </c>
      <c r="V113" s="48"/>
      <c r="W113" s="49">
        <v>1</v>
      </c>
      <c r="X113" s="49">
        <v>1</v>
      </c>
      <c r="Y113" s="49">
        <v>100000000</v>
      </c>
      <c r="Z113" s="49">
        <f t="shared" si="28"/>
        <v>1351753.51507198</v>
      </c>
      <c r="AA113" s="49">
        <f t="shared" si="29"/>
        <v>1351753.51507198</v>
      </c>
      <c r="AB113" s="82">
        <f t="shared" si="18"/>
        <v>0</v>
      </c>
      <c r="AC113" s="82">
        <f t="shared" si="19"/>
        <v>337938378767996.19</v>
      </c>
      <c r="AD113" s="81">
        <f t="shared" si="17"/>
        <v>389805379436655.25</v>
      </c>
      <c r="AE113" s="80">
        <f t="shared" si="20"/>
        <v>1153.4806459619881</v>
      </c>
      <c r="AF113" s="52">
        <f t="shared" si="30"/>
        <v>-1.5064969110953466E-2</v>
      </c>
      <c r="AG113" s="48">
        <f t="shared" si="21"/>
        <v>-2.4291497975708502E-2</v>
      </c>
      <c r="AH113" s="48">
        <f t="shared" si="31"/>
        <v>2.564102564102564E-2</v>
      </c>
      <c r="AI113" s="48">
        <f t="shared" si="32"/>
        <v>-4.2190669371196754E-2</v>
      </c>
      <c r="AJ113" s="48">
        <f t="shared" si="33"/>
        <v>0</v>
      </c>
    </row>
    <row r="114" spans="1:36" x14ac:dyDescent="0.3">
      <c r="A114" s="48">
        <v>20180615</v>
      </c>
      <c r="B114" s="48" t="s">
        <v>88</v>
      </c>
      <c r="C114" s="49">
        <v>48200</v>
      </c>
      <c r="D114" s="49">
        <v>47650</v>
      </c>
      <c r="E114" s="49">
        <v>6419324700</v>
      </c>
      <c r="F114" s="49">
        <f t="shared" si="22"/>
        <v>0.15477434596074699</v>
      </c>
      <c r="G114" s="49">
        <f t="shared" si="23"/>
        <v>0.15477434596074699</v>
      </c>
      <c r="H114" s="48">
        <v>280000</v>
      </c>
      <c r="I114" s="48">
        <v>298500</v>
      </c>
      <c r="J114" s="51">
        <v>125395903</v>
      </c>
      <c r="K114" s="48">
        <f t="shared" si="24"/>
        <v>1.78883056366515</v>
      </c>
      <c r="L114" s="48">
        <f t="shared" si="25"/>
        <v>1.78883056366515</v>
      </c>
      <c r="M114" s="49">
        <v>236100</v>
      </c>
      <c r="N114" s="49">
        <v>232700</v>
      </c>
      <c r="O114" s="49">
        <v>15956260</v>
      </c>
      <c r="P114" s="49">
        <f t="shared" si="26"/>
        <v>38.206338350767297</v>
      </c>
      <c r="Q114" s="49">
        <f t="shared" si="27"/>
        <v>38.206338350767297</v>
      </c>
      <c r="R114" s="48">
        <v>0</v>
      </c>
      <c r="S114" s="48"/>
      <c r="T114" s="48">
        <v>0</v>
      </c>
      <c r="U114" s="48">
        <v>0</v>
      </c>
      <c r="V114" s="48"/>
      <c r="W114" s="49">
        <v>1</v>
      </c>
      <c r="X114" s="49">
        <v>1</v>
      </c>
      <c r="Y114" s="49">
        <v>100000000</v>
      </c>
      <c r="Z114" s="49">
        <f t="shared" si="28"/>
        <v>1351753.51507198</v>
      </c>
      <c r="AA114" s="49">
        <f t="shared" si="29"/>
        <v>1351753.51507198</v>
      </c>
      <c r="AB114" s="82">
        <f t="shared" si="18"/>
        <v>0</v>
      </c>
      <c r="AC114" s="82">
        <f t="shared" si="19"/>
        <v>337938378767996.19</v>
      </c>
      <c r="AD114" s="81">
        <f t="shared" si="17"/>
        <v>391335958235242.62</v>
      </c>
      <c r="AE114" s="80">
        <f t="shared" si="20"/>
        <v>1158.0098113209724</v>
      </c>
      <c r="AF114" s="52">
        <f t="shared" si="30"/>
        <v>3.9265204620811253E-3</v>
      </c>
      <c r="AG114" s="48">
        <f t="shared" si="21"/>
        <v>-1.1410788381742738E-2</v>
      </c>
      <c r="AH114" s="48">
        <f t="shared" si="31"/>
        <v>6.6071428571428573E-2</v>
      </c>
      <c r="AI114" s="48">
        <f t="shared" si="32"/>
        <v>-1.4400677678949597E-2</v>
      </c>
      <c r="AJ114" s="48">
        <f t="shared" si="33"/>
        <v>0</v>
      </c>
    </row>
    <row r="115" spans="1:36" x14ac:dyDescent="0.3">
      <c r="A115" s="48">
        <v>20180618</v>
      </c>
      <c r="B115" s="48" t="s">
        <v>88</v>
      </c>
      <c r="C115" s="49">
        <v>47650</v>
      </c>
      <c r="D115" s="49">
        <v>46600</v>
      </c>
      <c r="E115" s="49">
        <v>6419324700</v>
      </c>
      <c r="F115" s="49">
        <f t="shared" si="22"/>
        <v>0.15477434596074699</v>
      </c>
      <c r="G115" s="49">
        <f t="shared" si="23"/>
        <v>0.15477434596074699</v>
      </c>
      <c r="H115" s="48">
        <v>298500</v>
      </c>
      <c r="I115" s="48">
        <v>305000</v>
      </c>
      <c r="J115" s="51">
        <v>125395903</v>
      </c>
      <c r="K115" s="48">
        <f t="shared" si="24"/>
        <v>1.78883056366515</v>
      </c>
      <c r="L115" s="48">
        <f t="shared" si="25"/>
        <v>1.78883056366515</v>
      </c>
      <c r="M115" s="49">
        <v>232700</v>
      </c>
      <c r="N115" s="49">
        <v>218900</v>
      </c>
      <c r="O115" s="49">
        <v>15956260</v>
      </c>
      <c r="P115" s="49">
        <f t="shared" si="26"/>
        <v>38.206338350767297</v>
      </c>
      <c r="Q115" s="49">
        <f t="shared" si="27"/>
        <v>38.206338350767297</v>
      </c>
      <c r="R115" s="48">
        <v>0</v>
      </c>
      <c r="S115" s="48"/>
      <c r="T115" s="48">
        <v>0</v>
      </c>
      <c r="U115" s="48">
        <v>0</v>
      </c>
      <c r="V115" s="48"/>
      <c r="W115" s="49">
        <v>1</v>
      </c>
      <c r="X115" s="49">
        <v>1</v>
      </c>
      <c r="Y115" s="49">
        <v>100000000</v>
      </c>
      <c r="Z115" s="49">
        <f t="shared" si="28"/>
        <v>1351753.51507198</v>
      </c>
      <c r="AA115" s="49">
        <f t="shared" si="29"/>
        <v>1351753.51507198</v>
      </c>
      <c r="AB115" s="82">
        <f t="shared" si="18"/>
        <v>0</v>
      </c>
      <c r="AC115" s="82">
        <f t="shared" si="19"/>
        <v>337938378767996.19</v>
      </c>
      <c r="AD115" s="81">
        <f t="shared" si="17"/>
        <v>383337864565639.19</v>
      </c>
      <c r="AE115" s="80">
        <f t="shared" si="20"/>
        <v>1134.3424974788404</v>
      </c>
      <c r="AF115" s="52">
        <f t="shared" si="30"/>
        <v>-2.0437921691815426E-2</v>
      </c>
      <c r="AG115" s="48">
        <f t="shared" si="21"/>
        <v>-2.2035676810073453E-2</v>
      </c>
      <c r="AH115" s="48">
        <f t="shared" si="31"/>
        <v>2.1775544388609715E-2</v>
      </c>
      <c r="AI115" s="48">
        <f t="shared" si="32"/>
        <v>-5.9303824666953157E-2</v>
      </c>
      <c r="AJ115" s="48">
        <f t="shared" si="33"/>
        <v>0</v>
      </c>
    </row>
    <row r="116" spans="1:36" x14ac:dyDescent="0.3">
      <c r="A116" s="48">
        <v>20180619</v>
      </c>
      <c r="B116" s="48" t="s">
        <v>88</v>
      </c>
      <c r="C116" s="49">
        <v>46600</v>
      </c>
      <c r="D116" s="49">
        <v>47000</v>
      </c>
      <c r="E116" s="49">
        <v>6419324700</v>
      </c>
      <c r="F116" s="49">
        <f t="shared" si="22"/>
        <v>0.15477434596074699</v>
      </c>
      <c r="G116" s="49">
        <f t="shared" si="23"/>
        <v>0.15477434596074699</v>
      </c>
      <c r="H116" s="48">
        <v>305000</v>
      </c>
      <c r="I116" s="48">
        <v>287500</v>
      </c>
      <c r="J116" s="51">
        <v>125395903</v>
      </c>
      <c r="K116" s="48">
        <f t="shared" si="24"/>
        <v>1.78883056366515</v>
      </c>
      <c r="L116" s="48">
        <f t="shared" si="25"/>
        <v>1.78883056366515</v>
      </c>
      <c r="M116" s="49">
        <v>218900</v>
      </c>
      <c r="N116" s="49">
        <v>222300</v>
      </c>
      <c r="O116" s="49">
        <v>15956260</v>
      </c>
      <c r="P116" s="49">
        <f t="shared" si="26"/>
        <v>38.206338350767297</v>
      </c>
      <c r="Q116" s="49">
        <f t="shared" si="27"/>
        <v>38.206338350767297</v>
      </c>
      <c r="R116" s="48">
        <v>0</v>
      </c>
      <c r="S116" s="48"/>
      <c r="T116" s="48">
        <v>0</v>
      </c>
      <c r="U116" s="48">
        <v>0</v>
      </c>
      <c r="V116" s="48"/>
      <c r="W116" s="49">
        <v>1</v>
      </c>
      <c r="X116" s="49">
        <v>1</v>
      </c>
      <c r="Y116" s="49">
        <v>100000000</v>
      </c>
      <c r="Z116" s="49">
        <f t="shared" si="28"/>
        <v>1351753.51507198</v>
      </c>
      <c r="AA116" s="49">
        <f t="shared" si="29"/>
        <v>1351753.51507198</v>
      </c>
      <c r="AB116" s="82">
        <f t="shared" si="18"/>
        <v>0</v>
      </c>
      <c r="AC116" s="82">
        <f t="shared" si="19"/>
        <v>337938378767996.19</v>
      </c>
      <c r="AD116" s="81">
        <f t="shared" si="17"/>
        <v>381882565773603.75</v>
      </c>
      <c r="AE116" s="80">
        <f t="shared" si="20"/>
        <v>1130.0360946448654</v>
      </c>
      <c r="AF116" s="52">
        <f t="shared" si="30"/>
        <v>-3.79638675580459E-3</v>
      </c>
      <c r="AG116" s="48">
        <f t="shared" si="21"/>
        <v>8.5836909871244635E-3</v>
      </c>
      <c r="AH116" s="48">
        <f t="shared" si="31"/>
        <v>-5.737704918032787E-2</v>
      </c>
      <c r="AI116" s="48">
        <f t="shared" si="32"/>
        <v>1.5532206486980357E-2</v>
      </c>
      <c r="AJ116" s="48">
        <f t="shared" si="33"/>
        <v>0</v>
      </c>
    </row>
    <row r="117" spans="1:36" x14ac:dyDescent="0.3">
      <c r="A117" s="48">
        <v>20180620</v>
      </c>
      <c r="B117" s="48" t="s">
        <v>88</v>
      </c>
      <c r="C117" s="49">
        <v>47000</v>
      </c>
      <c r="D117" s="49">
        <v>47000</v>
      </c>
      <c r="E117" s="49">
        <v>6419324700</v>
      </c>
      <c r="F117" s="49">
        <f t="shared" si="22"/>
        <v>0.15477434596074699</v>
      </c>
      <c r="G117" s="49">
        <f t="shared" si="23"/>
        <v>0.15477434596074699</v>
      </c>
      <c r="H117" s="48">
        <v>287500</v>
      </c>
      <c r="I117" s="48">
        <v>297000</v>
      </c>
      <c r="J117" s="51">
        <v>125395903</v>
      </c>
      <c r="K117" s="48">
        <f t="shared" si="24"/>
        <v>1.78883056366515</v>
      </c>
      <c r="L117" s="48">
        <f t="shared" si="25"/>
        <v>1.78883056366515</v>
      </c>
      <c r="M117" s="49">
        <v>222300</v>
      </c>
      <c r="N117" s="49">
        <v>234400</v>
      </c>
      <c r="O117" s="49">
        <v>15956260</v>
      </c>
      <c r="P117" s="49">
        <f t="shared" si="26"/>
        <v>38.206338350767297</v>
      </c>
      <c r="Q117" s="49">
        <f t="shared" si="27"/>
        <v>38.206338350767297</v>
      </c>
      <c r="R117" s="48">
        <v>0</v>
      </c>
      <c r="S117" s="48"/>
      <c r="T117" s="48">
        <v>0</v>
      </c>
      <c r="U117" s="48">
        <v>0</v>
      </c>
      <c r="V117" s="48"/>
      <c r="W117" s="49">
        <v>1</v>
      </c>
      <c r="X117" s="49">
        <v>1</v>
      </c>
      <c r="Y117" s="49">
        <v>100000000</v>
      </c>
      <c r="Z117" s="49">
        <f t="shared" si="28"/>
        <v>1351753.51507198</v>
      </c>
      <c r="AA117" s="49">
        <f t="shared" si="29"/>
        <v>1351753.51507198</v>
      </c>
      <c r="AB117" s="82">
        <f t="shared" si="18"/>
        <v>0</v>
      </c>
      <c r="AC117" s="82">
        <f t="shared" si="19"/>
        <v>337938378767996.19</v>
      </c>
      <c r="AD117" s="81">
        <f t="shared" si="17"/>
        <v>391390056247440.37</v>
      </c>
      <c r="AE117" s="80">
        <f t="shared" si="20"/>
        <v>1158.1698937963488</v>
      </c>
      <c r="AF117" s="52">
        <f t="shared" si="30"/>
        <v>2.4896372146701127E-2</v>
      </c>
      <c r="AG117" s="48">
        <f t="shared" si="21"/>
        <v>0</v>
      </c>
      <c r="AH117" s="48">
        <f t="shared" si="31"/>
        <v>3.3043478260869563E-2</v>
      </c>
      <c r="AI117" s="48">
        <f t="shared" si="32"/>
        <v>5.4430949167791273E-2</v>
      </c>
      <c r="AJ117" s="48">
        <f t="shared" si="33"/>
        <v>0</v>
      </c>
    </row>
    <row r="118" spans="1:36" x14ac:dyDescent="0.3">
      <c r="A118" s="48">
        <v>20180621</v>
      </c>
      <c r="B118" s="48" t="s">
        <v>88</v>
      </c>
      <c r="C118" s="49">
        <v>47000</v>
      </c>
      <c r="D118" s="49">
        <v>47050</v>
      </c>
      <c r="E118" s="49">
        <v>6419324700</v>
      </c>
      <c r="F118" s="49">
        <f t="shared" si="22"/>
        <v>0.15477434596074699</v>
      </c>
      <c r="G118" s="49">
        <f t="shared" si="23"/>
        <v>0.15477434596074699</v>
      </c>
      <c r="H118" s="48">
        <v>297000</v>
      </c>
      <c r="I118" s="48">
        <v>292000</v>
      </c>
      <c r="J118" s="51">
        <v>125395903</v>
      </c>
      <c r="K118" s="48">
        <f t="shared" si="24"/>
        <v>1.78883056366515</v>
      </c>
      <c r="L118" s="48">
        <f t="shared" si="25"/>
        <v>1.78883056366515</v>
      </c>
      <c r="M118" s="49">
        <v>234400</v>
      </c>
      <c r="N118" s="49">
        <v>231000</v>
      </c>
      <c r="O118" s="49">
        <v>15956260</v>
      </c>
      <c r="P118" s="49">
        <f t="shared" si="26"/>
        <v>38.206338350767297</v>
      </c>
      <c r="Q118" s="49">
        <f t="shared" si="27"/>
        <v>38.206338350767297</v>
      </c>
      <c r="R118" s="48">
        <v>0</v>
      </c>
      <c r="S118" s="48"/>
      <c r="T118" s="48">
        <v>0</v>
      </c>
      <c r="U118" s="48">
        <v>0</v>
      </c>
      <c r="V118" s="48"/>
      <c r="W118" s="49">
        <v>1</v>
      </c>
      <c r="X118" s="49">
        <v>1</v>
      </c>
      <c r="Y118" s="49">
        <v>100000000</v>
      </c>
      <c r="Z118" s="49">
        <f t="shared" si="28"/>
        <v>1351753.51507198</v>
      </c>
      <c r="AA118" s="49">
        <f t="shared" si="29"/>
        <v>1351753.51507198</v>
      </c>
      <c r="AB118" s="82">
        <f t="shared" si="18"/>
        <v>0</v>
      </c>
      <c r="AC118" s="82">
        <f t="shared" si="19"/>
        <v>337938378767996.19</v>
      </c>
      <c r="AD118" s="81">
        <f t="shared" si="17"/>
        <v>388245430554846.37</v>
      </c>
      <c r="AE118" s="80">
        <f t="shared" si="20"/>
        <v>1148.8645710210599</v>
      </c>
      <c r="AF118" s="52">
        <f t="shared" si="30"/>
        <v>-8.0345058398877279E-3</v>
      </c>
      <c r="AG118" s="48">
        <f t="shared" si="21"/>
        <v>1.0638297872340426E-3</v>
      </c>
      <c r="AH118" s="48">
        <f t="shared" si="31"/>
        <v>-1.6835016835016835E-2</v>
      </c>
      <c r="AI118" s="48">
        <f t="shared" si="32"/>
        <v>-1.4505119453924915E-2</v>
      </c>
      <c r="AJ118" s="48">
        <f t="shared" si="33"/>
        <v>0</v>
      </c>
    </row>
    <row r="119" spans="1:36" x14ac:dyDescent="0.3">
      <c r="A119" s="48">
        <v>20180622</v>
      </c>
      <c r="B119" s="48" t="s">
        <v>88</v>
      </c>
      <c r="C119" s="49">
        <v>47050</v>
      </c>
      <c r="D119" s="49">
        <v>47250</v>
      </c>
      <c r="E119" s="49">
        <v>6419324700</v>
      </c>
      <c r="F119" s="49">
        <f t="shared" si="22"/>
        <v>0.15477434596074699</v>
      </c>
      <c r="G119" s="49">
        <f t="shared" si="23"/>
        <v>0.15477434596074699</v>
      </c>
      <c r="H119" s="48">
        <v>292000</v>
      </c>
      <c r="I119" s="48">
        <v>295500</v>
      </c>
      <c r="J119" s="51">
        <v>125395903</v>
      </c>
      <c r="K119" s="48">
        <f t="shared" si="24"/>
        <v>1.78883056366515</v>
      </c>
      <c r="L119" s="48">
        <f t="shared" si="25"/>
        <v>1.78883056366515</v>
      </c>
      <c r="M119" s="49">
        <v>231000</v>
      </c>
      <c r="N119" s="49">
        <v>232000</v>
      </c>
      <c r="O119" s="49">
        <v>15956260</v>
      </c>
      <c r="P119" s="49">
        <f t="shared" si="26"/>
        <v>38.206338350767297</v>
      </c>
      <c r="Q119" s="49">
        <f t="shared" si="27"/>
        <v>38.206338350767297</v>
      </c>
      <c r="R119" s="48">
        <v>0</v>
      </c>
      <c r="S119" s="48"/>
      <c r="T119" s="48">
        <v>0</v>
      </c>
      <c r="U119" s="48">
        <v>0</v>
      </c>
      <c r="V119" s="48"/>
      <c r="W119" s="49">
        <v>1</v>
      </c>
      <c r="X119" s="49">
        <v>1</v>
      </c>
      <c r="Y119" s="49">
        <v>100000000</v>
      </c>
      <c r="Z119" s="49">
        <f t="shared" si="28"/>
        <v>1351753.51507198</v>
      </c>
      <c r="AA119" s="49">
        <f t="shared" si="29"/>
        <v>1351753.51507198</v>
      </c>
      <c r="AB119" s="82">
        <f t="shared" si="18"/>
        <v>0</v>
      </c>
      <c r="AC119" s="82">
        <f t="shared" si="19"/>
        <v>337938378767996.19</v>
      </c>
      <c r="AD119" s="81">
        <f t="shared" si="17"/>
        <v>389838862263066.44</v>
      </c>
      <c r="AE119" s="80">
        <f t="shared" si="20"/>
        <v>1153.5797256419382</v>
      </c>
      <c r="AF119" s="52">
        <f t="shared" si="30"/>
        <v>4.1041866376710923E-3</v>
      </c>
      <c r="AG119" s="48">
        <f t="shared" si="21"/>
        <v>4.2507970244420826E-3</v>
      </c>
      <c r="AH119" s="48">
        <f t="shared" si="31"/>
        <v>1.1986301369863013E-2</v>
      </c>
      <c r="AI119" s="48">
        <f t="shared" si="32"/>
        <v>4.329004329004329E-3</v>
      </c>
      <c r="AJ119" s="48">
        <f t="shared" si="33"/>
        <v>0</v>
      </c>
    </row>
    <row r="120" spans="1:36" x14ac:dyDescent="0.3">
      <c r="A120" s="48">
        <v>20180625</v>
      </c>
      <c r="B120" s="48" t="s">
        <v>88</v>
      </c>
      <c r="C120" s="49">
        <v>47250</v>
      </c>
      <c r="D120" s="49">
        <v>46650</v>
      </c>
      <c r="E120" s="49">
        <v>6419324700</v>
      </c>
      <c r="F120" s="49">
        <f t="shared" si="22"/>
        <v>0.15477434596074699</v>
      </c>
      <c r="G120" s="49">
        <f t="shared" si="23"/>
        <v>0.15477434596074699</v>
      </c>
      <c r="H120" s="48">
        <v>295500</v>
      </c>
      <c r="I120" s="48">
        <v>296000</v>
      </c>
      <c r="J120" s="51">
        <v>125395903</v>
      </c>
      <c r="K120" s="48">
        <f t="shared" si="24"/>
        <v>1.78883056366515</v>
      </c>
      <c r="L120" s="48">
        <f t="shared" si="25"/>
        <v>1.78883056366515</v>
      </c>
      <c r="M120" s="49">
        <v>232000</v>
      </c>
      <c r="N120" s="49">
        <v>230900</v>
      </c>
      <c r="O120" s="49">
        <v>15956260</v>
      </c>
      <c r="P120" s="49">
        <f t="shared" si="26"/>
        <v>38.206338350767297</v>
      </c>
      <c r="Q120" s="49">
        <f t="shared" si="27"/>
        <v>38.206338350767297</v>
      </c>
      <c r="R120" s="48">
        <v>0</v>
      </c>
      <c r="S120" s="48"/>
      <c r="T120" s="48">
        <v>0</v>
      </c>
      <c r="U120" s="48">
        <v>0</v>
      </c>
      <c r="V120" s="48"/>
      <c r="W120" s="49">
        <v>1</v>
      </c>
      <c r="X120" s="49">
        <v>1</v>
      </c>
      <c r="Y120" s="49">
        <v>100000000</v>
      </c>
      <c r="Z120" s="49">
        <f t="shared" si="28"/>
        <v>1351753.51507198</v>
      </c>
      <c r="AA120" s="49">
        <f t="shared" si="29"/>
        <v>1351753.51507198</v>
      </c>
      <c r="AB120" s="82">
        <f t="shared" si="18"/>
        <v>0</v>
      </c>
      <c r="AC120" s="82">
        <f t="shared" si="19"/>
        <v>337938378767996.19</v>
      </c>
      <c r="AD120" s="81">
        <f t="shared" si="17"/>
        <v>388684296910607.44</v>
      </c>
      <c r="AE120" s="80">
        <f t="shared" si="20"/>
        <v>1150.1632289520148</v>
      </c>
      <c r="AF120" s="52">
        <f t="shared" si="30"/>
        <v>-2.961647655537818E-3</v>
      </c>
      <c r="AG120" s="48">
        <f t="shared" si="21"/>
        <v>-1.2698412698412698E-2</v>
      </c>
      <c r="AH120" s="48">
        <f t="shared" si="31"/>
        <v>1.6920473773265651E-3</v>
      </c>
      <c r="AI120" s="48">
        <f t="shared" si="32"/>
        <v>-4.7413793103448275E-3</v>
      </c>
      <c r="AJ120" s="48">
        <f t="shared" si="33"/>
        <v>0</v>
      </c>
    </row>
    <row r="121" spans="1:36" x14ac:dyDescent="0.3">
      <c r="A121" s="48">
        <v>20180626</v>
      </c>
      <c r="B121" s="48" t="s">
        <v>88</v>
      </c>
      <c r="C121" s="49">
        <v>46650</v>
      </c>
      <c r="D121" s="49">
        <v>47000</v>
      </c>
      <c r="E121" s="49">
        <v>6419324700</v>
      </c>
      <c r="F121" s="49">
        <f t="shared" si="22"/>
        <v>0.15477434596074699</v>
      </c>
      <c r="G121" s="49">
        <f t="shared" si="23"/>
        <v>0.15477434596074699</v>
      </c>
      <c r="H121" s="48">
        <v>296000</v>
      </c>
      <c r="I121" s="48">
        <v>301000</v>
      </c>
      <c r="J121" s="51">
        <v>125395903</v>
      </c>
      <c r="K121" s="48">
        <f t="shared" si="24"/>
        <v>1.78883056366515</v>
      </c>
      <c r="L121" s="48">
        <f t="shared" si="25"/>
        <v>1.78883056366515</v>
      </c>
      <c r="M121" s="49">
        <v>230900</v>
      </c>
      <c r="N121" s="49">
        <v>223800</v>
      </c>
      <c r="O121" s="49">
        <v>15956260</v>
      </c>
      <c r="P121" s="49">
        <f t="shared" si="26"/>
        <v>38.206338350767297</v>
      </c>
      <c r="Q121" s="49">
        <f t="shared" si="27"/>
        <v>38.206338350767297</v>
      </c>
      <c r="R121" s="48">
        <v>0</v>
      </c>
      <c r="S121" s="48"/>
      <c r="T121" s="48">
        <v>0</v>
      </c>
      <c r="U121" s="48">
        <v>0</v>
      </c>
      <c r="V121" s="48"/>
      <c r="W121" s="49">
        <v>1</v>
      </c>
      <c r="X121" s="49">
        <v>1</v>
      </c>
      <c r="Y121" s="49">
        <v>100000000</v>
      </c>
      <c r="Z121" s="49">
        <f t="shared" si="28"/>
        <v>1351753.51507198</v>
      </c>
      <c r="AA121" s="49">
        <f t="shared" si="29"/>
        <v>1351753.51507198</v>
      </c>
      <c r="AB121" s="82">
        <f t="shared" si="18"/>
        <v>0</v>
      </c>
      <c r="AC121" s="82">
        <f t="shared" si="19"/>
        <v>337938378767996.19</v>
      </c>
      <c r="AD121" s="81">
        <f t="shared" si="17"/>
        <v>385825223498067.62</v>
      </c>
      <c r="AE121" s="80">
        <f t="shared" si="20"/>
        <v>1141.7028894576872</v>
      </c>
      <c r="AF121" s="52">
        <f t="shared" si="30"/>
        <v>-7.3557728862853385E-3</v>
      </c>
      <c r="AG121" s="48">
        <f t="shared" si="21"/>
        <v>7.502679528403001E-3</v>
      </c>
      <c r="AH121" s="48">
        <f t="shared" si="31"/>
        <v>1.6891891891891893E-2</v>
      </c>
      <c r="AI121" s="48">
        <f t="shared" si="32"/>
        <v>-3.0749242096145518E-2</v>
      </c>
      <c r="AJ121" s="48">
        <f t="shared" si="33"/>
        <v>0</v>
      </c>
    </row>
    <row r="122" spans="1:36" x14ac:dyDescent="0.3">
      <c r="A122" s="48">
        <v>20180627</v>
      </c>
      <c r="B122" s="48" t="s">
        <v>88</v>
      </c>
      <c r="C122" s="49">
        <v>47000</v>
      </c>
      <c r="D122" s="49">
        <v>47950</v>
      </c>
      <c r="E122" s="49">
        <v>6419324700</v>
      </c>
      <c r="F122" s="49">
        <f t="shared" si="22"/>
        <v>0.15477434596074699</v>
      </c>
      <c r="G122" s="49">
        <f t="shared" si="23"/>
        <v>0.15477434596074699</v>
      </c>
      <c r="H122" s="48">
        <v>301000</v>
      </c>
      <c r="I122" s="48">
        <v>302000</v>
      </c>
      <c r="J122" s="51">
        <v>125395903</v>
      </c>
      <c r="K122" s="48">
        <f t="shared" si="24"/>
        <v>1.78883056366515</v>
      </c>
      <c r="L122" s="48">
        <f t="shared" si="25"/>
        <v>1.78883056366515</v>
      </c>
      <c r="M122" s="49">
        <v>223800</v>
      </c>
      <c r="N122" s="49">
        <v>227100</v>
      </c>
      <c r="O122" s="49">
        <v>15956260</v>
      </c>
      <c r="P122" s="49">
        <f t="shared" si="26"/>
        <v>38.206338350767297</v>
      </c>
      <c r="Q122" s="49">
        <f t="shared" si="27"/>
        <v>38.206338350767297</v>
      </c>
      <c r="R122" s="48">
        <v>0</v>
      </c>
      <c r="S122" s="48"/>
      <c r="T122" s="48">
        <v>0</v>
      </c>
      <c r="U122" s="48">
        <v>0</v>
      </c>
      <c r="V122" s="48"/>
      <c r="W122" s="49">
        <v>1</v>
      </c>
      <c r="X122" s="49">
        <v>1</v>
      </c>
      <c r="Y122" s="49">
        <v>100000000</v>
      </c>
      <c r="Z122" s="49">
        <f t="shared" si="28"/>
        <v>1351753.51507198</v>
      </c>
      <c r="AA122" s="49">
        <f t="shared" si="29"/>
        <v>1351753.51507198</v>
      </c>
      <c r="AB122" s="82">
        <f t="shared" si="18"/>
        <v>0</v>
      </c>
      <c r="AC122" s="82">
        <f t="shared" si="19"/>
        <v>337938378767996.19</v>
      </c>
      <c r="AD122" s="81">
        <f t="shared" si="17"/>
        <v>389005184850397.31</v>
      </c>
      <c r="AE122" s="80">
        <f t="shared" si="20"/>
        <v>1151.1127746678926</v>
      </c>
      <c r="AF122" s="52">
        <f t="shared" si="30"/>
        <v>8.2419737193405278E-3</v>
      </c>
      <c r="AG122" s="48">
        <f t="shared" si="21"/>
        <v>2.021276595744681E-2</v>
      </c>
      <c r="AH122" s="48">
        <f t="shared" si="31"/>
        <v>3.3222591362126247E-3</v>
      </c>
      <c r="AI122" s="48">
        <f t="shared" si="32"/>
        <v>1.4745308310991957E-2</v>
      </c>
      <c r="AJ122" s="48">
        <f t="shared" si="33"/>
        <v>0</v>
      </c>
    </row>
    <row r="123" spans="1:36" x14ac:dyDescent="0.3">
      <c r="A123" s="48">
        <v>20180628</v>
      </c>
      <c r="B123" s="48" t="s">
        <v>88</v>
      </c>
      <c r="C123" s="49">
        <v>47950</v>
      </c>
      <c r="D123" s="49">
        <v>46800</v>
      </c>
      <c r="E123" s="49">
        <v>6419324700</v>
      </c>
      <c r="F123" s="49">
        <f t="shared" si="22"/>
        <v>0.15477434596074699</v>
      </c>
      <c r="G123" s="49">
        <f t="shared" si="23"/>
        <v>0.15477434596074699</v>
      </c>
      <c r="H123" s="48">
        <v>302000</v>
      </c>
      <c r="I123" s="48">
        <v>298000</v>
      </c>
      <c r="J123" s="51">
        <v>125395903</v>
      </c>
      <c r="K123" s="48">
        <f t="shared" si="24"/>
        <v>1.78883056366515</v>
      </c>
      <c r="L123" s="48">
        <f t="shared" si="25"/>
        <v>1.78883056366515</v>
      </c>
      <c r="M123" s="49">
        <v>227100</v>
      </c>
      <c r="N123" s="49">
        <v>227600</v>
      </c>
      <c r="O123" s="49">
        <v>15956260</v>
      </c>
      <c r="P123" s="49">
        <f t="shared" si="26"/>
        <v>38.206338350767297</v>
      </c>
      <c r="Q123" s="49">
        <f t="shared" si="27"/>
        <v>38.206338350767297</v>
      </c>
      <c r="R123" s="48">
        <v>0</v>
      </c>
      <c r="S123" s="48"/>
      <c r="T123" s="48">
        <v>0</v>
      </c>
      <c r="U123" s="48">
        <v>0</v>
      </c>
      <c r="V123" s="48"/>
      <c r="W123" s="49">
        <v>1</v>
      </c>
      <c r="X123" s="49">
        <v>1</v>
      </c>
      <c r="Y123" s="49">
        <v>100000000</v>
      </c>
      <c r="Z123" s="49">
        <f t="shared" si="28"/>
        <v>1351753.51507198</v>
      </c>
      <c r="AA123" s="49">
        <f t="shared" si="29"/>
        <v>1351753.51507198</v>
      </c>
      <c r="AB123" s="82">
        <f t="shared" si="18"/>
        <v>0</v>
      </c>
      <c r="AC123" s="82">
        <f t="shared" si="19"/>
        <v>337938378767996.19</v>
      </c>
      <c r="AD123" s="81">
        <f t="shared" si="17"/>
        <v>387270173089959.56</v>
      </c>
      <c r="AE123" s="80">
        <f t="shared" si="20"/>
        <v>1145.9786677731297</v>
      </c>
      <c r="AF123" s="52">
        <f t="shared" si="30"/>
        <v>-4.4601250266240412E-3</v>
      </c>
      <c r="AG123" s="48">
        <f t="shared" si="21"/>
        <v>-2.3983315954118872E-2</v>
      </c>
      <c r="AH123" s="48">
        <f t="shared" si="31"/>
        <v>-1.3245033112582781E-2</v>
      </c>
      <c r="AI123" s="48">
        <f t="shared" si="32"/>
        <v>2.2016732716864818E-3</v>
      </c>
      <c r="AJ123" s="48">
        <f t="shared" si="33"/>
        <v>0</v>
      </c>
    </row>
    <row r="124" spans="1:36" x14ac:dyDescent="0.3">
      <c r="A124" s="48">
        <v>20180629</v>
      </c>
      <c r="B124" s="48" t="s">
        <v>88</v>
      </c>
      <c r="C124" s="49">
        <v>46800</v>
      </c>
      <c r="D124" s="49">
        <v>46650</v>
      </c>
      <c r="E124" s="49">
        <v>6419324700</v>
      </c>
      <c r="F124" s="49">
        <f t="shared" si="22"/>
        <v>0.15477434596074699</v>
      </c>
      <c r="G124" s="49">
        <f t="shared" si="23"/>
        <v>0.15477434596074699</v>
      </c>
      <c r="H124" s="48">
        <v>298000</v>
      </c>
      <c r="I124" s="48">
        <v>303500</v>
      </c>
      <c r="J124" s="51">
        <v>125395903</v>
      </c>
      <c r="K124" s="48">
        <f t="shared" si="24"/>
        <v>1.78883056366515</v>
      </c>
      <c r="L124" s="48">
        <f t="shared" si="25"/>
        <v>1.78883056366515</v>
      </c>
      <c r="M124" s="49">
        <v>227600</v>
      </c>
      <c r="N124" s="49">
        <v>235600</v>
      </c>
      <c r="O124" s="49">
        <v>15956260</v>
      </c>
      <c r="P124" s="49">
        <f t="shared" si="26"/>
        <v>38.206338350767297</v>
      </c>
      <c r="Q124" s="49">
        <f t="shared" si="27"/>
        <v>38.206338350767297</v>
      </c>
      <c r="R124" s="48">
        <v>0</v>
      </c>
      <c r="S124" s="48"/>
      <c r="T124" s="48">
        <v>0</v>
      </c>
      <c r="U124" s="48">
        <v>0</v>
      </c>
      <c r="V124" s="48"/>
      <c r="W124" s="49">
        <v>1</v>
      </c>
      <c r="X124" s="49">
        <v>1</v>
      </c>
      <c r="Y124" s="49">
        <v>100000000</v>
      </c>
      <c r="Z124" s="49">
        <f t="shared" si="28"/>
        <v>1351753.51507198</v>
      </c>
      <c r="AA124" s="49">
        <f t="shared" si="29"/>
        <v>1351753.51507198</v>
      </c>
      <c r="AB124" s="82">
        <f t="shared" si="18"/>
        <v>0</v>
      </c>
      <c r="AC124" s="82">
        <f t="shared" si="19"/>
        <v>337938378767996.19</v>
      </c>
      <c r="AD124" s="81">
        <f t="shared" si="17"/>
        <v>393231899350795.62</v>
      </c>
      <c r="AE124" s="80">
        <f t="shared" si="20"/>
        <v>1163.6201273864781</v>
      </c>
      <c r="AF124" s="52">
        <f t="shared" si="30"/>
        <v>1.5394230372219181E-2</v>
      </c>
      <c r="AG124" s="48">
        <f t="shared" si="21"/>
        <v>-3.205128205128205E-3</v>
      </c>
      <c r="AH124" s="48">
        <f t="shared" si="31"/>
        <v>1.8456375838926176E-2</v>
      </c>
      <c r="AI124" s="48">
        <f t="shared" si="32"/>
        <v>3.5149384885764502E-2</v>
      </c>
      <c r="AJ124" s="48">
        <f t="shared" si="33"/>
        <v>0</v>
      </c>
    </row>
    <row r="125" spans="1:36" s="70" customFormat="1" x14ac:dyDescent="0.3">
      <c r="A125" s="71">
        <v>20180702</v>
      </c>
      <c r="B125" s="71" t="s">
        <v>89</v>
      </c>
      <c r="C125" s="53">
        <v>46650</v>
      </c>
      <c r="D125" s="53">
        <v>45550</v>
      </c>
      <c r="E125" s="53">
        <v>6419324700</v>
      </c>
      <c r="F125" s="53">
        <f t="shared" si="22"/>
        <v>0.15477434596074699</v>
      </c>
      <c r="G125" s="49">
        <f t="shared" si="23"/>
        <v>0.170946124192833</v>
      </c>
      <c r="H125" s="71">
        <v>303500</v>
      </c>
      <c r="I125" s="71">
        <v>303500</v>
      </c>
      <c r="J125" s="75">
        <v>125395903</v>
      </c>
      <c r="K125" s="71">
        <f t="shared" si="24"/>
        <v>1.78883056366515</v>
      </c>
      <c r="L125" s="48">
        <f t="shared" si="25"/>
        <v>1.34511125821281</v>
      </c>
      <c r="M125" s="53">
        <v>235600</v>
      </c>
      <c r="N125" s="53">
        <v>223900</v>
      </c>
      <c r="O125" s="53">
        <v>15956260</v>
      </c>
      <c r="P125" s="53">
        <f t="shared" si="26"/>
        <v>38.206338350767297</v>
      </c>
      <c r="Q125" s="49">
        <f t="shared" si="27"/>
        <v>27.234779000652601</v>
      </c>
      <c r="R125" s="71">
        <v>0</v>
      </c>
      <c r="S125" s="71"/>
      <c r="T125" s="71">
        <v>0</v>
      </c>
      <c r="U125" s="71">
        <v>0</v>
      </c>
      <c r="V125" s="71"/>
      <c r="W125" s="53">
        <v>1</v>
      </c>
      <c r="X125" s="53">
        <v>1</v>
      </c>
      <c r="Y125" s="53">
        <v>100000000</v>
      </c>
      <c r="Z125" s="53">
        <f t="shared" si="28"/>
        <v>1351753.51507198</v>
      </c>
      <c r="AA125" s="49">
        <f t="shared" si="29"/>
        <v>1365114.194686</v>
      </c>
      <c r="AB125" s="83">
        <f t="shared" si="18"/>
        <v>0</v>
      </c>
      <c r="AC125" s="82">
        <f t="shared" si="19"/>
        <v>293290345052745.87</v>
      </c>
      <c r="AD125" s="83">
        <f t="shared" si="17"/>
        <v>334987041113469.56</v>
      </c>
      <c r="AE125" s="84">
        <f t="shared" si="20"/>
        <v>1142.1686624332106</v>
      </c>
      <c r="AF125" s="85">
        <f t="shared" si="30"/>
        <v>-1.8435109919805268E-2</v>
      </c>
      <c r="AG125" s="71">
        <f t="shared" si="21"/>
        <v>-2.3579849946409433E-2</v>
      </c>
      <c r="AH125" s="71">
        <f t="shared" si="31"/>
        <v>0</v>
      </c>
      <c r="AI125" s="71">
        <f t="shared" si="32"/>
        <v>-4.9660441426146007E-2</v>
      </c>
      <c r="AJ125" s="71">
        <f t="shared" si="33"/>
        <v>0</v>
      </c>
    </row>
    <row r="126" spans="1:36" s="73" customFormat="1" x14ac:dyDescent="0.3">
      <c r="A126" s="48">
        <v>20180703</v>
      </c>
      <c r="B126" s="48" t="s">
        <v>88</v>
      </c>
      <c r="C126" s="49">
        <v>45550</v>
      </c>
      <c r="D126" s="49">
        <v>46150</v>
      </c>
      <c r="E126" s="49">
        <v>6419324700</v>
      </c>
      <c r="F126" s="49">
        <f t="shared" si="22"/>
        <v>0.170946124192833</v>
      </c>
      <c r="G126" s="49">
        <f t="shared" si="23"/>
        <v>0.170946124192833</v>
      </c>
      <c r="H126" s="48">
        <v>303500</v>
      </c>
      <c r="I126" s="48">
        <v>303000</v>
      </c>
      <c r="J126" s="51">
        <v>125395903</v>
      </c>
      <c r="K126" s="48">
        <f t="shared" si="24"/>
        <v>1.34511125821281</v>
      </c>
      <c r="L126" s="48">
        <f t="shared" si="25"/>
        <v>1.34511125821281</v>
      </c>
      <c r="M126" s="49">
        <v>223900</v>
      </c>
      <c r="N126" s="49">
        <v>222000</v>
      </c>
      <c r="O126" s="49">
        <v>15956260</v>
      </c>
      <c r="P126" s="49">
        <f t="shared" si="26"/>
        <v>27.234779000652601</v>
      </c>
      <c r="Q126" s="49">
        <f t="shared" si="27"/>
        <v>27.234779000652601</v>
      </c>
      <c r="R126" s="48">
        <v>0</v>
      </c>
      <c r="S126" s="48"/>
      <c r="T126" s="48">
        <v>0</v>
      </c>
      <c r="U126" s="48">
        <v>0</v>
      </c>
      <c r="V126" s="48"/>
      <c r="W126" s="49">
        <v>1</v>
      </c>
      <c r="X126" s="49">
        <v>1</v>
      </c>
      <c r="Y126" s="49">
        <v>100000000</v>
      </c>
      <c r="Z126" s="49">
        <f t="shared" si="28"/>
        <v>1365114.194686</v>
      </c>
      <c r="AA126" s="49">
        <f t="shared" si="29"/>
        <v>1365114.194686</v>
      </c>
      <c r="AB126" s="82">
        <f t="shared" si="18"/>
        <v>0</v>
      </c>
      <c r="AC126" s="82">
        <f t="shared" si="19"/>
        <v>293290345052745.87</v>
      </c>
      <c r="AD126" s="81">
        <f t="shared" si="17"/>
        <v>334735446691404</v>
      </c>
      <c r="AE126" s="80">
        <f t="shared" si="20"/>
        <v>1141.3108284597795</v>
      </c>
      <c r="AF126" s="52">
        <f t="shared" si="30"/>
        <v>-7.5105717889649502E-4</v>
      </c>
      <c r="AG126" s="48">
        <f t="shared" si="21"/>
        <v>1.3172338090010977E-2</v>
      </c>
      <c r="AH126" s="48">
        <f t="shared" si="31"/>
        <v>-1.6474464579901153E-3</v>
      </c>
      <c r="AI126" s="48">
        <f t="shared" si="32"/>
        <v>-8.4859312192943279E-3</v>
      </c>
      <c r="AJ126" s="48">
        <f t="shared" si="33"/>
        <v>0</v>
      </c>
    </row>
    <row r="127" spans="1:36" x14ac:dyDescent="0.3">
      <c r="A127" s="48">
        <v>20180704</v>
      </c>
      <c r="B127" s="48" t="s">
        <v>88</v>
      </c>
      <c r="C127" s="49">
        <v>46150</v>
      </c>
      <c r="D127" s="49">
        <v>46250</v>
      </c>
      <c r="E127" s="49">
        <v>6419324700</v>
      </c>
      <c r="F127" s="49">
        <f t="shared" si="22"/>
        <v>0.170946124192833</v>
      </c>
      <c r="G127" s="49">
        <f t="shared" si="23"/>
        <v>0.170946124192833</v>
      </c>
      <c r="H127" s="48">
        <v>303000</v>
      </c>
      <c r="I127" s="48">
        <v>291500</v>
      </c>
      <c r="J127" s="51">
        <v>125395903</v>
      </c>
      <c r="K127" s="48">
        <f t="shared" si="24"/>
        <v>1.34511125821281</v>
      </c>
      <c r="L127" s="48">
        <f t="shared" si="25"/>
        <v>1.34511125821281</v>
      </c>
      <c r="M127" s="49">
        <v>222000</v>
      </c>
      <c r="N127" s="49">
        <v>215500</v>
      </c>
      <c r="O127" s="49">
        <v>15956260</v>
      </c>
      <c r="P127" s="49">
        <f t="shared" si="26"/>
        <v>27.234779000652601</v>
      </c>
      <c r="Q127" s="49">
        <f t="shared" si="27"/>
        <v>27.234779000652601</v>
      </c>
      <c r="R127" s="48">
        <v>0</v>
      </c>
      <c r="S127" s="48"/>
      <c r="T127" s="48">
        <v>0</v>
      </c>
      <c r="U127" s="48">
        <v>0</v>
      </c>
      <c r="V127" s="48"/>
      <c r="W127" s="49">
        <v>1</v>
      </c>
      <c r="X127" s="49">
        <v>1</v>
      </c>
      <c r="Y127" s="49">
        <v>100000000</v>
      </c>
      <c r="Z127" s="49">
        <f t="shared" si="28"/>
        <v>1365114.194686</v>
      </c>
      <c r="AA127" s="49">
        <f t="shared" si="29"/>
        <v>1365114.194686</v>
      </c>
      <c r="AB127" s="82">
        <f t="shared" si="18"/>
        <v>0</v>
      </c>
      <c r="AC127" s="82">
        <f t="shared" si="19"/>
        <v>293290345052745.87</v>
      </c>
      <c r="AD127" s="81">
        <f t="shared" si="17"/>
        <v>330080787093214.62</v>
      </c>
      <c r="AE127" s="80">
        <f t="shared" si="20"/>
        <v>1125.4403449041336</v>
      </c>
      <c r="AF127" s="52">
        <f t="shared" si="30"/>
        <v>-1.3905487584888203E-2</v>
      </c>
      <c r="AG127" s="48">
        <f t="shared" si="21"/>
        <v>2.1668472372697724E-3</v>
      </c>
      <c r="AH127" s="48">
        <f t="shared" si="31"/>
        <v>-3.7953795379537955E-2</v>
      </c>
      <c r="AI127" s="48">
        <f t="shared" si="32"/>
        <v>-2.9279279279279279E-2</v>
      </c>
      <c r="AJ127" s="48">
        <f t="shared" si="33"/>
        <v>0</v>
      </c>
    </row>
    <row r="128" spans="1:36" x14ac:dyDescent="0.3">
      <c r="A128" s="48">
        <v>20180705</v>
      </c>
      <c r="B128" s="48" t="s">
        <v>88</v>
      </c>
      <c r="C128" s="49">
        <v>46250</v>
      </c>
      <c r="D128" s="49">
        <v>45950</v>
      </c>
      <c r="E128" s="49">
        <v>6419324700</v>
      </c>
      <c r="F128" s="49">
        <f t="shared" si="22"/>
        <v>0.170946124192833</v>
      </c>
      <c r="G128" s="49">
        <f t="shared" si="23"/>
        <v>0.170946124192833</v>
      </c>
      <c r="H128" s="48">
        <v>291500</v>
      </c>
      <c r="I128" s="48">
        <v>282000</v>
      </c>
      <c r="J128" s="51">
        <v>125395903</v>
      </c>
      <c r="K128" s="48">
        <f t="shared" si="24"/>
        <v>1.34511125821281</v>
      </c>
      <c r="L128" s="48">
        <f t="shared" si="25"/>
        <v>1.34511125821281</v>
      </c>
      <c r="M128" s="49">
        <v>215500</v>
      </c>
      <c r="N128" s="49">
        <v>209200</v>
      </c>
      <c r="O128" s="49">
        <v>15956260</v>
      </c>
      <c r="P128" s="49">
        <f t="shared" si="26"/>
        <v>27.234779000652601</v>
      </c>
      <c r="Q128" s="49">
        <f t="shared" si="27"/>
        <v>27.234779000652601</v>
      </c>
      <c r="R128" s="48">
        <v>0</v>
      </c>
      <c r="S128" s="48"/>
      <c r="T128" s="48">
        <v>0</v>
      </c>
      <c r="U128" s="48">
        <v>0</v>
      </c>
      <c r="V128" s="48"/>
      <c r="W128" s="49">
        <v>1</v>
      </c>
      <c r="X128" s="49">
        <v>1</v>
      </c>
      <c r="Y128" s="49">
        <v>100000000</v>
      </c>
      <c r="Z128" s="49">
        <f t="shared" si="28"/>
        <v>1365114.194686</v>
      </c>
      <c r="AA128" s="49">
        <f t="shared" si="29"/>
        <v>1365114.194686</v>
      </c>
      <c r="AB128" s="82">
        <f t="shared" si="18"/>
        <v>0</v>
      </c>
      <c r="AC128" s="82">
        <f t="shared" si="19"/>
        <v>293290345052745.87</v>
      </c>
      <c r="AD128" s="81">
        <f t="shared" si="17"/>
        <v>325411439948738.62</v>
      </c>
      <c r="AE128" s="80">
        <f t="shared" si="20"/>
        <v>1109.5197828289099</v>
      </c>
      <c r="AF128" s="52">
        <f t="shared" si="30"/>
        <v>-1.414607371000173E-2</v>
      </c>
      <c r="AG128" s="48">
        <f t="shared" si="21"/>
        <v>-6.4864864864864862E-3</v>
      </c>
      <c r="AH128" s="48">
        <f t="shared" si="31"/>
        <v>-3.2590051457975985E-2</v>
      </c>
      <c r="AI128" s="48">
        <f t="shared" si="32"/>
        <v>-2.923433874709977E-2</v>
      </c>
      <c r="AJ128" s="48">
        <f t="shared" si="33"/>
        <v>0</v>
      </c>
    </row>
    <row r="129" spans="1:36" x14ac:dyDescent="0.3">
      <c r="A129" s="48">
        <v>20180706</v>
      </c>
      <c r="B129" s="48" t="s">
        <v>88</v>
      </c>
      <c r="C129" s="49">
        <v>45950</v>
      </c>
      <c r="D129" s="49">
        <v>44900</v>
      </c>
      <c r="E129" s="49">
        <v>6419324700</v>
      </c>
      <c r="F129" s="49">
        <f t="shared" si="22"/>
        <v>0.170946124192833</v>
      </c>
      <c r="G129" s="49">
        <f t="shared" si="23"/>
        <v>0.170946124192833</v>
      </c>
      <c r="H129" s="48">
        <v>282000</v>
      </c>
      <c r="I129" s="48">
        <v>289500</v>
      </c>
      <c r="J129" s="51">
        <v>125395903</v>
      </c>
      <c r="K129" s="48">
        <f t="shared" si="24"/>
        <v>1.34511125821281</v>
      </c>
      <c r="L129" s="48">
        <f t="shared" si="25"/>
        <v>1.34511125821281</v>
      </c>
      <c r="M129" s="49">
        <v>209200</v>
      </c>
      <c r="N129" s="49">
        <v>217100</v>
      </c>
      <c r="O129" s="49">
        <v>15956260</v>
      </c>
      <c r="P129" s="49">
        <f t="shared" si="26"/>
        <v>27.234779000652601</v>
      </c>
      <c r="Q129" s="49">
        <f t="shared" si="27"/>
        <v>27.234779000652601</v>
      </c>
      <c r="R129" s="48">
        <v>0</v>
      </c>
      <c r="S129" s="48"/>
      <c r="T129" s="48">
        <v>0</v>
      </c>
      <c r="U129" s="48">
        <v>0</v>
      </c>
      <c r="V129" s="48"/>
      <c r="W129" s="49">
        <v>1</v>
      </c>
      <c r="X129" s="49">
        <v>1</v>
      </c>
      <c r="Y129" s="49">
        <v>100000000</v>
      </c>
      <c r="Z129" s="49">
        <f t="shared" si="28"/>
        <v>1365114.194686</v>
      </c>
      <c r="AA129" s="49">
        <f t="shared" si="29"/>
        <v>1365114.194686</v>
      </c>
      <c r="AB129" s="82">
        <f t="shared" si="18"/>
        <v>0</v>
      </c>
      <c r="AC129" s="82">
        <f t="shared" si="19"/>
        <v>293290345052745.87</v>
      </c>
      <c r="AD129" s="81">
        <f t="shared" si="17"/>
        <v>328957314340649.19</v>
      </c>
      <c r="AE129" s="80">
        <f t="shared" si="20"/>
        <v>1121.6097627812771</v>
      </c>
      <c r="AF129" s="52">
        <f t="shared" si="30"/>
        <v>1.0896588000929342E-2</v>
      </c>
      <c r="AG129" s="48">
        <f t="shared" si="21"/>
        <v>-2.2850924918389554E-2</v>
      </c>
      <c r="AH129" s="48">
        <f t="shared" si="31"/>
        <v>2.6595744680851064E-2</v>
      </c>
      <c r="AI129" s="48">
        <f t="shared" si="32"/>
        <v>3.7762906309751432E-2</v>
      </c>
      <c r="AJ129" s="48">
        <f t="shared" si="33"/>
        <v>0</v>
      </c>
    </row>
    <row r="130" spans="1:36" x14ac:dyDescent="0.3">
      <c r="A130" s="48">
        <v>20180709</v>
      </c>
      <c r="B130" s="48" t="s">
        <v>88</v>
      </c>
      <c r="C130" s="49">
        <v>44900</v>
      </c>
      <c r="D130" s="49">
        <v>45600</v>
      </c>
      <c r="E130" s="49">
        <v>6419324700</v>
      </c>
      <c r="F130" s="49">
        <f t="shared" si="22"/>
        <v>0.170946124192833</v>
      </c>
      <c r="G130" s="49">
        <f t="shared" si="23"/>
        <v>0.170946124192833</v>
      </c>
      <c r="H130" s="48">
        <v>289500</v>
      </c>
      <c r="I130" s="48">
        <v>284000</v>
      </c>
      <c r="J130" s="51">
        <v>125395903</v>
      </c>
      <c r="K130" s="48">
        <f t="shared" si="24"/>
        <v>1.34511125821281</v>
      </c>
      <c r="L130" s="48">
        <f t="shared" si="25"/>
        <v>1.34511125821281</v>
      </c>
      <c r="M130" s="49">
        <v>217100</v>
      </c>
      <c r="N130" s="49">
        <v>228700</v>
      </c>
      <c r="O130" s="49">
        <v>15956260</v>
      </c>
      <c r="P130" s="49">
        <f t="shared" si="26"/>
        <v>27.234779000652601</v>
      </c>
      <c r="Q130" s="49">
        <f t="shared" si="27"/>
        <v>27.234779000652601</v>
      </c>
      <c r="R130" s="48">
        <v>0</v>
      </c>
      <c r="S130" s="48"/>
      <c r="T130" s="48">
        <v>0</v>
      </c>
      <c r="U130" s="48">
        <v>0</v>
      </c>
      <c r="V130" s="48"/>
      <c r="W130" s="49">
        <v>1</v>
      </c>
      <c r="X130" s="49">
        <v>1</v>
      </c>
      <c r="Y130" s="49">
        <v>100000000</v>
      </c>
      <c r="Z130" s="49">
        <f t="shared" si="28"/>
        <v>1365114.194686</v>
      </c>
      <c r="AA130" s="49">
        <f t="shared" si="29"/>
        <v>1365114.194686</v>
      </c>
      <c r="AB130" s="82">
        <f t="shared" si="18"/>
        <v>0</v>
      </c>
      <c r="AC130" s="82">
        <f t="shared" si="19"/>
        <v>293290345052745.87</v>
      </c>
      <c r="AD130" s="81">
        <f t="shared" si="17"/>
        <v>333838728981517.25</v>
      </c>
      <c r="AE130" s="80">
        <f t="shared" si="20"/>
        <v>1138.2533881961886</v>
      </c>
      <c r="AF130" s="52">
        <f t="shared" si="30"/>
        <v>1.4839051840668626E-2</v>
      </c>
      <c r="AG130" s="48">
        <f t="shared" si="21"/>
        <v>1.5590200445434299E-2</v>
      </c>
      <c r="AH130" s="48">
        <f t="shared" si="31"/>
        <v>-1.8998272884283247E-2</v>
      </c>
      <c r="AI130" s="48">
        <f t="shared" si="32"/>
        <v>5.3431598341777985E-2</v>
      </c>
      <c r="AJ130" s="48">
        <f t="shared" si="33"/>
        <v>0</v>
      </c>
    </row>
    <row r="131" spans="1:36" x14ac:dyDescent="0.3">
      <c r="A131" s="48">
        <v>20180710</v>
      </c>
      <c r="B131" s="48" t="s">
        <v>88</v>
      </c>
      <c r="C131" s="49">
        <v>45600</v>
      </c>
      <c r="D131" s="49">
        <v>46300</v>
      </c>
      <c r="E131" s="49">
        <v>6419324700</v>
      </c>
      <c r="F131" s="49">
        <f t="shared" si="22"/>
        <v>0.170946124192833</v>
      </c>
      <c r="G131" s="49">
        <f t="shared" si="23"/>
        <v>0.170946124192833</v>
      </c>
      <c r="H131" s="48">
        <v>284000</v>
      </c>
      <c r="I131" s="48">
        <v>281000</v>
      </c>
      <c r="J131" s="51">
        <v>125395903</v>
      </c>
      <c r="K131" s="48">
        <f t="shared" si="24"/>
        <v>1.34511125821281</v>
      </c>
      <c r="L131" s="48">
        <f t="shared" si="25"/>
        <v>1.34511125821281</v>
      </c>
      <c r="M131" s="49">
        <v>228700</v>
      </c>
      <c r="N131" s="49">
        <v>231000</v>
      </c>
      <c r="O131" s="49">
        <v>15956260</v>
      </c>
      <c r="P131" s="49">
        <f t="shared" si="26"/>
        <v>27.234779000652601</v>
      </c>
      <c r="Q131" s="49">
        <f t="shared" si="27"/>
        <v>27.234779000652601</v>
      </c>
      <c r="R131" s="48">
        <v>0</v>
      </c>
      <c r="S131" s="48"/>
      <c r="T131" s="48">
        <v>0</v>
      </c>
      <c r="U131" s="48">
        <v>0</v>
      </c>
      <c r="V131" s="48"/>
      <c r="W131" s="49">
        <v>1</v>
      </c>
      <c r="X131" s="49">
        <v>1</v>
      </c>
      <c r="Y131" s="49">
        <v>100000000</v>
      </c>
      <c r="Z131" s="49">
        <f t="shared" si="28"/>
        <v>1365114.194686</v>
      </c>
      <c r="AA131" s="49">
        <f t="shared" si="29"/>
        <v>1365114.194686</v>
      </c>
      <c r="AB131" s="82">
        <f t="shared" si="18"/>
        <v>0</v>
      </c>
      <c r="AC131" s="82">
        <f t="shared" si="19"/>
        <v>293290345052745.87</v>
      </c>
      <c r="AD131" s="81">
        <f t="shared" ref="AD131:AD194" si="34">D131*E131*G131+I131*J131*L131+N131*O131*Q131+X131*Y131*AA131</f>
        <v>335100365727107.25</v>
      </c>
      <c r="AE131" s="80">
        <f t="shared" si="20"/>
        <v>1142.5550529692416</v>
      </c>
      <c r="AF131" s="52">
        <f t="shared" si="30"/>
        <v>3.7791802929486472E-3</v>
      </c>
      <c r="AG131" s="48">
        <f t="shared" si="21"/>
        <v>1.5350877192982455E-2</v>
      </c>
      <c r="AH131" s="48">
        <f t="shared" si="31"/>
        <v>-1.0563380281690141E-2</v>
      </c>
      <c r="AI131" s="48">
        <f t="shared" si="32"/>
        <v>1.0056843025797988E-2</v>
      </c>
      <c r="AJ131" s="48">
        <f t="shared" si="33"/>
        <v>0</v>
      </c>
    </row>
    <row r="132" spans="1:36" x14ac:dyDescent="0.3">
      <c r="A132" s="48">
        <v>20180711</v>
      </c>
      <c r="B132" s="48" t="s">
        <v>88</v>
      </c>
      <c r="C132" s="49">
        <v>46300</v>
      </c>
      <c r="D132" s="49">
        <v>46000</v>
      </c>
      <c r="E132" s="49">
        <v>6419324700</v>
      </c>
      <c r="F132" s="49">
        <f t="shared" si="22"/>
        <v>0.170946124192833</v>
      </c>
      <c r="G132" s="49">
        <f t="shared" si="23"/>
        <v>0.170946124192833</v>
      </c>
      <c r="H132" s="48">
        <v>281000</v>
      </c>
      <c r="I132" s="48">
        <v>276500</v>
      </c>
      <c r="J132" s="51">
        <v>125395903</v>
      </c>
      <c r="K132" s="48">
        <f t="shared" si="24"/>
        <v>1.34511125821281</v>
      </c>
      <c r="L132" s="48">
        <f t="shared" si="25"/>
        <v>1.34511125821281</v>
      </c>
      <c r="M132" s="49">
        <v>231000</v>
      </c>
      <c r="N132" s="49">
        <v>227000</v>
      </c>
      <c r="O132" s="49">
        <v>15956260</v>
      </c>
      <c r="P132" s="49">
        <f t="shared" si="26"/>
        <v>27.234779000652601</v>
      </c>
      <c r="Q132" s="49">
        <f t="shared" si="27"/>
        <v>27.234779000652601</v>
      </c>
      <c r="R132" s="48">
        <v>0</v>
      </c>
      <c r="S132" s="48"/>
      <c r="T132" s="48">
        <v>0</v>
      </c>
      <c r="U132" s="48">
        <v>0</v>
      </c>
      <c r="V132" s="48"/>
      <c r="W132" s="49">
        <v>1</v>
      </c>
      <c r="X132" s="49">
        <v>1</v>
      </c>
      <c r="Y132" s="49">
        <v>100000000</v>
      </c>
      <c r="Z132" s="49">
        <f t="shared" si="28"/>
        <v>1365114.194686</v>
      </c>
      <c r="AA132" s="49">
        <f t="shared" si="29"/>
        <v>1365114.194686</v>
      </c>
      <c r="AB132" s="82">
        <f t="shared" ref="AB132:AB195" si="35">IF(AD131&lt;&gt;(C132*E132*F132+H132*J132*K132+M132*O132*P132+W132*Y132*Z132),1,0)</f>
        <v>0</v>
      </c>
      <c r="AC132" s="82">
        <f t="shared" ref="AC132:AC195" si="36">IF(AND(AB132=0,B132="N"),AC131,AC131*(C132*E132*G132+H132*J132*L132+M132*O132*Q132+W132*Y132*AA132)/AD131)</f>
        <v>293290345052745.87</v>
      </c>
      <c r="AD132" s="81">
        <f t="shared" si="34"/>
        <v>332273875780913.62</v>
      </c>
      <c r="AE132" s="80">
        <f t="shared" ref="AE132:AE195" si="37">AD132/AC132*1000</f>
        <v>1132.917879452039</v>
      </c>
      <c r="AF132" s="52">
        <f t="shared" si="30"/>
        <v>-8.434756375334234E-3</v>
      </c>
      <c r="AG132" s="48">
        <f t="shared" ref="AG132:AG195" si="38">(D132-C132)/C132</f>
        <v>-6.4794816414686825E-3</v>
      </c>
      <c r="AH132" s="48">
        <f t="shared" si="31"/>
        <v>-1.601423487544484E-2</v>
      </c>
      <c r="AI132" s="48">
        <f t="shared" si="32"/>
        <v>-1.7316017316017316E-2</v>
      </c>
      <c r="AJ132" s="48">
        <f t="shared" si="33"/>
        <v>0</v>
      </c>
    </row>
    <row r="133" spans="1:36" x14ac:dyDescent="0.3">
      <c r="A133" s="48">
        <v>20180712</v>
      </c>
      <c r="B133" s="48" t="s">
        <v>88</v>
      </c>
      <c r="C133" s="49">
        <v>46000</v>
      </c>
      <c r="D133" s="49">
        <v>45500</v>
      </c>
      <c r="E133" s="49">
        <v>6419324700</v>
      </c>
      <c r="F133" s="49">
        <f t="shared" ref="F133:F196" si="39">G132</f>
        <v>0.170946124192833</v>
      </c>
      <c r="G133" s="49">
        <f t="shared" ref="G133:G196" si="40">IF(B133="Y",ROUND(0.15*(C133*E133+H133*J133+M133*O133+W133*Y133)/(C133*E133),17),IF(AB133=0,F133,ROUND(D132*E132*G132/AD132*(C133*E133+H133*J133+M133*O133+W133*Y133)/(C133*E133),17)))</f>
        <v>0.170946124192833</v>
      </c>
      <c r="H133" s="48">
        <v>276500</v>
      </c>
      <c r="I133" s="48">
        <v>288000</v>
      </c>
      <c r="J133" s="51">
        <v>125395903</v>
      </c>
      <c r="K133" s="48">
        <f t="shared" ref="K133:K196" si="41">L132</f>
        <v>1.34511125821281</v>
      </c>
      <c r="L133" s="48">
        <f t="shared" ref="L133:L196" si="42">IF(B133="Y",ROUND(0.15*(C133*E133+H133*J133+M133*O133+W133*Y133)/(H133*J133),17),IF(AB133=0,K133,ROUND(I132*J132*L132/AD132*(C133*E133+H133*J133+M133*O133+W133*Y133)/(H133*J133),17)))</f>
        <v>1.34511125821281</v>
      </c>
      <c r="M133" s="49">
        <v>227000</v>
      </c>
      <c r="N133" s="49">
        <v>228200</v>
      </c>
      <c r="O133" s="49">
        <v>15956260</v>
      </c>
      <c r="P133" s="49">
        <f t="shared" ref="P133:P196" si="43">Q132</f>
        <v>27.234779000652601</v>
      </c>
      <c r="Q133" s="49">
        <f t="shared" ref="Q133:Q196" si="44">IF(B133="Y",ROUND(0.3*(C133*E133+H133*J133+M133*O133+W133*Y133)/(M133*O133),17),IF(AB133=0,P133,ROUND(N132*O132*Q132/AD132*(C133*E133+H133*J133+M133*O133+W133*Y133)/(M133*O133),17)))</f>
        <v>27.234779000652601</v>
      </c>
      <c r="R133" s="48">
        <v>0</v>
      </c>
      <c r="S133" s="48"/>
      <c r="T133" s="48">
        <v>0</v>
      </c>
      <c r="U133" s="48">
        <v>0</v>
      </c>
      <c r="V133" s="48"/>
      <c r="W133" s="49">
        <v>1</v>
      </c>
      <c r="X133" s="49">
        <v>1</v>
      </c>
      <c r="Y133" s="49">
        <v>100000000</v>
      </c>
      <c r="Z133" s="49">
        <f t="shared" ref="Z133:Z196" si="45">AA132</f>
        <v>1365114.194686</v>
      </c>
      <c r="AA133" s="49">
        <f t="shared" ref="AA133:AA196" si="46">IF(B133="Y",ROUND(0.4*(C133*E133+H133*J133+M133*O133+W133*Y133)/(W133*Y133),17),IF(AB133=0,Z133,ROUND(X132*Y132*AA132/AD132*(C133*E133+H133*J133+M133*O133+W133*Y133)/(W133*Y133),17)))</f>
        <v>1365114.194686</v>
      </c>
      <c r="AB133" s="82">
        <f t="shared" si="35"/>
        <v>0</v>
      </c>
      <c r="AC133" s="82">
        <f t="shared" si="36"/>
        <v>293290345052745.87</v>
      </c>
      <c r="AD133" s="81">
        <f t="shared" si="34"/>
        <v>334186396269825</v>
      </c>
      <c r="AE133" s="80">
        <f t="shared" si="37"/>
        <v>1139.4387913101073</v>
      </c>
      <c r="AF133" s="52">
        <f t="shared" ref="AF133:AF196" si="47">(AE133-AE132)/AE132</f>
        <v>5.7558557211775021E-3</v>
      </c>
      <c r="AG133" s="48">
        <f t="shared" si="38"/>
        <v>-1.0869565217391304E-2</v>
      </c>
      <c r="AH133" s="48">
        <f t="shared" ref="AH133:AH196" si="48">(I133-H133)/H133</f>
        <v>4.1591320072332731E-2</v>
      </c>
      <c r="AI133" s="48">
        <f t="shared" ref="AI133:AI196" si="49">(N133-M133)/M133</f>
        <v>5.2863436123348016E-3</v>
      </c>
      <c r="AJ133" s="48">
        <f t="shared" ref="AJ133:AJ196" si="50">(X133-W133)/X133</f>
        <v>0</v>
      </c>
    </row>
    <row r="134" spans="1:36" x14ac:dyDescent="0.3">
      <c r="A134" s="48">
        <v>20180713</v>
      </c>
      <c r="B134" s="48" t="s">
        <v>88</v>
      </c>
      <c r="C134" s="49">
        <v>45500</v>
      </c>
      <c r="D134" s="49">
        <v>46500</v>
      </c>
      <c r="E134" s="49">
        <v>6419324700</v>
      </c>
      <c r="F134" s="49">
        <f t="shared" si="39"/>
        <v>0.170946124192833</v>
      </c>
      <c r="G134" s="49">
        <f t="shared" si="40"/>
        <v>0.170946124192833</v>
      </c>
      <c r="H134" s="48">
        <v>288000</v>
      </c>
      <c r="I134" s="48">
        <v>288000</v>
      </c>
      <c r="J134" s="51">
        <v>125395903</v>
      </c>
      <c r="K134" s="48">
        <f t="shared" si="41"/>
        <v>1.34511125821281</v>
      </c>
      <c r="L134" s="48">
        <f t="shared" si="42"/>
        <v>1.34511125821281</v>
      </c>
      <c r="M134" s="49">
        <v>228200</v>
      </c>
      <c r="N134" s="49">
        <v>235500</v>
      </c>
      <c r="O134" s="49">
        <v>15956260</v>
      </c>
      <c r="P134" s="49">
        <f t="shared" si="43"/>
        <v>27.234779000652601</v>
      </c>
      <c r="Q134" s="49">
        <f t="shared" si="44"/>
        <v>27.234779000652601</v>
      </c>
      <c r="R134" s="48">
        <v>0</v>
      </c>
      <c r="S134" s="48"/>
      <c r="T134" s="48">
        <v>0</v>
      </c>
      <c r="U134" s="48">
        <v>0</v>
      </c>
      <c r="V134" s="48"/>
      <c r="W134" s="49">
        <v>1</v>
      </c>
      <c r="X134" s="49">
        <v>1</v>
      </c>
      <c r="Y134" s="49">
        <v>100000000</v>
      </c>
      <c r="Z134" s="49">
        <f t="shared" si="45"/>
        <v>1365114.194686</v>
      </c>
      <c r="AA134" s="49">
        <f t="shared" si="46"/>
        <v>1365114.194686</v>
      </c>
      <c r="AB134" s="82">
        <f t="shared" si="35"/>
        <v>0</v>
      </c>
      <c r="AC134" s="82">
        <f t="shared" si="36"/>
        <v>293290345052745.87</v>
      </c>
      <c r="AD134" s="81">
        <f t="shared" si="34"/>
        <v>338456081015097.06</v>
      </c>
      <c r="AE134" s="80">
        <f t="shared" si="37"/>
        <v>1153.9966682306861</v>
      </c>
      <c r="AF134" s="52">
        <f t="shared" si="47"/>
        <v>1.2776357125634097E-2</v>
      </c>
      <c r="AG134" s="48">
        <f t="shared" si="38"/>
        <v>2.197802197802198E-2</v>
      </c>
      <c r="AH134" s="48">
        <f t="shared" si="48"/>
        <v>0</v>
      </c>
      <c r="AI134" s="48">
        <f t="shared" si="49"/>
        <v>3.1989482909728306E-2</v>
      </c>
      <c r="AJ134" s="48">
        <f t="shared" si="50"/>
        <v>0</v>
      </c>
    </row>
    <row r="135" spans="1:36" x14ac:dyDescent="0.3">
      <c r="A135" s="48">
        <v>20180716</v>
      </c>
      <c r="B135" s="48" t="s">
        <v>88</v>
      </c>
      <c r="C135" s="49">
        <v>46500</v>
      </c>
      <c r="D135" s="49">
        <v>46050</v>
      </c>
      <c r="E135" s="49">
        <v>6419324700</v>
      </c>
      <c r="F135" s="49">
        <f t="shared" si="39"/>
        <v>0.170946124192833</v>
      </c>
      <c r="G135" s="49">
        <f t="shared" si="40"/>
        <v>0.170946124192833</v>
      </c>
      <c r="H135" s="48">
        <v>288000</v>
      </c>
      <c r="I135" s="48">
        <v>293500</v>
      </c>
      <c r="J135" s="51">
        <v>125395903</v>
      </c>
      <c r="K135" s="48">
        <f t="shared" si="41"/>
        <v>1.34511125821281</v>
      </c>
      <c r="L135" s="48">
        <f t="shared" si="42"/>
        <v>1.34511125821281</v>
      </c>
      <c r="M135" s="49">
        <v>235500</v>
      </c>
      <c r="N135" s="49">
        <v>244900</v>
      </c>
      <c r="O135" s="49">
        <v>15956260</v>
      </c>
      <c r="P135" s="49">
        <f t="shared" si="43"/>
        <v>27.234779000652601</v>
      </c>
      <c r="Q135" s="49">
        <f t="shared" si="44"/>
        <v>27.234779000652601</v>
      </c>
      <c r="R135" s="48">
        <v>0</v>
      </c>
      <c r="S135" s="48"/>
      <c r="T135" s="48">
        <v>0</v>
      </c>
      <c r="U135" s="48">
        <v>0</v>
      </c>
      <c r="V135" s="48"/>
      <c r="W135" s="49">
        <v>1</v>
      </c>
      <c r="X135" s="49">
        <v>1</v>
      </c>
      <c r="Y135" s="49">
        <v>100000000</v>
      </c>
      <c r="Z135" s="49">
        <f t="shared" si="45"/>
        <v>1365114.194686</v>
      </c>
      <c r="AA135" s="49">
        <f t="shared" si="46"/>
        <v>1365114.194686</v>
      </c>
      <c r="AB135" s="82">
        <f t="shared" si="35"/>
        <v>0</v>
      </c>
      <c r="AC135" s="82">
        <f t="shared" si="36"/>
        <v>293290345052745.87</v>
      </c>
      <c r="AD135" s="81">
        <f t="shared" si="34"/>
        <v>342974875553895.12</v>
      </c>
      <c r="AE135" s="80">
        <f t="shared" si="37"/>
        <v>1169.4039075586136</v>
      </c>
      <c r="AF135" s="52">
        <f t="shared" si="47"/>
        <v>1.3351199143018315E-2</v>
      </c>
      <c r="AG135" s="48">
        <f t="shared" si="38"/>
        <v>-9.6774193548387101E-3</v>
      </c>
      <c r="AH135" s="48">
        <f t="shared" si="48"/>
        <v>1.9097222222222224E-2</v>
      </c>
      <c r="AI135" s="48">
        <f t="shared" si="49"/>
        <v>3.9915074309978767E-2</v>
      </c>
      <c r="AJ135" s="48">
        <f t="shared" si="50"/>
        <v>0</v>
      </c>
    </row>
    <row r="136" spans="1:36" x14ac:dyDescent="0.3">
      <c r="A136" s="48">
        <v>20180717</v>
      </c>
      <c r="B136" s="48" t="s">
        <v>88</v>
      </c>
      <c r="C136" s="49">
        <v>46050</v>
      </c>
      <c r="D136" s="49">
        <v>45850</v>
      </c>
      <c r="E136" s="49">
        <v>6419324700</v>
      </c>
      <c r="F136" s="49">
        <f t="shared" si="39"/>
        <v>0.170946124192833</v>
      </c>
      <c r="G136" s="49">
        <f t="shared" si="40"/>
        <v>0.170946124192833</v>
      </c>
      <c r="H136" s="48">
        <v>293500</v>
      </c>
      <c r="I136" s="48">
        <v>295500</v>
      </c>
      <c r="J136" s="51">
        <v>125395903</v>
      </c>
      <c r="K136" s="48">
        <f t="shared" si="41"/>
        <v>1.34511125821281</v>
      </c>
      <c r="L136" s="48">
        <f t="shared" si="42"/>
        <v>1.34511125821281</v>
      </c>
      <c r="M136" s="49">
        <v>244900</v>
      </c>
      <c r="N136" s="49">
        <v>235800</v>
      </c>
      <c r="O136" s="49">
        <v>15956260</v>
      </c>
      <c r="P136" s="49">
        <f t="shared" si="43"/>
        <v>27.234779000652601</v>
      </c>
      <c r="Q136" s="49">
        <f t="shared" si="44"/>
        <v>27.234779000652601</v>
      </c>
      <c r="R136" s="48">
        <v>0</v>
      </c>
      <c r="S136" s="48"/>
      <c r="T136" s="48">
        <v>0</v>
      </c>
      <c r="U136" s="48">
        <v>0</v>
      </c>
      <c r="V136" s="48"/>
      <c r="W136" s="49">
        <v>1</v>
      </c>
      <c r="X136" s="49">
        <v>1</v>
      </c>
      <c r="Y136" s="49">
        <v>100000000</v>
      </c>
      <c r="Z136" s="49">
        <f t="shared" si="45"/>
        <v>1365114.194686</v>
      </c>
      <c r="AA136" s="49">
        <f t="shared" si="46"/>
        <v>1365114.194686</v>
      </c>
      <c r="AB136" s="82">
        <f t="shared" si="35"/>
        <v>0</v>
      </c>
      <c r="AC136" s="82">
        <f t="shared" si="36"/>
        <v>293290345052745.87</v>
      </c>
      <c r="AD136" s="81">
        <f t="shared" si="34"/>
        <v>339138203245662.87</v>
      </c>
      <c r="AE136" s="80">
        <f t="shared" si="37"/>
        <v>1156.3224257677887</v>
      </c>
      <c r="AF136" s="52">
        <f t="shared" si="47"/>
        <v>-1.1186452949464966E-2</v>
      </c>
      <c r="AG136" s="48">
        <f t="shared" si="38"/>
        <v>-4.3431053203040176E-3</v>
      </c>
      <c r="AH136" s="48">
        <f t="shared" si="48"/>
        <v>6.8143100511073255E-3</v>
      </c>
      <c r="AI136" s="48">
        <f t="shared" si="49"/>
        <v>-3.7158023683135977E-2</v>
      </c>
      <c r="AJ136" s="48">
        <f t="shared" si="50"/>
        <v>0</v>
      </c>
    </row>
    <row r="137" spans="1:36" x14ac:dyDescent="0.3">
      <c r="A137" s="48">
        <v>20180718</v>
      </c>
      <c r="B137" s="48" t="s">
        <v>88</v>
      </c>
      <c r="C137" s="49">
        <v>45850</v>
      </c>
      <c r="D137" s="49">
        <v>46550</v>
      </c>
      <c r="E137" s="49">
        <v>6419324700</v>
      </c>
      <c r="F137" s="49">
        <f t="shared" si="39"/>
        <v>0.170946124192833</v>
      </c>
      <c r="G137" s="49">
        <f t="shared" si="40"/>
        <v>0.170946124192833</v>
      </c>
      <c r="H137" s="48">
        <v>295500</v>
      </c>
      <c r="I137" s="48">
        <v>290000</v>
      </c>
      <c r="J137" s="51">
        <v>125395903</v>
      </c>
      <c r="K137" s="48">
        <f t="shared" si="41"/>
        <v>1.34511125821281</v>
      </c>
      <c r="L137" s="48">
        <f t="shared" si="42"/>
        <v>1.34511125821281</v>
      </c>
      <c r="M137" s="49">
        <v>235800</v>
      </c>
      <c r="N137" s="49">
        <v>237700</v>
      </c>
      <c r="O137" s="49">
        <v>15956260</v>
      </c>
      <c r="P137" s="49">
        <f t="shared" si="43"/>
        <v>27.234779000652601</v>
      </c>
      <c r="Q137" s="49">
        <f t="shared" si="44"/>
        <v>27.234779000652601</v>
      </c>
      <c r="R137" s="48">
        <v>0</v>
      </c>
      <c r="S137" s="48"/>
      <c r="T137" s="48">
        <v>0</v>
      </c>
      <c r="U137" s="48">
        <v>0</v>
      </c>
      <c r="V137" s="48"/>
      <c r="W137" s="49">
        <v>1</v>
      </c>
      <c r="X137" s="49">
        <v>1</v>
      </c>
      <c r="Y137" s="49">
        <v>100000000</v>
      </c>
      <c r="Z137" s="49">
        <f t="shared" si="45"/>
        <v>1365114.194686</v>
      </c>
      <c r="AA137" s="49">
        <f t="shared" si="46"/>
        <v>1365114.194686</v>
      </c>
      <c r="AB137" s="82">
        <f t="shared" si="35"/>
        <v>0</v>
      </c>
      <c r="AC137" s="82">
        <f t="shared" si="36"/>
        <v>293290345052745.87</v>
      </c>
      <c r="AD137" s="81">
        <f t="shared" si="34"/>
        <v>339804335303194.5</v>
      </c>
      <c r="AE137" s="80">
        <f t="shared" si="37"/>
        <v>1158.5936633614158</v>
      </c>
      <c r="AF137" s="52">
        <f t="shared" si="47"/>
        <v>1.9641905605342186E-3</v>
      </c>
      <c r="AG137" s="48">
        <f t="shared" si="38"/>
        <v>1.5267175572519083E-2</v>
      </c>
      <c r="AH137" s="48">
        <f t="shared" si="48"/>
        <v>-1.8612521150592216E-2</v>
      </c>
      <c r="AI137" s="48">
        <f t="shared" si="49"/>
        <v>8.0576759966072935E-3</v>
      </c>
      <c r="AJ137" s="48">
        <f t="shared" si="50"/>
        <v>0</v>
      </c>
    </row>
    <row r="138" spans="1:36" x14ac:dyDescent="0.3">
      <c r="A138" s="48">
        <v>20180719</v>
      </c>
      <c r="B138" s="48" t="s">
        <v>88</v>
      </c>
      <c r="C138" s="49">
        <v>46550</v>
      </c>
      <c r="D138" s="49">
        <v>46900</v>
      </c>
      <c r="E138" s="49">
        <v>6419324700</v>
      </c>
      <c r="F138" s="49">
        <f t="shared" si="39"/>
        <v>0.170946124192833</v>
      </c>
      <c r="G138" s="49">
        <f t="shared" si="40"/>
        <v>0.170946124192833</v>
      </c>
      <c r="H138" s="48">
        <v>290000</v>
      </c>
      <c r="I138" s="48">
        <v>288500</v>
      </c>
      <c r="J138" s="51">
        <v>125395903</v>
      </c>
      <c r="K138" s="48">
        <f t="shared" si="41"/>
        <v>1.34511125821281</v>
      </c>
      <c r="L138" s="48">
        <f t="shared" si="42"/>
        <v>1.34511125821281</v>
      </c>
      <c r="M138" s="49">
        <v>237700</v>
      </c>
      <c r="N138" s="49">
        <v>231700</v>
      </c>
      <c r="O138" s="49">
        <v>15956260</v>
      </c>
      <c r="P138" s="49">
        <f t="shared" si="43"/>
        <v>27.234779000652601</v>
      </c>
      <c r="Q138" s="49">
        <f t="shared" si="44"/>
        <v>27.234779000652601</v>
      </c>
      <c r="R138" s="48">
        <v>0</v>
      </c>
      <c r="S138" s="48"/>
      <c r="T138" s="48">
        <v>0</v>
      </c>
      <c r="U138" s="48">
        <v>0</v>
      </c>
      <c r="V138" s="48"/>
      <c r="W138" s="49">
        <v>1</v>
      </c>
      <c r="X138" s="49">
        <v>1</v>
      </c>
      <c r="Y138" s="49">
        <v>100000000</v>
      </c>
      <c r="Z138" s="49">
        <f t="shared" si="45"/>
        <v>1365114.194686</v>
      </c>
      <c r="AA138" s="49">
        <f t="shared" si="46"/>
        <v>1365114.194686</v>
      </c>
      <c r="AB138" s="82">
        <f t="shared" si="35"/>
        <v>0</v>
      </c>
      <c r="AC138" s="82">
        <f t="shared" si="36"/>
        <v>293290345052745.87</v>
      </c>
      <c r="AD138" s="81">
        <f t="shared" si="34"/>
        <v>337328012390334.31</v>
      </c>
      <c r="AE138" s="80">
        <f t="shared" si="37"/>
        <v>1150.150416065243</v>
      </c>
      <c r="AF138" s="52">
        <f t="shared" si="47"/>
        <v>-7.287496525465606E-3</v>
      </c>
      <c r="AG138" s="48">
        <f t="shared" si="38"/>
        <v>7.5187969924812026E-3</v>
      </c>
      <c r="AH138" s="48">
        <f t="shared" si="48"/>
        <v>-5.1724137931034482E-3</v>
      </c>
      <c r="AI138" s="48">
        <f t="shared" si="49"/>
        <v>-2.5241901556583929E-2</v>
      </c>
      <c r="AJ138" s="48">
        <f t="shared" si="50"/>
        <v>0</v>
      </c>
    </row>
    <row r="139" spans="1:36" x14ac:dyDescent="0.3">
      <c r="A139" s="48">
        <v>20180720</v>
      </c>
      <c r="B139" s="48" t="s">
        <v>88</v>
      </c>
      <c r="C139" s="49">
        <v>46900</v>
      </c>
      <c r="D139" s="49">
        <v>47450</v>
      </c>
      <c r="E139" s="49">
        <v>6419324700</v>
      </c>
      <c r="F139" s="49">
        <f t="shared" si="39"/>
        <v>0.170946124192833</v>
      </c>
      <c r="G139" s="49">
        <f t="shared" si="40"/>
        <v>0.170946124192833</v>
      </c>
      <c r="H139" s="48">
        <v>288500</v>
      </c>
      <c r="I139" s="48">
        <v>285500</v>
      </c>
      <c r="J139" s="51">
        <v>125395903</v>
      </c>
      <c r="K139" s="48">
        <f t="shared" si="41"/>
        <v>1.34511125821281</v>
      </c>
      <c r="L139" s="48">
        <f t="shared" si="42"/>
        <v>1.34511125821281</v>
      </c>
      <c r="M139" s="49">
        <v>231700</v>
      </c>
      <c r="N139" s="49">
        <v>224400</v>
      </c>
      <c r="O139" s="49">
        <v>15956260</v>
      </c>
      <c r="P139" s="49">
        <f t="shared" si="43"/>
        <v>27.234779000652601</v>
      </c>
      <c r="Q139" s="49">
        <f t="shared" si="44"/>
        <v>27.234779000652601</v>
      </c>
      <c r="R139" s="48">
        <v>0</v>
      </c>
      <c r="S139" s="48"/>
      <c r="T139" s="48">
        <v>0</v>
      </c>
      <c r="U139" s="48">
        <v>0</v>
      </c>
      <c r="V139" s="48"/>
      <c r="W139" s="49">
        <v>1</v>
      </c>
      <c r="X139" s="49">
        <v>1</v>
      </c>
      <c r="Y139" s="49">
        <v>100000000</v>
      </c>
      <c r="Z139" s="49">
        <f t="shared" si="45"/>
        <v>1365114.194686</v>
      </c>
      <c r="AA139" s="49">
        <f t="shared" si="46"/>
        <v>1365114.194686</v>
      </c>
      <c r="AB139" s="82">
        <f t="shared" si="35"/>
        <v>0</v>
      </c>
      <c r="AC139" s="82">
        <f t="shared" si="36"/>
        <v>293290345052745.87</v>
      </c>
      <c r="AD139" s="81">
        <f t="shared" si="34"/>
        <v>334253219272455.5</v>
      </c>
      <c r="AE139" s="80">
        <f t="shared" si="37"/>
        <v>1139.6666303909283</v>
      </c>
      <c r="AF139" s="52">
        <f t="shared" si="47"/>
        <v>-9.1151431394344094E-3</v>
      </c>
      <c r="AG139" s="48">
        <f t="shared" si="38"/>
        <v>1.1727078891257996E-2</v>
      </c>
      <c r="AH139" s="48">
        <f t="shared" si="48"/>
        <v>-1.0398613518197574E-2</v>
      </c>
      <c r="AI139" s="48">
        <f t="shared" si="49"/>
        <v>-3.1506258092360809E-2</v>
      </c>
      <c r="AJ139" s="48">
        <f t="shared" si="50"/>
        <v>0</v>
      </c>
    </row>
    <row r="140" spans="1:36" x14ac:dyDescent="0.3">
      <c r="A140" s="48">
        <v>20180723</v>
      </c>
      <c r="B140" s="48" t="s">
        <v>88</v>
      </c>
      <c r="C140" s="49">
        <v>47450</v>
      </c>
      <c r="D140" s="49">
        <v>46500</v>
      </c>
      <c r="E140" s="49">
        <v>6419324700</v>
      </c>
      <c r="F140" s="49">
        <f t="shared" si="39"/>
        <v>0.170946124192833</v>
      </c>
      <c r="G140" s="49">
        <f t="shared" si="40"/>
        <v>0.170946124192833</v>
      </c>
      <c r="H140" s="48">
        <v>285500</v>
      </c>
      <c r="I140" s="48">
        <v>267500</v>
      </c>
      <c r="J140" s="51">
        <v>125395903</v>
      </c>
      <c r="K140" s="48">
        <f t="shared" si="41"/>
        <v>1.34511125821281</v>
      </c>
      <c r="L140" s="48">
        <f t="shared" si="42"/>
        <v>1.34511125821281</v>
      </c>
      <c r="M140" s="49">
        <v>224400</v>
      </c>
      <c r="N140" s="49">
        <v>209500</v>
      </c>
      <c r="O140" s="49">
        <v>15956260</v>
      </c>
      <c r="P140" s="49">
        <f t="shared" si="43"/>
        <v>27.234779000652601</v>
      </c>
      <c r="Q140" s="49">
        <f t="shared" si="44"/>
        <v>27.234779000652601</v>
      </c>
      <c r="R140" s="48">
        <v>0</v>
      </c>
      <c r="S140" s="48"/>
      <c r="T140" s="48">
        <v>0</v>
      </c>
      <c r="U140" s="48">
        <v>0</v>
      </c>
      <c r="V140" s="48"/>
      <c r="W140" s="49">
        <v>1</v>
      </c>
      <c r="X140" s="49">
        <v>1</v>
      </c>
      <c r="Y140" s="49">
        <v>100000000</v>
      </c>
      <c r="Z140" s="49">
        <f t="shared" si="45"/>
        <v>1365114.194686</v>
      </c>
      <c r="AA140" s="49">
        <f t="shared" si="46"/>
        <v>1365114.194686</v>
      </c>
      <c r="AB140" s="82">
        <f t="shared" si="35"/>
        <v>0</v>
      </c>
      <c r="AC140" s="82">
        <f t="shared" si="36"/>
        <v>293290345052745.87</v>
      </c>
      <c r="AD140" s="81">
        <f t="shared" si="34"/>
        <v>323699620893285.5</v>
      </c>
      <c r="AE140" s="80">
        <f t="shared" si="37"/>
        <v>1103.6831806893294</v>
      </c>
      <c r="AF140" s="52">
        <f t="shared" si="47"/>
        <v>-3.1573662632603181E-2</v>
      </c>
      <c r="AG140" s="48">
        <f t="shared" si="38"/>
        <v>-2.0021074815595362E-2</v>
      </c>
      <c r="AH140" s="48">
        <f t="shared" si="48"/>
        <v>-6.3047285464098074E-2</v>
      </c>
      <c r="AI140" s="48">
        <f t="shared" si="49"/>
        <v>-6.6399286987522288E-2</v>
      </c>
      <c r="AJ140" s="48">
        <f t="shared" si="50"/>
        <v>0</v>
      </c>
    </row>
    <row r="141" spans="1:36" x14ac:dyDescent="0.3">
      <c r="A141" s="48">
        <v>20180724</v>
      </c>
      <c r="B141" s="48" t="s">
        <v>88</v>
      </c>
      <c r="C141" s="49">
        <v>46500</v>
      </c>
      <c r="D141" s="49">
        <v>46150</v>
      </c>
      <c r="E141" s="49">
        <v>6419324700</v>
      </c>
      <c r="F141" s="49">
        <f t="shared" si="39"/>
        <v>0.170946124192833</v>
      </c>
      <c r="G141" s="49">
        <f t="shared" si="40"/>
        <v>0.170946124192833</v>
      </c>
      <c r="H141" s="48">
        <v>267500</v>
      </c>
      <c r="I141" s="48">
        <v>265000</v>
      </c>
      <c r="J141" s="51">
        <v>125395903</v>
      </c>
      <c r="K141" s="48">
        <f t="shared" si="41"/>
        <v>1.34511125821281</v>
      </c>
      <c r="L141" s="48">
        <f t="shared" si="42"/>
        <v>1.34511125821281</v>
      </c>
      <c r="M141" s="49">
        <v>209500</v>
      </c>
      <c r="N141" s="49">
        <v>204300</v>
      </c>
      <c r="O141" s="49">
        <v>15956260</v>
      </c>
      <c r="P141" s="49">
        <f t="shared" si="43"/>
        <v>27.234779000652601</v>
      </c>
      <c r="Q141" s="49">
        <f t="shared" si="44"/>
        <v>27.234779000652601</v>
      </c>
      <c r="R141" s="48">
        <v>0</v>
      </c>
      <c r="S141" s="48"/>
      <c r="T141" s="48">
        <v>0</v>
      </c>
      <c r="U141" s="48">
        <v>0</v>
      </c>
      <c r="V141" s="48"/>
      <c r="W141" s="49">
        <v>1</v>
      </c>
      <c r="X141" s="49">
        <v>1</v>
      </c>
      <c r="Y141" s="49">
        <v>100000000</v>
      </c>
      <c r="Z141" s="49">
        <f t="shared" si="45"/>
        <v>1365114.194686</v>
      </c>
      <c r="AA141" s="49">
        <f t="shared" si="46"/>
        <v>1365114.194686</v>
      </c>
      <c r="AB141" s="82">
        <f t="shared" si="35"/>
        <v>0</v>
      </c>
      <c r="AC141" s="82">
        <f t="shared" si="36"/>
        <v>293290345052745.87</v>
      </c>
      <c r="AD141" s="81">
        <f t="shared" si="34"/>
        <v>320634127637207.62</v>
      </c>
      <c r="AE141" s="80">
        <f t="shared" si="37"/>
        <v>1093.2311037362795</v>
      </c>
      <c r="AF141" s="52">
        <f t="shared" si="47"/>
        <v>-9.4701787033865184E-3</v>
      </c>
      <c r="AG141" s="48">
        <f t="shared" si="38"/>
        <v>-7.526881720430108E-3</v>
      </c>
      <c r="AH141" s="48">
        <f t="shared" si="48"/>
        <v>-9.3457943925233638E-3</v>
      </c>
      <c r="AI141" s="48">
        <f t="shared" si="49"/>
        <v>-2.4821002386634844E-2</v>
      </c>
      <c r="AJ141" s="48">
        <f t="shared" si="50"/>
        <v>0</v>
      </c>
    </row>
    <row r="142" spans="1:36" x14ac:dyDescent="0.3">
      <c r="A142" s="48">
        <v>20180725</v>
      </c>
      <c r="B142" s="48" t="s">
        <v>88</v>
      </c>
      <c r="C142" s="49">
        <v>46150</v>
      </c>
      <c r="D142" s="49">
        <v>46150</v>
      </c>
      <c r="E142" s="49">
        <v>6419324700</v>
      </c>
      <c r="F142" s="49">
        <f t="shared" si="39"/>
        <v>0.170946124192833</v>
      </c>
      <c r="G142" s="49">
        <f t="shared" si="40"/>
        <v>0.170946124192833</v>
      </c>
      <c r="H142" s="48">
        <v>265000</v>
      </c>
      <c r="I142" s="48">
        <v>251000</v>
      </c>
      <c r="J142" s="51">
        <v>125395903</v>
      </c>
      <c r="K142" s="48">
        <f t="shared" si="41"/>
        <v>1.34511125821281</v>
      </c>
      <c r="L142" s="48">
        <f t="shared" si="42"/>
        <v>1.34511125821281</v>
      </c>
      <c r="M142" s="49">
        <v>204300</v>
      </c>
      <c r="N142" s="49">
        <v>193600</v>
      </c>
      <c r="O142" s="49">
        <v>15956260</v>
      </c>
      <c r="P142" s="49">
        <f t="shared" si="43"/>
        <v>27.234779000652601</v>
      </c>
      <c r="Q142" s="49">
        <f t="shared" si="44"/>
        <v>27.234779000652601</v>
      </c>
      <c r="R142" s="48">
        <v>0</v>
      </c>
      <c r="S142" s="48"/>
      <c r="T142" s="48">
        <v>0</v>
      </c>
      <c r="U142" s="48">
        <v>0</v>
      </c>
      <c r="V142" s="48"/>
      <c r="W142" s="49">
        <v>1</v>
      </c>
      <c r="X142" s="49">
        <v>1</v>
      </c>
      <c r="Y142" s="49">
        <v>100000000</v>
      </c>
      <c r="Z142" s="49">
        <f t="shared" si="45"/>
        <v>1365114.194686</v>
      </c>
      <c r="AA142" s="49">
        <f t="shared" si="46"/>
        <v>1365114.194686</v>
      </c>
      <c r="AB142" s="82">
        <f t="shared" si="35"/>
        <v>0</v>
      </c>
      <c r="AC142" s="82">
        <f t="shared" si="36"/>
        <v>293290345052745.87</v>
      </c>
      <c r="AD142" s="81">
        <f t="shared" si="34"/>
        <v>313622879667067.31</v>
      </c>
      <c r="AE142" s="80">
        <f t="shared" si="37"/>
        <v>1069.3256186481856</v>
      </c>
      <c r="AF142" s="52">
        <f t="shared" si="47"/>
        <v>-2.1866817552476638E-2</v>
      </c>
      <c r="AG142" s="48">
        <f t="shared" si="38"/>
        <v>0</v>
      </c>
      <c r="AH142" s="48">
        <f t="shared" si="48"/>
        <v>-5.2830188679245285E-2</v>
      </c>
      <c r="AI142" s="48">
        <f t="shared" si="49"/>
        <v>-5.2373959862946649E-2</v>
      </c>
      <c r="AJ142" s="48">
        <f t="shared" si="50"/>
        <v>0</v>
      </c>
    </row>
    <row r="143" spans="1:36" x14ac:dyDescent="0.3">
      <c r="A143" s="48">
        <v>20180726</v>
      </c>
      <c r="B143" s="48" t="s">
        <v>88</v>
      </c>
      <c r="C143" s="49">
        <v>46150</v>
      </c>
      <c r="D143" s="49">
        <v>46900</v>
      </c>
      <c r="E143" s="49">
        <v>6419324700</v>
      </c>
      <c r="F143" s="49">
        <f t="shared" si="39"/>
        <v>0.170946124192833</v>
      </c>
      <c r="G143" s="49">
        <f t="shared" si="40"/>
        <v>0.170946124192833</v>
      </c>
      <c r="H143" s="48">
        <v>251000</v>
      </c>
      <c r="I143" s="48">
        <v>254500</v>
      </c>
      <c r="J143" s="51">
        <v>125395903</v>
      </c>
      <c r="K143" s="48">
        <f t="shared" si="41"/>
        <v>1.34511125821281</v>
      </c>
      <c r="L143" s="48">
        <f t="shared" si="42"/>
        <v>1.34511125821281</v>
      </c>
      <c r="M143" s="49">
        <v>193600</v>
      </c>
      <c r="N143" s="49">
        <v>198400</v>
      </c>
      <c r="O143" s="49">
        <v>15956260</v>
      </c>
      <c r="P143" s="49">
        <f t="shared" si="43"/>
        <v>27.234779000652601</v>
      </c>
      <c r="Q143" s="49">
        <f t="shared" si="44"/>
        <v>27.234779000652601</v>
      </c>
      <c r="R143" s="48">
        <v>0</v>
      </c>
      <c r="S143" s="48"/>
      <c r="T143" s="48">
        <v>0</v>
      </c>
      <c r="U143" s="48">
        <v>0</v>
      </c>
      <c r="V143" s="48"/>
      <c r="W143" s="49">
        <v>1</v>
      </c>
      <c r="X143" s="49">
        <v>1</v>
      </c>
      <c r="Y143" s="49">
        <v>100000000</v>
      </c>
      <c r="Z143" s="49">
        <f t="shared" si="45"/>
        <v>1365114.194686</v>
      </c>
      <c r="AA143" s="49">
        <f t="shared" si="46"/>
        <v>1365114.194686</v>
      </c>
      <c r="AB143" s="82">
        <f t="shared" si="35"/>
        <v>0</v>
      </c>
      <c r="AC143" s="82">
        <f t="shared" si="36"/>
        <v>293290345052745.87</v>
      </c>
      <c r="AD143" s="81">
        <f t="shared" si="34"/>
        <v>317122161749053.69</v>
      </c>
      <c r="AE143" s="80">
        <f t="shared" si="37"/>
        <v>1081.2567378991691</v>
      </c>
      <c r="AF143" s="52">
        <f t="shared" si="47"/>
        <v>1.1157610967991748E-2</v>
      </c>
      <c r="AG143" s="48">
        <f t="shared" si="38"/>
        <v>1.6251354279523293E-2</v>
      </c>
      <c r="AH143" s="48">
        <f t="shared" si="48"/>
        <v>1.3944223107569721E-2</v>
      </c>
      <c r="AI143" s="48">
        <f t="shared" si="49"/>
        <v>2.4793388429752067E-2</v>
      </c>
      <c r="AJ143" s="48">
        <f t="shared" si="50"/>
        <v>0</v>
      </c>
    </row>
    <row r="144" spans="1:36" x14ac:dyDescent="0.3">
      <c r="A144" s="48">
        <v>20180727</v>
      </c>
      <c r="B144" s="48" t="s">
        <v>88</v>
      </c>
      <c r="C144" s="49">
        <v>46900</v>
      </c>
      <c r="D144" s="49">
        <v>46900</v>
      </c>
      <c r="E144" s="49">
        <v>6419324700</v>
      </c>
      <c r="F144" s="49">
        <f t="shared" si="39"/>
        <v>0.170946124192833</v>
      </c>
      <c r="G144" s="49">
        <f t="shared" si="40"/>
        <v>0.170946124192833</v>
      </c>
      <c r="H144" s="48">
        <v>254500</v>
      </c>
      <c r="I144" s="48">
        <v>256500</v>
      </c>
      <c r="J144" s="51">
        <v>125395903</v>
      </c>
      <c r="K144" s="48">
        <f t="shared" si="41"/>
        <v>1.34511125821281</v>
      </c>
      <c r="L144" s="48">
        <f t="shared" si="42"/>
        <v>1.34511125821281</v>
      </c>
      <c r="M144" s="49">
        <v>198400</v>
      </c>
      <c r="N144" s="49">
        <v>199500</v>
      </c>
      <c r="O144" s="49">
        <v>15956260</v>
      </c>
      <c r="P144" s="49">
        <f t="shared" si="43"/>
        <v>27.234779000652601</v>
      </c>
      <c r="Q144" s="49">
        <f t="shared" si="44"/>
        <v>27.234779000652601</v>
      </c>
      <c r="R144" s="48">
        <v>0</v>
      </c>
      <c r="S144" s="48"/>
      <c r="T144" s="48">
        <v>0</v>
      </c>
      <c r="U144" s="48">
        <v>0</v>
      </c>
      <c r="V144" s="48"/>
      <c r="W144" s="49">
        <v>1</v>
      </c>
      <c r="X144" s="49">
        <v>1</v>
      </c>
      <c r="Y144" s="49">
        <v>100000000</v>
      </c>
      <c r="Z144" s="49">
        <f t="shared" si="45"/>
        <v>1365114.194686</v>
      </c>
      <c r="AA144" s="49">
        <f t="shared" si="46"/>
        <v>1365114.194686</v>
      </c>
      <c r="AB144" s="82">
        <f t="shared" si="35"/>
        <v>0</v>
      </c>
      <c r="AC144" s="82">
        <f t="shared" si="36"/>
        <v>293290345052745.87</v>
      </c>
      <c r="AD144" s="81">
        <f t="shared" si="34"/>
        <v>317937526367026.44</v>
      </c>
      <c r="AE144" s="80">
        <f t="shared" si="37"/>
        <v>1084.0367974262772</v>
      </c>
      <c r="AF144" s="52">
        <f t="shared" si="47"/>
        <v>2.5711372976131236E-3</v>
      </c>
      <c r="AG144" s="48">
        <f t="shared" si="38"/>
        <v>0</v>
      </c>
      <c r="AH144" s="48">
        <f t="shared" si="48"/>
        <v>7.8585461689587421E-3</v>
      </c>
      <c r="AI144" s="48">
        <f t="shared" si="49"/>
        <v>5.5443548387096777E-3</v>
      </c>
      <c r="AJ144" s="48">
        <f t="shared" si="50"/>
        <v>0</v>
      </c>
    </row>
    <row r="145" spans="1:36" x14ac:dyDescent="0.3">
      <c r="A145" s="48">
        <v>20180730</v>
      </c>
      <c r="B145" s="48" t="s">
        <v>88</v>
      </c>
      <c r="C145" s="49">
        <v>46900</v>
      </c>
      <c r="D145" s="49">
        <v>46500</v>
      </c>
      <c r="E145" s="49">
        <v>6419324700</v>
      </c>
      <c r="F145" s="49">
        <f t="shared" si="39"/>
        <v>0.170946124192833</v>
      </c>
      <c r="G145" s="49">
        <f t="shared" si="40"/>
        <v>0.170946124192833</v>
      </c>
      <c r="H145" s="48">
        <v>256500</v>
      </c>
      <c r="I145" s="48">
        <v>258000</v>
      </c>
      <c r="J145" s="51">
        <v>125395903</v>
      </c>
      <c r="K145" s="48">
        <f t="shared" si="41"/>
        <v>1.34511125821281</v>
      </c>
      <c r="L145" s="48">
        <f t="shared" si="42"/>
        <v>1.34511125821281</v>
      </c>
      <c r="M145" s="49">
        <v>199500</v>
      </c>
      <c r="N145" s="49">
        <v>192300</v>
      </c>
      <c r="O145" s="49">
        <v>15956260</v>
      </c>
      <c r="P145" s="49">
        <f t="shared" si="43"/>
        <v>27.234779000652601</v>
      </c>
      <c r="Q145" s="49">
        <f t="shared" si="44"/>
        <v>27.234779000652601</v>
      </c>
      <c r="R145" s="48">
        <v>0</v>
      </c>
      <c r="S145" s="48"/>
      <c r="T145" s="48">
        <v>0</v>
      </c>
      <c r="U145" s="48">
        <v>0</v>
      </c>
      <c r="V145" s="48"/>
      <c r="W145" s="49">
        <v>1</v>
      </c>
      <c r="X145" s="49">
        <v>1</v>
      </c>
      <c r="Y145" s="49">
        <v>100000000</v>
      </c>
      <c r="Z145" s="49">
        <f t="shared" si="45"/>
        <v>1365114.194686</v>
      </c>
      <c r="AA145" s="49">
        <f t="shared" si="46"/>
        <v>1365114.194686</v>
      </c>
      <c r="AB145" s="82">
        <f t="shared" si="35"/>
        <v>0</v>
      </c>
      <c r="AC145" s="82">
        <f t="shared" si="36"/>
        <v>293290345052745.87</v>
      </c>
      <c r="AD145" s="81">
        <f t="shared" si="34"/>
        <v>314622720510960.81</v>
      </c>
      <c r="AE145" s="80">
        <f t="shared" si="37"/>
        <v>1072.7346665788759</v>
      </c>
      <c r="AF145" s="52">
        <f t="shared" si="47"/>
        <v>-1.0425966050446631E-2</v>
      </c>
      <c r="AG145" s="48">
        <f t="shared" si="38"/>
        <v>-8.5287846481876331E-3</v>
      </c>
      <c r="AH145" s="48">
        <f t="shared" si="48"/>
        <v>5.8479532163742687E-3</v>
      </c>
      <c r="AI145" s="48">
        <f t="shared" si="49"/>
        <v>-3.6090225563909777E-2</v>
      </c>
      <c r="AJ145" s="48">
        <f t="shared" si="50"/>
        <v>0</v>
      </c>
    </row>
    <row r="146" spans="1:36" x14ac:dyDescent="0.3">
      <c r="A146" s="48">
        <v>20180731</v>
      </c>
      <c r="B146" s="48" t="s">
        <v>88</v>
      </c>
      <c r="C146" s="49">
        <v>46500</v>
      </c>
      <c r="D146" s="49">
        <v>46250</v>
      </c>
      <c r="E146" s="49">
        <v>6419324700</v>
      </c>
      <c r="F146" s="49">
        <f t="shared" si="39"/>
        <v>0.170946124192833</v>
      </c>
      <c r="G146" s="49">
        <f t="shared" si="40"/>
        <v>0.170946124192833</v>
      </c>
      <c r="H146" s="48">
        <v>258000</v>
      </c>
      <c r="I146" s="48">
        <v>271500</v>
      </c>
      <c r="J146" s="51">
        <v>125395903</v>
      </c>
      <c r="K146" s="48">
        <f t="shared" si="41"/>
        <v>1.34511125821281</v>
      </c>
      <c r="L146" s="48">
        <f t="shared" si="42"/>
        <v>1.34511125821281</v>
      </c>
      <c r="M146" s="49">
        <v>192300</v>
      </c>
      <c r="N146" s="49">
        <v>199600</v>
      </c>
      <c r="O146" s="49">
        <v>15956260</v>
      </c>
      <c r="P146" s="49">
        <f t="shared" si="43"/>
        <v>27.234779000652601</v>
      </c>
      <c r="Q146" s="49">
        <f t="shared" si="44"/>
        <v>27.234779000652601</v>
      </c>
      <c r="R146" s="48">
        <v>0</v>
      </c>
      <c r="S146" s="48"/>
      <c r="T146" s="48">
        <v>0</v>
      </c>
      <c r="U146" s="48">
        <v>0</v>
      </c>
      <c r="V146" s="48"/>
      <c r="W146" s="49">
        <v>1</v>
      </c>
      <c r="X146" s="49">
        <v>1</v>
      </c>
      <c r="Y146" s="49">
        <v>100000000</v>
      </c>
      <c r="Z146" s="49">
        <f t="shared" si="45"/>
        <v>1365114.194686</v>
      </c>
      <c r="AA146" s="49">
        <f t="shared" si="46"/>
        <v>1365114.194686</v>
      </c>
      <c r="AB146" s="82">
        <f t="shared" si="35"/>
        <v>0</v>
      </c>
      <c r="AC146" s="82">
        <f t="shared" si="36"/>
        <v>293290345052745.87</v>
      </c>
      <c r="AD146" s="81">
        <f t="shared" si="34"/>
        <v>319797771361079.81</v>
      </c>
      <c r="AE146" s="80">
        <f t="shared" si="37"/>
        <v>1090.3794712491024</v>
      </c>
      <c r="AF146" s="52">
        <f t="shared" si="47"/>
        <v>1.6448433354445961E-2</v>
      </c>
      <c r="AG146" s="48">
        <f t="shared" si="38"/>
        <v>-5.3763440860215058E-3</v>
      </c>
      <c r="AH146" s="48">
        <f t="shared" si="48"/>
        <v>5.232558139534884E-2</v>
      </c>
      <c r="AI146" s="48">
        <f t="shared" si="49"/>
        <v>3.7961518460738426E-2</v>
      </c>
      <c r="AJ146" s="48">
        <f t="shared" si="50"/>
        <v>0</v>
      </c>
    </row>
    <row r="147" spans="1:36" x14ac:dyDescent="0.3">
      <c r="A147" s="48">
        <v>20180801</v>
      </c>
      <c r="B147" s="48" t="s">
        <v>88</v>
      </c>
      <c r="C147" s="49">
        <v>46250</v>
      </c>
      <c r="D147" s="49">
        <v>46550</v>
      </c>
      <c r="E147" s="49">
        <v>6419324700</v>
      </c>
      <c r="F147" s="49">
        <f t="shared" si="39"/>
        <v>0.170946124192833</v>
      </c>
      <c r="G147" s="49">
        <f t="shared" si="40"/>
        <v>0.170946124192833</v>
      </c>
      <c r="H147" s="48">
        <v>271500</v>
      </c>
      <c r="I147" s="48">
        <v>280500</v>
      </c>
      <c r="J147" s="51">
        <v>125395903</v>
      </c>
      <c r="K147" s="48">
        <f t="shared" si="41"/>
        <v>1.34511125821281</v>
      </c>
      <c r="L147" s="48">
        <f t="shared" si="42"/>
        <v>1.34511125821281</v>
      </c>
      <c r="M147" s="49">
        <v>199600</v>
      </c>
      <c r="N147" s="49">
        <v>207200</v>
      </c>
      <c r="O147" s="49">
        <v>15956260</v>
      </c>
      <c r="P147" s="49">
        <f t="shared" si="43"/>
        <v>27.234779000652601</v>
      </c>
      <c r="Q147" s="49">
        <f t="shared" si="44"/>
        <v>27.234779000652601</v>
      </c>
      <c r="R147" s="48">
        <v>0</v>
      </c>
      <c r="S147" s="48"/>
      <c r="T147" s="48">
        <v>0</v>
      </c>
      <c r="U147" s="48">
        <v>0</v>
      </c>
      <c r="V147" s="48"/>
      <c r="W147" s="49">
        <v>1</v>
      </c>
      <c r="X147" s="49">
        <v>1</v>
      </c>
      <c r="Y147" s="49">
        <v>100000000</v>
      </c>
      <c r="Z147" s="49">
        <f t="shared" si="45"/>
        <v>1365114.194686</v>
      </c>
      <c r="AA147" s="49">
        <f t="shared" si="46"/>
        <v>1365114.194686</v>
      </c>
      <c r="AB147" s="82">
        <f t="shared" si="35"/>
        <v>0</v>
      </c>
      <c r="AC147" s="82">
        <f t="shared" si="36"/>
        <v>293290345052745.87</v>
      </c>
      <c r="AD147" s="81">
        <f t="shared" si="34"/>
        <v>324947717564336.31</v>
      </c>
      <c r="AE147" s="80">
        <f t="shared" si="37"/>
        <v>1107.9386793516751</v>
      </c>
      <c r="AF147" s="52">
        <f t="shared" si="47"/>
        <v>1.610375888905673E-2</v>
      </c>
      <c r="AG147" s="48">
        <f t="shared" si="38"/>
        <v>6.4864864864864862E-3</v>
      </c>
      <c r="AH147" s="48">
        <f t="shared" si="48"/>
        <v>3.3149171270718231E-2</v>
      </c>
      <c r="AI147" s="48">
        <f t="shared" si="49"/>
        <v>3.8076152304609222E-2</v>
      </c>
      <c r="AJ147" s="48">
        <f t="shared" si="50"/>
        <v>0</v>
      </c>
    </row>
    <row r="148" spans="1:36" x14ac:dyDescent="0.3">
      <c r="A148" s="48">
        <v>20180802</v>
      </c>
      <c r="B148" s="48" t="s">
        <v>88</v>
      </c>
      <c r="C148" s="49">
        <v>46550</v>
      </c>
      <c r="D148" s="49">
        <v>45550</v>
      </c>
      <c r="E148" s="49">
        <v>6419324700</v>
      </c>
      <c r="F148" s="49">
        <f t="shared" si="39"/>
        <v>0.170946124192833</v>
      </c>
      <c r="G148" s="49">
        <f t="shared" si="40"/>
        <v>0.170946124192833</v>
      </c>
      <c r="H148" s="48">
        <v>280500</v>
      </c>
      <c r="I148" s="48">
        <v>281500</v>
      </c>
      <c r="J148" s="51">
        <v>125395903</v>
      </c>
      <c r="K148" s="48">
        <f t="shared" si="41"/>
        <v>1.34511125821281</v>
      </c>
      <c r="L148" s="48">
        <f t="shared" si="42"/>
        <v>1.34511125821281</v>
      </c>
      <c r="M148" s="49">
        <v>207200</v>
      </c>
      <c r="N148" s="49">
        <v>198300</v>
      </c>
      <c r="O148" s="49">
        <v>15956260</v>
      </c>
      <c r="P148" s="49">
        <f t="shared" si="43"/>
        <v>27.234779000652601</v>
      </c>
      <c r="Q148" s="49">
        <f t="shared" si="44"/>
        <v>27.234779000652601</v>
      </c>
      <c r="R148" s="48">
        <v>0</v>
      </c>
      <c r="S148" s="48"/>
      <c r="T148" s="48">
        <v>0</v>
      </c>
      <c r="U148" s="48">
        <v>0</v>
      </c>
      <c r="V148" s="48"/>
      <c r="W148" s="49">
        <v>1</v>
      </c>
      <c r="X148" s="49">
        <v>1</v>
      </c>
      <c r="Y148" s="49">
        <v>100000000</v>
      </c>
      <c r="Z148" s="49">
        <f t="shared" si="45"/>
        <v>1365114.194686</v>
      </c>
      <c r="AA148" s="49">
        <f t="shared" si="46"/>
        <v>1365114.194686</v>
      </c>
      <c r="AB148" s="82">
        <f t="shared" si="35"/>
        <v>0</v>
      </c>
      <c r="AC148" s="82">
        <f t="shared" si="36"/>
        <v>293290345052745.87</v>
      </c>
      <c r="AD148" s="81">
        <f t="shared" si="34"/>
        <v>320151399916280.19</v>
      </c>
      <c r="AE148" s="80">
        <f t="shared" si="37"/>
        <v>1091.5851998425094</v>
      </c>
      <c r="AF148" s="52">
        <f t="shared" si="47"/>
        <v>-1.4760274926709087E-2</v>
      </c>
      <c r="AG148" s="48">
        <f t="shared" si="38"/>
        <v>-2.1482277121374866E-2</v>
      </c>
      <c r="AH148" s="48">
        <f t="shared" si="48"/>
        <v>3.5650623885918001E-3</v>
      </c>
      <c r="AI148" s="48">
        <f t="shared" si="49"/>
        <v>-4.2953667953667951E-2</v>
      </c>
      <c r="AJ148" s="48">
        <f t="shared" si="50"/>
        <v>0</v>
      </c>
    </row>
    <row r="149" spans="1:36" x14ac:dyDescent="0.3">
      <c r="A149" s="48">
        <v>20180803</v>
      </c>
      <c r="B149" s="48" t="s">
        <v>88</v>
      </c>
      <c r="C149" s="49">
        <v>45550</v>
      </c>
      <c r="D149" s="49">
        <v>45750</v>
      </c>
      <c r="E149" s="49">
        <v>6419324700</v>
      </c>
      <c r="F149" s="49">
        <f t="shared" si="39"/>
        <v>0.170946124192833</v>
      </c>
      <c r="G149" s="49">
        <f t="shared" si="40"/>
        <v>0.170946124192833</v>
      </c>
      <c r="H149" s="48">
        <v>281500</v>
      </c>
      <c r="I149" s="48">
        <v>280500</v>
      </c>
      <c r="J149" s="51">
        <v>125395903</v>
      </c>
      <c r="K149" s="48">
        <f t="shared" si="41"/>
        <v>1.34511125821281</v>
      </c>
      <c r="L149" s="48">
        <f t="shared" si="42"/>
        <v>1.34511125821281</v>
      </c>
      <c r="M149" s="49">
        <v>198300</v>
      </c>
      <c r="N149" s="49">
        <v>207700</v>
      </c>
      <c r="O149" s="49">
        <v>15956260</v>
      </c>
      <c r="P149" s="49">
        <f t="shared" si="43"/>
        <v>27.234779000652601</v>
      </c>
      <c r="Q149" s="49">
        <f t="shared" si="44"/>
        <v>27.234779000652601</v>
      </c>
      <c r="R149" s="48">
        <v>0</v>
      </c>
      <c r="S149" s="48"/>
      <c r="T149" s="48">
        <v>0</v>
      </c>
      <c r="U149" s="48">
        <v>0</v>
      </c>
      <c r="V149" s="48"/>
      <c r="W149" s="49">
        <v>1</v>
      </c>
      <c r="X149" s="49">
        <v>1</v>
      </c>
      <c r="Y149" s="49">
        <v>100000000</v>
      </c>
      <c r="Z149" s="49">
        <f t="shared" si="45"/>
        <v>1365114.194686</v>
      </c>
      <c r="AA149" s="49">
        <f t="shared" si="46"/>
        <v>1365114.194686</v>
      </c>
      <c r="AB149" s="82">
        <f t="shared" si="35"/>
        <v>0</v>
      </c>
      <c r="AC149" s="82">
        <f t="shared" si="36"/>
        <v>293290345052745.87</v>
      </c>
      <c r="AD149" s="81">
        <f t="shared" si="34"/>
        <v>324287113229804.56</v>
      </c>
      <c r="AE149" s="80">
        <f t="shared" si="37"/>
        <v>1105.6862890303605</v>
      </c>
      <c r="AF149" s="52">
        <f t="shared" si="47"/>
        <v>1.2917992283044506E-2</v>
      </c>
      <c r="AG149" s="48">
        <f t="shared" si="38"/>
        <v>4.3907793633369925E-3</v>
      </c>
      <c r="AH149" s="48">
        <f t="shared" si="48"/>
        <v>-3.552397868561279E-3</v>
      </c>
      <c r="AI149" s="48">
        <f t="shared" si="49"/>
        <v>4.7402924861321229E-2</v>
      </c>
      <c r="AJ149" s="48">
        <f t="shared" si="50"/>
        <v>0</v>
      </c>
    </row>
    <row r="150" spans="1:36" x14ac:dyDescent="0.3">
      <c r="A150" s="48">
        <v>20180806</v>
      </c>
      <c r="B150" s="48" t="s">
        <v>88</v>
      </c>
      <c r="C150" s="49">
        <v>45750</v>
      </c>
      <c r="D150" s="49">
        <v>45800</v>
      </c>
      <c r="E150" s="49">
        <v>6419324700</v>
      </c>
      <c r="F150" s="49">
        <f t="shared" si="39"/>
        <v>0.170946124192833</v>
      </c>
      <c r="G150" s="49">
        <f t="shared" si="40"/>
        <v>0.170946124192833</v>
      </c>
      <c r="H150" s="48">
        <v>280500</v>
      </c>
      <c r="I150" s="48">
        <v>274000</v>
      </c>
      <c r="J150" s="51">
        <v>125395903</v>
      </c>
      <c r="K150" s="48">
        <f t="shared" si="41"/>
        <v>1.34511125821281</v>
      </c>
      <c r="L150" s="48">
        <f t="shared" si="42"/>
        <v>1.34511125821281</v>
      </c>
      <c r="M150" s="49">
        <v>207700</v>
      </c>
      <c r="N150" s="49">
        <v>198700</v>
      </c>
      <c r="O150" s="49">
        <v>15956260</v>
      </c>
      <c r="P150" s="49">
        <f t="shared" si="43"/>
        <v>27.234779000652601</v>
      </c>
      <c r="Q150" s="49">
        <f t="shared" si="44"/>
        <v>27.234779000652601</v>
      </c>
      <c r="R150" s="48">
        <v>0</v>
      </c>
      <c r="S150" s="48"/>
      <c r="T150" s="48">
        <v>0</v>
      </c>
      <c r="U150" s="48">
        <v>0</v>
      </c>
      <c r="V150" s="48"/>
      <c r="W150" s="49">
        <v>1</v>
      </c>
      <c r="X150" s="49">
        <v>1</v>
      </c>
      <c r="Y150" s="49">
        <v>100000000</v>
      </c>
      <c r="Z150" s="49">
        <f t="shared" si="45"/>
        <v>1365114.194686</v>
      </c>
      <c r="AA150" s="49">
        <f t="shared" si="46"/>
        <v>1365114.194686</v>
      </c>
      <c r="AB150" s="82">
        <f t="shared" si="35"/>
        <v>0</v>
      </c>
      <c r="AC150" s="82">
        <f t="shared" si="36"/>
        <v>293290345052745.87</v>
      </c>
      <c r="AD150" s="81">
        <f t="shared" si="34"/>
        <v>319334529865098.12</v>
      </c>
      <c r="AE150" s="80">
        <f t="shared" si="37"/>
        <v>1088.8000074045001</v>
      </c>
      <c r="AF150" s="52">
        <f t="shared" si="47"/>
        <v>-1.5272217620306177E-2</v>
      </c>
      <c r="AG150" s="48">
        <f t="shared" si="38"/>
        <v>1.092896174863388E-3</v>
      </c>
      <c r="AH150" s="48">
        <f t="shared" si="48"/>
        <v>-2.3172905525846704E-2</v>
      </c>
      <c r="AI150" s="48">
        <f t="shared" si="49"/>
        <v>-4.3331728454501686E-2</v>
      </c>
      <c r="AJ150" s="48">
        <f t="shared" si="50"/>
        <v>0</v>
      </c>
    </row>
    <row r="151" spans="1:36" x14ac:dyDescent="0.3">
      <c r="A151" s="48">
        <v>20180807</v>
      </c>
      <c r="B151" s="48" t="s">
        <v>88</v>
      </c>
      <c r="C151" s="49">
        <v>45800</v>
      </c>
      <c r="D151" s="49">
        <v>46700</v>
      </c>
      <c r="E151" s="49">
        <v>6419324700</v>
      </c>
      <c r="F151" s="49">
        <f t="shared" si="39"/>
        <v>0.170946124192833</v>
      </c>
      <c r="G151" s="49">
        <f t="shared" si="40"/>
        <v>0.170946124192833</v>
      </c>
      <c r="H151" s="48">
        <v>274000</v>
      </c>
      <c r="I151" s="48">
        <v>274500</v>
      </c>
      <c r="J151" s="51">
        <v>125395903</v>
      </c>
      <c r="K151" s="48">
        <f t="shared" si="41"/>
        <v>1.34511125821281</v>
      </c>
      <c r="L151" s="48">
        <f t="shared" si="42"/>
        <v>1.34511125821281</v>
      </c>
      <c r="M151" s="49">
        <v>198700</v>
      </c>
      <c r="N151" s="49">
        <v>205300</v>
      </c>
      <c r="O151" s="49">
        <v>15956260</v>
      </c>
      <c r="P151" s="49">
        <f t="shared" si="43"/>
        <v>27.234779000652601</v>
      </c>
      <c r="Q151" s="49">
        <f t="shared" si="44"/>
        <v>27.234779000652601</v>
      </c>
      <c r="R151" s="48">
        <v>0</v>
      </c>
      <c r="S151" s="48"/>
      <c r="T151" s="48">
        <v>0</v>
      </c>
      <c r="U151" s="48">
        <v>0</v>
      </c>
      <c r="V151" s="48"/>
      <c r="W151" s="49">
        <v>1</v>
      </c>
      <c r="X151" s="49">
        <v>1</v>
      </c>
      <c r="Y151" s="49">
        <v>100000000</v>
      </c>
      <c r="Z151" s="49">
        <f t="shared" si="45"/>
        <v>1365114.194686</v>
      </c>
      <c r="AA151" s="49">
        <f t="shared" si="46"/>
        <v>1365114.194686</v>
      </c>
      <c r="AB151" s="82">
        <f t="shared" si="35"/>
        <v>0</v>
      </c>
      <c r="AC151" s="82">
        <f t="shared" si="36"/>
        <v>293290345052745.87</v>
      </c>
      <c r="AD151" s="81">
        <f t="shared" si="34"/>
        <v>323274618812715.81</v>
      </c>
      <c r="AE151" s="80">
        <f t="shared" si="37"/>
        <v>1102.234097595601</v>
      </c>
      <c r="AF151" s="52">
        <f t="shared" si="47"/>
        <v>1.2338436902774608E-2</v>
      </c>
      <c r="AG151" s="48">
        <f t="shared" si="38"/>
        <v>1.9650655021834062E-2</v>
      </c>
      <c r="AH151" s="48">
        <f t="shared" si="48"/>
        <v>1.8248175182481751E-3</v>
      </c>
      <c r="AI151" s="48">
        <f t="shared" si="49"/>
        <v>3.321590337191746E-2</v>
      </c>
      <c r="AJ151" s="48">
        <f t="shared" si="50"/>
        <v>0</v>
      </c>
    </row>
    <row r="152" spans="1:36" x14ac:dyDescent="0.3">
      <c r="A152" s="48">
        <v>20180808</v>
      </c>
      <c r="B152" s="48" t="s">
        <v>88</v>
      </c>
      <c r="C152" s="49">
        <v>46700</v>
      </c>
      <c r="D152" s="49">
        <v>46800</v>
      </c>
      <c r="E152" s="49">
        <v>6419324700</v>
      </c>
      <c r="F152" s="49">
        <f t="shared" si="39"/>
        <v>0.170946124192833</v>
      </c>
      <c r="G152" s="49">
        <f t="shared" si="40"/>
        <v>0.170946124192833</v>
      </c>
      <c r="H152" s="48">
        <v>274500</v>
      </c>
      <c r="I152" s="48">
        <v>276000</v>
      </c>
      <c r="J152" s="51">
        <v>125395903</v>
      </c>
      <c r="K152" s="48">
        <f t="shared" si="41"/>
        <v>1.34511125821281</v>
      </c>
      <c r="L152" s="48">
        <f t="shared" si="42"/>
        <v>1.34511125821281</v>
      </c>
      <c r="M152" s="49">
        <v>205300</v>
      </c>
      <c r="N152" s="49">
        <v>199000</v>
      </c>
      <c r="O152" s="49">
        <v>15956260</v>
      </c>
      <c r="P152" s="49">
        <f t="shared" si="43"/>
        <v>27.234779000652601</v>
      </c>
      <c r="Q152" s="49">
        <f t="shared" si="44"/>
        <v>27.234779000652601</v>
      </c>
      <c r="R152" s="48">
        <v>0</v>
      </c>
      <c r="S152" s="48"/>
      <c r="T152" s="48">
        <v>0</v>
      </c>
      <c r="U152" s="48">
        <v>0</v>
      </c>
      <c r="V152" s="48"/>
      <c r="W152" s="49">
        <v>1</v>
      </c>
      <c r="X152" s="49">
        <v>1</v>
      </c>
      <c r="Y152" s="49">
        <v>100000000</v>
      </c>
      <c r="Z152" s="49">
        <f t="shared" si="45"/>
        <v>1365114.194686</v>
      </c>
      <c r="AA152" s="49">
        <f t="shared" si="46"/>
        <v>1365114.194686</v>
      </c>
      <c r="AB152" s="82">
        <f t="shared" si="35"/>
        <v>0</v>
      </c>
      <c r="AC152" s="82">
        <f t="shared" si="36"/>
        <v>293290345052745.87</v>
      </c>
      <c r="AD152" s="81">
        <f t="shared" si="34"/>
        <v>320899600988649.62</v>
      </c>
      <c r="AE152" s="80">
        <f t="shared" si="37"/>
        <v>1094.136259176682</v>
      </c>
      <c r="AF152" s="52">
        <f t="shared" si="47"/>
        <v>-7.3467500566200957E-3</v>
      </c>
      <c r="AG152" s="48">
        <f t="shared" si="38"/>
        <v>2.1413276231263384E-3</v>
      </c>
      <c r="AH152" s="48">
        <f t="shared" si="48"/>
        <v>5.4644808743169399E-3</v>
      </c>
      <c r="AI152" s="48">
        <f t="shared" si="49"/>
        <v>-3.0686799805163176E-2</v>
      </c>
      <c r="AJ152" s="48">
        <f t="shared" si="50"/>
        <v>0</v>
      </c>
    </row>
    <row r="153" spans="1:36" x14ac:dyDescent="0.3">
      <c r="A153" s="48">
        <v>20180809</v>
      </c>
      <c r="B153" s="48" t="s">
        <v>88</v>
      </c>
      <c r="C153" s="49">
        <v>46800</v>
      </c>
      <c r="D153" s="49">
        <v>46900</v>
      </c>
      <c r="E153" s="49">
        <v>6419324700</v>
      </c>
      <c r="F153" s="49">
        <f t="shared" si="39"/>
        <v>0.170946124192833</v>
      </c>
      <c r="G153" s="49">
        <f t="shared" si="40"/>
        <v>0.170946124192833</v>
      </c>
      <c r="H153" s="48">
        <v>276000</v>
      </c>
      <c r="I153" s="48">
        <v>276000</v>
      </c>
      <c r="J153" s="51">
        <v>125395903</v>
      </c>
      <c r="K153" s="48">
        <f t="shared" si="41"/>
        <v>1.34511125821281</v>
      </c>
      <c r="L153" s="48">
        <f t="shared" si="42"/>
        <v>1.34511125821281</v>
      </c>
      <c r="M153" s="49">
        <v>199000</v>
      </c>
      <c r="N153" s="49">
        <v>203900</v>
      </c>
      <c r="O153" s="49">
        <v>15956260</v>
      </c>
      <c r="P153" s="49">
        <f t="shared" si="43"/>
        <v>27.234779000652601</v>
      </c>
      <c r="Q153" s="49">
        <f t="shared" si="44"/>
        <v>27.234779000652601</v>
      </c>
      <c r="R153" s="48">
        <v>0</v>
      </c>
      <c r="S153" s="48"/>
      <c r="T153" s="48">
        <v>0</v>
      </c>
      <c r="U153" s="48">
        <v>0</v>
      </c>
      <c r="V153" s="48"/>
      <c r="W153" s="49">
        <v>1</v>
      </c>
      <c r="X153" s="49">
        <v>1</v>
      </c>
      <c r="Y153" s="49">
        <v>100000000</v>
      </c>
      <c r="Z153" s="49">
        <f t="shared" si="45"/>
        <v>1365114.194686</v>
      </c>
      <c r="AA153" s="49">
        <f t="shared" si="46"/>
        <v>1365114.194686</v>
      </c>
      <c r="AB153" s="82">
        <f t="shared" si="35"/>
        <v>0</v>
      </c>
      <c r="AC153" s="82">
        <f t="shared" si="36"/>
        <v>293290345052745.87</v>
      </c>
      <c r="AD153" s="81">
        <f t="shared" si="34"/>
        <v>323138706408796.75</v>
      </c>
      <c r="AE153" s="80">
        <f t="shared" si="37"/>
        <v>1101.7706919424261</v>
      </c>
      <c r="AF153" s="52">
        <f t="shared" si="47"/>
        <v>6.9775886702529146E-3</v>
      </c>
      <c r="AG153" s="48">
        <f t="shared" si="38"/>
        <v>2.136752136752137E-3</v>
      </c>
      <c r="AH153" s="48">
        <f t="shared" si="48"/>
        <v>0</v>
      </c>
      <c r="AI153" s="48">
        <f t="shared" si="49"/>
        <v>2.4623115577889446E-2</v>
      </c>
      <c r="AJ153" s="48">
        <f t="shared" si="50"/>
        <v>0</v>
      </c>
    </row>
    <row r="154" spans="1:36" x14ac:dyDescent="0.3">
      <c r="A154" s="48">
        <v>20180810</v>
      </c>
      <c r="B154" s="48" t="s">
        <v>88</v>
      </c>
      <c r="C154" s="49">
        <v>46900</v>
      </c>
      <c r="D154" s="49">
        <v>45400</v>
      </c>
      <c r="E154" s="49">
        <v>6419324700</v>
      </c>
      <c r="F154" s="49">
        <f t="shared" si="39"/>
        <v>0.170946124192833</v>
      </c>
      <c r="G154" s="49">
        <f t="shared" si="40"/>
        <v>0.170946124192833</v>
      </c>
      <c r="H154" s="48">
        <v>276000</v>
      </c>
      <c r="I154" s="48">
        <v>272000</v>
      </c>
      <c r="J154" s="51">
        <v>125395903</v>
      </c>
      <c r="K154" s="48">
        <f t="shared" si="41"/>
        <v>1.34511125821281</v>
      </c>
      <c r="L154" s="48">
        <f t="shared" si="42"/>
        <v>1.34511125821281</v>
      </c>
      <c r="M154" s="49">
        <v>203900</v>
      </c>
      <c r="N154" s="49">
        <v>202500</v>
      </c>
      <c r="O154" s="49">
        <v>15956260</v>
      </c>
      <c r="P154" s="49">
        <f t="shared" si="43"/>
        <v>27.234779000652601</v>
      </c>
      <c r="Q154" s="49">
        <f t="shared" si="44"/>
        <v>27.234779000652601</v>
      </c>
      <c r="R154" s="48">
        <v>0</v>
      </c>
      <c r="S154" s="48"/>
      <c r="T154" s="48">
        <v>0</v>
      </c>
      <c r="U154" s="48">
        <v>0</v>
      </c>
      <c r="V154" s="48"/>
      <c r="W154" s="49">
        <v>1</v>
      </c>
      <c r="X154" s="49">
        <v>1</v>
      </c>
      <c r="Y154" s="49">
        <v>100000000</v>
      </c>
      <c r="Z154" s="49">
        <f t="shared" si="45"/>
        <v>1365114.194686</v>
      </c>
      <c r="AA154" s="49">
        <f t="shared" si="46"/>
        <v>1365114.194686</v>
      </c>
      <c r="AB154" s="82">
        <f t="shared" si="35"/>
        <v>0</v>
      </c>
      <c r="AC154" s="82">
        <f t="shared" si="36"/>
        <v>293290345052745.87</v>
      </c>
      <c r="AD154" s="81">
        <f t="shared" si="34"/>
        <v>320209591328572.25</v>
      </c>
      <c r="AE154" s="80">
        <f t="shared" si="37"/>
        <v>1091.7836087341543</v>
      </c>
      <c r="AF154" s="52">
        <f t="shared" si="47"/>
        <v>-9.06457512557763E-3</v>
      </c>
      <c r="AG154" s="48">
        <f t="shared" si="38"/>
        <v>-3.1982942430703626E-2</v>
      </c>
      <c r="AH154" s="48">
        <f t="shared" si="48"/>
        <v>-1.4492753623188406E-2</v>
      </c>
      <c r="AI154" s="48">
        <f t="shared" si="49"/>
        <v>-6.8661108386463953E-3</v>
      </c>
      <c r="AJ154" s="48">
        <f t="shared" si="50"/>
        <v>0</v>
      </c>
    </row>
    <row r="155" spans="1:36" x14ac:dyDescent="0.3">
      <c r="A155" s="48">
        <v>20180813</v>
      </c>
      <c r="B155" s="48" t="s">
        <v>88</v>
      </c>
      <c r="C155" s="49">
        <v>45400</v>
      </c>
      <c r="D155" s="49">
        <v>45050</v>
      </c>
      <c r="E155" s="49">
        <v>6419324700</v>
      </c>
      <c r="F155" s="49">
        <f t="shared" si="39"/>
        <v>0.170946124192833</v>
      </c>
      <c r="G155" s="49">
        <f t="shared" si="40"/>
        <v>0.170946124192833</v>
      </c>
      <c r="H155" s="48">
        <v>272000</v>
      </c>
      <c r="I155" s="48">
        <v>260500</v>
      </c>
      <c r="J155" s="51">
        <v>125395903</v>
      </c>
      <c r="K155" s="48">
        <f t="shared" si="41"/>
        <v>1.34511125821281</v>
      </c>
      <c r="L155" s="48">
        <f t="shared" si="42"/>
        <v>1.34511125821281</v>
      </c>
      <c r="M155" s="49">
        <v>202500</v>
      </c>
      <c r="N155" s="49">
        <v>196400</v>
      </c>
      <c r="O155" s="49">
        <v>15956260</v>
      </c>
      <c r="P155" s="49">
        <f t="shared" si="43"/>
        <v>27.234779000652601</v>
      </c>
      <c r="Q155" s="49">
        <f t="shared" si="44"/>
        <v>27.234779000652601</v>
      </c>
      <c r="R155" s="48">
        <v>0</v>
      </c>
      <c r="S155" s="48"/>
      <c r="T155" s="48">
        <v>0</v>
      </c>
      <c r="U155" s="48">
        <v>0</v>
      </c>
      <c r="V155" s="48"/>
      <c r="W155" s="49">
        <v>1</v>
      </c>
      <c r="X155" s="49">
        <v>1</v>
      </c>
      <c r="Y155" s="49">
        <v>100000000</v>
      </c>
      <c r="Z155" s="49">
        <f t="shared" si="45"/>
        <v>1365114.194686</v>
      </c>
      <c r="AA155" s="49">
        <f t="shared" si="46"/>
        <v>1365114.194686</v>
      </c>
      <c r="AB155" s="82">
        <f t="shared" si="35"/>
        <v>0</v>
      </c>
      <c r="AC155" s="82">
        <f t="shared" si="36"/>
        <v>293290345052745.87</v>
      </c>
      <c r="AD155" s="81">
        <f t="shared" si="34"/>
        <v>315234946411463.5</v>
      </c>
      <c r="AE155" s="80">
        <f t="shared" si="37"/>
        <v>1074.8221062468697</v>
      </c>
      <c r="AF155" s="52">
        <f t="shared" si="47"/>
        <v>-1.5535589975517487E-2</v>
      </c>
      <c r="AG155" s="48">
        <f t="shared" si="38"/>
        <v>-7.709251101321586E-3</v>
      </c>
      <c r="AH155" s="48">
        <f t="shared" si="48"/>
        <v>-4.2279411764705885E-2</v>
      </c>
      <c r="AI155" s="48">
        <f t="shared" si="49"/>
        <v>-3.0123456790123456E-2</v>
      </c>
      <c r="AJ155" s="48">
        <f t="shared" si="50"/>
        <v>0</v>
      </c>
    </row>
    <row r="156" spans="1:36" x14ac:dyDescent="0.3">
      <c r="A156" s="48">
        <v>20180814</v>
      </c>
      <c r="B156" s="48" t="s">
        <v>88</v>
      </c>
      <c r="C156" s="49">
        <v>45050</v>
      </c>
      <c r="D156" s="49">
        <v>45150</v>
      </c>
      <c r="E156" s="49">
        <v>6419324700</v>
      </c>
      <c r="F156" s="49">
        <f t="shared" si="39"/>
        <v>0.170946124192833</v>
      </c>
      <c r="G156" s="49">
        <f t="shared" si="40"/>
        <v>0.170946124192833</v>
      </c>
      <c r="H156" s="48">
        <v>260500</v>
      </c>
      <c r="I156" s="48">
        <v>261000</v>
      </c>
      <c r="J156" s="51">
        <v>125395903</v>
      </c>
      <c r="K156" s="48">
        <f t="shared" si="41"/>
        <v>1.34511125821281</v>
      </c>
      <c r="L156" s="48">
        <f t="shared" si="42"/>
        <v>1.34511125821281</v>
      </c>
      <c r="M156" s="49">
        <v>196400</v>
      </c>
      <c r="N156" s="49">
        <v>197900</v>
      </c>
      <c r="O156" s="49">
        <v>15956260</v>
      </c>
      <c r="P156" s="49">
        <f t="shared" si="43"/>
        <v>27.234779000652601</v>
      </c>
      <c r="Q156" s="49">
        <f t="shared" si="44"/>
        <v>27.234779000652601</v>
      </c>
      <c r="R156" s="48">
        <v>0</v>
      </c>
      <c r="S156" s="48"/>
      <c r="T156" s="48">
        <v>0</v>
      </c>
      <c r="U156" s="48">
        <v>0</v>
      </c>
      <c r="V156" s="48"/>
      <c r="W156" s="49">
        <v>1</v>
      </c>
      <c r="X156" s="49">
        <v>1</v>
      </c>
      <c r="Y156" s="49">
        <v>100000000</v>
      </c>
      <c r="Z156" s="49">
        <f t="shared" si="45"/>
        <v>1365114.194686</v>
      </c>
      <c r="AA156" s="49">
        <f t="shared" si="46"/>
        <v>1365114.194686</v>
      </c>
      <c r="AB156" s="82">
        <f t="shared" si="35"/>
        <v>0</v>
      </c>
      <c r="AC156" s="82">
        <f t="shared" si="36"/>
        <v>293290345052745.87</v>
      </c>
      <c r="AD156" s="81">
        <f t="shared" si="34"/>
        <v>316080865821798.5</v>
      </c>
      <c r="AE156" s="80">
        <f t="shared" si="37"/>
        <v>1077.7063451064303</v>
      </c>
      <c r="AF156" s="52">
        <f t="shared" si="47"/>
        <v>2.6834569579443674E-3</v>
      </c>
      <c r="AG156" s="48">
        <f t="shared" si="38"/>
        <v>2.2197558268590455E-3</v>
      </c>
      <c r="AH156" s="48">
        <f t="shared" si="48"/>
        <v>1.9193857965451055E-3</v>
      </c>
      <c r="AI156" s="48">
        <f t="shared" si="49"/>
        <v>7.6374745417515273E-3</v>
      </c>
      <c r="AJ156" s="48">
        <f t="shared" si="50"/>
        <v>0</v>
      </c>
    </row>
    <row r="157" spans="1:36" x14ac:dyDescent="0.3">
      <c r="A157" s="48">
        <v>20180816</v>
      </c>
      <c r="B157" s="48" t="s">
        <v>88</v>
      </c>
      <c r="C157" s="49">
        <v>45150</v>
      </c>
      <c r="D157" s="49">
        <v>44250</v>
      </c>
      <c r="E157" s="49">
        <v>6419324700</v>
      </c>
      <c r="F157" s="49">
        <f t="shared" si="39"/>
        <v>0.170946124192833</v>
      </c>
      <c r="G157" s="49">
        <f t="shared" si="40"/>
        <v>0.170946124192833</v>
      </c>
      <c r="H157" s="48">
        <v>261000</v>
      </c>
      <c r="I157" s="48">
        <v>258500</v>
      </c>
      <c r="J157" s="51">
        <v>125395903</v>
      </c>
      <c r="K157" s="48">
        <f t="shared" si="41"/>
        <v>1.34511125821281</v>
      </c>
      <c r="L157" s="48">
        <f t="shared" si="42"/>
        <v>1.34511125821281</v>
      </c>
      <c r="M157" s="49">
        <v>197900</v>
      </c>
      <c r="N157" s="49">
        <v>193700</v>
      </c>
      <c r="O157" s="49">
        <v>15956260</v>
      </c>
      <c r="P157" s="49">
        <f t="shared" si="43"/>
        <v>27.234779000652601</v>
      </c>
      <c r="Q157" s="49">
        <f t="shared" si="44"/>
        <v>27.234779000652601</v>
      </c>
      <c r="R157" s="48">
        <v>0</v>
      </c>
      <c r="S157" s="48"/>
      <c r="T157" s="48">
        <v>0</v>
      </c>
      <c r="U157" s="48">
        <v>0</v>
      </c>
      <c r="V157" s="48"/>
      <c r="W157" s="49">
        <v>1</v>
      </c>
      <c r="X157" s="49">
        <v>1</v>
      </c>
      <c r="Y157" s="49">
        <v>100000000</v>
      </c>
      <c r="Z157" s="49">
        <f t="shared" si="45"/>
        <v>1365114.194686</v>
      </c>
      <c r="AA157" s="49">
        <f t="shared" si="46"/>
        <v>1365114.194686</v>
      </c>
      <c r="AB157" s="82">
        <f t="shared" si="35"/>
        <v>0</v>
      </c>
      <c r="AC157" s="82">
        <f t="shared" si="36"/>
        <v>293290345052745.87</v>
      </c>
      <c r="AD157" s="81">
        <f t="shared" si="34"/>
        <v>312846390507927.37</v>
      </c>
      <c r="AE157" s="80">
        <f t="shared" si="37"/>
        <v>1066.6781085196121</v>
      </c>
      <c r="AF157" s="52">
        <f t="shared" si="47"/>
        <v>-1.0233062686226488E-2</v>
      </c>
      <c r="AG157" s="48">
        <f t="shared" si="38"/>
        <v>-1.9933554817275746E-2</v>
      </c>
      <c r="AH157" s="48">
        <f t="shared" si="48"/>
        <v>-9.5785440613026813E-3</v>
      </c>
      <c r="AI157" s="48">
        <f t="shared" si="49"/>
        <v>-2.1222839818089943E-2</v>
      </c>
      <c r="AJ157" s="48">
        <f t="shared" si="50"/>
        <v>0</v>
      </c>
    </row>
    <row r="158" spans="1:36" x14ac:dyDescent="0.3">
      <c r="A158" s="48">
        <v>20180817</v>
      </c>
      <c r="B158" s="48" t="s">
        <v>88</v>
      </c>
      <c r="C158" s="49">
        <v>44250</v>
      </c>
      <c r="D158" s="49">
        <v>44100</v>
      </c>
      <c r="E158" s="49">
        <v>6419324700</v>
      </c>
      <c r="F158" s="49">
        <f t="shared" si="39"/>
        <v>0.170946124192833</v>
      </c>
      <c r="G158" s="49">
        <f t="shared" si="40"/>
        <v>0.170946124192833</v>
      </c>
      <c r="H158" s="48">
        <v>258500</v>
      </c>
      <c r="I158" s="48">
        <v>263000</v>
      </c>
      <c r="J158" s="51">
        <v>125395903</v>
      </c>
      <c r="K158" s="48">
        <f t="shared" si="41"/>
        <v>1.34511125821281</v>
      </c>
      <c r="L158" s="48">
        <f t="shared" si="42"/>
        <v>1.34511125821281</v>
      </c>
      <c r="M158" s="49">
        <v>193700</v>
      </c>
      <c r="N158" s="49">
        <v>201400</v>
      </c>
      <c r="O158" s="49">
        <v>15956260</v>
      </c>
      <c r="P158" s="49">
        <f t="shared" si="43"/>
        <v>27.234779000652601</v>
      </c>
      <c r="Q158" s="49">
        <f t="shared" si="44"/>
        <v>27.234779000652601</v>
      </c>
      <c r="R158" s="48">
        <v>0</v>
      </c>
      <c r="S158" s="48"/>
      <c r="T158" s="48">
        <v>0</v>
      </c>
      <c r="U158" s="48">
        <v>0</v>
      </c>
      <c r="V158" s="48"/>
      <c r="W158" s="49">
        <v>1</v>
      </c>
      <c r="X158" s="49">
        <v>1</v>
      </c>
      <c r="Y158" s="49">
        <v>100000000</v>
      </c>
      <c r="Z158" s="49">
        <f t="shared" si="45"/>
        <v>1365114.194686</v>
      </c>
      <c r="AA158" s="49">
        <f t="shared" si="46"/>
        <v>1365114.194686</v>
      </c>
      <c r="AB158" s="82">
        <f t="shared" si="35"/>
        <v>0</v>
      </c>
      <c r="AC158" s="82">
        <f t="shared" si="36"/>
        <v>293290345052745.87</v>
      </c>
      <c r="AD158" s="81">
        <f t="shared" si="34"/>
        <v>316786960343965.62</v>
      </c>
      <c r="AE158" s="80">
        <f t="shared" si="37"/>
        <v>1080.1138383433458</v>
      </c>
      <c r="AF158" s="52">
        <f t="shared" si="47"/>
        <v>1.2595861597253993E-2</v>
      </c>
      <c r="AG158" s="48">
        <f t="shared" si="38"/>
        <v>-3.3898305084745762E-3</v>
      </c>
      <c r="AH158" s="48">
        <f t="shared" si="48"/>
        <v>1.7408123791102514E-2</v>
      </c>
      <c r="AI158" s="48">
        <f t="shared" si="49"/>
        <v>3.9752194114610222E-2</v>
      </c>
      <c r="AJ158" s="48">
        <f t="shared" si="50"/>
        <v>0</v>
      </c>
    </row>
    <row r="159" spans="1:36" x14ac:dyDescent="0.3">
      <c r="A159" s="48">
        <v>20180820</v>
      </c>
      <c r="B159" s="48" t="s">
        <v>88</v>
      </c>
      <c r="C159" s="49">
        <v>44100</v>
      </c>
      <c r="D159" s="49">
        <v>43850</v>
      </c>
      <c r="E159" s="49">
        <v>6419324700</v>
      </c>
      <c r="F159" s="49">
        <f t="shared" si="39"/>
        <v>0.170946124192833</v>
      </c>
      <c r="G159" s="49">
        <f t="shared" si="40"/>
        <v>0.170946124192833</v>
      </c>
      <c r="H159" s="48">
        <v>263000</v>
      </c>
      <c r="I159" s="48">
        <v>261000</v>
      </c>
      <c r="J159" s="51">
        <v>125395903</v>
      </c>
      <c r="K159" s="48">
        <f t="shared" si="41"/>
        <v>1.34511125821281</v>
      </c>
      <c r="L159" s="48">
        <f t="shared" si="42"/>
        <v>1.34511125821281</v>
      </c>
      <c r="M159" s="49">
        <v>201400</v>
      </c>
      <c r="N159" s="49">
        <v>201000</v>
      </c>
      <c r="O159" s="49">
        <v>15956260</v>
      </c>
      <c r="P159" s="49">
        <f t="shared" si="43"/>
        <v>27.234779000652601</v>
      </c>
      <c r="Q159" s="49">
        <f t="shared" si="44"/>
        <v>27.234779000652601</v>
      </c>
      <c r="R159" s="48">
        <v>0</v>
      </c>
      <c r="S159" s="48"/>
      <c r="T159" s="48">
        <v>0</v>
      </c>
      <c r="U159" s="48">
        <v>0</v>
      </c>
      <c r="V159" s="48"/>
      <c r="W159" s="49">
        <v>1</v>
      </c>
      <c r="X159" s="49">
        <v>1</v>
      </c>
      <c r="Y159" s="49">
        <v>100000000</v>
      </c>
      <c r="Z159" s="49">
        <f t="shared" si="45"/>
        <v>1365114.194686</v>
      </c>
      <c r="AA159" s="49">
        <f t="shared" si="46"/>
        <v>1365114.194686</v>
      </c>
      <c r="AB159" s="82">
        <f t="shared" si="35"/>
        <v>0</v>
      </c>
      <c r="AC159" s="82">
        <f t="shared" si="36"/>
        <v>293290345052745.87</v>
      </c>
      <c r="AD159" s="81">
        <f t="shared" si="34"/>
        <v>316001451706986.62</v>
      </c>
      <c r="AE159" s="80">
        <f t="shared" si="37"/>
        <v>1077.4355754880248</v>
      </c>
      <c r="AF159" s="52">
        <f t="shared" si="47"/>
        <v>-2.4796116485544411E-3</v>
      </c>
      <c r="AG159" s="48">
        <f t="shared" si="38"/>
        <v>-5.6689342403628117E-3</v>
      </c>
      <c r="AH159" s="48">
        <f t="shared" si="48"/>
        <v>-7.6045627376425855E-3</v>
      </c>
      <c r="AI159" s="48">
        <f t="shared" si="49"/>
        <v>-1.9860973187686196E-3</v>
      </c>
      <c r="AJ159" s="48">
        <f t="shared" si="50"/>
        <v>0</v>
      </c>
    </row>
    <row r="160" spans="1:36" x14ac:dyDescent="0.3">
      <c r="A160" s="48">
        <v>20180821</v>
      </c>
      <c r="B160" s="48" t="s">
        <v>88</v>
      </c>
      <c r="C160" s="49">
        <v>43850</v>
      </c>
      <c r="D160" s="49">
        <v>44800</v>
      </c>
      <c r="E160" s="49">
        <v>6419324700</v>
      </c>
      <c r="F160" s="49">
        <f t="shared" si="39"/>
        <v>0.170946124192833</v>
      </c>
      <c r="G160" s="49">
        <f t="shared" si="40"/>
        <v>0.170946124192833</v>
      </c>
      <c r="H160" s="48">
        <v>261000</v>
      </c>
      <c r="I160" s="48">
        <v>268500</v>
      </c>
      <c r="J160" s="51">
        <v>125395903</v>
      </c>
      <c r="K160" s="48">
        <f t="shared" si="41"/>
        <v>1.34511125821281</v>
      </c>
      <c r="L160" s="48">
        <f t="shared" si="42"/>
        <v>1.34511125821281</v>
      </c>
      <c r="M160" s="49">
        <v>201000</v>
      </c>
      <c r="N160" s="49">
        <v>217200</v>
      </c>
      <c r="O160" s="49">
        <v>15956260</v>
      </c>
      <c r="P160" s="49">
        <f t="shared" si="43"/>
        <v>27.234779000652601</v>
      </c>
      <c r="Q160" s="49">
        <f t="shared" si="44"/>
        <v>27.234779000652601</v>
      </c>
      <c r="R160" s="48">
        <v>0</v>
      </c>
      <c r="S160" s="48"/>
      <c r="T160" s="48">
        <v>0</v>
      </c>
      <c r="U160" s="48">
        <v>0</v>
      </c>
      <c r="V160" s="48"/>
      <c r="W160" s="49">
        <v>1</v>
      </c>
      <c r="X160" s="49">
        <v>1</v>
      </c>
      <c r="Y160" s="49">
        <v>100000000</v>
      </c>
      <c r="Z160" s="49">
        <f t="shared" si="45"/>
        <v>1365114.194686</v>
      </c>
      <c r="AA160" s="49">
        <f t="shared" si="46"/>
        <v>1365114.194686</v>
      </c>
      <c r="AB160" s="82">
        <f t="shared" si="35"/>
        <v>0</v>
      </c>
      <c r="AC160" s="82">
        <f t="shared" si="36"/>
        <v>293290345052745.87</v>
      </c>
      <c r="AD160" s="81">
        <f t="shared" si="34"/>
        <v>325348934736346.56</v>
      </c>
      <c r="AE160" s="80">
        <f t="shared" si="37"/>
        <v>1109.306665645046</v>
      </c>
      <c r="AF160" s="52">
        <f t="shared" si="47"/>
        <v>2.9580506604847488E-2</v>
      </c>
      <c r="AG160" s="48">
        <f t="shared" si="38"/>
        <v>2.1664766248574687E-2</v>
      </c>
      <c r="AH160" s="48">
        <f t="shared" si="48"/>
        <v>2.8735632183908046E-2</v>
      </c>
      <c r="AI160" s="48">
        <f t="shared" si="49"/>
        <v>8.0597014925373134E-2</v>
      </c>
      <c r="AJ160" s="48">
        <f t="shared" si="50"/>
        <v>0</v>
      </c>
    </row>
    <row r="161" spans="1:36" x14ac:dyDescent="0.3">
      <c r="A161" s="48">
        <v>20180822</v>
      </c>
      <c r="B161" s="48" t="s">
        <v>88</v>
      </c>
      <c r="C161" s="49">
        <v>44800</v>
      </c>
      <c r="D161" s="49">
        <v>46100</v>
      </c>
      <c r="E161" s="49">
        <v>6419324700</v>
      </c>
      <c r="F161" s="49">
        <f t="shared" si="39"/>
        <v>0.170946124192833</v>
      </c>
      <c r="G161" s="49">
        <f t="shared" si="40"/>
        <v>0.170946124192833</v>
      </c>
      <c r="H161" s="48">
        <v>268500</v>
      </c>
      <c r="I161" s="48">
        <v>268500</v>
      </c>
      <c r="J161" s="51">
        <v>125395903</v>
      </c>
      <c r="K161" s="48">
        <f t="shared" si="41"/>
        <v>1.34511125821281</v>
      </c>
      <c r="L161" s="48">
        <f t="shared" si="42"/>
        <v>1.34511125821281</v>
      </c>
      <c r="M161" s="49">
        <v>217200</v>
      </c>
      <c r="N161" s="49">
        <v>217100</v>
      </c>
      <c r="O161" s="49">
        <v>15956260</v>
      </c>
      <c r="P161" s="49">
        <f t="shared" si="43"/>
        <v>27.234779000652601</v>
      </c>
      <c r="Q161" s="49">
        <f t="shared" si="44"/>
        <v>27.234779000652601</v>
      </c>
      <c r="R161" s="48">
        <v>0</v>
      </c>
      <c r="S161" s="48"/>
      <c r="T161" s="48">
        <v>0</v>
      </c>
      <c r="U161" s="48">
        <v>0</v>
      </c>
      <c r="V161" s="48"/>
      <c r="W161" s="49">
        <v>1</v>
      </c>
      <c r="X161" s="49">
        <v>1</v>
      </c>
      <c r="Y161" s="49">
        <v>100000000</v>
      </c>
      <c r="Z161" s="49">
        <f t="shared" si="45"/>
        <v>1365114.194686</v>
      </c>
      <c r="AA161" s="49">
        <f t="shared" si="46"/>
        <v>1365114.194686</v>
      </c>
      <c r="AB161" s="82">
        <f t="shared" si="35"/>
        <v>0</v>
      </c>
      <c r="AC161" s="82">
        <f t="shared" si="36"/>
        <v>293290345052745.87</v>
      </c>
      <c r="AD161" s="81">
        <f t="shared" si="34"/>
        <v>326732044495489.31</v>
      </c>
      <c r="AE161" s="80">
        <f t="shared" si="37"/>
        <v>1114.0225036617867</v>
      </c>
      <c r="AF161" s="52">
        <f t="shared" si="47"/>
        <v>4.251158099729346E-3</v>
      </c>
      <c r="AG161" s="48">
        <f t="shared" si="38"/>
        <v>2.9017857142857144E-2</v>
      </c>
      <c r="AH161" s="48">
        <f t="shared" si="48"/>
        <v>0</v>
      </c>
      <c r="AI161" s="48">
        <f t="shared" si="49"/>
        <v>-4.6040515653775324E-4</v>
      </c>
      <c r="AJ161" s="48">
        <f t="shared" si="50"/>
        <v>0</v>
      </c>
    </row>
    <row r="162" spans="1:36" x14ac:dyDescent="0.3">
      <c r="A162" s="48">
        <v>20180823</v>
      </c>
      <c r="B162" s="48" t="s">
        <v>88</v>
      </c>
      <c r="C162" s="49">
        <v>46100</v>
      </c>
      <c r="D162" s="49">
        <v>46200</v>
      </c>
      <c r="E162" s="49">
        <v>6419324700</v>
      </c>
      <c r="F162" s="49">
        <f t="shared" si="39"/>
        <v>0.170946124192833</v>
      </c>
      <c r="G162" s="49">
        <f t="shared" si="40"/>
        <v>0.170946124192833</v>
      </c>
      <c r="H162" s="48">
        <v>268500</v>
      </c>
      <c r="I162" s="48">
        <v>274000</v>
      </c>
      <c r="J162" s="51">
        <v>125395903</v>
      </c>
      <c r="K162" s="48">
        <f t="shared" si="41"/>
        <v>1.34511125821281</v>
      </c>
      <c r="L162" s="48">
        <f t="shared" si="42"/>
        <v>1.34511125821281</v>
      </c>
      <c r="M162" s="49">
        <v>217100</v>
      </c>
      <c r="N162" s="49">
        <v>217500</v>
      </c>
      <c r="O162" s="49">
        <v>15956260</v>
      </c>
      <c r="P162" s="49">
        <f t="shared" si="43"/>
        <v>27.234779000652601</v>
      </c>
      <c r="Q162" s="49">
        <f t="shared" si="44"/>
        <v>27.234779000652601</v>
      </c>
      <c r="R162" s="48">
        <v>0</v>
      </c>
      <c r="S162" s="48"/>
      <c r="T162" s="48">
        <v>0</v>
      </c>
      <c r="U162" s="48">
        <v>0</v>
      </c>
      <c r="V162" s="48"/>
      <c r="W162" s="49">
        <v>1</v>
      </c>
      <c r="X162" s="49">
        <v>1</v>
      </c>
      <c r="Y162" s="49">
        <v>100000000</v>
      </c>
      <c r="Z162" s="49">
        <f t="shared" si="45"/>
        <v>1365114.194686</v>
      </c>
      <c r="AA162" s="49">
        <f t="shared" si="46"/>
        <v>1365114.194686</v>
      </c>
      <c r="AB162" s="82">
        <f t="shared" si="35"/>
        <v>0</v>
      </c>
      <c r="AC162" s="82">
        <f t="shared" si="36"/>
        <v>293290345052745.87</v>
      </c>
      <c r="AD162" s="81">
        <f t="shared" si="34"/>
        <v>327943299373864.94</v>
      </c>
      <c r="AE162" s="80">
        <f t="shared" si="37"/>
        <v>1118.1523868945874</v>
      </c>
      <c r="AF162" s="52">
        <f t="shared" si="47"/>
        <v>3.7071811558795154E-3</v>
      </c>
      <c r="AG162" s="48">
        <f t="shared" si="38"/>
        <v>2.1691973969631237E-3</v>
      </c>
      <c r="AH162" s="48">
        <f t="shared" si="48"/>
        <v>2.0484171322160148E-2</v>
      </c>
      <c r="AI162" s="48">
        <f t="shared" si="49"/>
        <v>1.8424689083371719E-3</v>
      </c>
      <c r="AJ162" s="48">
        <f t="shared" si="50"/>
        <v>0</v>
      </c>
    </row>
    <row r="163" spans="1:36" x14ac:dyDescent="0.3">
      <c r="A163" s="48">
        <v>20180824</v>
      </c>
      <c r="B163" s="48" t="s">
        <v>88</v>
      </c>
      <c r="C163" s="49">
        <v>46200</v>
      </c>
      <c r="D163" s="49">
        <v>46150</v>
      </c>
      <c r="E163" s="49">
        <v>6419324700</v>
      </c>
      <c r="F163" s="49">
        <f t="shared" si="39"/>
        <v>0.170946124192833</v>
      </c>
      <c r="G163" s="49">
        <f t="shared" si="40"/>
        <v>0.170946124192833</v>
      </c>
      <c r="H163" s="48">
        <v>274000</v>
      </c>
      <c r="I163" s="48">
        <v>279500</v>
      </c>
      <c r="J163" s="51">
        <v>125395903</v>
      </c>
      <c r="K163" s="48">
        <f t="shared" si="41"/>
        <v>1.34511125821281</v>
      </c>
      <c r="L163" s="48">
        <f t="shared" si="42"/>
        <v>1.34511125821281</v>
      </c>
      <c r="M163" s="49">
        <v>217500</v>
      </c>
      <c r="N163" s="49">
        <v>221100</v>
      </c>
      <c r="O163" s="49">
        <v>15956260</v>
      </c>
      <c r="P163" s="49">
        <f t="shared" si="43"/>
        <v>27.234779000652601</v>
      </c>
      <c r="Q163" s="49">
        <f t="shared" si="44"/>
        <v>27.234779000652601</v>
      </c>
      <c r="R163" s="48">
        <v>0</v>
      </c>
      <c r="S163" s="48"/>
      <c r="T163" s="48">
        <v>0</v>
      </c>
      <c r="U163" s="48">
        <v>0</v>
      </c>
      <c r="V163" s="48"/>
      <c r="W163" s="49">
        <v>1</v>
      </c>
      <c r="X163" s="49">
        <v>1</v>
      </c>
      <c r="Y163" s="49">
        <v>100000000</v>
      </c>
      <c r="Z163" s="49">
        <f t="shared" si="45"/>
        <v>1365114.194686</v>
      </c>
      <c r="AA163" s="49">
        <f t="shared" si="46"/>
        <v>1365114.194686</v>
      </c>
      <c r="AB163" s="82">
        <f t="shared" si="35"/>
        <v>0</v>
      </c>
      <c r="AC163" s="82">
        <f t="shared" si="36"/>
        <v>293290345052745.87</v>
      </c>
      <c r="AD163" s="81">
        <f t="shared" si="34"/>
        <v>330380559137916.81</v>
      </c>
      <c r="AE163" s="80">
        <f t="shared" si="37"/>
        <v>1126.4624448462514</v>
      </c>
      <c r="AF163" s="52">
        <f t="shared" si="47"/>
        <v>7.431954757743984E-3</v>
      </c>
      <c r="AG163" s="48">
        <f t="shared" si="38"/>
        <v>-1.0822510822510823E-3</v>
      </c>
      <c r="AH163" s="48">
        <f t="shared" si="48"/>
        <v>2.0072992700729927E-2</v>
      </c>
      <c r="AI163" s="48">
        <f t="shared" si="49"/>
        <v>1.6551724137931035E-2</v>
      </c>
      <c r="AJ163" s="48">
        <f t="shared" si="50"/>
        <v>0</v>
      </c>
    </row>
    <row r="164" spans="1:36" x14ac:dyDescent="0.3">
      <c r="A164" s="48">
        <v>20180827</v>
      </c>
      <c r="B164" s="48" t="s">
        <v>88</v>
      </c>
      <c r="C164" s="49">
        <v>46150</v>
      </c>
      <c r="D164" s="49">
        <v>46300</v>
      </c>
      <c r="E164" s="49">
        <v>6419324700</v>
      </c>
      <c r="F164" s="49">
        <f t="shared" si="39"/>
        <v>0.170946124192833</v>
      </c>
      <c r="G164" s="49">
        <f t="shared" si="40"/>
        <v>0.170946124192833</v>
      </c>
      <c r="H164" s="48">
        <v>279500</v>
      </c>
      <c r="I164" s="48">
        <v>278000</v>
      </c>
      <c r="J164" s="51">
        <v>125395903</v>
      </c>
      <c r="K164" s="48">
        <f t="shared" si="41"/>
        <v>1.34511125821281</v>
      </c>
      <c r="L164" s="48">
        <f t="shared" si="42"/>
        <v>1.34511125821281</v>
      </c>
      <c r="M164" s="49">
        <v>221100</v>
      </c>
      <c r="N164" s="49">
        <v>220800</v>
      </c>
      <c r="O164" s="49">
        <v>15956260</v>
      </c>
      <c r="P164" s="49">
        <f t="shared" si="43"/>
        <v>27.234779000652601</v>
      </c>
      <c r="Q164" s="49">
        <f t="shared" si="44"/>
        <v>27.234779000652601</v>
      </c>
      <c r="R164" s="48">
        <v>0</v>
      </c>
      <c r="S164" s="48"/>
      <c r="T164" s="48">
        <v>0</v>
      </c>
      <c r="U164" s="48">
        <v>0</v>
      </c>
      <c r="V164" s="48"/>
      <c r="W164" s="49">
        <v>1</v>
      </c>
      <c r="X164" s="49">
        <v>1</v>
      </c>
      <c r="Y164" s="49">
        <v>100000000</v>
      </c>
      <c r="Z164" s="49">
        <f t="shared" si="45"/>
        <v>1365114.194686</v>
      </c>
      <c r="AA164" s="49">
        <f t="shared" si="46"/>
        <v>1365114.194686</v>
      </c>
      <c r="AB164" s="82">
        <f t="shared" si="35"/>
        <v>0</v>
      </c>
      <c r="AC164" s="82">
        <f t="shared" si="36"/>
        <v>293290345052745.87</v>
      </c>
      <c r="AD164" s="81">
        <f t="shared" si="34"/>
        <v>330161786213805.12</v>
      </c>
      <c r="AE164" s="80">
        <f t="shared" si="37"/>
        <v>1125.7165187433231</v>
      </c>
      <c r="AF164" s="52">
        <f t="shared" si="47"/>
        <v>-6.621846172866078E-4</v>
      </c>
      <c r="AG164" s="48">
        <f t="shared" si="38"/>
        <v>3.2502708559046588E-3</v>
      </c>
      <c r="AH164" s="48">
        <f t="shared" si="48"/>
        <v>-5.3667262969588547E-3</v>
      </c>
      <c r="AI164" s="48">
        <f t="shared" si="49"/>
        <v>-1.3568521031207597E-3</v>
      </c>
      <c r="AJ164" s="48">
        <f t="shared" si="50"/>
        <v>0</v>
      </c>
    </row>
    <row r="165" spans="1:36" x14ac:dyDescent="0.3">
      <c r="A165" s="48">
        <v>20180828</v>
      </c>
      <c r="B165" s="48" t="s">
        <v>88</v>
      </c>
      <c r="C165" s="49">
        <v>46300</v>
      </c>
      <c r="D165" s="49">
        <v>46550</v>
      </c>
      <c r="E165" s="49">
        <v>6419324700</v>
      </c>
      <c r="F165" s="49">
        <f t="shared" si="39"/>
        <v>0.170946124192833</v>
      </c>
      <c r="G165" s="49">
        <f t="shared" si="40"/>
        <v>0.170946124192833</v>
      </c>
      <c r="H165" s="48">
        <v>278000</v>
      </c>
      <c r="I165" s="48">
        <v>269000</v>
      </c>
      <c r="J165" s="51">
        <v>125395903</v>
      </c>
      <c r="K165" s="48">
        <f t="shared" si="41"/>
        <v>1.34511125821281</v>
      </c>
      <c r="L165" s="48">
        <f t="shared" si="42"/>
        <v>1.34511125821281</v>
      </c>
      <c r="M165" s="49">
        <v>220800</v>
      </c>
      <c r="N165" s="49">
        <v>221000</v>
      </c>
      <c r="O165" s="49">
        <v>15956260</v>
      </c>
      <c r="P165" s="49">
        <f t="shared" si="43"/>
        <v>27.234779000652601</v>
      </c>
      <c r="Q165" s="49">
        <f t="shared" si="44"/>
        <v>27.234779000652601</v>
      </c>
      <c r="R165" s="48">
        <v>0</v>
      </c>
      <c r="S165" s="48"/>
      <c r="T165" s="48">
        <v>0</v>
      </c>
      <c r="U165" s="48">
        <v>0</v>
      </c>
      <c r="V165" s="48"/>
      <c r="W165" s="49">
        <v>1</v>
      </c>
      <c r="X165" s="49">
        <v>1</v>
      </c>
      <c r="Y165" s="49">
        <v>100000000</v>
      </c>
      <c r="Z165" s="49">
        <f t="shared" si="45"/>
        <v>1365114.194686</v>
      </c>
      <c r="AA165" s="49">
        <f t="shared" si="46"/>
        <v>1365114.194686</v>
      </c>
      <c r="AB165" s="82">
        <f t="shared" si="35"/>
        <v>0</v>
      </c>
      <c r="AC165" s="82">
        <f t="shared" si="36"/>
        <v>293290345052745.87</v>
      </c>
      <c r="AD165" s="81">
        <f t="shared" si="34"/>
        <v>329004995958379.06</v>
      </c>
      <c r="AE165" s="80">
        <f t="shared" si="37"/>
        <v>1121.7723375763026</v>
      </c>
      <c r="AF165" s="52">
        <f t="shared" si="47"/>
        <v>-3.5037072845156576E-3</v>
      </c>
      <c r="AG165" s="48">
        <f t="shared" si="38"/>
        <v>5.3995680345572351E-3</v>
      </c>
      <c r="AH165" s="48">
        <f t="shared" si="48"/>
        <v>-3.237410071942446E-2</v>
      </c>
      <c r="AI165" s="48">
        <f t="shared" si="49"/>
        <v>9.0579710144927537E-4</v>
      </c>
      <c r="AJ165" s="48">
        <f t="shared" si="50"/>
        <v>0</v>
      </c>
    </row>
    <row r="166" spans="1:36" x14ac:dyDescent="0.3">
      <c r="A166" s="48">
        <v>20180829</v>
      </c>
      <c r="B166" s="48" t="s">
        <v>88</v>
      </c>
      <c r="C166" s="49">
        <v>46550</v>
      </c>
      <c r="D166" s="49">
        <v>46800</v>
      </c>
      <c r="E166" s="49">
        <v>6419324700</v>
      </c>
      <c r="F166" s="49">
        <f t="shared" si="39"/>
        <v>0.170946124192833</v>
      </c>
      <c r="G166" s="49">
        <f t="shared" si="40"/>
        <v>0.170946124192833</v>
      </c>
      <c r="H166" s="48">
        <v>269000</v>
      </c>
      <c r="I166" s="48">
        <v>269500</v>
      </c>
      <c r="J166" s="51">
        <v>125395903</v>
      </c>
      <c r="K166" s="48">
        <f t="shared" si="41"/>
        <v>1.34511125821281</v>
      </c>
      <c r="L166" s="48">
        <f t="shared" si="42"/>
        <v>1.34511125821281</v>
      </c>
      <c r="M166" s="49">
        <v>221000</v>
      </c>
      <c r="N166" s="49">
        <v>223500</v>
      </c>
      <c r="O166" s="49">
        <v>15956260</v>
      </c>
      <c r="P166" s="49">
        <f t="shared" si="43"/>
        <v>27.234779000652601</v>
      </c>
      <c r="Q166" s="49">
        <f t="shared" si="44"/>
        <v>27.234779000652601</v>
      </c>
      <c r="R166" s="48">
        <v>0</v>
      </c>
      <c r="S166" s="48"/>
      <c r="T166" s="48">
        <v>0</v>
      </c>
      <c r="U166" s="48">
        <v>0</v>
      </c>
      <c r="V166" s="48"/>
      <c r="W166" s="49">
        <v>1</v>
      </c>
      <c r="X166" s="49">
        <v>1</v>
      </c>
      <c r="Y166" s="49">
        <v>100000000</v>
      </c>
      <c r="Z166" s="49">
        <f t="shared" si="45"/>
        <v>1365114.194686</v>
      </c>
      <c r="AA166" s="49">
        <f t="shared" si="46"/>
        <v>1365114.194686</v>
      </c>
      <c r="AB166" s="82">
        <f t="shared" si="35"/>
        <v>0</v>
      </c>
      <c r="AC166" s="82">
        <f t="shared" si="36"/>
        <v>293290345052745.87</v>
      </c>
      <c r="AD166" s="81">
        <f t="shared" si="34"/>
        <v>330450084385101.06</v>
      </c>
      <c r="AE166" s="80">
        <f t="shared" si="37"/>
        <v>1126.6994974746692</v>
      </c>
      <c r="AF166" s="52">
        <f t="shared" si="47"/>
        <v>4.3922993403565811E-3</v>
      </c>
      <c r="AG166" s="48">
        <f t="shared" si="38"/>
        <v>5.3705692803437165E-3</v>
      </c>
      <c r="AH166" s="48">
        <f t="shared" si="48"/>
        <v>1.8587360594795538E-3</v>
      </c>
      <c r="AI166" s="48">
        <f t="shared" si="49"/>
        <v>1.1312217194570135E-2</v>
      </c>
      <c r="AJ166" s="48">
        <f t="shared" si="50"/>
        <v>0</v>
      </c>
    </row>
    <row r="167" spans="1:36" x14ac:dyDescent="0.3">
      <c r="A167" s="48">
        <v>20180830</v>
      </c>
      <c r="B167" s="48" t="s">
        <v>88</v>
      </c>
      <c r="C167" s="49">
        <v>46800</v>
      </c>
      <c r="D167" s="49">
        <v>47650</v>
      </c>
      <c r="E167" s="49">
        <v>6419324700</v>
      </c>
      <c r="F167" s="49">
        <f t="shared" si="39"/>
        <v>0.170946124192833</v>
      </c>
      <c r="G167" s="49">
        <f t="shared" si="40"/>
        <v>0.170946124192833</v>
      </c>
      <c r="H167" s="48">
        <v>269500</v>
      </c>
      <c r="I167" s="48">
        <v>266500</v>
      </c>
      <c r="J167" s="51">
        <v>125395903</v>
      </c>
      <c r="K167" s="48">
        <f t="shared" si="41"/>
        <v>1.34511125821281</v>
      </c>
      <c r="L167" s="48">
        <f t="shared" si="42"/>
        <v>1.34511125821281</v>
      </c>
      <c r="M167" s="49">
        <v>223500</v>
      </c>
      <c r="N167" s="49">
        <v>224800</v>
      </c>
      <c r="O167" s="49">
        <v>15956260</v>
      </c>
      <c r="P167" s="49">
        <f t="shared" si="43"/>
        <v>27.234779000652601</v>
      </c>
      <c r="Q167" s="49">
        <f t="shared" si="44"/>
        <v>27.234779000652601</v>
      </c>
      <c r="R167" s="48">
        <v>0</v>
      </c>
      <c r="S167" s="48"/>
      <c r="T167" s="48">
        <v>0</v>
      </c>
      <c r="U167" s="48">
        <v>0</v>
      </c>
      <c r="V167" s="48"/>
      <c r="W167" s="49">
        <v>1</v>
      </c>
      <c r="X167" s="49">
        <v>1</v>
      </c>
      <c r="Y167" s="49">
        <v>100000000</v>
      </c>
      <c r="Z167" s="49">
        <f t="shared" si="45"/>
        <v>1365114.194686</v>
      </c>
      <c r="AA167" s="49">
        <f t="shared" si="46"/>
        <v>1365114.194686</v>
      </c>
      <c r="AB167" s="82">
        <f t="shared" si="35"/>
        <v>0</v>
      </c>
      <c r="AC167" s="82">
        <f t="shared" si="36"/>
        <v>293290345052745.87</v>
      </c>
      <c r="AD167" s="81">
        <f t="shared" si="34"/>
        <v>331441759717524.19</v>
      </c>
      <c r="AE167" s="80">
        <f t="shared" si="37"/>
        <v>1130.0807043543048</v>
      </c>
      <c r="AF167" s="52">
        <f t="shared" si="47"/>
        <v>3.0009837469653911E-3</v>
      </c>
      <c r="AG167" s="48">
        <f t="shared" si="38"/>
        <v>1.8162393162393164E-2</v>
      </c>
      <c r="AH167" s="48">
        <f t="shared" si="48"/>
        <v>-1.1131725417439703E-2</v>
      </c>
      <c r="AI167" s="48">
        <f t="shared" si="49"/>
        <v>5.8165548098434005E-3</v>
      </c>
      <c r="AJ167" s="48">
        <f t="shared" si="50"/>
        <v>0</v>
      </c>
    </row>
    <row r="168" spans="1:36" x14ac:dyDescent="0.3">
      <c r="A168" s="48">
        <v>20180831</v>
      </c>
      <c r="B168" s="48" t="s">
        <v>88</v>
      </c>
      <c r="C168" s="49">
        <v>47650</v>
      </c>
      <c r="D168" s="49">
        <v>48450</v>
      </c>
      <c r="E168" s="49">
        <v>6419324700</v>
      </c>
      <c r="F168" s="49">
        <f t="shared" si="39"/>
        <v>0.170946124192833</v>
      </c>
      <c r="G168" s="49">
        <f t="shared" si="40"/>
        <v>0.170946124192833</v>
      </c>
      <c r="H168" s="48">
        <v>266500</v>
      </c>
      <c r="I168" s="48">
        <v>270000</v>
      </c>
      <c r="J168" s="51">
        <v>125395903</v>
      </c>
      <c r="K168" s="48">
        <f t="shared" si="41"/>
        <v>1.34511125821281</v>
      </c>
      <c r="L168" s="48">
        <f t="shared" si="42"/>
        <v>1.34511125821281</v>
      </c>
      <c r="M168" s="49">
        <v>224800</v>
      </c>
      <c r="N168" s="49">
        <v>237100</v>
      </c>
      <c r="O168" s="49">
        <v>15956260</v>
      </c>
      <c r="P168" s="49">
        <f t="shared" si="43"/>
        <v>27.234779000652601</v>
      </c>
      <c r="Q168" s="49">
        <f t="shared" si="44"/>
        <v>27.234779000652601</v>
      </c>
      <c r="R168" s="48">
        <v>0</v>
      </c>
      <c r="S168" s="48"/>
      <c r="T168" s="48">
        <v>0</v>
      </c>
      <c r="U168" s="48">
        <v>0</v>
      </c>
      <c r="V168" s="48"/>
      <c r="W168" s="49">
        <v>1</v>
      </c>
      <c r="X168" s="49">
        <v>1</v>
      </c>
      <c r="Y168" s="49">
        <v>100000000</v>
      </c>
      <c r="Z168" s="49">
        <f t="shared" si="45"/>
        <v>1365114.194686</v>
      </c>
      <c r="AA168" s="49">
        <f t="shared" si="46"/>
        <v>1365114.194686</v>
      </c>
      <c r="AB168" s="82">
        <f t="shared" si="35"/>
        <v>0</v>
      </c>
      <c r="AC168" s="82">
        <f t="shared" si="36"/>
        <v>293290345052745.87</v>
      </c>
      <c r="AD168" s="81">
        <f t="shared" si="34"/>
        <v>338255148844207.69</v>
      </c>
      <c r="AE168" s="80">
        <f t="shared" si="37"/>
        <v>1153.311571792025</v>
      </c>
      <c r="AF168" s="52">
        <f t="shared" si="47"/>
        <v>2.05568216041647E-2</v>
      </c>
      <c r="AG168" s="48">
        <f t="shared" si="38"/>
        <v>1.6789087093389297E-2</v>
      </c>
      <c r="AH168" s="48">
        <f t="shared" si="48"/>
        <v>1.3133208255159476E-2</v>
      </c>
      <c r="AI168" s="48">
        <f t="shared" si="49"/>
        <v>5.47153024911032E-2</v>
      </c>
      <c r="AJ168" s="48">
        <f t="shared" si="50"/>
        <v>0</v>
      </c>
    </row>
    <row r="169" spans="1:36" x14ac:dyDescent="0.3">
      <c r="A169" s="48">
        <v>20180903</v>
      </c>
      <c r="B169" s="48" t="s">
        <v>88</v>
      </c>
      <c r="C169" s="49">
        <v>48450</v>
      </c>
      <c r="D169" s="49">
        <v>47450</v>
      </c>
      <c r="E169" s="49">
        <v>6419324700</v>
      </c>
      <c r="F169" s="49">
        <f t="shared" si="39"/>
        <v>0.170946124192833</v>
      </c>
      <c r="G169" s="49">
        <f t="shared" si="40"/>
        <v>0.170946124192833</v>
      </c>
      <c r="H169" s="48">
        <v>270000</v>
      </c>
      <c r="I169" s="48">
        <v>267000</v>
      </c>
      <c r="J169" s="51">
        <v>125395903</v>
      </c>
      <c r="K169" s="48">
        <f t="shared" si="41"/>
        <v>1.34511125821281</v>
      </c>
      <c r="L169" s="48">
        <f t="shared" si="42"/>
        <v>1.34511125821281</v>
      </c>
      <c r="M169" s="49">
        <v>237100</v>
      </c>
      <c r="N169" s="49">
        <v>235000</v>
      </c>
      <c r="O169" s="49">
        <v>15956260</v>
      </c>
      <c r="P169" s="49">
        <f t="shared" si="43"/>
        <v>27.234779000652601</v>
      </c>
      <c r="Q169" s="49">
        <f t="shared" si="44"/>
        <v>27.234779000652601</v>
      </c>
      <c r="R169" s="48">
        <v>0</v>
      </c>
      <c r="S169" s="48"/>
      <c r="T169" s="48">
        <v>0</v>
      </c>
      <c r="U169" s="48">
        <v>0</v>
      </c>
      <c r="V169" s="48"/>
      <c r="W169" s="49">
        <v>1</v>
      </c>
      <c r="X169" s="49">
        <v>1</v>
      </c>
      <c r="Y169" s="49">
        <v>100000000</v>
      </c>
      <c r="Z169" s="49">
        <f t="shared" si="45"/>
        <v>1365114.194686</v>
      </c>
      <c r="AA169" s="49">
        <f t="shared" si="46"/>
        <v>1365114.194686</v>
      </c>
      <c r="AB169" s="82">
        <f t="shared" si="35"/>
        <v>0</v>
      </c>
      <c r="AC169" s="82">
        <f t="shared" si="36"/>
        <v>293290345052745.87</v>
      </c>
      <c r="AD169" s="81">
        <f t="shared" si="34"/>
        <v>335739188893198.62</v>
      </c>
      <c r="AE169" s="80">
        <f t="shared" si="37"/>
        <v>1144.7331784236494</v>
      </c>
      <c r="AF169" s="52">
        <f t="shared" si="47"/>
        <v>-7.438053669266859E-3</v>
      </c>
      <c r="AG169" s="48">
        <f t="shared" si="38"/>
        <v>-2.063983488132095E-2</v>
      </c>
      <c r="AH169" s="48">
        <f t="shared" si="48"/>
        <v>-1.1111111111111112E-2</v>
      </c>
      <c r="AI169" s="48">
        <f t="shared" si="49"/>
        <v>-8.8570223534373688E-3</v>
      </c>
      <c r="AJ169" s="48">
        <f t="shared" si="50"/>
        <v>0</v>
      </c>
    </row>
    <row r="170" spans="1:36" x14ac:dyDescent="0.3">
      <c r="A170" s="48">
        <v>20180904</v>
      </c>
      <c r="B170" s="48" t="s">
        <v>88</v>
      </c>
      <c r="C170" s="49">
        <v>47450</v>
      </c>
      <c r="D170" s="49">
        <v>47650</v>
      </c>
      <c r="E170" s="49">
        <v>6419324700</v>
      </c>
      <c r="F170" s="49">
        <f t="shared" si="39"/>
        <v>0.170946124192833</v>
      </c>
      <c r="G170" s="49">
        <f t="shared" si="40"/>
        <v>0.170946124192833</v>
      </c>
      <c r="H170" s="48">
        <v>267000</v>
      </c>
      <c r="I170" s="48">
        <v>280000</v>
      </c>
      <c r="J170" s="51">
        <v>125395903</v>
      </c>
      <c r="K170" s="48">
        <f t="shared" si="41"/>
        <v>1.34511125821281</v>
      </c>
      <c r="L170" s="48">
        <f t="shared" si="42"/>
        <v>1.34511125821281</v>
      </c>
      <c r="M170" s="49">
        <v>235000</v>
      </c>
      <c r="N170" s="49">
        <v>238000</v>
      </c>
      <c r="O170" s="49">
        <v>15956260</v>
      </c>
      <c r="P170" s="49">
        <f t="shared" si="43"/>
        <v>27.234779000652601</v>
      </c>
      <c r="Q170" s="49">
        <f t="shared" si="44"/>
        <v>27.234779000652601</v>
      </c>
      <c r="R170" s="48">
        <v>0</v>
      </c>
      <c r="S170" s="48"/>
      <c r="T170" s="48">
        <v>0</v>
      </c>
      <c r="U170" s="48">
        <v>0</v>
      </c>
      <c r="V170" s="48"/>
      <c r="W170" s="49">
        <v>1</v>
      </c>
      <c r="X170" s="49">
        <v>1</v>
      </c>
      <c r="Y170" s="49">
        <v>100000000</v>
      </c>
      <c r="Z170" s="49">
        <f t="shared" si="45"/>
        <v>1365114.194686</v>
      </c>
      <c r="AA170" s="49">
        <f t="shared" si="46"/>
        <v>1365114.194686</v>
      </c>
      <c r="AB170" s="82">
        <f t="shared" si="35"/>
        <v>0</v>
      </c>
      <c r="AC170" s="82">
        <f t="shared" si="36"/>
        <v>293290345052745.87</v>
      </c>
      <c r="AD170" s="81">
        <f t="shared" si="34"/>
        <v>339455085004177.31</v>
      </c>
      <c r="AE170" s="80">
        <f t="shared" si="37"/>
        <v>1157.4028628290819</v>
      </c>
      <c r="AF170" s="52">
        <f t="shared" si="47"/>
        <v>1.1067805707247172E-2</v>
      </c>
      <c r="AG170" s="48">
        <f t="shared" si="38"/>
        <v>4.2149631190727078E-3</v>
      </c>
      <c r="AH170" s="48">
        <f t="shared" si="48"/>
        <v>4.8689138576779027E-2</v>
      </c>
      <c r="AI170" s="48">
        <f t="shared" si="49"/>
        <v>1.276595744680851E-2</v>
      </c>
      <c r="AJ170" s="48">
        <f t="shared" si="50"/>
        <v>0</v>
      </c>
    </row>
    <row r="171" spans="1:36" x14ac:dyDescent="0.3">
      <c r="A171" s="48">
        <v>20180905</v>
      </c>
      <c r="B171" s="48" t="s">
        <v>88</v>
      </c>
      <c r="C171" s="49">
        <v>47650</v>
      </c>
      <c r="D171" s="49">
        <v>46600</v>
      </c>
      <c r="E171" s="49">
        <v>6419324700</v>
      </c>
      <c r="F171" s="49">
        <f t="shared" si="39"/>
        <v>0.170946124192833</v>
      </c>
      <c r="G171" s="49">
        <f t="shared" si="40"/>
        <v>0.170946124192833</v>
      </c>
      <c r="H171" s="48">
        <v>280000</v>
      </c>
      <c r="I171" s="48">
        <v>274500</v>
      </c>
      <c r="J171" s="51">
        <v>125395903</v>
      </c>
      <c r="K171" s="48">
        <f t="shared" si="41"/>
        <v>1.34511125821281</v>
      </c>
      <c r="L171" s="48">
        <f t="shared" si="42"/>
        <v>1.34511125821281</v>
      </c>
      <c r="M171" s="49">
        <v>238000</v>
      </c>
      <c r="N171" s="49">
        <v>234400</v>
      </c>
      <c r="O171" s="49">
        <v>15956260</v>
      </c>
      <c r="P171" s="49">
        <f t="shared" si="43"/>
        <v>27.234779000652601</v>
      </c>
      <c r="Q171" s="49">
        <f t="shared" si="44"/>
        <v>27.234779000652601</v>
      </c>
      <c r="R171" s="48">
        <v>0</v>
      </c>
      <c r="S171" s="48"/>
      <c r="T171" s="48">
        <v>0</v>
      </c>
      <c r="U171" s="48">
        <v>0</v>
      </c>
      <c r="V171" s="48"/>
      <c r="W171" s="49">
        <v>1</v>
      </c>
      <c r="X171" s="49">
        <v>1</v>
      </c>
      <c r="Y171" s="49">
        <v>100000000</v>
      </c>
      <c r="Z171" s="49">
        <f t="shared" si="45"/>
        <v>1365114.194686</v>
      </c>
      <c r="AA171" s="49">
        <f t="shared" si="46"/>
        <v>1365114.194686</v>
      </c>
      <c r="AB171" s="82">
        <f t="shared" si="35"/>
        <v>0</v>
      </c>
      <c r="AC171" s="82">
        <f t="shared" si="36"/>
        <v>293290345052745.87</v>
      </c>
      <c r="AD171" s="81">
        <f t="shared" si="34"/>
        <v>335810730694985.12</v>
      </c>
      <c r="AE171" s="80">
        <f t="shared" si="37"/>
        <v>1144.9771066776586</v>
      </c>
      <c r="AF171" s="52">
        <f t="shared" si="47"/>
        <v>-1.0735895469491498E-2</v>
      </c>
      <c r="AG171" s="48">
        <f t="shared" si="38"/>
        <v>-2.2035676810073453E-2</v>
      </c>
      <c r="AH171" s="48">
        <f t="shared" si="48"/>
        <v>-1.9642857142857142E-2</v>
      </c>
      <c r="AI171" s="48">
        <f t="shared" si="49"/>
        <v>-1.5126050420168067E-2</v>
      </c>
      <c r="AJ171" s="48">
        <f t="shared" si="50"/>
        <v>0</v>
      </c>
    </row>
    <row r="172" spans="1:36" x14ac:dyDescent="0.3">
      <c r="A172" s="48">
        <v>20180906</v>
      </c>
      <c r="B172" s="48" t="s">
        <v>88</v>
      </c>
      <c r="C172" s="49">
        <v>46600</v>
      </c>
      <c r="D172" s="49">
        <v>46100</v>
      </c>
      <c r="E172" s="49">
        <v>6419324700</v>
      </c>
      <c r="F172" s="49">
        <f t="shared" si="39"/>
        <v>0.170946124192833</v>
      </c>
      <c r="G172" s="49">
        <f t="shared" si="40"/>
        <v>0.170946124192833</v>
      </c>
      <c r="H172" s="48">
        <v>274500</v>
      </c>
      <c r="I172" s="48">
        <v>277500</v>
      </c>
      <c r="J172" s="51">
        <v>125395903</v>
      </c>
      <c r="K172" s="48">
        <f t="shared" si="41"/>
        <v>1.34511125821281</v>
      </c>
      <c r="L172" s="48">
        <f t="shared" si="42"/>
        <v>1.34511125821281</v>
      </c>
      <c r="M172" s="49">
        <v>234400</v>
      </c>
      <c r="N172" s="49">
        <v>224500</v>
      </c>
      <c r="O172" s="49">
        <v>15956260</v>
      </c>
      <c r="P172" s="49">
        <f t="shared" si="43"/>
        <v>27.234779000652601</v>
      </c>
      <c r="Q172" s="49">
        <f t="shared" si="44"/>
        <v>27.234779000652601</v>
      </c>
      <c r="R172" s="48">
        <v>0</v>
      </c>
      <c r="S172" s="48"/>
      <c r="T172" s="48">
        <v>0</v>
      </c>
      <c r="U172" s="48">
        <v>0</v>
      </c>
      <c r="V172" s="48"/>
      <c r="W172" s="49">
        <v>1</v>
      </c>
      <c r="X172" s="49">
        <v>1</v>
      </c>
      <c r="Y172" s="49">
        <v>100000000</v>
      </c>
      <c r="Z172" s="49">
        <f t="shared" si="45"/>
        <v>1365114.194686</v>
      </c>
      <c r="AA172" s="49">
        <f t="shared" si="46"/>
        <v>1365114.194686</v>
      </c>
      <c r="AB172" s="82">
        <f t="shared" si="35"/>
        <v>0</v>
      </c>
      <c r="AC172" s="82">
        <f t="shared" si="36"/>
        <v>293290345052745.87</v>
      </c>
      <c r="AD172" s="81">
        <f t="shared" si="34"/>
        <v>331465870052570.31</v>
      </c>
      <c r="AE172" s="80">
        <f t="shared" si="37"/>
        <v>1130.1629107257484</v>
      </c>
      <c r="AF172" s="52">
        <f t="shared" si="47"/>
        <v>-1.2938421096379936E-2</v>
      </c>
      <c r="AG172" s="48">
        <f t="shared" si="38"/>
        <v>-1.0729613733905579E-2</v>
      </c>
      <c r="AH172" s="48">
        <f t="shared" si="48"/>
        <v>1.092896174863388E-2</v>
      </c>
      <c r="AI172" s="48">
        <f t="shared" si="49"/>
        <v>-4.2235494880546072E-2</v>
      </c>
      <c r="AJ172" s="48">
        <f t="shared" si="50"/>
        <v>0</v>
      </c>
    </row>
    <row r="173" spans="1:36" x14ac:dyDescent="0.3">
      <c r="A173" s="48">
        <v>20180907</v>
      </c>
      <c r="B173" s="48" t="s">
        <v>88</v>
      </c>
      <c r="C173" s="49">
        <v>46100</v>
      </c>
      <c r="D173" s="49">
        <v>44900</v>
      </c>
      <c r="E173" s="49">
        <v>6419324700</v>
      </c>
      <c r="F173" s="49">
        <f t="shared" si="39"/>
        <v>0.170946124192833</v>
      </c>
      <c r="G173" s="49">
        <f t="shared" si="40"/>
        <v>0.170946124192833</v>
      </c>
      <c r="H173" s="48">
        <v>277500</v>
      </c>
      <c r="I173" s="48">
        <v>279500</v>
      </c>
      <c r="J173" s="51">
        <v>125395903</v>
      </c>
      <c r="K173" s="48">
        <f t="shared" si="41"/>
        <v>1.34511125821281</v>
      </c>
      <c r="L173" s="48">
        <f t="shared" si="42"/>
        <v>1.34511125821281</v>
      </c>
      <c r="M173" s="49">
        <v>224500</v>
      </c>
      <c r="N173" s="49">
        <v>225000</v>
      </c>
      <c r="O173" s="49">
        <v>15956260</v>
      </c>
      <c r="P173" s="49">
        <f t="shared" si="43"/>
        <v>27.234779000652601</v>
      </c>
      <c r="Q173" s="49">
        <f t="shared" si="44"/>
        <v>27.234779000652601</v>
      </c>
      <c r="R173" s="48">
        <v>0</v>
      </c>
      <c r="S173" s="48"/>
      <c r="T173" s="48">
        <v>0</v>
      </c>
      <c r="U173" s="48">
        <v>0</v>
      </c>
      <c r="V173" s="48"/>
      <c r="W173" s="49">
        <v>1</v>
      </c>
      <c r="X173" s="49">
        <v>1</v>
      </c>
      <c r="Y173" s="49">
        <v>100000000</v>
      </c>
      <c r="Z173" s="49">
        <f t="shared" si="45"/>
        <v>1365114.194686</v>
      </c>
      <c r="AA173" s="49">
        <f t="shared" si="46"/>
        <v>1365114.194686</v>
      </c>
      <c r="AB173" s="82">
        <f t="shared" si="35"/>
        <v>0</v>
      </c>
      <c r="AC173" s="82">
        <f t="shared" si="36"/>
        <v>293290345052745.87</v>
      </c>
      <c r="AD173" s="81">
        <f t="shared" si="34"/>
        <v>330703665128796.5</v>
      </c>
      <c r="AE173" s="80">
        <f t="shared" si="37"/>
        <v>1127.5641039916338</v>
      </c>
      <c r="AF173" s="52">
        <f t="shared" si="47"/>
        <v>-2.2994974524917617E-3</v>
      </c>
      <c r="AG173" s="48">
        <f t="shared" si="38"/>
        <v>-2.6030368763557483E-2</v>
      </c>
      <c r="AH173" s="48">
        <f t="shared" si="48"/>
        <v>7.2072072072072073E-3</v>
      </c>
      <c r="AI173" s="48">
        <f t="shared" si="49"/>
        <v>2.2271714922048997E-3</v>
      </c>
      <c r="AJ173" s="48">
        <f t="shared" si="50"/>
        <v>0</v>
      </c>
    </row>
    <row r="174" spans="1:36" x14ac:dyDescent="0.3">
      <c r="A174" s="48">
        <v>20180910</v>
      </c>
      <c r="B174" s="48" t="s">
        <v>88</v>
      </c>
      <c r="C174" s="49">
        <v>44900</v>
      </c>
      <c r="D174" s="49">
        <v>45500</v>
      </c>
      <c r="E174" s="49">
        <v>6419324700</v>
      </c>
      <c r="F174" s="49">
        <f t="shared" si="39"/>
        <v>0.170946124192833</v>
      </c>
      <c r="G174" s="49">
        <f t="shared" si="40"/>
        <v>0.170946124192833</v>
      </c>
      <c r="H174" s="48">
        <v>279500</v>
      </c>
      <c r="I174" s="48">
        <v>274000</v>
      </c>
      <c r="J174" s="51">
        <v>125395903</v>
      </c>
      <c r="K174" s="48">
        <f t="shared" si="41"/>
        <v>1.34511125821281</v>
      </c>
      <c r="L174" s="48">
        <f t="shared" si="42"/>
        <v>1.34511125821281</v>
      </c>
      <c r="M174" s="49">
        <v>225000</v>
      </c>
      <c r="N174" s="49">
        <v>221800</v>
      </c>
      <c r="O174" s="49">
        <v>15956260</v>
      </c>
      <c r="P174" s="49">
        <f t="shared" si="43"/>
        <v>27.234779000652601</v>
      </c>
      <c r="Q174" s="49">
        <f t="shared" si="44"/>
        <v>27.234779000652601</v>
      </c>
      <c r="R174" s="48">
        <v>0</v>
      </c>
      <c r="S174" s="48"/>
      <c r="T174" s="48">
        <v>0</v>
      </c>
      <c r="U174" s="48">
        <v>0</v>
      </c>
      <c r="V174" s="48"/>
      <c r="W174" s="49">
        <v>1</v>
      </c>
      <c r="X174" s="49">
        <v>1</v>
      </c>
      <c r="Y174" s="49">
        <v>100000000</v>
      </c>
      <c r="Z174" s="49">
        <f t="shared" si="45"/>
        <v>1365114.194686</v>
      </c>
      <c r="AA174" s="49">
        <f t="shared" si="46"/>
        <v>1365114.194686</v>
      </c>
      <c r="AB174" s="82">
        <f t="shared" si="35"/>
        <v>0</v>
      </c>
      <c r="AC174" s="82">
        <f t="shared" si="36"/>
        <v>293290345052745.87</v>
      </c>
      <c r="AD174" s="81">
        <f t="shared" si="34"/>
        <v>329043778723225.62</v>
      </c>
      <c r="AE174" s="80">
        <f t="shared" si="37"/>
        <v>1121.9045709262944</v>
      </c>
      <c r="AF174" s="52">
        <f t="shared" si="47"/>
        <v>-5.0192561516497741E-3</v>
      </c>
      <c r="AG174" s="48">
        <f t="shared" si="38"/>
        <v>1.3363028953229399E-2</v>
      </c>
      <c r="AH174" s="48">
        <f t="shared" si="48"/>
        <v>-1.9677996422182469E-2</v>
      </c>
      <c r="AI174" s="48">
        <f t="shared" si="49"/>
        <v>-1.4222222222222223E-2</v>
      </c>
      <c r="AJ174" s="48">
        <f t="shared" si="50"/>
        <v>0</v>
      </c>
    </row>
    <row r="175" spans="1:36" x14ac:dyDescent="0.3">
      <c r="A175" s="48">
        <v>20180911</v>
      </c>
      <c r="B175" s="48" t="s">
        <v>88</v>
      </c>
      <c r="C175" s="49">
        <v>45500</v>
      </c>
      <c r="D175" s="49">
        <v>45050</v>
      </c>
      <c r="E175" s="49">
        <v>6419324700</v>
      </c>
      <c r="F175" s="49">
        <f t="shared" si="39"/>
        <v>0.170946124192833</v>
      </c>
      <c r="G175" s="49">
        <f t="shared" si="40"/>
        <v>0.170946124192833</v>
      </c>
      <c r="H175" s="48">
        <v>274000</v>
      </c>
      <c r="I175" s="48">
        <v>274500</v>
      </c>
      <c r="J175" s="51">
        <v>125395903</v>
      </c>
      <c r="K175" s="48">
        <f t="shared" si="41"/>
        <v>1.34511125821281</v>
      </c>
      <c r="L175" s="48">
        <f t="shared" si="42"/>
        <v>1.34511125821281</v>
      </c>
      <c r="M175" s="49">
        <v>221800</v>
      </c>
      <c r="N175" s="49">
        <v>222800</v>
      </c>
      <c r="O175" s="49">
        <v>15956260</v>
      </c>
      <c r="P175" s="49">
        <f t="shared" si="43"/>
        <v>27.234779000652601</v>
      </c>
      <c r="Q175" s="49">
        <f t="shared" si="44"/>
        <v>27.234779000652601</v>
      </c>
      <c r="R175" s="48">
        <v>0</v>
      </c>
      <c r="S175" s="48"/>
      <c r="T175" s="48">
        <v>0</v>
      </c>
      <c r="U175" s="48">
        <v>0</v>
      </c>
      <c r="V175" s="48"/>
      <c r="W175" s="49">
        <v>1</v>
      </c>
      <c r="X175" s="49">
        <v>1</v>
      </c>
      <c r="Y175" s="49">
        <v>100000000</v>
      </c>
      <c r="Z175" s="49">
        <f t="shared" si="45"/>
        <v>1365114.194686</v>
      </c>
      <c r="AA175" s="49">
        <f t="shared" si="46"/>
        <v>1365114.194686</v>
      </c>
      <c r="AB175" s="82">
        <f t="shared" si="35"/>
        <v>0</v>
      </c>
      <c r="AC175" s="82">
        <f t="shared" si="36"/>
        <v>293290345052745.87</v>
      </c>
      <c r="AD175" s="81">
        <f t="shared" si="34"/>
        <v>329068868253601.94</v>
      </c>
      <c r="AE175" s="80">
        <f t="shared" si="37"/>
        <v>1121.9901159529188</v>
      </c>
      <c r="AF175" s="52">
        <f t="shared" si="47"/>
        <v>7.6249824487147834E-5</v>
      </c>
      <c r="AG175" s="48">
        <f t="shared" si="38"/>
        <v>-9.8901098901098897E-3</v>
      </c>
      <c r="AH175" s="48">
        <f t="shared" si="48"/>
        <v>1.8248175182481751E-3</v>
      </c>
      <c r="AI175" s="48">
        <f t="shared" si="49"/>
        <v>4.508566275924256E-3</v>
      </c>
      <c r="AJ175" s="48">
        <f t="shared" si="50"/>
        <v>0</v>
      </c>
    </row>
    <row r="176" spans="1:36" x14ac:dyDescent="0.3">
      <c r="A176" s="48">
        <v>20180912</v>
      </c>
      <c r="B176" s="48" t="s">
        <v>88</v>
      </c>
      <c r="C176" s="49">
        <v>45050</v>
      </c>
      <c r="D176" s="49">
        <v>44550</v>
      </c>
      <c r="E176" s="49">
        <v>6419324700</v>
      </c>
      <c r="F176" s="49">
        <f t="shared" si="39"/>
        <v>0.170946124192833</v>
      </c>
      <c r="G176" s="49">
        <f t="shared" si="40"/>
        <v>0.170946124192833</v>
      </c>
      <c r="H176" s="48">
        <v>274500</v>
      </c>
      <c r="I176" s="48">
        <v>285000</v>
      </c>
      <c r="J176" s="51">
        <v>125395903</v>
      </c>
      <c r="K176" s="48">
        <f t="shared" si="41"/>
        <v>1.34511125821281</v>
      </c>
      <c r="L176" s="48">
        <f t="shared" si="42"/>
        <v>1.34511125821281</v>
      </c>
      <c r="M176" s="49">
        <v>222800</v>
      </c>
      <c r="N176" s="49">
        <v>230100</v>
      </c>
      <c r="O176" s="49">
        <v>15956260</v>
      </c>
      <c r="P176" s="49">
        <f t="shared" si="43"/>
        <v>27.234779000652601</v>
      </c>
      <c r="Q176" s="49">
        <f t="shared" si="44"/>
        <v>27.234779000652601</v>
      </c>
      <c r="R176" s="48">
        <v>0</v>
      </c>
      <c r="S176" s="48"/>
      <c r="T176" s="48">
        <v>0</v>
      </c>
      <c r="U176" s="48">
        <v>0</v>
      </c>
      <c r="V176" s="48"/>
      <c r="W176" s="49">
        <v>1</v>
      </c>
      <c r="X176" s="49">
        <v>1</v>
      </c>
      <c r="Y176" s="49">
        <v>100000000</v>
      </c>
      <c r="Z176" s="49">
        <f t="shared" si="45"/>
        <v>1365114.194686</v>
      </c>
      <c r="AA176" s="49">
        <f t="shared" si="46"/>
        <v>1365114.194686</v>
      </c>
      <c r="AB176" s="82">
        <f t="shared" si="35"/>
        <v>0</v>
      </c>
      <c r="AC176" s="82">
        <f t="shared" si="36"/>
        <v>293290345052745.87</v>
      </c>
      <c r="AD176" s="81">
        <f t="shared" si="34"/>
        <v>333463565111793.69</v>
      </c>
      <c r="AE176" s="80">
        <f t="shared" si="37"/>
        <v>1136.9742329970766</v>
      </c>
      <c r="AF176" s="52">
        <f t="shared" si="47"/>
        <v>1.3354945672967517E-2</v>
      </c>
      <c r="AG176" s="48">
        <f t="shared" si="38"/>
        <v>-1.1098779134295227E-2</v>
      </c>
      <c r="AH176" s="48">
        <f t="shared" si="48"/>
        <v>3.825136612021858E-2</v>
      </c>
      <c r="AI176" s="48">
        <f t="shared" si="49"/>
        <v>3.2764811490125674E-2</v>
      </c>
      <c r="AJ176" s="48">
        <f t="shared" si="50"/>
        <v>0</v>
      </c>
    </row>
    <row r="177" spans="1:36" x14ac:dyDescent="0.3">
      <c r="A177" s="48">
        <v>20180913</v>
      </c>
      <c r="B177" s="48" t="s">
        <v>88</v>
      </c>
      <c r="C177" s="49">
        <v>44550</v>
      </c>
      <c r="D177" s="49">
        <v>44050</v>
      </c>
      <c r="E177" s="49">
        <v>6419324700</v>
      </c>
      <c r="F177" s="49">
        <f t="shared" si="39"/>
        <v>0.170946124192833</v>
      </c>
      <c r="G177" s="49">
        <f t="shared" si="40"/>
        <v>0.170946124192833</v>
      </c>
      <c r="H177" s="48">
        <v>285000</v>
      </c>
      <c r="I177" s="48">
        <v>293500</v>
      </c>
      <c r="J177" s="51">
        <v>125395903</v>
      </c>
      <c r="K177" s="48">
        <f t="shared" si="41"/>
        <v>1.34511125821281</v>
      </c>
      <c r="L177" s="48">
        <f t="shared" si="42"/>
        <v>1.34511125821281</v>
      </c>
      <c r="M177" s="49">
        <v>230100</v>
      </c>
      <c r="N177" s="49">
        <v>232300</v>
      </c>
      <c r="O177" s="49">
        <v>15956260</v>
      </c>
      <c r="P177" s="49">
        <f t="shared" si="43"/>
        <v>27.234779000652601</v>
      </c>
      <c r="Q177" s="49">
        <f t="shared" si="44"/>
        <v>27.234779000652601</v>
      </c>
      <c r="R177" s="48">
        <v>0</v>
      </c>
      <c r="S177" s="48"/>
      <c r="T177" s="48">
        <v>0</v>
      </c>
      <c r="U177" s="48">
        <v>0</v>
      </c>
      <c r="V177" s="48"/>
      <c r="W177" s="49">
        <v>1</v>
      </c>
      <c r="X177" s="49">
        <v>1</v>
      </c>
      <c r="Y177" s="49">
        <v>100000000</v>
      </c>
      <c r="Z177" s="49">
        <f t="shared" si="45"/>
        <v>1365114.194686</v>
      </c>
      <c r="AA177" s="49">
        <f t="shared" si="46"/>
        <v>1365114.194686</v>
      </c>
      <c r="AB177" s="82">
        <f t="shared" si="35"/>
        <v>0</v>
      </c>
      <c r="AC177" s="82">
        <f t="shared" si="36"/>
        <v>293290345052745.87</v>
      </c>
      <c r="AD177" s="81">
        <f t="shared" si="34"/>
        <v>335304636492904.87</v>
      </c>
      <c r="AE177" s="80">
        <f t="shared" si="37"/>
        <v>1143.2515326496789</v>
      </c>
      <c r="AF177" s="52">
        <f t="shared" si="47"/>
        <v>5.5210570920814035E-3</v>
      </c>
      <c r="AG177" s="48">
        <f t="shared" si="38"/>
        <v>-1.1223344556677889E-2</v>
      </c>
      <c r="AH177" s="48">
        <f t="shared" si="48"/>
        <v>2.9824561403508771E-2</v>
      </c>
      <c r="AI177" s="48">
        <f t="shared" si="49"/>
        <v>9.5610604085180351E-3</v>
      </c>
      <c r="AJ177" s="48">
        <f t="shared" si="50"/>
        <v>0</v>
      </c>
    </row>
    <row r="178" spans="1:36" x14ac:dyDescent="0.3">
      <c r="A178" s="48">
        <v>20180914</v>
      </c>
      <c r="B178" s="48" t="s">
        <v>88</v>
      </c>
      <c r="C178" s="49">
        <v>44050</v>
      </c>
      <c r="D178" s="49">
        <v>45850</v>
      </c>
      <c r="E178" s="49">
        <v>6419324700</v>
      </c>
      <c r="F178" s="49">
        <f t="shared" si="39"/>
        <v>0.170946124192833</v>
      </c>
      <c r="G178" s="49">
        <f t="shared" si="40"/>
        <v>0.170946124192833</v>
      </c>
      <c r="H178" s="48">
        <v>293500</v>
      </c>
      <c r="I178" s="48">
        <v>291000</v>
      </c>
      <c r="J178" s="51">
        <v>125395903</v>
      </c>
      <c r="K178" s="48">
        <f t="shared" si="41"/>
        <v>1.34511125821281</v>
      </c>
      <c r="L178" s="48">
        <f t="shared" si="42"/>
        <v>1.34511125821281</v>
      </c>
      <c r="M178" s="49">
        <v>232300</v>
      </c>
      <c r="N178" s="49">
        <v>240300</v>
      </c>
      <c r="O178" s="49">
        <v>15956260</v>
      </c>
      <c r="P178" s="49">
        <f t="shared" si="43"/>
        <v>27.234779000652601</v>
      </c>
      <c r="Q178" s="49">
        <f t="shared" si="44"/>
        <v>27.234779000652601</v>
      </c>
      <c r="R178" s="48">
        <v>0</v>
      </c>
      <c r="S178" s="48"/>
      <c r="T178" s="48">
        <v>0</v>
      </c>
      <c r="U178" s="48">
        <v>0</v>
      </c>
      <c r="V178" s="48"/>
      <c r="W178" s="49">
        <v>1</v>
      </c>
      <c r="X178" s="49">
        <v>1</v>
      </c>
      <c r="Y178" s="49">
        <v>100000000</v>
      </c>
      <c r="Z178" s="49">
        <f t="shared" si="45"/>
        <v>1365114.194686</v>
      </c>
      <c r="AA178" s="49">
        <f t="shared" si="46"/>
        <v>1365114.194686</v>
      </c>
      <c r="AB178" s="82">
        <f t="shared" si="35"/>
        <v>0</v>
      </c>
      <c r="AC178" s="82">
        <f t="shared" si="36"/>
        <v>293290345052745.87</v>
      </c>
      <c r="AD178" s="81">
        <f t="shared" si="34"/>
        <v>340334725228293.44</v>
      </c>
      <c r="AE178" s="80">
        <f t="shared" si="37"/>
        <v>1160.402075857925</v>
      </c>
      <c r="AF178" s="52">
        <f t="shared" si="47"/>
        <v>1.5001548406846896E-2</v>
      </c>
      <c r="AG178" s="48">
        <f t="shared" si="38"/>
        <v>4.0862656072644721E-2</v>
      </c>
      <c r="AH178" s="48">
        <f t="shared" si="48"/>
        <v>-8.5178875638841564E-3</v>
      </c>
      <c r="AI178" s="48">
        <f t="shared" si="49"/>
        <v>3.4438226431338786E-2</v>
      </c>
      <c r="AJ178" s="48">
        <f t="shared" si="50"/>
        <v>0</v>
      </c>
    </row>
    <row r="179" spans="1:36" x14ac:dyDescent="0.3">
      <c r="A179" s="48">
        <v>20180917</v>
      </c>
      <c r="B179" s="48" t="s">
        <v>88</v>
      </c>
      <c r="C179" s="49">
        <v>45850</v>
      </c>
      <c r="D179" s="49">
        <v>45150</v>
      </c>
      <c r="E179" s="49">
        <v>6419324700</v>
      </c>
      <c r="F179" s="49">
        <f t="shared" si="39"/>
        <v>0.170946124192833</v>
      </c>
      <c r="G179" s="49">
        <f t="shared" si="40"/>
        <v>0.170946124192833</v>
      </c>
      <c r="H179" s="48">
        <v>291000</v>
      </c>
      <c r="I179" s="48">
        <v>302500</v>
      </c>
      <c r="J179" s="51">
        <v>125395903</v>
      </c>
      <c r="K179" s="48">
        <f t="shared" si="41"/>
        <v>1.34511125821281</v>
      </c>
      <c r="L179" s="48">
        <f t="shared" si="42"/>
        <v>1.34511125821281</v>
      </c>
      <c r="M179" s="49">
        <v>240300</v>
      </c>
      <c r="N179" s="49">
        <v>241300</v>
      </c>
      <c r="O179" s="49">
        <v>15956260</v>
      </c>
      <c r="P179" s="49">
        <f t="shared" si="43"/>
        <v>27.234779000652601</v>
      </c>
      <c r="Q179" s="49">
        <f t="shared" si="44"/>
        <v>27.234779000652601</v>
      </c>
      <c r="R179" s="48">
        <v>0</v>
      </c>
      <c r="S179" s="48"/>
      <c r="T179" s="48">
        <v>0</v>
      </c>
      <c r="U179" s="48">
        <v>0</v>
      </c>
      <c r="V179" s="48"/>
      <c r="W179" s="49">
        <v>1</v>
      </c>
      <c r="X179" s="49">
        <v>1</v>
      </c>
      <c r="Y179" s="49">
        <v>100000000</v>
      </c>
      <c r="Z179" s="49">
        <f t="shared" si="45"/>
        <v>1365114.194686</v>
      </c>
      <c r="AA179" s="49">
        <f t="shared" si="46"/>
        <v>1365114.194686</v>
      </c>
      <c r="AB179" s="82">
        <f t="shared" si="35"/>
        <v>0</v>
      </c>
      <c r="AC179" s="82">
        <f t="shared" si="36"/>
        <v>293290345052745.87</v>
      </c>
      <c r="AD179" s="81">
        <f t="shared" si="34"/>
        <v>341940860938769.37</v>
      </c>
      <c r="AE179" s="80">
        <f t="shared" si="37"/>
        <v>1165.8783410591784</v>
      </c>
      <c r="AF179" s="52">
        <f t="shared" si="47"/>
        <v>4.719282492841685E-3</v>
      </c>
      <c r="AG179" s="48">
        <f t="shared" si="38"/>
        <v>-1.5267175572519083E-2</v>
      </c>
      <c r="AH179" s="48">
        <f t="shared" si="48"/>
        <v>3.951890034364261E-2</v>
      </c>
      <c r="AI179" s="48">
        <f t="shared" si="49"/>
        <v>4.1614648356221393E-3</v>
      </c>
      <c r="AJ179" s="48">
        <f t="shared" si="50"/>
        <v>0</v>
      </c>
    </row>
    <row r="180" spans="1:36" x14ac:dyDescent="0.3">
      <c r="A180" s="48">
        <v>20180918</v>
      </c>
      <c r="B180" s="48" t="s">
        <v>88</v>
      </c>
      <c r="C180" s="49">
        <v>45150</v>
      </c>
      <c r="D180" s="49">
        <v>45500</v>
      </c>
      <c r="E180" s="49">
        <v>6419324700</v>
      </c>
      <c r="F180" s="49">
        <f t="shared" si="39"/>
        <v>0.170946124192833</v>
      </c>
      <c r="G180" s="49">
        <f t="shared" si="40"/>
        <v>0.170946124192833</v>
      </c>
      <c r="H180" s="48">
        <v>302500</v>
      </c>
      <c r="I180" s="48">
        <v>300500</v>
      </c>
      <c r="J180" s="51">
        <v>125395903</v>
      </c>
      <c r="K180" s="48">
        <f t="shared" si="41"/>
        <v>1.34511125821281</v>
      </c>
      <c r="L180" s="48">
        <f t="shared" si="42"/>
        <v>1.34511125821281</v>
      </c>
      <c r="M180" s="49">
        <v>241300</v>
      </c>
      <c r="N180" s="49">
        <v>243000</v>
      </c>
      <c r="O180" s="49">
        <v>15956260</v>
      </c>
      <c r="P180" s="49">
        <f t="shared" si="43"/>
        <v>27.234779000652601</v>
      </c>
      <c r="Q180" s="49">
        <f t="shared" si="44"/>
        <v>27.234779000652601</v>
      </c>
      <c r="R180" s="48">
        <v>0</v>
      </c>
      <c r="S180" s="48"/>
      <c r="T180" s="48">
        <v>0</v>
      </c>
      <c r="U180" s="48">
        <v>0</v>
      </c>
      <c r="V180" s="48"/>
      <c r="W180" s="49">
        <v>1</v>
      </c>
      <c r="X180" s="49">
        <v>1</v>
      </c>
      <c r="Y180" s="49">
        <v>100000000</v>
      </c>
      <c r="Z180" s="49">
        <f t="shared" si="45"/>
        <v>1365114.194686</v>
      </c>
      <c r="AA180" s="49">
        <f t="shared" si="46"/>
        <v>1365114.194686</v>
      </c>
      <c r="AB180" s="82">
        <f t="shared" si="35"/>
        <v>0</v>
      </c>
      <c r="AC180" s="82">
        <f t="shared" si="36"/>
        <v>293290345052745.87</v>
      </c>
      <c r="AD180" s="81">
        <f t="shared" si="34"/>
        <v>342726354459262.12</v>
      </c>
      <c r="AE180" s="80">
        <f t="shared" si="37"/>
        <v>1168.5565523734699</v>
      </c>
      <c r="AF180" s="52">
        <f t="shared" si="47"/>
        <v>2.2971619078697336E-3</v>
      </c>
      <c r="AG180" s="48">
        <f t="shared" si="38"/>
        <v>7.7519379844961239E-3</v>
      </c>
      <c r="AH180" s="48">
        <f t="shared" si="48"/>
        <v>-6.6115702479338841E-3</v>
      </c>
      <c r="AI180" s="48">
        <f t="shared" si="49"/>
        <v>7.0451719850808123E-3</v>
      </c>
      <c r="AJ180" s="48">
        <f t="shared" si="50"/>
        <v>0</v>
      </c>
    </row>
    <row r="181" spans="1:36" x14ac:dyDescent="0.3">
      <c r="A181" s="48">
        <v>20180919</v>
      </c>
      <c r="B181" s="48" t="s">
        <v>88</v>
      </c>
      <c r="C181" s="49">
        <v>45500</v>
      </c>
      <c r="D181" s="49">
        <v>46150</v>
      </c>
      <c r="E181" s="49">
        <v>6419324700</v>
      </c>
      <c r="F181" s="49">
        <f t="shared" si="39"/>
        <v>0.170946124192833</v>
      </c>
      <c r="G181" s="49">
        <f t="shared" si="40"/>
        <v>0.170946124192833</v>
      </c>
      <c r="H181" s="48">
        <v>300500</v>
      </c>
      <c r="I181" s="48">
        <v>306000</v>
      </c>
      <c r="J181" s="51">
        <v>125395903</v>
      </c>
      <c r="K181" s="48">
        <f t="shared" si="41"/>
        <v>1.34511125821281</v>
      </c>
      <c r="L181" s="48">
        <f t="shared" si="42"/>
        <v>1.34511125821281</v>
      </c>
      <c r="M181" s="49">
        <v>243000</v>
      </c>
      <c r="N181" s="49">
        <v>243000</v>
      </c>
      <c r="O181" s="49">
        <v>15956260</v>
      </c>
      <c r="P181" s="49">
        <f t="shared" si="43"/>
        <v>27.234779000652601</v>
      </c>
      <c r="Q181" s="49">
        <f t="shared" si="44"/>
        <v>27.234779000652601</v>
      </c>
      <c r="R181" s="48">
        <v>0</v>
      </c>
      <c r="S181" s="48"/>
      <c r="T181" s="48">
        <v>0</v>
      </c>
      <c r="U181" s="48">
        <v>0</v>
      </c>
      <c r="V181" s="48"/>
      <c r="W181" s="49">
        <v>1</v>
      </c>
      <c r="X181" s="49">
        <v>1</v>
      </c>
      <c r="Y181" s="49">
        <v>100000000</v>
      </c>
      <c r="Z181" s="49">
        <f t="shared" si="45"/>
        <v>1365114.194686</v>
      </c>
      <c r="AA181" s="49">
        <f t="shared" si="46"/>
        <v>1365114.194686</v>
      </c>
      <c r="AB181" s="82">
        <f t="shared" si="35"/>
        <v>0</v>
      </c>
      <c r="AC181" s="82">
        <f t="shared" si="36"/>
        <v>293290345052745.87</v>
      </c>
      <c r="AD181" s="81">
        <f t="shared" si="34"/>
        <v>344367330524297.19</v>
      </c>
      <c r="AE181" s="80">
        <f t="shared" si="37"/>
        <v>1174.1516089197055</v>
      </c>
      <c r="AF181" s="52">
        <f t="shared" si="47"/>
        <v>4.7880066521995817E-3</v>
      </c>
      <c r="AG181" s="48">
        <f t="shared" si="38"/>
        <v>1.4285714285714285E-2</v>
      </c>
      <c r="AH181" s="48">
        <f t="shared" si="48"/>
        <v>1.8302828618968387E-2</v>
      </c>
      <c r="AI181" s="48">
        <f t="shared" si="49"/>
        <v>0</v>
      </c>
      <c r="AJ181" s="48">
        <f t="shared" si="50"/>
        <v>0</v>
      </c>
    </row>
    <row r="182" spans="1:36" x14ac:dyDescent="0.3">
      <c r="A182" s="48">
        <v>20180920</v>
      </c>
      <c r="B182" s="48" t="s">
        <v>88</v>
      </c>
      <c r="C182" s="49">
        <v>46150</v>
      </c>
      <c r="D182" s="49">
        <v>47250</v>
      </c>
      <c r="E182" s="49">
        <v>6419324700</v>
      </c>
      <c r="F182" s="49">
        <f t="shared" si="39"/>
        <v>0.170946124192833</v>
      </c>
      <c r="G182" s="49">
        <f t="shared" si="40"/>
        <v>0.170946124192833</v>
      </c>
      <c r="H182" s="48">
        <v>306000</v>
      </c>
      <c r="I182" s="48">
        <v>296500</v>
      </c>
      <c r="J182" s="51">
        <v>125395903</v>
      </c>
      <c r="K182" s="48">
        <f t="shared" si="41"/>
        <v>1.34511125821281</v>
      </c>
      <c r="L182" s="48">
        <f t="shared" si="42"/>
        <v>1.34511125821281</v>
      </c>
      <c r="M182" s="49">
        <v>243000</v>
      </c>
      <c r="N182" s="49">
        <v>246100</v>
      </c>
      <c r="O182" s="49">
        <v>15956260</v>
      </c>
      <c r="P182" s="49">
        <f t="shared" si="43"/>
        <v>27.234779000652601</v>
      </c>
      <c r="Q182" s="49">
        <f t="shared" si="44"/>
        <v>27.234779000652601</v>
      </c>
      <c r="R182" s="48">
        <v>0</v>
      </c>
      <c r="S182" s="48"/>
      <c r="T182" s="48">
        <v>0</v>
      </c>
      <c r="U182" s="48">
        <v>0</v>
      </c>
      <c r="V182" s="48"/>
      <c r="W182" s="49">
        <v>1</v>
      </c>
      <c r="X182" s="49">
        <v>1</v>
      </c>
      <c r="Y182" s="49">
        <v>100000000</v>
      </c>
      <c r="Z182" s="49">
        <f t="shared" si="45"/>
        <v>1365114.194686</v>
      </c>
      <c r="AA182" s="49">
        <f t="shared" si="46"/>
        <v>1365114.194686</v>
      </c>
      <c r="AB182" s="82">
        <f t="shared" si="35"/>
        <v>0</v>
      </c>
      <c r="AC182" s="82">
        <f t="shared" si="36"/>
        <v>293290345052745.87</v>
      </c>
      <c r="AD182" s="81">
        <f t="shared" si="34"/>
        <v>345319198547085</v>
      </c>
      <c r="AE182" s="80">
        <f t="shared" si="37"/>
        <v>1177.3970891710812</v>
      </c>
      <c r="AF182" s="52">
        <f t="shared" si="47"/>
        <v>2.7641066338628859E-3</v>
      </c>
      <c r="AG182" s="48">
        <f t="shared" si="38"/>
        <v>2.3835319609967497E-2</v>
      </c>
      <c r="AH182" s="48">
        <f t="shared" si="48"/>
        <v>-3.1045751633986929E-2</v>
      </c>
      <c r="AI182" s="48">
        <f t="shared" si="49"/>
        <v>1.2757201646090535E-2</v>
      </c>
      <c r="AJ182" s="48">
        <f t="shared" si="50"/>
        <v>0</v>
      </c>
    </row>
    <row r="183" spans="1:36" x14ac:dyDescent="0.3">
      <c r="A183" s="48">
        <v>20180921</v>
      </c>
      <c r="B183" s="48" t="s">
        <v>88</v>
      </c>
      <c r="C183" s="49">
        <v>47250</v>
      </c>
      <c r="D183" s="49">
        <v>47400</v>
      </c>
      <c r="E183" s="49">
        <v>6419324700</v>
      </c>
      <c r="F183" s="49">
        <f t="shared" si="39"/>
        <v>0.170946124192833</v>
      </c>
      <c r="G183" s="49">
        <f t="shared" si="40"/>
        <v>0.170946124192833</v>
      </c>
      <c r="H183" s="48">
        <v>296500</v>
      </c>
      <c r="I183" s="48">
        <v>302500</v>
      </c>
      <c r="J183" s="51">
        <v>125395903</v>
      </c>
      <c r="K183" s="48">
        <f t="shared" si="41"/>
        <v>1.34511125821281</v>
      </c>
      <c r="L183" s="48">
        <f t="shared" si="42"/>
        <v>1.34511125821281</v>
      </c>
      <c r="M183" s="49">
        <v>246100</v>
      </c>
      <c r="N183" s="49">
        <v>245000</v>
      </c>
      <c r="O183" s="49">
        <v>15956260</v>
      </c>
      <c r="P183" s="49">
        <f t="shared" si="43"/>
        <v>27.234779000652601</v>
      </c>
      <c r="Q183" s="49">
        <f t="shared" si="44"/>
        <v>27.234779000652601</v>
      </c>
      <c r="R183" s="48">
        <v>0</v>
      </c>
      <c r="S183" s="48"/>
      <c r="T183" s="48">
        <v>0</v>
      </c>
      <c r="U183" s="48">
        <v>0</v>
      </c>
      <c r="V183" s="48"/>
      <c r="W183" s="49">
        <v>1</v>
      </c>
      <c r="X183" s="49">
        <v>1</v>
      </c>
      <c r="Y183" s="49">
        <v>100000000</v>
      </c>
      <c r="Z183" s="49">
        <f t="shared" si="45"/>
        <v>1365114.194686</v>
      </c>
      <c r="AA183" s="49">
        <f t="shared" si="46"/>
        <v>1365114.194686</v>
      </c>
      <c r="AB183" s="82">
        <f t="shared" si="35"/>
        <v>0</v>
      </c>
      <c r="AC183" s="82">
        <f t="shared" si="36"/>
        <v>293290345052745.87</v>
      </c>
      <c r="AD183" s="81">
        <f t="shared" si="34"/>
        <v>346017809257594.75</v>
      </c>
      <c r="AE183" s="80">
        <f t="shared" si="37"/>
        <v>1179.7790656742084</v>
      </c>
      <c r="AF183" s="52">
        <f t="shared" si="47"/>
        <v>2.0230867946209288E-3</v>
      </c>
      <c r="AG183" s="48">
        <f t="shared" si="38"/>
        <v>3.1746031746031746E-3</v>
      </c>
      <c r="AH183" s="48">
        <f t="shared" si="48"/>
        <v>2.0236087689713321E-2</v>
      </c>
      <c r="AI183" s="48">
        <f t="shared" si="49"/>
        <v>-4.469727752945957E-3</v>
      </c>
      <c r="AJ183" s="48">
        <f t="shared" si="50"/>
        <v>0</v>
      </c>
    </row>
    <row r="184" spans="1:36" x14ac:dyDescent="0.3">
      <c r="A184" s="48">
        <v>20180927</v>
      </c>
      <c r="B184" s="48" t="s">
        <v>88</v>
      </c>
      <c r="C184" s="49">
        <v>47400</v>
      </c>
      <c r="D184" s="49">
        <v>47500</v>
      </c>
      <c r="E184" s="49">
        <v>6419324700</v>
      </c>
      <c r="F184" s="49">
        <f t="shared" si="39"/>
        <v>0.170946124192833</v>
      </c>
      <c r="G184" s="49">
        <f t="shared" si="40"/>
        <v>0.170946124192833</v>
      </c>
      <c r="H184" s="48">
        <v>302500</v>
      </c>
      <c r="I184" s="48">
        <v>301000</v>
      </c>
      <c r="J184" s="51">
        <v>125395903</v>
      </c>
      <c r="K184" s="48">
        <f t="shared" si="41"/>
        <v>1.34511125821281</v>
      </c>
      <c r="L184" s="48">
        <f t="shared" si="42"/>
        <v>1.34511125821281</v>
      </c>
      <c r="M184" s="49">
        <v>245000</v>
      </c>
      <c r="N184" s="49">
        <v>248600</v>
      </c>
      <c r="O184" s="49">
        <v>15956260</v>
      </c>
      <c r="P184" s="49">
        <f t="shared" si="43"/>
        <v>27.234779000652601</v>
      </c>
      <c r="Q184" s="49">
        <f t="shared" si="44"/>
        <v>27.234779000652601</v>
      </c>
      <c r="R184" s="48">
        <v>0</v>
      </c>
      <c r="S184" s="48"/>
      <c r="T184" s="48">
        <v>0</v>
      </c>
      <c r="U184" s="48">
        <v>0</v>
      </c>
      <c r="V184" s="48"/>
      <c r="W184" s="49">
        <v>1</v>
      </c>
      <c r="X184" s="49">
        <v>1</v>
      </c>
      <c r="Y184" s="49">
        <v>100000000</v>
      </c>
      <c r="Z184" s="49">
        <f t="shared" si="45"/>
        <v>1365114.194686</v>
      </c>
      <c r="AA184" s="49">
        <f t="shared" si="46"/>
        <v>1365114.194686</v>
      </c>
      <c r="AB184" s="82">
        <f t="shared" si="35"/>
        <v>0</v>
      </c>
      <c r="AC184" s="82">
        <f t="shared" si="36"/>
        <v>293290345052745.87</v>
      </c>
      <c r="AD184" s="81">
        <f t="shared" si="34"/>
        <v>347438972737243.25</v>
      </c>
      <c r="AE184" s="80">
        <f t="shared" si="37"/>
        <v>1184.6246512982184</v>
      </c>
      <c r="AF184" s="52">
        <f t="shared" si="47"/>
        <v>4.1071974956946034E-3</v>
      </c>
      <c r="AG184" s="48">
        <f t="shared" si="38"/>
        <v>2.1097046413502108E-3</v>
      </c>
      <c r="AH184" s="48">
        <f t="shared" si="48"/>
        <v>-4.9586776859504135E-3</v>
      </c>
      <c r="AI184" s="48">
        <f t="shared" si="49"/>
        <v>1.4693877551020407E-2</v>
      </c>
      <c r="AJ184" s="48">
        <f t="shared" si="50"/>
        <v>0</v>
      </c>
    </row>
    <row r="185" spans="1:36" x14ac:dyDescent="0.3">
      <c r="A185" s="48">
        <v>20180928</v>
      </c>
      <c r="B185" s="48" t="s">
        <v>88</v>
      </c>
      <c r="C185" s="49">
        <v>47500</v>
      </c>
      <c r="D185" s="49">
        <v>46450</v>
      </c>
      <c r="E185" s="49">
        <v>6419324700</v>
      </c>
      <c r="F185" s="49">
        <f t="shared" si="39"/>
        <v>0.170946124192833</v>
      </c>
      <c r="G185" s="49">
        <f t="shared" si="40"/>
        <v>0.170946124192833</v>
      </c>
      <c r="H185" s="48">
        <v>301000</v>
      </c>
      <c r="I185" s="48">
        <v>297000</v>
      </c>
      <c r="J185" s="51">
        <v>125395903</v>
      </c>
      <c r="K185" s="48">
        <f t="shared" si="41"/>
        <v>1.34511125821281</v>
      </c>
      <c r="L185" s="48">
        <f t="shared" si="42"/>
        <v>1.34511125821281</v>
      </c>
      <c r="M185" s="49">
        <v>248600</v>
      </c>
      <c r="N185" s="49">
        <v>240800</v>
      </c>
      <c r="O185" s="49">
        <v>15956260</v>
      </c>
      <c r="P185" s="49">
        <f t="shared" si="43"/>
        <v>27.234779000652601</v>
      </c>
      <c r="Q185" s="49">
        <f t="shared" si="44"/>
        <v>27.234779000652601</v>
      </c>
      <c r="R185" s="48">
        <v>0</v>
      </c>
      <c r="S185" s="48"/>
      <c r="T185" s="48">
        <v>0</v>
      </c>
      <c r="U185" s="48">
        <v>0</v>
      </c>
      <c r="V185" s="48"/>
      <c r="W185" s="49">
        <v>1</v>
      </c>
      <c r="X185" s="49">
        <v>1</v>
      </c>
      <c r="Y185" s="49">
        <v>100000000</v>
      </c>
      <c r="Z185" s="49">
        <f t="shared" si="45"/>
        <v>1365114.194686</v>
      </c>
      <c r="AA185" s="49">
        <f t="shared" si="46"/>
        <v>1365114.194686</v>
      </c>
      <c r="AB185" s="82">
        <f t="shared" si="35"/>
        <v>0</v>
      </c>
      <c r="AC185" s="82">
        <f t="shared" si="36"/>
        <v>293290345052745.87</v>
      </c>
      <c r="AD185" s="81">
        <f t="shared" si="34"/>
        <v>342222451687276.44</v>
      </c>
      <c r="AE185" s="80">
        <f t="shared" si="37"/>
        <v>1166.8384502249146</v>
      </c>
      <c r="AF185" s="52">
        <f t="shared" si="47"/>
        <v>-1.5014208132349837E-2</v>
      </c>
      <c r="AG185" s="48">
        <f t="shared" si="38"/>
        <v>-2.2105263157894735E-2</v>
      </c>
      <c r="AH185" s="48">
        <f t="shared" si="48"/>
        <v>-1.3289036544850499E-2</v>
      </c>
      <c r="AI185" s="48">
        <f t="shared" si="49"/>
        <v>-3.1375703942075624E-2</v>
      </c>
      <c r="AJ185" s="48">
        <f t="shared" si="50"/>
        <v>0</v>
      </c>
    </row>
    <row r="186" spans="1:36" x14ac:dyDescent="0.3">
      <c r="A186" s="48">
        <v>20181001</v>
      </c>
      <c r="B186" s="48" t="s">
        <v>88</v>
      </c>
      <c r="C186" s="49">
        <v>46450</v>
      </c>
      <c r="D186" s="49">
        <v>46350</v>
      </c>
      <c r="E186" s="49">
        <v>6419324700</v>
      </c>
      <c r="F186" s="49">
        <f t="shared" si="39"/>
        <v>0.170946124192833</v>
      </c>
      <c r="G186" s="49">
        <f t="shared" si="40"/>
        <v>0.170946124192833</v>
      </c>
      <c r="H186" s="48">
        <v>297000</v>
      </c>
      <c r="I186" s="48">
        <v>292000</v>
      </c>
      <c r="J186" s="51">
        <v>125395903</v>
      </c>
      <c r="K186" s="48">
        <f t="shared" si="41"/>
        <v>1.34511125821281</v>
      </c>
      <c r="L186" s="48">
        <f t="shared" si="42"/>
        <v>1.34511125821281</v>
      </c>
      <c r="M186" s="49">
        <v>240800</v>
      </c>
      <c r="N186" s="49">
        <v>242000</v>
      </c>
      <c r="O186" s="49">
        <v>15956260</v>
      </c>
      <c r="P186" s="49">
        <f t="shared" si="43"/>
        <v>27.234779000652601</v>
      </c>
      <c r="Q186" s="49">
        <f t="shared" si="44"/>
        <v>27.234779000652601</v>
      </c>
      <c r="R186" s="48">
        <v>0</v>
      </c>
      <c r="S186" s="48"/>
      <c r="T186" s="48">
        <v>0</v>
      </c>
      <c r="U186" s="48">
        <v>0</v>
      </c>
      <c r="V186" s="48"/>
      <c r="W186" s="49">
        <v>1</v>
      </c>
      <c r="X186" s="49">
        <v>1</v>
      </c>
      <c r="Y186" s="49">
        <v>100000000</v>
      </c>
      <c r="Z186" s="49">
        <f t="shared" si="45"/>
        <v>1365114.194686</v>
      </c>
      <c r="AA186" s="49">
        <f t="shared" si="46"/>
        <v>1365114.194686</v>
      </c>
      <c r="AB186" s="82">
        <f t="shared" si="35"/>
        <v>0</v>
      </c>
      <c r="AC186" s="82">
        <f t="shared" si="36"/>
        <v>293290345052745.87</v>
      </c>
      <c r="AD186" s="81">
        <f t="shared" si="34"/>
        <v>341790836872973.44</v>
      </c>
      <c r="AE186" s="80">
        <f t="shared" si="37"/>
        <v>1165.3668204164892</v>
      </c>
      <c r="AF186" s="52">
        <f t="shared" si="47"/>
        <v>-1.2612112740557531E-3</v>
      </c>
      <c r="AG186" s="48">
        <f t="shared" si="38"/>
        <v>-2.1528525296017221E-3</v>
      </c>
      <c r="AH186" s="48">
        <f t="shared" si="48"/>
        <v>-1.6835016835016835E-2</v>
      </c>
      <c r="AI186" s="48">
        <f t="shared" si="49"/>
        <v>4.9833887043189366E-3</v>
      </c>
      <c r="AJ186" s="48">
        <f t="shared" si="50"/>
        <v>0</v>
      </c>
    </row>
    <row r="187" spans="1:36" x14ac:dyDescent="0.3">
      <c r="A187" s="48">
        <v>20181002</v>
      </c>
      <c r="B187" s="48" t="s">
        <v>88</v>
      </c>
      <c r="C187" s="49">
        <v>46350</v>
      </c>
      <c r="D187" s="49">
        <v>45700</v>
      </c>
      <c r="E187" s="49">
        <v>6419324700</v>
      </c>
      <c r="F187" s="49">
        <f t="shared" si="39"/>
        <v>0.170946124192833</v>
      </c>
      <c r="G187" s="49">
        <f t="shared" si="40"/>
        <v>0.170946124192833</v>
      </c>
      <c r="H187" s="48">
        <v>292000</v>
      </c>
      <c r="I187" s="48">
        <v>288500</v>
      </c>
      <c r="J187" s="51">
        <v>125395903</v>
      </c>
      <c r="K187" s="48">
        <f t="shared" si="41"/>
        <v>1.34511125821281</v>
      </c>
      <c r="L187" s="48">
        <f t="shared" si="42"/>
        <v>1.34511125821281</v>
      </c>
      <c r="M187" s="49">
        <v>242000</v>
      </c>
      <c r="N187" s="49">
        <v>235000</v>
      </c>
      <c r="O187" s="49">
        <v>15956260</v>
      </c>
      <c r="P187" s="49">
        <f t="shared" si="43"/>
        <v>27.234779000652601</v>
      </c>
      <c r="Q187" s="49">
        <f t="shared" si="44"/>
        <v>27.234779000652601</v>
      </c>
      <c r="R187" s="48">
        <v>0</v>
      </c>
      <c r="S187" s="48"/>
      <c r="T187" s="48">
        <v>0</v>
      </c>
      <c r="U187" s="48">
        <v>0</v>
      </c>
      <c r="V187" s="48"/>
      <c r="W187" s="49">
        <v>1</v>
      </c>
      <c r="X187" s="49">
        <v>1</v>
      </c>
      <c r="Y187" s="49">
        <v>100000000</v>
      </c>
      <c r="Z187" s="49">
        <f t="shared" si="45"/>
        <v>1365114.194686</v>
      </c>
      <c r="AA187" s="49">
        <f t="shared" si="46"/>
        <v>1365114.194686</v>
      </c>
      <c r="AB187" s="82">
        <f t="shared" si="35"/>
        <v>0</v>
      </c>
      <c r="AC187" s="82">
        <f t="shared" si="36"/>
        <v>293290345052745.87</v>
      </c>
      <c r="AD187" s="81">
        <f t="shared" si="34"/>
        <v>337445247186217.87</v>
      </c>
      <c r="AE187" s="80">
        <f t="shared" si="37"/>
        <v>1150.5501387218565</v>
      </c>
      <c r="AF187" s="52">
        <f t="shared" si="47"/>
        <v>-1.2714178432965352E-2</v>
      </c>
      <c r="AG187" s="48">
        <f t="shared" si="38"/>
        <v>-1.4023732470334413E-2</v>
      </c>
      <c r="AH187" s="48">
        <f t="shared" si="48"/>
        <v>-1.1986301369863013E-2</v>
      </c>
      <c r="AI187" s="48">
        <f t="shared" si="49"/>
        <v>-2.8925619834710745E-2</v>
      </c>
      <c r="AJ187" s="48">
        <f t="shared" si="50"/>
        <v>0</v>
      </c>
    </row>
    <row r="188" spans="1:36" x14ac:dyDescent="0.3">
      <c r="A188" s="48">
        <v>20181004</v>
      </c>
      <c r="B188" s="48" t="s">
        <v>88</v>
      </c>
      <c r="C188" s="49">
        <v>45700</v>
      </c>
      <c r="D188" s="49">
        <v>44700</v>
      </c>
      <c r="E188" s="49">
        <v>6419324700</v>
      </c>
      <c r="F188" s="49">
        <f t="shared" si="39"/>
        <v>0.170946124192833</v>
      </c>
      <c r="G188" s="49">
        <f t="shared" si="40"/>
        <v>0.170946124192833</v>
      </c>
      <c r="H188" s="48">
        <v>288500</v>
      </c>
      <c r="I188" s="48">
        <v>290500</v>
      </c>
      <c r="J188" s="51">
        <v>125395903</v>
      </c>
      <c r="K188" s="48">
        <f t="shared" si="41"/>
        <v>1.34511125821281</v>
      </c>
      <c r="L188" s="48">
        <f t="shared" si="42"/>
        <v>1.34511125821281</v>
      </c>
      <c r="M188" s="49">
        <v>235000</v>
      </c>
      <c r="N188" s="49">
        <v>231700</v>
      </c>
      <c r="O188" s="49">
        <v>15956260</v>
      </c>
      <c r="P188" s="49">
        <f t="shared" si="43"/>
        <v>27.234779000652601</v>
      </c>
      <c r="Q188" s="49">
        <f t="shared" si="44"/>
        <v>27.234779000652601</v>
      </c>
      <c r="R188" s="48">
        <v>0</v>
      </c>
      <c r="S188" s="48"/>
      <c r="T188" s="48">
        <v>0</v>
      </c>
      <c r="U188" s="48">
        <v>0</v>
      </c>
      <c r="V188" s="48"/>
      <c r="W188" s="49">
        <v>1</v>
      </c>
      <c r="X188" s="49">
        <v>1</v>
      </c>
      <c r="Y188" s="49">
        <v>100000000</v>
      </c>
      <c r="Z188" s="49">
        <f t="shared" si="45"/>
        <v>1365114.194686</v>
      </c>
      <c r="AA188" s="49">
        <f t="shared" si="46"/>
        <v>1365114.194686</v>
      </c>
      <c r="AB188" s="82">
        <f t="shared" si="35"/>
        <v>0</v>
      </c>
      <c r="AC188" s="82">
        <f t="shared" si="36"/>
        <v>293290345052745.87</v>
      </c>
      <c r="AD188" s="81">
        <f t="shared" si="34"/>
        <v>335251166181771.75</v>
      </c>
      <c r="AE188" s="80">
        <f t="shared" si="37"/>
        <v>1143.0692207801098</v>
      </c>
      <c r="AF188" s="52">
        <f t="shared" si="47"/>
        <v>-6.5020355827840291E-3</v>
      </c>
      <c r="AG188" s="48">
        <f t="shared" si="38"/>
        <v>-2.1881838074398249E-2</v>
      </c>
      <c r="AH188" s="48">
        <f t="shared" si="48"/>
        <v>6.9324090121317154E-3</v>
      </c>
      <c r="AI188" s="48">
        <f t="shared" si="49"/>
        <v>-1.4042553191489362E-2</v>
      </c>
      <c r="AJ188" s="48">
        <f t="shared" si="50"/>
        <v>0</v>
      </c>
    </row>
    <row r="189" spans="1:36" x14ac:dyDescent="0.3">
      <c r="A189" s="48">
        <v>20181005</v>
      </c>
      <c r="B189" s="48" t="s">
        <v>88</v>
      </c>
      <c r="C189" s="49">
        <v>44700</v>
      </c>
      <c r="D189" s="49">
        <v>44700</v>
      </c>
      <c r="E189" s="49">
        <v>6419324700</v>
      </c>
      <c r="F189" s="49">
        <f t="shared" si="39"/>
        <v>0.170946124192833</v>
      </c>
      <c r="G189" s="49">
        <f t="shared" si="40"/>
        <v>0.170946124192833</v>
      </c>
      <c r="H189" s="48">
        <v>290500</v>
      </c>
      <c r="I189" s="48">
        <v>289000</v>
      </c>
      <c r="J189" s="51">
        <v>125395903</v>
      </c>
      <c r="K189" s="48">
        <f t="shared" si="41"/>
        <v>1.34511125821281</v>
      </c>
      <c r="L189" s="48">
        <f t="shared" si="42"/>
        <v>1.34511125821281</v>
      </c>
      <c r="M189" s="49">
        <v>231700</v>
      </c>
      <c r="N189" s="49">
        <v>220800</v>
      </c>
      <c r="O189" s="49">
        <v>15956260</v>
      </c>
      <c r="P189" s="49">
        <f t="shared" si="43"/>
        <v>27.234779000652601</v>
      </c>
      <c r="Q189" s="49">
        <f t="shared" si="44"/>
        <v>27.234779000652601</v>
      </c>
      <c r="R189" s="48">
        <v>0</v>
      </c>
      <c r="S189" s="48"/>
      <c r="T189" s="48">
        <v>0</v>
      </c>
      <c r="U189" s="48">
        <v>0</v>
      </c>
      <c r="V189" s="48"/>
      <c r="W189" s="49">
        <v>1</v>
      </c>
      <c r="X189" s="49">
        <v>1</v>
      </c>
      <c r="Y189" s="49">
        <v>100000000</v>
      </c>
      <c r="Z189" s="49">
        <f t="shared" si="45"/>
        <v>1365114.194686</v>
      </c>
      <c r="AA189" s="49">
        <f t="shared" si="46"/>
        <v>1365114.194686</v>
      </c>
      <c r="AB189" s="82">
        <f t="shared" si="35"/>
        <v>0</v>
      </c>
      <c r="AC189" s="82">
        <f t="shared" si="36"/>
        <v>293290345052745.87</v>
      </c>
      <c r="AD189" s="81">
        <f t="shared" si="34"/>
        <v>330261398179414.31</v>
      </c>
      <c r="AE189" s="80">
        <f t="shared" si="37"/>
        <v>1126.0561547637019</v>
      </c>
      <c r="AF189" s="52">
        <f t="shared" si="47"/>
        <v>-1.488367082861093E-2</v>
      </c>
      <c r="AG189" s="48">
        <f t="shared" si="38"/>
        <v>0</v>
      </c>
      <c r="AH189" s="48">
        <f t="shared" si="48"/>
        <v>-5.1635111876075735E-3</v>
      </c>
      <c r="AI189" s="48">
        <f t="shared" si="49"/>
        <v>-4.7043590850237377E-2</v>
      </c>
      <c r="AJ189" s="48">
        <f t="shared" si="50"/>
        <v>0</v>
      </c>
    </row>
    <row r="190" spans="1:36" x14ac:dyDescent="0.3">
      <c r="A190" s="48">
        <v>20181008</v>
      </c>
      <c r="B190" s="48" t="s">
        <v>88</v>
      </c>
      <c r="C190" s="49">
        <v>44700</v>
      </c>
      <c r="D190" s="49">
        <v>44950</v>
      </c>
      <c r="E190" s="49">
        <v>6419324700</v>
      </c>
      <c r="F190" s="49">
        <f t="shared" si="39"/>
        <v>0.170946124192833</v>
      </c>
      <c r="G190" s="49">
        <f t="shared" si="40"/>
        <v>0.170946124192833</v>
      </c>
      <c r="H190" s="48">
        <v>289000</v>
      </c>
      <c r="I190" s="48">
        <v>290000</v>
      </c>
      <c r="J190" s="51">
        <v>125395903</v>
      </c>
      <c r="K190" s="48">
        <f t="shared" si="41"/>
        <v>1.34511125821281</v>
      </c>
      <c r="L190" s="48">
        <f t="shared" si="42"/>
        <v>1.34511125821281</v>
      </c>
      <c r="M190" s="49">
        <v>220800</v>
      </c>
      <c r="N190" s="49">
        <v>217500</v>
      </c>
      <c r="O190" s="49">
        <v>15956260</v>
      </c>
      <c r="P190" s="49">
        <f t="shared" si="43"/>
        <v>27.234779000652601</v>
      </c>
      <c r="Q190" s="49">
        <f t="shared" si="44"/>
        <v>27.234779000652601</v>
      </c>
      <c r="R190" s="48">
        <v>0</v>
      </c>
      <c r="S190" s="48"/>
      <c r="T190" s="48">
        <v>0</v>
      </c>
      <c r="U190" s="48">
        <v>0</v>
      </c>
      <c r="V190" s="48"/>
      <c r="W190" s="49">
        <v>1</v>
      </c>
      <c r="X190" s="49">
        <v>1</v>
      </c>
      <c r="Y190" s="49">
        <v>100000000</v>
      </c>
      <c r="Z190" s="49">
        <f t="shared" si="45"/>
        <v>1365114.194686</v>
      </c>
      <c r="AA190" s="49">
        <f t="shared" si="46"/>
        <v>1365114.194686</v>
      </c>
      <c r="AB190" s="82">
        <f t="shared" si="35"/>
        <v>0</v>
      </c>
      <c r="AC190" s="82">
        <f t="shared" si="36"/>
        <v>293290345052745.87</v>
      </c>
      <c r="AD190" s="81">
        <f t="shared" si="34"/>
        <v>329270344080859.5</v>
      </c>
      <c r="AE190" s="80">
        <f t="shared" si="37"/>
        <v>1122.6770660372163</v>
      </c>
      <c r="AF190" s="52">
        <f t="shared" si="47"/>
        <v>-3.0008172436078208E-3</v>
      </c>
      <c r="AG190" s="48">
        <f t="shared" si="38"/>
        <v>5.5928411633109623E-3</v>
      </c>
      <c r="AH190" s="48">
        <f t="shared" si="48"/>
        <v>3.4602076124567475E-3</v>
      </c>
      <c r="AI190" s="48">
        <f t="shared" si="49"/>
        <v>-1.4945652173913044E-2</v>
      </c>
      <c r="AJ190" s="48">
        <f t="shared" si="50"/>
        <v>0</v>
      </c>
    </row>
    <row r="191" spans="1:36" x14ac:dyDescent="0.3">
      <c r="A191" s="48">
        <v>20181010</v>
      </c>
      <c r="B191" s="48" t="s">
        <v>88</v>
      </c>
      <c r="C191" s="49">
        <v>44950</v>
      </c>
      <c r="D191" s="49">
        <v>45300</v>
      </c>
      <c r="E191" s="49">
        <v>6419324700</v>
      </c>
      <c r="F191" s="49">
        <f t="shared" si="39"/>
        <v>0.170946124192833</v>
      </c>
      <c r="G191" s="49">
        <f t="shared" si="40"/>
        <v>0.170946124192833</v>
      </c>
      <c r="H191" s="48">
        <v>290000</v>
      </c>
      <c r="I191" s="48">
        <v>286500</v>
      </c>
      <c r="J191" s="51">
        <v>125395903</v>
      </c>
      <c r="K191" s="48">
        <f t="shared" si="41"/>
        <v>1.34511125821281</v>
      </c>
      <c r="L191" s="48">
        <f t="shared" si="42"/>
        <v>1.34511125821281</v>
      </c>
      <c r="M191" s="49">
        <v>217500</v>
      </c>
      <c r="N191" s="49">
        <v>219500</v>
      </c>
      <c r="O191" s="49">
        <v>15956260</v>
      </c>
      <c r="P191" s="49">
        <f t="shared" si="43"/>
        <v>27.234779000652601</v>
      </c>
      <c r="Q191" s="49">
        <f t="shared" si="44"/>
        <v>27.234779000652601</v>
      </c>
      <c r="R191" s="48">
        <v>0</v>
      </c>
      <c r="S191" s="48"/>
      <c r="T191" s="48">
        <v>0</v>
      </c>
      <c r="U191" s="48">
        <v>0</v>
      </c>
      <c r="V191" s="48"/>
      <c r="W191" s="49">
        <v>1</v>
      </c>
      <c r="X191" s="49">
        <v>1</v>
      </c>
      <c r="Y191" s="49">
        <v>100000000</v>
      </c>
      <c r="Z191" s="49">
        <f t="shared" si="45"/>
        <v>1365114.194686</v>
      </c>
      <c r="AA191" s="49">
        <f t="shared" si="46"/>
        <v>1365114.194686</v>
      </c>
      <c r="AB191" s="82">
        <f t="shared" si="35"/>
        <v>0</v>
      </c>
      <c r="AC191" s="82">
        <f t="shared" si="36"/>
        <v>293290345052745.87</v>
      </c>
      <c r="AD191" s="81">
        <f t="shared" si="34"/>
        <v>329933200004496.81</v>
      </c>
      <c r="AE191" s="80">
        <f t="shared" si="37"/>
        <v>1124.9371333555525</v>
      </c>
      <c r="AF191" s="52">
        <f t="shared" si="47"/>
        <v>2.0131054483136191E-3</v>
      </c>
      <c r="AG191" s="48">
        <f t="shared" si="38"/>
        <v>7.7864293659621799E-3</v>
      </c>
      <c r="AH191" s="48">
        <f t="shared" si="48"/>
        <v>-1.2068965517241379E-2</v>
      </c>
      <c r="AI191" s="48">
        <f t="shared" si="49"/>
        <v>9.1954022988505746E-3</v>
      </c>
      <c r="AJ191" s="48">
        <f t="shared" si="50"/>
        <v>0</v>
      </c>
    </row>
    <row r="192" spans="1:36" x14ac:dyDescent="0.3">
      <c r="A192" s="48">
        <v>20181011</v>
      </c>
      <c r="B192" s="48" t="s">
        <v>88</v>
      </c>
      <c r="C192" s="49">
        <v>45300</v>
      </c>
      <c r="D192" s="49">
        <v>43100</v>
      </c>
      <c r="E192" s="49">
        <v>6419324700</v>
      </c>
      <c r="F192" s="49">
        <f t="shared" si="39"/>
        <v>0.170946124192833</v>
      </c>
      <c r="G192" s="49">
        <f t="shared" si="40"/>
        <v>0.170946124192833</v>
      </c>
      <c r="H192" s="48">
        <v>286500</v>
      </c>
      <c r="I192" s="48">
        <v>271500</v>
      </c>
      <c r="J192" s="51">
        <v>125395903</v>
      </c>
      <c r="K192" s="48">
        <f t="shared" si="41"/>
        <v>1.34511125821281</v>
      </c>
      <c r="L192" s="48">
        <f t="shared" si="42"/>
        <v>1.34511125821281</v>
      </c>
      <c r="M192" s="49">
        <v>219500</v>
      </c>
      <c r="N192" s="49">
        <v>211100</v>
      </c>
      <c r="O192" s="49">
        <v>15956260</v>
      </c>
      <c r="P192" s="49">
        <f t="shared" si="43"/>
        <v>27.234779000652601</v>
      </c>
      <c r="Q192" s="49">
        <f t="shared" si="44"/>
        <v>27.234779000652601</v>
      </c>
      <c r="R192" s="48">
        <v>0</v>
      </c>
      <c r="S192" s="48"/>
      <c r="T192" s="48">
        <v>0</v>
      </c>
      <c r="U192" s="48">
        <v>0</v>
      </c>
      <c r="V192" s="48"/>
      <c r="W192" s="49">
        <v>1</v>
      </c>
      <c r="X192" s="49">
        <v>1</v>
      </c>
      <c r="Y192" s="49">
        <v>100000000</v>
      </c>
      <c r="Z192" s="49">
        <f t="shared" si="45"/>
        <v>1365114.194686</v>
      </c>
      <c r="AA192" s="49">
        <f t="shared" si="46"/>
        <v>1365114.194686</v>
      </c>
      <c r="AB192" s="82">
        <f t="shared" si="35"/>
        <v>0</v>
      </c>
      <c r="AC192" s="82">
        <f t="shared" si="36"/>
        <v>293290345052745.87</v>
      </c>
      <c r="AD192" s="81">
        <f t="shared" si="34"/>
        <v>321338591497203.81</v>
      </c>
      <c r="AE192" s="80">
        <f t="shared" si="37"/>
        <v>1095.6330370828052</v>
      </c>
      <c r="AF192" s="52">
        <f t="shared" si="47"/>
        <v>-2.6049541262218538E-2</v>
      </c>
      <c r="AG192" s="48">
        <f t="shared" si="38"/>
        <v>-4.856512141280353E-2</v>
      </c>
      <c r="AH192" s="48">
        <f t="shared" si="48"/>
        <v>-5.2356020942408377E-2</v>
      </c>
      <c r="AI192" s="48">
        <f t="shared" si="49"/>
        <v>-3.826879271070615E-2</v>
      </c>
      <c r="AJ192" s="48">
        <f t="shared" si="50"/>
        <v>0</v>
      </c>
    </row>
    <row r="193" spans="1:36" x14ac:dyDescent="0.3">
      <c r="A193" s="48">
        <v>20181012</v>
      </c>
      <c r="B193" s="48" t="s">
        <v>88</v>
      </c>
      <c r="C193" s="49">
        <v>43100</v>
      </c>
      <c r="D193" s="49">
        <v>44000</v>
      </c>
      <c r="E193" s="49">
        <v>6419324700</v>
      </c>
      <c r="F193" s="49">
        <f t="shared" si="39"/>
        <v>0.170946124192833</v>
      </c>
      <c r="G193" s="49">
        <f t="shared" si="40"/>
        <v>0.170946124192833</v>
      </c>
      <c r="H193" s="48">
        <v>271500</v>
      </c>
      <c r="I193" s="48">
        <v>274500</v>
      </c>
      <c r="J193" s="51">
        <v>125395903</v>
      </c>
      <c r="K193" s="48">
        <f t="shared" si="41"/>
        <v>1.34511125821281</v>
      </c>
      <c r="L193" s="48">
        <f t="shared" si="42"/>
        <v>1.34511125821281</v>
      </c>
      <c r="M193" s="49">
        <v>211100</v>
      </c>
      <c r="N193" s="49">
        <v>222200</v>
      </c>
      <c r="O193" s="49">
        <v>15956260</v>
      </c>
      <c r="P193" s="49">
        <f t="shared" si="43"/>
        <v>27.234779000652601</v>
      </c>
      <c r="Q193" s="49">
        <f t="shared" si="44"/>
        <v>27.234779000652601</v>
      </c>
      <c r="R193" s="48">
        <v>0</v>
      </c>
      <c r="S193" s="48"/>
      <c r="T193" s="48">
        <v>0</v>
      </c>
      <c r="U193" s="48">
        <v>0</v>
      </c>
      <c r="V193" s="48"/>
      <c r="W193" s="49">
        <v>1</v>
      </c>
      <c r="X193" s="49">
        <v>1</v>
      </c>
      <c r="Y193" s="49">
        <v>100000000</v>
      </c>
      <c r="Z193" s="49">
        <f t="shared" si="45"/>
        <v>1365114.194686</v>
      </c>
      <c r="AA193" s="49">
        <f t="shared" si="46"/>
        <v>1365114.194686</v>
      </c>
      <c r="AB193" s="82">
        <f t="shared" si="35"/>
        <v>0</v>
      </c>
      <c r="AC193" s="82">
        <f t="shared" si="36"/>
        <v>293290345052745.87</v>
      </c>
      <c r="AD193" s="81">
        <f t="shared" si="34"/>
        <v>327655902513465.44</v>
      </c>
      <c r="AE193" s="80">
        <f t="shared" si="37"/>
        <v>1117.1724812643909</v>
      </c>
      <c r="AF193" s="52">
        <f t="shared" si="47"/>
        <v>1.9659359888358062E-2</v>
      </c>
      <c r="AG193" s="48">
        <f t="shared" si="38"/>
        <v>2.0881670533642691E-2</v>
      </c>
      <c r="AH193" s="48">
        <f t="shared" si="48"/>
        <v>1.1049723756906077E-2</v>
      </c>
      <c r="AI193" s="48">
        <f t="shared" si="49"/>
        <v>5.2581714827096164E-2</v>
      </c>
      <c r="AJ193" s="48">
        <f t="shared" si="50"/>
        <v>0</v>
      </c>
    </row>
    <row r="194" spans="1:36" x14ac:dyDescent="0.3">
      <c r="A194" s="48">
        <v>20181015</v>
      </c>
      <c r="B194" s="48" t="s">
        <v>88</v>
      </c>
      <c r="C194" s="49">
        <v>44000</v>
      </c>
      <c r="D194" s="49">
        <v>43800</v>
      </c>
      <c r="E194" s="49">
        <v>6419324700</v>
      </c>
      <c r="F194" s="49">
        <f t="shared" si="39"/>
        <v>0.170946124192833</v>
      </c>
      <c r="G194" s="49">
        <f t="shared" si="40"/>
        <v>0.170946124192833</v>
      </c>
      <c r="H194" s="48">
        <v>274500</v>
      </c>
      <c r="I194" s="48">
        <v>261500</v>
      </c>
      <c r="J194" s="51">
        <v>125395903</v>
      </c>
      <c r="K194" s="48">
        <f t="shared" si="41"/>
        <v>1.34511125821281</v>
      </c>
      <c r="L194" s="48">
        <f t="shared" si="42"/>
        <v>1.34511125821281</v>
      </c>
      <c r="M194" s="49">
        <v>222200</v>
      </c>
      <c r="N194" s="49">
        <v>210000</v>
      </c>
      <c r="O194" s="49">
        <v>15956260</v>
      </c>
      <c r="P194" s="49">
        <f t="shared" si="43"/>
        <v>27.234779000652601</v>
      </c>
      <c r="Q194" s="49">
        <f t="shared" si="44"/>
        <v>27.234779000652601</v>
      </c>
      <c r="R194" s="48">
        <v>0</v>
      </c>
      <c r="S194" s="48"/>
      <c r="T194" s="48">
        <v>0</v>
      </c>
      <c r="U194" s="48">
        <v>0</v>
      </c>
      <c r="V194" s="48"/>
      <c r="W194" s="49">
        <v>1</v>
      </c>
      <c r="X194" s="49">
        <v>1</v>
      </c>
      <c r="Y194" s="49">
        <v>100000000</v>
      </c>
      <c r="Z194" s="49">
        <f t="shared" si="45"/>
        <v>1365114.194686</v>
      </c>
      <c r="AA194" s="49">
        <f t="shared" si="46"/>
        <v>1365114.194686</v>
      </c>
      <c r="AB194" s="82">
        <f t="shared" si="35"/>
        <v>0</v>
      </c>
      <c r="AC194" s="82">
        <f t="shared" si="36"/>
        <v>293290345052745.87</v>
      </c>
      <c r="AD194" s="81">
        <f t="shared" si="34"/>
        <v>319942006426538.75</v>
      </c>
      <c r="AE194" s="80">
        <f t="shared" si="37"/>
        <v>1090.8712537707295</v>
      </c>
      <c r="AF194" s="52">
        <f t="shared" si="47"/>
        <v>-2.3542673969102989E-2</v>
      </c>
      <c r="AG194" s="48">
        <f t="shared" si="38"/>
        <v>-4.5454545454545452E-3</v>
      </c>
      <c r="AH194" s="48">
        <f t="shared" si="48"/>
        <v>-4.7358834244080147E-2</v>
      </c>
      <c r="AI194" s="48">
        <f t="shared" si="49"/>
        <v>-5.4905490549054907E-2</v>
      </c>
      <c r="AJ194" s="48">
        <f t="shared" si="50"/>
        <v>0</v>
      </c>
    </row>
    <row r="195" spans="1:36" x14ac:dyDescent="0.3">
      <c r="A195" s="48">
        <v>20181016</v>
      </c>
      <c r="B195" s="48" t="s">
        <v>88</v>
      </c>
      <c r="C195" s="49">
        <v>43800</v>
      </c>
      <c r="D195" s="49">
        <v>43600</v>
      </c>
      <c r="E195" s="49">
        <v>6419324700</v>
      </c>
      <c r="F195" s="49">
        <f t="shared" si="39"/>
        <v>0.170946124192833</v>
      </c>
      <c r="G195" s="49">
        <f t="shared" si="40"/>
        <v>0.170946124192833</v>
      </c>
      <c r="H195" s="48">
        <v>261500</v>
      </c>
      <c r="I195" s="48">
        <v>262000</v>
      </c>
      <c r="J195" s="51">
        <v>125395903</v>
      </c>
      <c r="K195" s="48">
        <f t="shared" si="41"/>
        <v>1.34511125821281</v>
      </c>
      <c r="L195" s="48">
        <f t="shared" si="42"/>
        <v>1.34511125821281</v>
      </c>
      <c r="M195" s="49">
        <v>210000</v>
      </c>
      <c r="N195" s="49">
        <v>216000</v>
      </c>
      <c r="O195" s="49">
        <v>15956260</v>
      </c>
      <c r="P195" s="49">
        <f t="shared" si="43"/>
        <v>27.234779000652601</v>
      </c>
      <c r="Q195" s="49">
        <f t="shared" si="44"/>
        <v>27.234779000652601</v>
      </c>
      <c r="R195" s="48">
        <v>0</v>
      </c>
      <c r="S195" s="48"/>
      <c r="T195" s="48">
        <v>0</v>
      </c>
      <c r="U195" s="48">
        <v>0</v>
      </c>
      <c r="V195" s="48"/>
      <c r="W195" s="49">
        <v>1</v>
      </c>
      <c r="X195" s="49">
        <v>1</v>
      </c>
      <c r="Y195" s="49">
        <v>100000000</v>
      </c>
      <c r="Z195" s="49">
        <f t="shared" si="45"/>
        <v>1365114.194686</v>
      </c>
      <c r="AA195" s="49">
        <f t="shared" si="46"/>
        <v>1365114.194686</v>
      </c>
      <c r="AB195" s="82">
        <f t="shared" si="35"/>
        <v>0</v>
      </c>
      <c r="AC195" s="82">
        <f t="shared" si="36"/>
        <v>293290345052745.87</v>
      </c>
      <c r="AD195" s="81">
        <f t="shared" ref="AD195:AD247" si="51">D195*E195*G195+I195*J195*L195+N195*O195*Q195+X195*Y195*AA195</f>
        <v>322414261700149.94</v>
      </c>
      <c r="AE195" s="80">
        <f t="shared" si="37"/>
        <v>1099.300632082404</v>
      </c>
      <c r="AF195" s="52">
        <f t="shared" si="47"/>
        <v>7.7271981295110497E-3</v>
      </c>
      <c r="AG195" s="48">
        <f t="shared" si="38"/>
        <v>-4.5662100456621002E-3</v>
      </c>
      <c r="AH195" s="48">
        <f t="shared" si="48"/>
        <v>1.9120458891013384E-3</v>
      </c>
      <c r="AI195" s="48">
        <f t="shared" si="49"/>
        <v>2.8571428571428571E-2</v>
      </c>
      <c r="AJ195" s="48">
        <f t="shared" si="50"/>
        <v>0</v>
      </c>
    </row>
    <row r="196" spans="1:36" x14ac:dyDescent="0.3">
      <c r="A196" s="48">
        <v>20181017</v>
      </c>
      <c r="B196" s="48" t="s">
        <v>88</v>
      </c>
      <c r="C196" s="49">
        <v>43600</v>
      </c>
      <c r="D196" s="49">
        <v>44150</v>
      </c>
      <c r="E196" s="49">
        <v>6419324700</v>
      </c>
      <c r="F196" s="49">
        <f t="shared" si="39"/>
        <v>0.170946124192833</v>
      </c>
      <c r="G196" s="49">
        <f t="shared" si="40"/>
        <v>0.170946124192833</v>
      </c>
      <c r="H196" s="48">
        <v>262000</v>
      </c>
      <c r="I196" s="48">
        <v>265500</v>
      </c>
      <c r="J196" s="51">
        <v>125395903</v>
      </c>
      <c r="K196" s="48">
        <f t="shared" si="41"/>
        <v>1.34511125821281</v>
      </c>
      <c r="L196" s="48">
        <f t="shared" si="42"/>
        <v>1.34511125821281</v>
      </c>
      <c r="M196" s="49">
        <v>216000</v>
      </c>
      <c r="N196" s="49">
        <v>217500</v>
      </c>
      <c r="O196" s="49">
        <v>15956260</v>
      </c>
      <c r="P196" s="49">
        <f t="shared" si="43"/>
        <v>27.234779000652601</v>
      </c>
      <c r="Q196" s="49">
        <f t="shared" si="44"/>
        <v>27.234779000652601</v>
      </c>
      <c r="R196" s="48">
        <v>0</v>
      </c>
      <c r="S196" s="48"/>
      <c r="T196" s="48">
        <v>0</v>
      </c>
      <c r="U196" s="48">
        <v>0</v>
      </c>
      <c r="V196" s="48"/>
      <c r="W196" s="49">
        <v>1</v>
      </c>
      <c r="X196" s="49">
        <v>1</v>
      </c>
      <c r="Y196" s="49">
        <v>100000000</v>
      </c>
      <c r="Z196" s="49">
        <f t="shared" si="45"/>
        <v>1365114.194686</v>
      </c>
      <c r="AA196" s="49">
        <f t="shared" si="46"/>
        <v>1365114.194686</v>
      </c>
      <c r="AB196" s="82">
        <f t="shared" ref="AB196:AB247" si="52">IF(AD195&lt;&gt;(C196*E196*F196+H196*J196*K196+M196*O196*P196+W196*Y196*Z196),1,0)</f>
        <v>0</v>
      </c>
      <c r="AC196" s="82">
        <f t="shared" ref="AC196:AC247" si="53">IF(AND(AB196=0,B196="N"),AC195,AC195*(C196*E196*G196+H196*J196*L196+M196*O196*Q196+W196*Y196*AA196)/AD195)</f>
        <v>293290345052745.87</v>
      </c>
      <c r="AD196" s="81">
        <f t="shared" si="51"/>
        <v>324260006837892.25</v>
      </c>
      <c r="AE196" s="80">
        <f t="shared" ref="AE196:AE259" si="54">AD196/AC196*1000</f>
        <v>1105.5938673316257</v>
      </c>
      <c r="AF196" s="52">
        <f t="shared" si="47"/>
        <v>5.7247626950785819E-3</v>
      </c>
      <c r="AG196" s="48">
        <f t="shared" ref="AG196:AG259" si="55">(D196-C196)/C196</f>
        <v>1.261467889908257E-2</v>
      </c>
      <c r="AH196" s="48">
        <f t="shared" si="48"/>
        <v>1.3358778625954198E-2</v>
      </c>
      <c r="AI196" s="48">
        <f t="shared" si="49"/>
        <v>6.9444444444444441E-3</v>
      </c>
      <c r="AJ196" s="48">
        <f t="shared" si="50"/>
        <v>0</v>
      </c>
    </row>
    <row r="197" spans="1:36" x14ac:dyDescent="0.3">
      <c r="A197" s="48">
        <v>20181018</v>
      </c>
      <c r="B197" s="48" t="s">
        <v>88</v>
      </c>
      <c r="C197" s="49">
        <v>44150</v>
      </c>
      <c r="D197" s="49">
        <v>44050</v>
      </c>
      <c r="E197" s="49">
        <v>6419324700</v>
      </c>
      <c r="F197" s="49">
        <f t="shared" ref="F197:F260" si="56">G196</f>
        <v>0.170946124192833</v>
      </c>
      <c r="G197" s="49">
        <f t="shared" ref="G197:G247" si="57">IF(B197="Y",ROUND(0.15*(C197*E197+H197*J197+M197*O197+W197*Y197)/(C197*E197),17),IF(AB197=0,F197,ROUND(D196*E196*G196/AD196*(C197*E197+H197*J197+M197*O197+W197*Y197)/(C197*E197),17)))</f>
        <v>0.170946124192833</v>
      </c>
      <c r="H197" s="48">
        <v>265500</v>
      </c>
      <c r="I197" s="48">
        <v>260500</v>
      </c>
      <c r="J197" s="51">
        <v>125395903</v>
      </c>
      <c r="K197" s="48">
        <f t="shared" ref="K197:K260" si="58">L196</f>
        <v>1.34511125821281</v>
      </c>
      <c r="L197" s="48">
        <f t="shared" ref="L197:L247" si="59">IF(B197="Y",ROUND(0.15*(C197*E197+H197*J197+M197*O197+W197*Y197)/(H197*J197),17),IF(AB197=0,K197,ROUND(I196*J196*L196/AD196*(C197*E197+H197*J197+M197*O197+W197*Y197)/(H197*J197),17)))</f>
        <v>1.34511125821281</v>
      </c>
      <c r="M197" s="49">
        <v>217500</v>
      </c>
      <c r="N197" s="49">
        <v>213700</v>
      </c>
      <c r="O197" s="49">
        <v>15956260</v>
      </c>
      <c r="P197" s="49">
        <f t="shared" ref="P197:P260" si="60">Q196</f>
        <v>27.234779000652601</v>
      </c>
      <c r="Q197" s="49">
        <f t="shared" ref="Q197:Q247" si="61">IF(B197="Y",ROUND(0.3*(C197*E197+H197*J197+M197*O197+W197*Y197)/(M197*O197),17),IF(AB197=0,P197,ROUND(N196*O196*Q196/AD196*(C197*E197+H197*J197+M197*O197+W197*Y197)/(M197*O197),17)))</f>
        <v>27.234779000652601</v>
      </c>
      <c r="R197" s="48">
        <v>0</v>
      </c>
      <c r="S197" s="48"/>
      <c r="T197" s="48">
        <v>0</v>
      </c>
      <c r="U197" s="48">
        <v>0</v>
      </c>
      <c r="V197" s="48"/>
      <c r="W197" s="49">
        <v>1</v>
      </c>
      <c r="X197" s="49">
        <v>1</v>
      </c>
      <c r="Y197" s="49">
        <v>100000000</v>
      </c>
      <c r="Z197" s="49">
        <f t="shared" ref="Z197:Z260" si="62">AA196</f>
        <v>1365114.194686</v>
      </c>
      <c r="AA197" s="49">
        <f t="shared" ref="AA197:AA247" si="63">IF(B197="Y",ROUND(0.4*(C197*E197+H197*J197+M197*O197+W197*Y197)/(W197*Y197),17),IF(AB197=0,Z197,ROUND(X196*Y196*AA196/AD196*(C197*E197+H197*J197+M197*O197+W197*Y197)/(W197*Y197),17)))</f>
        <v>1365114.194686</v>
      </c>
      <c r="AB197" s="82">
        <f t="shared" si="52"/>
        <v>0</v>
      </c>
      <c r="AC197" s="82">
        <f t="shared" si="53"/>
        <v>293290345052745.87</v>
      </c>
      <c r="AD197" s="81">
        <f t="shared" si="51"/>
        <v>321655565949704.5</v>
      </c>
      <c r="AE197" s="80">
        <f t="shared" si="54"/>
        <v>1096.7137901926415</v>
      </c>
      <c r="AF197" s="52">
        <f t="shared" ref="AF197:AF260" si="64">(AE197-AE196)/AE196</f>
        <v>-8.0319522397645799E-3</v>
      </c>
      <c r="AG197" s="48">
        <f t="shared" si="55"/>
        <v>-2.2650056625141564E-3</v>
      </c>
      <c r="AH197" s="48">
        <f t="shared" ref="AH197:AH260" si="65">(I197-H197)/H197</f>
        <v>-1.8832391713747645E-2</v>
      </c>
      <c r="AI197" s="48">
        <f t="shared" ref="AI197:AI260" si="66">(N197-M197)/M197</f>
        <v>-1.747126436781609E-2</v>
      </c>
      <c r="AJ197" s="48">
        <f t="shared" ref="AJ197:AJ260" si="67">(X197-W197)/X197</f>
        <v>0</v>
      </c>
    </row>
    <row r="198" spans="1:36" x14ac:dyDescent="0.3">
      <c r="A198" s="48">
        <v>20181019</v>
      </c>
      <c r="B198" s="48" t="s">
        <v>88</v>
      </c>
      <c r="C198" s="49">
        <v>44050</v>
      </c>
      <c r="D198" s="49">
        <v>43900</v>
      </c>
      <c r="E198" s="49">
        <v>6419324700</v>
      </c>
      <c r="F198" s="49">
        <f t="shared" si="56"/>
        <v>0.170946124192833</v>
      </c>
      <c r="G198" s="49">
        <f t="shared" si="57"/>
        <v>0.170946124192833</v>
      </c>
      <c r="H198" s="48">
        <v>260500</v>
      </c>
      <c r="I198" s="48">
        <v>273000</v>
      </c>
      <c r="J198" s="51">
        <v>125395903</v>
      </c>
      <c r="K198" s="48">
        <f t="shared" si="58"/>
        <v>1.34511125821281</v>
      </c>
      <c r="L198" s="48">
        <f t="shared" si="59"/>
        <v>1.34511125821281</v>
      </c>
      <c r="M198" s="49">
        <v>213700</v>
      </c>
      <c r="N198" s="49">
        <v>224200</v>
      </c>
      <c r="O198" s="49">
        <v>15956260</v>
      </c>
      <c r="P198" s="49">
        <f t="shared" si="60"/>
        <v>27.234779000652601</v>
      </c>
      <c r="Q198" s="49">
        <f t="shared" si="61"/>
        <v>27.234779000652601</v>
      </c>
      <c r="R198" s="48">
        <v>0</v>
      </c>
      <c r="S198" s="48"/>
      <c r="T198" s="48">
        <v>0</v>
      </c>
      <c r="U198" s="48">
        <v>0</v>
      </c>
      <c r="V198" s="48"/>
      <c r="W198" s="49">
        <v>1</v>
      </c>
      <c r="X198" s="49">
        <v>1</v>
      </c>
      <c r="Y198" s="49">
        <v>100000000</v>
      </c>
      <c r="Z198" s="49">
        <f t="shared" si="62"/>
        <v>1365114.194686</v>
      </c>
      <c r="AA198" s="49">
        <f t="shared" si="63"/>
        <v>1365114.194686</v>
      </c>
      <c r="AB198" s="82">
        <f t="shared" si="52"/>
        <v>0</v>
      </c>
      <c r="AC198" s="82">
        <f t="shared" si="53"/>
        <v>293290345052745.87</v>
      </c>
      <c r="AD198" s="81">
        <f t="shared" si="51"/>
        <v>328162289913990.75</v>
      </c>
      <c r="AE198" s="80">
        <f t="shared" si="54"/>
        <v>1118.8990549790292</v>
      </c>
      <c r="AF198" s="52">
        <f t="shared" si="64"/>
        <v>2.0228855499747858E-2</v>
      </c>
      <c r="AG198" s="48">
        <f t="shared" si="55"/>
        <v>-3.4052213393870601E-3</v>
      </c>
      <c r="AH198" s="48">
        <f t="shared" si="65"/>
        <v>4.7984644913627639E-2</v>
      </c>
      <c r="AI198" s="48">
        <f t="shared" si="66"/>
        <v>4.9134300421151147E-2</v>
      </c>
      <c r="AJ198" s="48">
        <f t="shared" si="67"/>
        <v>0</v>
      </c>
    </row>
    <row r="199" spans="1:36" x14ac:dyDescent="0.3">
      <c r="A199" s="48">
        <v>20181022</v>
      </c>
      <c r="B199" s="48" t="s">
        <v>88</v>
      </c>
      <c r="C199" s="49">
        <v>43900</v>
      </c>
      <c r="D199" s="49">
        <v>43550</v>
      </c>
      <c r="E199" s="49">
        <v>6419324700</v>
      </c>
      <c r="F199" s="49">
        <f t="shared" si="56"/>
        <v>0.170946124192833</v>
      </c>
      <c r="G199" s="49">
        <f t="shared" si="57"/>
        <v>0.170946124192833</v>
      </c>
      <c r="H199" s="48">
        <v>273000</v>
      </c>
      <c r="I199" s="48">
        <v>268500</v>
      </c>
      <c r="J199" s="51">
        <v>125395903</v>
      </c>
      <c r="K199" s="48">
        <f t="shared" si="58"/>
        <v>1.34511125821281</v>
      </c>
      <c r="L199" s="48">
        <f t="shared" si="59"/>
        <v>1.34511125821281</v>
      </c>
      <c r="M199" s="49">
        <v>224200</v>
      </c>
      <c r="N199" s="49">
        <v>224500</v>
      </c>
      <c r="O199" s="49">
        <v>15956260</v>
      </c>
      <c r="P199" s="49">
        <f t="shared" si="60"/>
        <v>27.234779000652601</v>
      </c>
      <c r="Q199" s="49">
        <f t="shared" si="61"/>
        <v>27.234779000652601</v>
      </c>
      <c r="R199" s="48">
        <v>0</v>
      </c>
      <c r="S199" s="48"/>
      <c r="T199" s="48">
        <v>0</v>
      </c>
      <c r="U199" s="48">
        <v>0</v>
      </c>
      <c r="V199" s="48"/>
      <c r="W199" s="49">
        <v>1</v>
      </c>
      <c r="X199" s="49">
        <v>1</v>
      </c>
      <c r="Y199" s="49">
        <v>100000000</v>
      </c>
      <c r="Z199" s="49">
        <f t="shared" si="62"/>
        <v>1365114.194686</v>
      </c>
      <c r="AA199" s="49">
        <f t="shared" si="63"/>
        <v>1365114.194686</v>
      </c>
      <c r="AB199" s="82">
        <f t="shared" si="52"/>
        <v>0</v>
      </c>
      <c r="AC199" s="82">
        <f t="shared" si="53"/>
        <v>293290345052745.87</v>
      </c>
      <c r="AD199" s="81">
        <f t="shared" si="51"/>
        <v>327149562457467.94</v>
      </c>
      <c r="AE199" s="80">
        <f t="shared" si="54"/>
        <v>1115.4460689752088</v>
      </c>
      <c r="AF199" s="52">
        <f t="shared" si="64"/>
        <v>-3.0860567702285344E-3</v>
      </c>
      <c r="AG199" s="48">
        <f t="shared" si="55"/>
        <v>-7.972665148063782E-3</v>
      </c>
      <c r="AH199" s="48">
        <f t="shared" si="65"/>
        <v>-1.6483516483516484E-2</v>
      </c>
      <c r="AI199" s="48">
        <f t="shared" si="66"/>
        <v>1.3380909901873326E-3</v>
      </c>
      <c r="AJ199" s="48">
        <f t="shared" si="67"/>
        <v>0</v>
      </c>
    </row>
    <row r="200" spans="1:36" x14ac:dyDescent="0.3">
      <c r="A200" s="48">
        <v>20181023</v>
      </c>
      <c r="B200" s="48" t="s">
        <v>88</v>
      </c>
      <c r="C200" s="49">
        <v>43550</v>
      </c>
      <c r="D200" s="49">
        <v>43050</v>
      </c>
      <c r="E200" s="49">
        <v>6419324700</v>
      </c>
      <c r="F200" s="49">
        <f t="shared" si="56"/>
        <v>0.170946124192833</v>
      </c>
      <c r="G200" s="49">
        <f t="shared" si="57"/>
        <v>0.170946124192833</v>
      </c>
      <c r="H200" s="48">
        <v>268500</v>
      </c>
      <c r="I200" s="48">
        <v>246500</v>
      </c>
      <c r="J200" s="51">
        <v>125395903</v>
      </c>
      <c r="K200" s="48">
        <f t="shared" si="58"/>
        <v>1.34511125821281</v>
      </c>
      <c r="L200" s="48">
        <f t="shared" si="59"/>
        <v>1.34511125821281</v>
      </c>
      <c r="M200" s="49">
        <v>224500</v>
      </c>
      <c r="N200" s="49">
        <v>215900</v>
      </c>
      <c r="O200" s="49">
        <v>15956260</v>
      </c>
      <c r="P200" s="49">
        <f t="shared" si="60"/>
        <v>27.234779000652601</v>
      </c>
      <c r="Q200" s="49">
        <f t="shared" si="61"/>
        <v>27.234779000652601</v>
      </c>
      <c r="R200" s="48">
        <v>0</v>
      </c>
      <c r="S200" s="48"/>
      <c r="T200" s="48">
        <v>0</v>
      </c>
      <c r="U200" s="48">
        <v>0</v>
      </c>
      <c r="V200" s="48"/>
      <c r="W200" s="49">
        <v>1</v>
      </c>
      <c r="X200" s="49">
        <v>1</v>
      </c>
      <c r="Y200" s="49">
        <v>100000000</v>
      </c>
      <c r="Z200" s="49">
        <f t="shared" si="62"/>
        <v>1365114.194686</v>
      </c>
      <c r="AA200" s="49">
        <f t="shared" si="63"/>
        <v>1365114.194686</v>
      </c>
      <c r="AB200" s="82">
        <f t="shared" si="52"/>
        <v>0</v>
      </c>
      <c r="AC200" s="82">
        <f t="shared" si="53"/>
        <v>293290345052745.87</v>
      </c>
      <c r="AD200" s="81">
        <f t="shared" si="51"/>
        <v>319152850572786.62</v>
      </c>
      <c r="AE200" s="80">
        <f t="shared" si="54"/>
        <v>1088.180555399427</v>
      </c>
      <c r="AF200" s="52">
        <f t="shared" si="64"/>
        <v>-2.4443596453597623E-2</v>
      </c>
      <c r="AG200" s="48">
        <f t="shared" si="55"/>
        <v>-1.1481056257175661E-2</v>
      </c>
      <c r="AH200" s="48">
        <f t="shared" si="65"/>
        <v>-8.1936685288640593E-2</v>
      </c>
      <c r="AI200" s="48">
        <f t="shared" si="66"/>
        <v>-3.8307349665924278E-2</v>
      </c>
      <c r="AJ200" s="48">
        <f t="shared" si="67"/>
        <v>0</v>
      </c>
    </row>
    <row r="201" spans="1:36" x14ac:dyDescent="0.3">
      <c r="A201" s="48">
        <v>20181024</v>
      </c>
      <c r="B201" s="48" t="s">
        <v>88</v>
      </c>
      <c r="C201" s="49">
        <v>43050</v>
      </c>
      <c r="D201" s="49">
        <v>42550</v>
      </c>
      <c r="E201" s="49">
        <v>6419324700</v>
      </c>
      <c r="F201" s="49">
        <f t="shared" si="56"/>
        <v>0.170946124192833</v>
      </c>
      <c r="G201" s="49">
        <f t="shared" si="57"/>
        <v>0.170946124192833</v>
      </c>
      <c r="H201" s="48">
        <v>246500</v>
      </c>
      <c r="I201" s="48">
        <v>225500</v>
      </c>
      <c r="J201" s="51">
        <v>125395903</v>
      </c>
      <c r="K201" s="48">
        <f t="shared" si="58"/>
        <v>1.34511125821281</v>
      </c>
      <c r="L201" s="48">
        <f t="shared" si="59"/>
        <v>1.34511125821281</v>
      </c>
      <c r="M201" s="49">
        <v>215900</v>
      </c>
      <c r="N201" s="49">
        <v>216700</v>
      </c>
      <c r="O201" s="49">
        <v>15956260</v>
      </c>
      <c r="P201" s="49">
        <f t="shared" si="60"/>
        <v>27.234779000652601</v>
      </c>
      <c r="Q201" s="49">
        <f t="shared" si="61"/>
        <v>27.234779000652601</v>
      </c>
      <c r="R201" s="48">
        <v>0</v>
      </c>
      <c r="S201" s="48"/>
      <c r="T201" s="48">
        <v>0</v>
      </c>
      <c r="U201" s="48">
        <v>0</v>
      </c>
      <c r="V201" s="48"/>
      <c r="W201" s="49">
        <v>1</v>
      </c>
      <c r="X201" s="49">
        <v>1</v>
      </c>
      <c r="Y201" s="49">
        <v>100000000</v>
      </c>
      <c r="Z201" s="49">
        <f t="shared" si="62"/>
        <v>1365114.194686</v>
      </c>
      <c r="AA201" s="49">
        <f t="shared" si="63"/>
        <v>1365114.194686</v>
      </c>
      <c r="AB201" s="82">
        <f t="shared" si="52"/>
        <v>0</v>
      </c>
      <c r="AC201" s="82">
        <f t="shared" si="53"/>
        <v>293290345052745.87</v>
      </c>
      <c r="AD201" s="81">
        <f t="shared" si="51"/>
        <v>315409723147867.75</v>
      </c>
      <c r="AE201" s="80">
        <f t="shared" si="54"/>
        <v>1075.4180233622892</v>
      </c>
      <c r="AF201" s="52">
        <f t="shared" si="64"/>
        <v>-1.1728322082040152E-2</v>
      </c>
      <c r="AG201" s="48">
        <f t="shared" si="55"/>
        <v>-1.1614401858304297E-2</v>
      </c>
      <c r="AH201" s="48">
        <f t="shared" si="65"/>
        <v>-8.5192697768762676E-2</v>
      </c>
      <c r="AI201" s="48">
        <f t="shared" si="66"/>
        <v>3.7054191755442334E-3</v>
      </c>
      <c r="AJ201" s="48">
        <f t="shared" si="67"/>
        <v>0</v>
      </c>
    </row>
    <row r="202" spans="1:36" x14ac:dyDescent="0.3">
      <c r="A202" s="48">
        <v>20181025</v>
      </c>
      <c r="B202" s="48" t="s">
        <v>88</v>
      </c>
      <c r="C202" s="49">
        <v>42550</v>
      </c>
      <c r="D202" s="49">
        <v>41000</v>
      </c>
      <c r="E202" s="49">
        <v>6419324700</v>
      </c>
      <c r="F202" s="49">
        <f t="shared" si="56"/>
        <v>0.170946124192833</v>
      </c>
      <c r="G202" s="49">
        <f t="shared" si="57"/>
        <v>0.170946124192833</v>
      </c>
      <c r="H202" s="48">
        <v>225500</v>
      </c>
      <c r="I202" s="48">
        <v>236500</v>
      </c>
      <c r="J202" s="51">
        <v>125395903</v>
      </c>
      <c r="K202" s="48">
        <f t="shared" si="58"/>
        <v>1.34511125821281</v>
      </c>
      <c r="L202" s="48">
        <f t="shared" si="59"/>
        <v>1.34511125821281</v>
      </c>
      <c r="M202" s="49">
        <v>216700</v>
      </c>
      <c r="N202" s="49">
        <v>203000</v>
      </c>
      <c r="O202" s="49">
        <v>15956260</v>
      </c>
      <c r="P202" s="49">
        <f t="shared" si="60"/>
        <v>27.234779000652601</v>
      </c>
      <c r="Q202" s="49">
        <f t="shared" si="61"/>
        <v>27.234779000652601</v>
      </c>
      <c r="R202" s="48">
        <v>0</v>
      </c>
      <c r="S202" s="48"/>
      <c r="T202" s="48">
        <v>0</v>
      </c>
      <c r="U202" s="48">
        <v>0</v>
      </c>
      <c r="V202" s="48"/>
      <c r="W202" s="49">
        <v>1</v>
      </c>
      <c r="X202" s="49">
        <v>1</v>
      </c>
      <c r="Y202" s="49">
        <v>100000000</v>
      </c>
      <c r="Z202" s="49">
        <f t="shared" si="62"/>
        <v>1365114.194686</v>
      </c>
      <c r="AA202" s="49">
        <f t="shared" si="63"/>
        <v>1365114.194686</v>
      </c>
      <c r="AB202" s="82">
        <f t="shared" si="52"/>
        <v>0</v>
      </c>
      <c r="AC202" s="82">
        <f t="shared" si="53"/>
        <v>293290345052745.87</v>
      </c>
      <c r="AD202" s="81">
        <f t="shared" si="51"/>
        <v>309610659604902.62</v>
      </c>
      <c r="AE202" s="80">
        <f t="shared" si="54"/>
        <v>1055.645590887834</v>
      </c>
      <c r="AF202" s="52">
        <f t="shared" si="64"/>
        <v>-1.8385810954364295E-2</v>
      </c>
      <c r="AG202" s="48">
        <f t="shared" si="55"/>
        <v>-3.6427732079905996E-2</v>
      </c>
      <c r="AH202" s="48">
        <f t="shared" si="65"/>
        <v>4.878048780487805E-2</v>
      </c>
      <c r="AI202" s="48">
        <f t="shared" si="66"/>
        <v>-6.3221042916474388E-2</v>
      </c>
      <c r="AJ202" s="48">
        <f t="shared" si="67"/>
        <v>0</v>
      </c>
    </row>
    <row r="203" spans="1:36" x14ac:dyDescent="0.3">
      <c r="A203" s="48">
        <v>20181026</v>
      </c>
      <c r="B203" s="48" t="s">
        <v>88</v>
      </c>
      <c r="C203" s="49">
        <v>41000</v>
      </c>
      <c r="D203" s="49">
        <v>41000</v>
      </c>
      <c r="E203" s="49">
        <v>6419324700</v>
      </c>
      <c r="F203" s="49">
        <f t="shared" si="56"/>
        <v>0.170946124192833</v>
      </c>
      <c r="G203" s="49">
        <f t="shared" si="57"/>
        <v>0.170946124192833</v>
      </c>
      <c r="H203" s="48">
        <v>236500</v>
      </c>
      <c r="I203" s="48">
        <v>228000</v>
      </c>
      <c r="J203" s="51">
        <v>125395903</v>
      </c>
      <c r="K203" s="48">
        <f t="shared" si="58"/>
        <v>1.34511125821281</v>
      </c>
      <c r="L203" s="48">
        <f t="shared" si="59"/>
        <v>1.34511125821281</v>
      </c>
      <c r="M203" s="49">
        <v>203000</v>
      </c>
      <c r="N203" s="49">
        <v>194900</v>
      </c>
      <c r="O203" s="49">
        <v>15956260</v>
      </c>
      <c r="P203" s="49">
        <f t="shared" si="60"/>
        <v>27.234779000652601</v>
      </c>
      <c r="Q203" s="49">
        <f t="shared" si="61"/>
        <v>27.234779000652601</v>
      </c>
      <c r="R203" s="48">
        <v>0</v>
      </c>
      <c r="S203" s="48"/>
      <c r="T203" s="48">
        <v>0</v>
      </c>
      <c r="U203" s="48">
        <v>0</v>
      </c>
      <c r="V203" s="48"/>
      <c r="W203" s="49">
        <v>1</v>
      </c>
      <c r="X203" s="49">
        <v>1</v>
      </c>
      <c r="Y203" s="49">
        <v>100000000</v>
      </c>
      <c r="Z203" s="49">
        <f t="shared" si="62"/>
        <v>1365114.194686</v>
      </c>
      <c r="AA203" s="49">
        <f t="shared" si="63"/>
        <v>1365114.194686</v>
      </c>
      <c r="AB203" s="82">
        <f t="shared" si="52"/>
        <v>0</v>
      </c>
      <c r="AC203" s="82">
        <f t="shared" si="53"/>
        <v>293290345052745.87</v>
      </c>
      <c r="AD203" s="81">
        <f t="shared" si="51"/>
        <v>304656974117907.31</v>
      </c>
      <c r="AE203" s="80">
        <f t="shared" si="54"/>
        <v>1038.7555514761907</v>
      </c>
      <c r="AF203" s="52">
        <f t="shared" si="64"/>
        <v>-1.5999725246271551E-2</v>
      </c>
      <c r="AG203" s="48">
        <f t="shared" si="55"/>
        <v>0</v>
      </c>
      <c r="AH203" s="48">
        <f t="shared" si="65"/>
        <v>-3.5940803382663845E-2</v>
      </c>
      <c r="AI203" s="48">
        <f t="shared" si="66"/>
        <v>-3.9901477832512314E-2</v>
      </c>
      <c r="AJ203" s="48">
        <f t="shared" si="67"/>
        <v>0</v>
      </c>
    </row>
    <row r="204" spans="1:36" x14ac:dyDescent="0.3">
      <c r="A204" s="48">
        <v>20181029</v>
      </c>
      <c r="B204" s="48" t="s">
        <v>88</v>
      </c>
      <c r="C204" s="49">
        <v>41000</v>
      </c>
      <c r="D204" s="49">
        <v>41400</v>
      </c>
      <c r="E204" s="49">
        <v>6419324700</v>
      </c>
      <c r="F204" s="49">
        <f t="shared" si="56"/>
        <v>0.170946124192833</v>
      </c>
      <c r="G204" s="49">
        <f t="shared" si="57"/>
        <v>0.170946124192833</v>
      </c>
      <c r="H204" s="48">
        <v>228000</v>
      </c>
      <c r="I204" s="48">
        <v>218000</v>
      </c>
      <c r="J204" s="51">
        <v>125395903</v>
      </c>
      <c r="K204" s="48">
        <f t="shared" si="58"/>
        <v>1.34511125821281</v>
      </c>
      <c r="L204" s="48">
        <f t="shared" si="59"/>
        <v>1.34511125821281</v>
      </c>
      <c r="M204" s="49">
        <v>194900</v>
      </c>
      <c r="N204" s="49">
        <v>181800</v>
      </c>
      <c r="O204" s="49">
        <v>15956260</v>
      </c>
      <c r="P204" s="49">
        <f t="shared" si="60"/>
        <v>27.234779000652601</v>
      </c>
      <c r="Q204" s="49">
        <f t="shared" si="61"/>
        <v>27.234779000652601</v>
      </c>
      <c r="R204" s="48">
        <v>0</v>
      </c>
      <c r="S204" s="48"/>
      <c r="T204" s="48">
        <v>0</v>
      </c>
      <c r="U204" s="48">
        <v>0</v>
      </c>
      <c r="V204" s="48"/>
      <c r="W204" s="49">
        <v>1</v>
      </c>
      <c r="X204" s="49">
        <v>1</v>
      </c>
      <c r="Y204" s="49">
        <v>100000000</v>
      </c>
      <c r="Z204" s="49">
        <f t="shared" si="62"/>
        <v>1365114.194686</v>
      </c>
      <c r="AA204" s="49">
        <f t="shared" si="63"/>
        <v>1365114.194686</v>
      </c>
      <c r="AB204" s="82">
        <f t="shared" si="52"/>
        <v>0</v>
      </c>
      <c r="AC204" s="82">
        <f t="shared" si="53"/>
        <v>293290345052745.87</v>
      </c>
      <c r="AD204" s="81">
        <f t="shared" si="51"/>
        <v>297716398866698.75</v>
      </c>
      <c r="AE204" s="80">
        <f t="shared" si="54"/>
        <v>1015.0910314253845</v>
      </c>
      <c r="AF204" s="52">
        <f t="shared" si="64"/>
        <v>-2.2781606333825352E-2</v>
      </c>
      <c r="AG204" s="48">
        <f t="shared" si="55"/>
        <v>9.7560975609756097E-3</v>
      </c>
      <c r="AH204" s="48">
        <f t="shared" si="65"/>
        <v>-4.3859649122807015E-2</v>
      </c>
      <c r="AI204" s="48">
        <f t="shared" si="66"/>
        <v>-6.7213955874807593E-2</v>
      </c>
      <c r="AJ204" s="48">
        <f t="shared" si="67"/>
        <v>0</v>
      </c>
    </row>
    <row r="205" spans="1:36" x14ac:dyDescent="0.3">
      <c r="A205" s="48">
        <v>20181030</v>
      </c>
      <c r="B205" s="48" t="s">
        <v>88</v>
      </c>
      <c r="C205" s="49">
        <v>41400</v>
      </c>
      <c r="D205" s="49">
        <v>42350</v>
      </c>
      <c r="E205" s="49">
        <v>6419324700</v>
      </c>
      <c r="F205" s="49">
        <f t="shared" si="56"/>
        <v>0.170946124192833</v>
      </c>
      <c r="G205" s="49">
        <f t="shared" si="57"/>
        <v>0.170946124192833</v>
      </c>
      <c r="H205" s="48">
        <v>218000</v>
      </c>
      <c r="I205" s="48">
        <v>225500</v>
      </c>
      <c r="J205" s="51">
        <v>125395903</v>
      </c>
      <c r="K205" s="48">
        <f t="shared" si="58"/>
        <v>1.34511125821281</v>
      </c>
      <c r="L205" s="48">
        <f t="shared" si="59"/>
        <v>1.34511125821281</v>
      </c>
      <c r="M205" s="49">
        <v>181800</v>
      </c>
      <c r="N205" s="49">
        <v>190500</v>
      </c>
      <c r="O205" s="49">
        <v>15956260</v>
      </c>
      <c r="P205" s="49">
        <f t="shared" si="60"/>
        <v>27.234779000652601</v>
      </c>
      <c r="Q205" s="49">
        <f t="shared" si="61"/>
        <v>27.234779000652601</v>
      </c>
      <c r="R205" s="48">
        <v>0</v>
      </c>
      <c r="S205" s="48"/>
      <c r="T205" s="48">
        <v>0</v>
      </c>
      <c r="U205" s="48">
        <v>0</v>
      </c>
      <c r="V205" s="48"/>
      <c r="W205" s="49">
        <v>1</v>
      </c>
      <c r="X205" s="49">
        <v>1</v>
      </c>
      <c r="Y205" s="49">
        <v>100000000</v>
      </c>
      <c r="Z205" s="49">
        <f t="shared" si="62"/>
        <v>1365114.194686</v>
      </c>
      <c r="AA205" s="49">
        <f t="shared" si="63"/>
        <v>1365114.194686</v>
      </c>
      <c r="AB205" s="82">
        <f t="shared" si="52"/>
        <v>0</v>
      </c>
      <c r="AC205" s="82">
        <f t="shared" si="53"/>
        <v>293290345052745.87</v>
      </c>
      <c r="AD205" s="81">
        <f t="shared" si="51"/>
        <v>303804642785231.5</v>
      </c>
      <c r="AE205" s="80">
        <f t="shared" si="54"/>
        <v>1035.8494505865672</v>
      </c>
      <c r="AF205" s="52">
        <f t="shared" si="64"/>
        <v>2.0449810429350221E-2</v>
      </c>
      <c r="AG205" s="48">
        <f t="shared" si="55"/>
        <v>2.2946859903381644E-2</v>
      </c>
      <c r="AH205" s="48">
        <f t="shared" si="65"/>
        <v>3.4403669724770644E-2</v>
      </c>
      <c r="AI205" s="48">
        <f t="shared" si="66"/>
        <v>4.7854785478547858E-2</v>
      </c>
      <c r="AJ205" s="48">
        <f t="shared" si="67"/>
        <v>0</v>
      </c>
    </row>
    <row r="206" spans="1:36" x14ac:dyDescent="0.3">
      <c r="A206" s="48">
        <v>20181031</v>
      </c>
      <c r="B206" s="48" t="s">
        <v>88</v>
      </c>
      <c r="C206" s="49">
        <v>42350</v>
      </c>
      <c r="D206" s="49">
        <v>42400</v>
      </c>
      <c r="E206" s="49">
        <v>6419324700</v>
      </c>
      <c r="F206" s="49">
        <f t="shared" si="56"/>
        <v>0.170946124192833</v>
      </c>
      <c r="G206" s="49">
        <f t="shared" si="57"/>
        <v>0.170946124192833</v>
      </c>
      <c r="H206" s="48">
        <v>225500</v>
      </c>
      <c r="I206" s="48">
        <v>217500</v>
      </c>
      <c r="J206" s="51">
        <v>125395903</v>
      </c>
      <c r="K206" s="48">
        <f t="shared" si="58"/>
        <v>1.34511125821281</v>
      </c>
      <c r="L206" s="48">
        <f t="shared" si="59"/>
        <v>1.34511125821281</v>
      </c>
      <c r="M206" s="49">
        <v>190500</v>
      </c>
      <c r="N206" s="49">
        <v>186300</v>
      </c>
      <c r="O206" s="49">
        <v>15956260</v>
      </c>
      <c r="P206" s="49">
        <f t="shared" si="60"/>
        <v>27.234779000652601</v>
      </c>
      <c r="Q206" s="49">
        <f t="shared" si="61"/>
        <v>27.234779000652601</v>
      </c>
      <c r="R206" s="48">
        <v>0</v>
      </c>
      <c r="S206" s="48"/>
      <c r="T206" s="48">
        <v>0</v>
      </c>
      <c r="U206" s="48">
        <v>0</v>
      </c>
      <c r="V206" s="48"/>
      <c r="W206" s="49">
        <v>1</v>
      </c>
      <c r="X206" s="49">
        <v>1</v>
      </c>
      <c r="Y206" s="49">
        <v>100000000</v>
      </c>
      <c r="Z206" s="49">
        <f t="shared" si="62"/>
        <v>1365114.194686</v>
      </c>
      <c r="AA206" s="49">
        <f t="shared" si="63"/>
        <v>1365114.194686</v>
      </c>
      <c r="AB206" s="82">
        <f t="shared" si="52"/>
        <v>0</v>
      </c>
      <c r="AC206" s="82">
        <f t="shared" si="53"/>
        <v>293290345052745.87</v>
      </c>
      <c r="AD206" s="81">
        <f t="shared" si="51"/>
        <v>300684965290165.81</v>
      </c>
      <c r="AE206" s="80">
        <f t="shared" si="54"/>
        <v>1025.2126275622545</v>
      </c>
      <c r="AF206" s="52">
        <f t="shared" si="64"/>
        <v>-1.0268695917432192E-2</v>
      </c>
      <c r="AG206" s="48">
        <f t="shared" si="55"/>
        <v>1.1806375442739079E-3</v>
      </c>
      <c r="AH206" s="48">
        <f t="shared" si="65"/>
        <v>-3.5476718403547672E-2</v>
      </c>
      <c r="AI206" s="48">
        <f t="shared" si="66"/>
        <v>-2.2047244094488189E-2</v>
      </c>
      <c r="AJ206" s="48">
        <f t="shared" si="67"/>
        <v>0</v>
      </c>
    </row>
    <row r="207" spans="1:36" x14ac:dyDescent="0.3">
      <c r="A207" s="48">
        <v>20181101</v>
      </c>
      <c r="B207" s="48" t="s">
        <v>88</v>
      </c>
      <c r="C207" s="49">
        <v>42400</v>
      </c>
      <c r="D207" s="49">
        <v>42150</v>
      </c>
      <c r="E207" s="49">
        <v>6419324700</v>
      </c>
      <c r="F207" s="49">
        <f t="shared" si="56"/>
        <v>0.170946124192833</v>
      </c>
      <c r="G207" s="49">
        <f t="shared" si="57"/>
        <v>0.170946124192833</v>
      </c>
      <c r="H207" s="48">
        <v>217500</v>
      </c>
      <c r="I207" s="48">
        <v>227500</v>
      </c>
      <c r="J207" s="51">
        <v>125395903</v>
      </c>
      <c r="K207" s="48">
        <f t="shared" si="58"/>
        <v>1.34511125821281</v>
      </c>
      <c r="L207" s="48">
        <f t="shared" si="59"/>
        <v>1.34511125821281</v>
      </c>
      <c r="M207" s="49">
        <v>186300</v>
      </c>
      <c r="N207" s="49">
        <v>183000</v>
      </c>
      <c r="O207" s="49">
        <v>15956260</v>
      </c>
      <c r="P207" s="49">
        <f t="shared" si="60"/>
        <v>27.234779000652601</v>
      </c>
      <c r="Q207" s="49">
        <f t="shared" si="61"/>
        <v>27.234779000652601</v>
      </c>
      <c r="R207" s="48">
        <v>0</v>
      </c>
      <c r="S207" s="48"/>
      <c r="T207" s="48">
        <v>0</v>
      </c>
      <c r="U207" s="48">
        <v>0</v>
      </c>
      <c r="V207" s="48"/>
      <c r="W207" s="49">
        <v>1</v>
      </c>
      <c r="X207" s="49">
        <v>1</v>
      </c>
      <c r="Y207" s="49">
        <v>100000000</v>
      </c>
      <c r="Z207" s="49">
        <f t="shared" si="62"/>
        <v>1365114.194686</v>
      </c>
      <c r="AA207" s="49">
        <f t="shared" si="63"/>
        <v>1365114.194686</v>
      </c>
      <c r="AB207" s="82">
        <f t="shared" si="52"/>
        <v>0</v>
      </c>
      <c r="AC207" s="82">
        <f t="shared" si="53"/>
        <v>293290345052745.87</v>
      </c>
      <c r="AD207" s="81">
        <f t="shared" si="51"/>
        <v>300663274820642.37</v>
      </c>
      <c r="AE207" s="80">
        <f t="shared" si="54"/>
        <v>1025.1386719415211</v>
      </c>
      <c r="AF207" s="52">
        <f t="shared" si="64"/>
        <v>-7.2136860925364868E-5</v>
      </c>
      <c r="AG207" s="48">
        <f t="shared" si="55"/>
        <v>-5.89622641509434E-3</v>
      </c>
      <c r="AH207" s="48">
        <f t="shared" si="65"/>
        <v>4.5977011494252873E-2</v>
      </c>
      <c r="AI207" s="48">
        <f t="shared" si="66"/>
        <v>-1.7713365539452495E-2</v>
      </c>
      <c r="AJ207" s="48">
        <f t="shared" si="67"/>
        <v>0</v>
      </c>
    </row>
    <row r="208" spans="1:36" x14ac:dyDescent="0.3">
      <c r="A208" s="48">
        <v>20181102</v>
      </c>
      <c r="B208" s="48" t="s">
        <v>88</v>
      </c>
      <c r="C208" s="49">
        <v>42150</v>
      </c>
      <c r="D208" s="49">
        <v>44150</v>
      </c>
      <c r="E208" s="49">
        <v>6419324700</v>
      </c>
      <c r="F208" s="49">
        <f t="shared" si="56"/>
        <v>0.170946124192833</v>
      </c>
      <c r="G208" s="49">
        <f t="shared" si="57"/>
        <v>0.170946124192833</v>
      </c>
      <c r="H208" s="48">
        <v>227500</v>
      </c>
      <c r="I208" s="48">
        <v>236500</v>
      </c>
      <c r="J208" s="51">
        <v>125395903</v>
      </c>
      <c r="K208" s="48">
        <f t="shared" si="58"/>
        <v>1.34511125821281</v>
      </c>
      <c r="L208" s="48">
        <f t="shared" si="59"/>
        <v>1.34511125821281</v>
      </c>
      <c r="M208" s="49">
        <v>183000</v>
      </c>
      <c r="N208" s="49">
        <v>197900</v>
      </c>
      <c r="O208" s="49">
        <v>15956260</v>
      </c>
      <c r="P208" s="49">
        <f t="shared" si="60"/>
        <v>27.234779000652601</v>
      </c>
      <c r="Q208" s="49">
        <f t="shared" si="61"/>
        <v>27.234779000652601</v>
      </c>
      <c r="R208" s="48">
        <v>0</v>
      </c>
      <c r="S208" s="48"/>
      <c r="T208" s="48">
        <v>0</v>
      </c>
      <c r="U208" s="48">
        <v>0</v>
      </c>
      <c r="V208" s="48"/>
      <c r="W208" s="49">
        <v>1</v>
      </c>
      <c r="X208" s="49">
        <v>1</v>
      </c>
      <c r="Y208" s="49">
        <v>100000000</v>
      </c>
      <c r="Z208" s="49">
        <f t="shared" si="62"/>
        <v>1365114.194686</v>
      </c>
      <c r="AA208" s="49">
        <f t="shared" si="63"/>
        <v>1365114.194686</v>
      </c>
      <c r="AB208" s="82">
        <f t="shared" si="52"/>
        <v>0</v>
      </c>
      <c r="AC208" s="82">
        <f t="shared" si="53"/>
        <v>293290345052745.87</v>
      </c>
      <c r="AD208" s="81">
        <f t="shared" si="51"/>
        <v>310851056843351.19</v>
      </c>
      <c r="AE208" s="80">
        <f t="shared" si="54"/>
        <v>1059.8748376372471</v>
      </c>
      <c r="AF208" s="52">
        <f t="shared" si="64"/>
        <v>3.3884357937583959E-2</v>
      </c>
      <c r="AG208" s="48">
        <f t="shared" si="55"/>
        <v>4.7449584816132859E-2</v>
      </c>
      <c r="AH208" s="48">
        <f t="shared" si="65"/>
        <v>3.9560439560439559E-2</v>
      </c>
      <c r="AI208" s="48">
        <f t="shared" si="66"/>
        <v>8.14207650273224E-2</v>
      </c>
      <c r="AJ208" s="48">
        <f t="shared" si="67"/>
        <v>0</v>
      </c>
    </row>
    <row r="209" spans="1:36" x14ac:dyDescent="0.3">
      <c r="A209" s="48">
        <v>20181105</v>
      </c>
      <c r="B209" s="48" t="s">
        <v>88</v>
      </c>
      <c r="C209" s="49">
        <v>44150</v>
      </c>
      <c r="D209" s="49">
        <v>43800</v>
      </c>
      <c r="E209" s="49">
        <v>6419324700</v>
      </c>
      <c r="F209" s="49">
        <f t="shared" si="56"/>
        <v>0.170946124192833</v>
      </c>
      <c r="G209" s="49">
        <f t="shared" si="57"/>
        <v>0.170946124192833</v>
      </c>
      <c r="H209" s="48">
        <v>236500</v>
      </c>
      <c r="I209" s="48">
        <v>240000</v>
      </c>
      <c r="J209" s="51">
        <v>125395903</v>
      </c>
      <c r="K209" s="48">
        <f t="shared" si="58"/>
        <v>1.34511125821281</v>
      </c>
      <c r="L209" s="48">
        <f t="shared" si="59"/>
        <v>1.34511125821281</v>
      </c>
      <c r="M209" s="49">
        <v>197900</v>
      </c>
      <c r="N209" s="49">
        <v>204000</v>
      </c>
      <c r="O209" s="49">
        <v>15956260</v>
      </c>
      <c r="P209" s="49">
        <f t="shared" si="60"/>
        <v>27.234779000652601</v>
      </c>
      <c r="Q209" s="49">
        <f t="shared" si="61"/>
        <v>27.234779000652601</v>
      </c>
      <c r="R209" s="48">
        <v>0</v>
      </c>
      <c r="S209" s="48"/>
      <c r="T209" s="48">
        <v>0</v>
      </c>
      <c r="U209" s="48">
        <v>0</v>
      </c>
      <c r="V209" s="48"/>
      <c r="W209" s="49">
        <v>1</v>
      </c>
      <c r="X209" s="49">
        <v>1</v>
      </c>
      <c r="Y209" s="49">
        <v>100000000</v>
      </c>
      <c r="Z209" s="49">
        <f t="shared" si="62"/>
        <v>1365114.194686</v>
      </c>
      <c r="AA209" s="49">
        <f t="shared" si="63"/>
        <v>1365114.194686</v>
      </c>
      <c r="AB209" s="82">
        <f t="shared" si="52"/>
        <v>0</v>
      </c>
      <c r="AC209" s="82">
        <f t="shared" si="53"/>
        <v>293290345052745.87</v>
      </c>
      <c r="AD209" s="81">
        <f t="shared" si="51"/>
        <v>313708179159407.19</v>
      </c>
      <c r="AE209" s="80">
        <f t="shared" si="54"/>
        <v>1069.6164549944162</v>
      </c>
      <c r="AF209" s="52">
        <f t="shared" si="64"/>
        <v>9.1912903403631226E-3</v>
      </c>
      <c r="AG209" s="48">
        <f t="shared" si="55"/>
        <v>-7.9275198187995465E-3</v>
      </c>
      <c r="AH209" s="48">
        <f t="shared" si="65"/>
        <v>1.4799154334038054E-2</v>
      </c>
      <c r="AI209" s="48">
        <f t="shared" si="66"/>
        <v>3.0823648307225872E-2</v>
      </c>
      <c r="AJ209" s="48">
        <f t="shared" si="67"/>
        <v>0</v>
      </c>
    </row>
    <row r="210" spans="1:36" x14ac:dyDescent="0.3">
      <c r="A210" s="48">
        <v>20181106</v>
      </c>
      <c r="B210" s="48" t="s">
        <v>88</v>
      </c>
      <c r="C210" s="49">
        <v>43800</v>
      </c>
      <c r="D210" s="49">
        <v>43750</v>
      </c>
      <c r="E210" s="49">
        <v>6419324700</v>
      </c>
      <c r="F210" s="49">
        <f t="shared" si="56"/>
        <v>0.170946124192833</v>
      </c>
      <c r="G210" s="49">
        <f t="shared" si="57"/>
        <v>0.170946124192833</v>
      </c>
      <c r="H210" s="48">
        <v>240000</v>
      </c>
      <c r="I210" s="48">
        <v>241000</v>
      </c>
      <c r="J210" s="51">
        <v>125395903</v>
      </c>
      <c r="K210" s="48">
        <f t="shared" si="58"/>
        <v>1.34511125821281</v>
      </c>
      <c r="L210" s="48">
        <f t="shared" si="59"/>
        <v>1.34511125821281</v>
      </c>
      <c r="M210" s="49">
        <v>204000</v>
      </c>
      <c r="N210" s="49">
        <v>203200</v>
      </c>
      <c r="O210" s="49">
        <v>15956260</v>
      </c>
      <c r="P210" s="49">
        <f t="shared" si="60"/>
        <v>27.234779000652601</v>
      </c>
      <c r="Q210" s="49">
        <f t="shared" si="61"/>
        <v>27.234779000652601</v>
      </c>
      <c r="R210" s="48">
        <v>0</v>
      </c>
      <c r="S210" s="48"/>
      <c r="T210" s="48">
        <v>0</v>
      </c>
      <c r="U210" s="48">
        <v>0</v>
      </c>
      <c r="V210" s="48"/>
      <c r="W210" s="49">
        <v>1</v>
      </c>
      <c r="X210" s="49">
        <v>1</v>
      </c>
      <c r="Y210" s="49">
        <v>100000000</v>
      </c>
      <c r="Z210" s="49">
        <f t="shared" si="62"/>
        <v>1365114.194686</v>
      </c>
      <c r="AA210" s="49">
        <f t="shared" si="63"/>
        <v>1365114.194686</v>
      </c>
      <c r="AB210" s="82">
        <f t="shared" si="52"/>
        <v>0</v>
      </c>
      <c r="AC210" s="82">
        <f t="shared" si="53"/>
        <v>293290345052745.87</v>
      </c>
      <c r="AD210" s="81">
        <f t="shared" si="51"/>
        <v>313474330494574.69</v>
      </c>
      <c r="AE210" s="80">
        <f t="shared" si="54"/>
        <v>1068.8191267878212</v>
      </c>
      <c r="AF210" s="52">
        <f t="shared" si="64"/>
        <v>-7.454337513900475E-4</v>
      </c>
      <c r="AG210" s="48">
        <f t="shared" si="55"/>
        <v>-1.1415525114155251E-3</v>
      </c>
      <c r="AH210" s="48">
        <f t="shared" si="65"/>
        <v>4.1666666666666666E-3</v>
      </c>
      <c r="AI210" s="48">
        <f t="shared" si="66"/>
        <v>-3.9215686274509803E-3</v>
      </c>
      <c r="AJ210" s="48">
        <f t="shared" si="67"/>
        <v>0</v>
      </c>
    </row>
    <row r="211" spans="1:36" x14ac:dyDescent="0.3">
      <c r="A211" s="48">
        <v>20181107</v>
      </c>
      <c r="B211" s="48" t="s">
        <v>88</v>
      </c>
      <c r="C211" s="49">
        <v>43750</v>
      </c>
      <c r="D211" s="49">
        <v>44000</v>
      </c>
      <c r="E211" s="49">
        <v>6419324700</v>
      </c>
      <c r="F211" s="49">
        <f t="shared" si="56"/>
        <v>0.170946124192833</v>
      </c>
      <c r="G211" s="49">
        <f t="shared" si="57"/>
        <v>0.170946124192833</v>
      </c>
      <c r="H211" s="48">
        <v>241000</v>
      </c>
      <c r="I211" s="48">
        <v>233500</v>
      </c>
      <c r="J211" s="51">
        <v>125395903</v>
      </c>
      <c r="K211" s="48">
        <f t="shared" si="58"/>
        <v>1.34511125821281</v>
      </c>
      <c r="L211" s="48">
        <f t="shared" si="59"/>
        <v>1.34511125821281</v>
      </c>
      <c r="M211" s="49">
        <v>203200</v>
      </c>
      <c r="N211" s="49">
        <v>201000</v>
      </c>
      <c r="O211" s="49">
        <v>15956260</v>
      </c>
      <c r="P211" s="49">
        <f t="shared" si="60"/>
        <v>27.234779000652601</v>
      </c>
      <c r="Q211" s="49">
        <f t="shared" si="61"/>
        <v>27.234779000652601</v>
      </c>
      <c r="R211" s="48">
        <v>0</v>
      </c>
      <c r="S211" s="48"/>
      <c r="T211" s="48">
        <v>0</v>
      </c>
      <c r="U211" s="48">
        <v>0</v>
      </c>
      <c r="V211" s="48"/>
      <c r="W211" s="49">
        <v>1</v>
      </c>
      <c r="X211" s="49">
        <v>1</v>
      </c>
      <c r="Y211" s="49">
        <v>100000000</v>
      </c>
      <c r="Z211" s="49">
        <f t="shared" si="62"/>
        <v>1365114.194686</v>
      </c>
      <c r="AA211" s="49">
        <f t="shared" si="63"/>
        <v>1365114.194686</v>
      </c>
      <c r="AB211" s="82">
        <f t="shared" si="52"/>
        <v>0</v>
      </c>
      <c r="AC211" s="82">
        <f t="shared" si="53"/>
        <v>293290345052745.87</v>
      </c>
      <c r="AD211" s="81">
        <f t="shared" si="51"/>
        <v>311527590884972.5</v>
      </c>
      <c r="AE211" s="80">
        <f t="shared" si="54"/>
        <v>1062.1815417379212</v>
      </c>
      <c r="AF211" s="52">
        <f t="shared" si="64"/>
        <v>-6.2102042184147095E-3</v>
      </c>
      <c r="AG211" s="48">
        <f t="shared" si="55"/>
        <v>5.7142857142857143E-3</v>
      </c>
      <c r="AH211" s="48">
        <f t="shared" si="65"/>
        <v>-3.1120331950207469E-2</v>
      </c>
      <c r="AI211" s="48">
        <f t="shared" si="66"/>
        <v>-1.0826771653543307E-2</v>
      </c>
      <c r="AJ211" s="48">
        <f t="shared" si="67"/>
        <v>0</v>
      </c>
    </row>
    <row r="212" spans="1:36" x14ac:dyDescent="0.3">
      <c r="A212" s="48">
        <v>20181108</v>
      </c>
      <c r="B212" s="48" t="s">
        <v>88</v>
      </c>
      <c r="C212" s="49">
        <v>44000</v>
      </c>
      <c r="D212" s="49">
        <v>44050</v>
      </c>
      <c r="E212" s="49">
        <v>6419324700</v>
      </c>
      <c r="F212" s="49">
        <f t="shared" si="56"/>
        <v>0.170946124192833</v>
      </c>
      <c r="G212" s="49">
        <f t="shared" si="57"/>
        <v>0.170946124192833</v>
      </c>
      <c r="H212" s="48">
        <v>233500</v>
      </c>
      <c r="I212" s="48">
        <v>238500</v>
      </c>
      <c r="J212" s="51">
        <v>125395903</v>
      </c>
      <c r="K212" s="48">
        <f t="shared" si="58"/>
        <v>1.34511125821281</v>
      </c>
      <c r="L212" s="48">
        <f t="shared" si="59"/>
        <v>1.34511125821281</v>
      </c>
      <c r="M212" s="49">
        <v>201000</v>
      </c>
      <c r="N212" s="49">
        <v>202700</v>
      </c>
      <c r="O212" s="49">
        <v>15956260</v>
      </c>
      <c r="P212" s="49">
        <f t="shared" si="60"/>
        <v>27.234779000652601</v>
      </c>
      <c r="Q212" s="49">
        <f t="shared" si="61"/>
        <v>27.234779000652601</v>
      </c>
      <c r="R212" s="48">
        <v>0</v>
      </c>
      <c r="S212" s="48"/>
      <c r="T212" s="48">
        <v>0</v>
      </c>
      <c r="U212" s="48">
        <v>0</v>
      </c>
      <c r="V212" s="48"/>
      <c r="W212" s="49">
        <v>1</v>
      </c>
      <c r="X212" s="49">
        <v>1</v>
      </c>
      <c r="Y212" s="49">
        <v>100000000</v>
      </c>
      <c r="Z212" s="49">
        <f t="shared" si="62"/>
        <v>1365114.194686</v>
      </c>
      <c r="AA212" s="49">
        <f t="shared" si="63"/>
        <v>1365114.194686</v>
      </c>
      <c r="AB212" s="82">
        <f t="shared" si="52"/>
        <v>0</v>
      </c>
      <c r="AC212" s="82">
        <f t="shared" si="53"/>
        <v>293290345052745.87</v>
      </c>
      <c r="AD212" s="81">
        <f t="shared" si="51"/>
        <v>313164576888258.69</v>
      </c>
      <c r="AE212" s="80">
        <f t="shared" si="54"/>
        <v>1067.762993807173</v>
      </c>
      <c r="AF212" s="52">
        <f t="shared" si="64"/>
        <v>5.254706328373506E-3</v>
      </c>
      <c r="AG212" s="48">
        <f t="shared" si="55"/>
        <v>1.1363636363636363E-3</v>
      </c>
      <c r="AH212" s="48">
        <f t="shared" si="65"/>
        <v>2.1413276231263382E-2</v>
      </c>
      <c r="AI212" s="48">
        <f t="shared" si="66"/>
        <v>8.4577114427860697E-3</v>
      </c>
      <c r="AJ212" s="48">
        <f t="shared" si="67"/>
        <v>0</v>
      </c>
    </row>
    <row r="213" spans="1:36" x14ac:dyDescent="0.3">
      <c r="A213" s="48">
        <v>20181109</v>
      </c>
      <c r="B213" s="48" t="s">
        <v>88</v>
      </c>
      <c r="C213" s="49">
        <v>44050</v>
      </c>
      <c r="D213" s="49">
        <v>44300</v>
      </c>
      <c r="E213" s="49">
        <v>6419324700</v>
      </c>
      <c r="F213" s="49">
        <f t="shared" si="56"/>
        <v>0.170946124192833</v>
      </c>
      <c r="G213" s="49">
        <f t="shared" si="57"/>
        <v>0.170946124192833</v>
      </c>
      <c r="H213" s="48">
        <v>238500</v>
      </c>
      <c r="I213" s="48">
        <v>229500</v>
      </c>
      <c r="J213" s="51">
        <v>125395903</v>
      </c>
      <c r="K213" s="48">
        <f t="shared" si="58"/>
        <v>1.34511125821281</v>
      </c>
      <c r="L213" s="48">
        <f t="shared" si="59"/>
        <v>1.34511125821281</v>
      </c>
      <c r="M213" s="49">
        <v>202700</v>
      </c>
      <c r="N213" s="49">
        <v>193600</v>
      </c>
      <c r="O213" s="49">
        <v>15956260</v>
      </c>
      <c r="P213" s="49">
        <f t="shared" si="60"/>
        <v>27.234779000652601</v>
      </c>
      <c r="Q213" s="49">
        <f t="shared" si="61"/>
        <v>27.234779000652601</v>
      </c>
      <c r="R213" s="48">
        <v>0</v>
      </c>
      <c r="S213" s="48"/>
      <c r="T213" s="48">
        <v>0</v>
      </c>
      <c r="U213" s="48">
        <v>0</v>
      </c>
      <c r="V213" s="48"/>
      <c r="W213" s="49">
        <v>1</v>
      </c>
      <c r="X213" s="49">
        <v>1</v>
      </c>
      <c r="Y213" s="49">
        <v>100000000</v>
      </c>
      <c r="Z213" s="49">
        <f t="shared" si="62"/>
        <v>1365114.194686</v>
      </c>
      <c r="AA213" s="49">
        <f t="shared" si="63"/>
        <v>1365114.194686</v>
      </c>
      <c r="AB213" s="82">
        <f t="shared" si="52"/>
        <v>0</v>
      </c>
      <c r="AC213" s="82">
        <f t="shared" si="53"/>
        <v>293290345052745.87</v>
      </c>
      <c r="AD213" s="81">
        <f t="shared" si="51"/>
        <v>307966330135406.94</v>
      </c>
      <c r="AE213" s="80">
        <f t="shared" si="54"/>
        <v>1050.0391006053123</v>
      </c>
      <c r="AF213" s="52">
        <f t="shared" si="64"/>
        <v>-1.6599089221724209E-2</v>
      </c>
      <c r="AG213" s="48">
        <f t="shared" si="55"/>
        <v>5.6753688989784334E-3</v>
      </c>
      <c r="AH213" s="48">
        <f t="shared" si="65"/>
        <v>-3.7735849056603772E-2</v>
      </c>
      <c r="AI213" s="48">
        <f t="shared" si="66"/>
        <v>-4.4893931919092252E-2</v>
      </c>
      <c r="AJ213" s="48">
        <f t="shared" si="67"/>
        <v>0</v>
      </c>
    </row>
    <row r="214" spans="1:36" x14ac:dyDescent="0.3">
      <c r="A214" s="48">
        <v>20181112</v>
      </c>
      <c r="B214" s="48" t="s">
        <v>88</v>
      </c>
      <c r="C214" s="49">
        <v>44300</v>
      </c>
      <c r="D214" s="49">
        <v>45200</v>
      </c>
      <c r="E214" s="49">
        <v>6419324700</v>
      </c>
      <c r="F214" s="49">
        <f t="shared" si="56"/>
        <v>0.170946124192833</v>
      </c>
      <c r="G214" s="49">
        <f t="shared" si="57"/>
        <v>0.170946124192833</v>
      </c>
      <c r="H214" s="48">
        <v>229500</v>
      </c>
      <c r="I214" s="48">
        <v>202000</v>
      </c>
      <c r="J214" s="51">
        <v>125395903</v>
      </c>
      <c r="K214" s="48">
        <f t="shared" si="58"/>
        <v>1.34511125821281</v>
      </c>
      <c r="L214" s="48">
        <f t="shared" si="59"/>
        <v>1.34511125821281</v>
      </c>
      <c r="M214" s="49">
        <v>193600</v>
      </c>
      <c r="N214" s="49">
        <v>181000</v>
      </c>
      <c r="O214" s="49">
        <v>15956260</v>
      </c>
      <c r="P214" s="49">
        <f t="shared" si="60"/>
        <v>27.234779000652601</v>
      </c>
      <c r="Q214" s="49">
        <f t="shared" si="61"/>
        <v>27.234779000652601</v>
      </c>
      <c r="R214" s="48">
        <v>0</v>
      </c>
      <c r="S214" s="48"/>
      <c r="T214" s="48">
        <v>0</v>
      </c>
      <c r="U214" s="48">
        <v>0</v>
      </c>
      <c r="V214" s="48"/>
      <c r="W214" s="49">
        <v>1</v>
      </c>
      <c r="X214" s="49">
        <v>1</v>
      </c>
      <c r="Y214" s="49">
        <v>100000000</v>
      </c>
      <c r="Z214" s="49">
        <f t="shared" si="62"/>
        <v>1365114.194686</v>
      </c>
      <c r="AA214" s="49">
        <f t="shared" si="63"/>
        <v>1365114.194686</v>
      </c>
      <c r="AB214" s="82">
        <f t="shared" si="52"/>
        <v>0</v>
      </c>
      <c r="AC214" s="82">
        <f t="shared" si="53"/>
        <v>293290345052745.87</v>
      </c>
      <c r="AD214" s="81">
        <f t="shared" si="51"/>
        <v>298839966615253.37</v>
      </c>
      <c r="AE214" s="80">
        <f t="shared" si="54"/>
        <v>1018.9219374456717</v>
      </c>
      <c r="AF214" s="52">
        <f t="shared" si="64"/>
        <v>-2.9634289943777002E-2</v>
      </c>
      <c r="AG214" s="48">
        <f t="shared" si="55"/>
        <v>2.0316027088036117E-2</v>
      </c>
      <c r="AH214" s="48">
        <f t="shared" si="65"/>
        <v>-0.11982570806100218</v>
      </c>
      <c r="AI214" s="48">
        <f t="shared" si="66"/>
        <v>-6.5082644628099179E-2</v>
      </c>
      <c r="AJ214" s="48">
        <f t="shared" si="67"/>
        <v>0</v>
      </c>
    </row>
    <row r="215" spans="1:36" x14ac:dyDescent="0.3">
      <c r="A215" s="48">
        <v>20181113</v>
      </c>
      <c r="B215" s="48" t="s">
        <v>88</v>
      </c>
      <c r="C215" s="49">
        <v>45200</v>
      </c>
      <c r="D215" s="49">
        <v>44500</v>
      </c>
      <c r="E215" s="49">
        <v>6419324700</v>
      </c>
      <c r="F215" s="49">
        <f t="shared" si="56"/>
        <v>0.170946124192833</v>
      </c>
      <c r="G215" s="49">
        <f t="shared" si="57"/>
        <v>0.170946124192833</v>
      </c>
      <c r="H215" s="48">
        <v>202000</v>
      </c>
      <c r="I215" s="48">
        <v>200500</v>
      </c>
      <c r="J215" s="51">
        <v>125395903</v>
      </c>
      <c r="K215" s="48">
        <f t="shared" si="58"/>
        <v>1.34511125821281</v>
      </c>
      <c r="L215" s="48">
        <f t="shared" si="59"/>
        <v>1.34511125821281</v>
      </c>
      <c r="M215" s="49">
        <v>181000</v>
      </c>
      <c r="N215" s="49">
        <v>185600</v>
      </c>
      <c r="O215" s="49">
        <v>15956260</v>
      </c>
      <c r="P215" s="49">
        <f t="shared" si="60"/>
        <v>27.234779000652601</v>
      </c>
      <c r="Q215" s="49">
        <f t="shared" si="61"/>
        <v>27.234779000652601</v>
      </c>
      <c r="R215" s="48">
        <v>0</v>
      </c>
      <c r="S215" s="48"/>
      <c r="T215" s="48">
        <v>0</v>
      </c>
      <c r="U215" s="48">
        <v>0</v>
      </c>
      <c r="V215" s="48"/>
      <c r="W215" s="49">
        <v>1</v>
      </c>
      <c r="X215" s="49">
        <v>1</v>
      </c>
      <c r="Y215" s="49">
        <v>100000000</v>
      </c>
      <c r="Z215" s="49">
        <f t="shared" si="62"/>
        <v>1365114.194686</v>
      </c>
      <c r="AA215" s="49">
        <f t="shared" si="63"/>
        <v>1365114.194686</v>
      </c>
      <c r="AB215" s="82">
        <f t="shared" si="52"/>
        <v>0</v>
      </c>
      <c r="AC215" s="82">
        <f t="shared" si="53"/>
        <v>293290345052745.87</v>
      </c>
      <c r="AD215" s="81">
        <f t="shared" si="51"/>
        <v>299817808367758.56</v>
      </c>
      <c r="AE215" s="80">
        <f t="shared" si="54"/>
        <v>1022.2559774814231</v>
      </c>
      <c r="AF215" s="52">
        <f t="shared" si="64"/>
        <v>3.2721250894935895E-3</v>
      </c>
      <c r="AG215" s="48">
        <f t="shared" si="55"/>
        <v>-1.5486725663716814E-2</v>
      </c>
      <c r="AH215" s="48">
        <f t="shared" si="65"/>
        <v>-7.4257425742574254E-3</v>
      </c>
      <c r="AI215" s="48">
        <f t="shared" si="66"/>
        <v>2.541436464088398E-2</v>
      </c>
      <c r="AJ215" s="48">
        <f t="shared" si="67"/>
        <v>0</v>
      </c>
    </row>
    <row r="216" spans="1:36" x14ac:dyDescent="0.3">
      <c r="A216" s="48">
        <v>20181114</v>
      </c>
      <c r="B216" s="48" t="s">
        <v>88</v>
      </c>
      <c r="C216" s="49">
        <v>44500</v>
      </c>
      <c r="D216" s="49">
        <v>44100</v>
      </c>
      <c r="E216" s="49">
        <v>6419324700</v>
      </c>
      <c r="F216" s="49">
        <f t="shared" si="56"/>
        <v>0.170946124192833</v>
      </c>
      <c r="G216" s="49">
        <f t="shared" si="57"/>
        <v>0.170946124192833</v>
      </c>
      <c r="H216" s="48">
        <v>200500</v>
      </c>
      <c r="I216" s="48">
        <v>208000</v>
      </c>
      <c r="J216" s="51">
        <v>125395903</v>
      </c>
      <c r="K216" s="48">
        <f t="shared" si="58"/>
        <v>1.34511125821281</v>
      </c>
      <c r="L216" s="48">
        <f t="shared" si="59"/>
        <v>1.34511125821281</v>
      </c>
      <c r="M216" s="49">
        <v>185600</v>
      </c>
      <c r="N216" s="49">
        <v>185400</v>
      </c>
      <c r="O216" s="49">
        <v>15956260</v>
      </c>
      <c r="P216" s="49">
        <f t="shared" si="60"/>
        <v>27.234779000652601</v>
      </c>
      <c r="Q216" s="49">
        <f t="shared" si="61"/>
        <v>27.234779000652601</v>
      </c>
      <c r="R216" s="48">
        <v>0</v>
      </c>
      <c r="S216" s="48"/>
      <c r="T216" s="48">
        <v>0</v>
      </c>
      <c r="U216" s="48">
        <v>0</v>
      </c>
      <c r="V216" s="48"/>
      <c r="W216" s="49">
        <v>1</v>
      </c>
      <c r="X216" s="49">
        <v>1</v>
      </c>
      <c r="Y216" s="49">
        <v>100000000</v>
      </c>
      <c r="Z216" s="49">
        <f t="shared" si="62"/>
        <v>1365114.194686</v>
      </c>
      <c r="AA216" s="49">
        <f t="shared" si="63"/>
        <v>1365114.194686</v>
      </c>
      <c r="AB216" s="82">
        <f t="shared" si="52"/>
        <v>0</v>
      </c>
      <c r="AC216" s="82">
        <f t="shared" si="53"/>
        <v>293290345052745.87</v>
      </c>
      <c r="AD216" s="81">
        <f t="shared" si="51"/>
        <v>300556987660286</v>
      </c>
      <c r="AE216" s="80">
        <f t="shared" si="54"/>
        <v>1024.7762762399605</v>
      </c>
      <c r="AF216" s="52">
        <f t="shared" si="64"/>
        <v>2.4654282430773703E-3</v>
      </c>
      <c r="AG216" s="48">
        <f t="shared" si="55"/>
        <v>-8.988764044943821E-3</v>
      </c>
      <c r="AH216" s="48">
        <f t="shared" si="65"/>
        <v>3.7406483790523692E-2</v>
      </c>
      <c r="AI216" s="48">
        <f t="shared" si="66"/>
        <v>-1.0775862068965517E-3</v>
      </c>
      <c r="AJ216" s="48">
        <f t="shared" si="67"/>
        <v>0</v>
      </c>
    </row>
    <row r="217" spans="1:36" s="47" customFormat="1" x14ac:dyDescent="0.3">
      <c r="A217" s="48">
        <v>20181115</v>
      </c>
      <c r="B217" s="48" t="s">
        <v>88</v>
      </c>
      <c r="C217" s="49">
        <v>44100</v>
      </c>
      <c r="D217" s="49">
        <v>44250</v>
      </c>
      <c r="E217" s="49">
        <v>6419324700</v>
      </c>
      <c r="F217" s="49">
        <f t="shared" si="56"/>
        <v>0.170946124192833</v>
      </c>
      <c r="G217" s="49">
        <f t="shared" si="57"/>
        <v>0.17753724959914399</v>
      </c>
      <c r="H217" s="48">
        <v>208000</v>
      </c>
      <c r="I217" s="48">
        <v>218500</v>
      </c>
      <c r="J217" s="51">
        <v>125456133</v>
      </c>
      <c r="K217" s="48">
        <f t="shared" si="58"/>
        <v>1.34511125821281</v>
      </c>
      <c r="L217" s="48">
        <f t="shared" si="59"/>
        <v>1.39630369357553</v>
      </c>
      <c r="M217" s="49">
        <v>185400</v>
      </c>
      <c r="N217" s="49">
        <v>187100</v>
      </c>
      <c r="O217" s="49">
        <v>15956260</v>
      </c>
      <c r="P217" s="49">
        <f t="shared" si="60"/>
        <v>27.234779000652601</v>
      </c>
      <c r="Q217" s="49">
        <f t="shared" si="61"/>
        <v>28.284863316129599</v>
      </c>
      <c r="R217" s="48">
        <v>0</v>
      </c>
      <c r="S217" s="48"/>
      <c r="T217" s="48">
        <v>0</v>
      </c>
      <c r="U217" s="48">
        <v>0</v>
      </c>
      <c r="V217" s="48"/>
      <c r="W217" s="49">
        <v>1</v>
      </c>
      <c r="X217" s="49">
        <v>1</v>
      </c>
      <c r="Y217" s="49">
        <v>100000000</v>
      </c>
      <c r="Z217" s="49">
        <f t="shared" si="62"/>
        <v>1365114.194686</v>
      </c>
      <c r="AA217" s="49">
        <f t="shared" si="63"/>
        <v>1417748.54889318</v>
      </c>
      <c r="AB217" s="82">
        <f t="shared" si="52"/>
        <v>1</v>
      </c>
      <c r="AC217" s="82">
        <f t="shared" si="53"/>
        <v>304598664874739.81</v>
      </c>
      <c r="AD217" s="81">
        <f t="shared" si="51"/>
        <v>314923017051900.87</v>
      </c>
      <c r="AE217" s="80">
        <f t="shared" si="54"/>
        <v>1033.8949357555678</v>
      </c>
      <c r="AF217" s="52">
        <f t="shared" si="64"/>
        <v>8.898195369105218E-3</v>
      </c>
      <c r="AG217" s="48">
        <f t="shared" si="55"/>
        <v>3.4013605442176869E-3</v>
      </c>
      <c r="AH217" s="48">
        <f t="shared" si="65"/>
        <v>5.0480769230769232E-2</v>
      </c>
      <c r="AI217" s="48">
        <f t="shared" si="66"/>
        <v>9.1693635382955763E-3</v>
      </c>
      <c r="AJ217" s="48">
        <f t="shared" si="67"/>
        <v>0</v>
      </c>
    </row>
    <row r="218" spans="1:36" x14ac:dyDescent="0.3">
      <c r="A218" s="48">
        <v>20181116</v>
      </c>
      <c r="B218" s="48" t="s">
        <v>88</v>
      </c>
      <c r="C218" s="49">
        <v>44250</v>
      </c>
      <c r="D218" s="49">
        <v>44000</v>
      </c>
      <c r="E218" s="49">
        <v>6419324700</v>
      </c>
      <c r="F218" s="49">
        <f t="shared" si="56"/>
        <v>0.17753724959914399</v>
      </c>
      <c r="G218" s="49">
        <f t="shared" si="57"/>
        <v>0.17753724959914399</v>
      </c>
      <c r="H218" s="48">
        <v>218500</v>
      </c>
      <c r="I218" s="48">
        <v>224000</v>
      </c>
      <c r="J218" s="51">
        <v>125456133</v>
      </c>
      <c r="K218" s="48">
        <f t="shared" si="58"/>
        <v>1.39630369357553</v>
      </c>
      <c r="L218" s="48">
        <f t="shared" si="59"/>
        <v>1.39630369357553</v>
      </c>
      <c r="M218" s="49">
        <v>187100</v>
      </c>
      <c r="N218" s="49">
        <v>190400</v>
      </c>
      <c r="O218" s="49">
        <v>15956260</v>
      </c>
      <c r="P218" s="49">
        <f t="shared" si="60"/>
        <v>28.284863316129599</v>
      </c>
      <c r="Q218" s="49">
        <f t="shared" si="61"/>
        <v>28.284863316129599</v>
      </c>
      <c r="R218" s="48">
        <v>0</v>
      </c>
      <c r="S218" s="48"/>
      <c r="T218" s="48">
        <v>0</v>
      </c>
      <c r="U218" s="48">
        <v>0</v>
      </c>
      <c r="V218" s="48"/>
      <c r="W218" s="49">
        <v>1</v>
      </c>
      <c r="X218" s="49">
        <v>1</v>
      </c>
      <c r="Y218" s="49">
        <v>100000000</v>
      </c>
      <c r="Z218" s="49">
        <f t="shared" si="62"/>
        <v>1417748.54889318</v>
      </c>
      <c r="AA218" s="49">
        <f t="shared" si="63"/>
        <v>1417748.54889318</v>
      </c>
      <c r="AB218" s="82">
        <f t="shared" si="52"/>
        <v>0</v>
      </c>
      <c r="AC218" s="82">
        <f t="shared" si="53"/>
        <v>304598664874739.81</v>
      </c>
      <c r="AD218" s="81">
        <f t="shared" si="51"/>
        <v>317090919568764.06</v>
      </c>
      <c r="AE218" s="80">
        <f t="shared" si="54"/>
        <v>1041.0121781038058</v>
      </c>
      <c r="AF218" s="52">
        <f t="shared" si="64"/>
        <v>6.8839125738020838E-3</v>
      </c>
      <c r="AG218" s="48">
        <f t="shared" si="55"/>
        <v>-5.6497175141242938E-3</v>
      </c>
      <c r="AH218" s="48">
        <f t="shared" si="65"/>
        <v>2.5171624713958809E-2</v>
      </c>
      <c r="AI218" s="48">
        <f t="shared" si="66"/>
        <v>1.7637626937466594E-2</v>
      </c>
      <c r="AJ218" s="48">
        <f t="shared" si="67"/>
        <v>0</v>
      </c>
    </row>
    <row r="219" spans="1:36" x14ac:dyDescent="0.3">
      <c r="A219" s="48">
        <v>20181119</v>
      </c>
      <c r="B219" s="48" t="s">
        <v>88</v>
      </c>
      <c r="C219" s="49">
        <v>44000</v>
      </c>
      <c r="D219" s="49">
        <v>43650</v>
      </c>
      <c r="E219" s="49">
        <v>6419324700</v>
      </c>
      <c r="F219" s="49">
        <f t="shared" si="56"/>
        <v>0.17753724959914399</v>
      </c>
      <c r="G219" s="49">
        <f t="shared" si="57"/>
        <v>0.17753724959914399</v>
      </c>
      <c r="H219" s="48">
        <v>224000</v>
      </c>
      <c r="I219" s="48">
        <v>229000</v>
      </c>
      <c r="J219" s="51">
        <v>125456133</v>
      </c>
      <c r="K219" s="48">
        <f t="shared" si="58"/>
        <v>1.39630369357553</v>
      </c>
      <c r="L219" s="48">
        <f t="shared" si="59"/>
        <v>1.39630369357553</v>
      </c>
      <c r="M219" s="49">
        <v>190400</v>
      </c>
      <c r="N219" s="49">
        <v>201700</v>
      </c>
      <c r="O219" s="49">
        <v>15956260</v>
      </c>
      <c r="P219" s="49">
        <f t="shared" si="60"/>
        <v>28.284863316129599</v>
      </c>
      <c r="Q219" s="49">
        <f t="shared" si="61"/>
        <v>28.284863316129599</v>
      </c>
      <c r="R219" s="48">
        <v>0</v>
      </c>
      <c r="S219" s="48"/>
      <c r="T219" s="48">
        <v>0</v>
      </c>
      <c r="U219" s="48">
        <v>0</v>
      </c>
      <c r="V219" s="48"/>
      <c r="W219" s="49">
        <v>1</v>
      </c>
      <c r="X219" s="49">
        <v>1</v>
      </c>
      <c r="Y219" s="49">
        <v>100000000</v>
      </c>
      <c r="Z219" s="49">
        <f t="shared" si="62"/>
        <v>1417748.54889318</v>
      </c>
      <c r="AA219" s="49">
        <f t="shared" si="63"/>
        <v>1417748.54889318</v>
      </c>
      <c r="AB219" s="82">
        <f t="shared" si="52"/>
        <v>0</v>
      </c>
      <c r="AC219" s="82">
        <f t="shared" si="53"/>
        <v>304598664874739.81</v>
      </c>
      <c r="AD219" s="81">
        <f t="shared" si="51"/>
        <v>322667832794623.31</v>
      </c>
      <c r="AE219" s="80">
        <f t="shared" si="54"/>
        <v>1059.3212315205456</v>
      </c>
      <c r="AF219" s="52">
        <f t="shared" si="64"/>
        <v>1.7587741816901238E-2</v>
      </c>
      <c r="AG219" s="48">
        <f t="shared" si="55"/>
        <v>-7.9545454545454537E-3</v>
      </c>
      <c r="AH219" s="48">
        <f t="shared" si="65"/>
        <v>2.2321428571428572E-2</v>
      </c>
      <c r="AI219" s="48">
        <f t="shared" si="66"/>
        <v>5.9348739495798317E-2</v>
      </c>
      <c r="AJ219" s="48">
        <f t="shared" si="67"/>
        <v>0</v>
      </c>
    </row>
    <row r="220" spans="1:36" x14ac:dyDescent="0.3">
      <c r="A220" s="48">
        <v>20181120</v>
      </c>
      <c r="B220" s="48" t="s">
        <v>88</v>
      </c>
      <c r="C220" s="49">
        <v>43650</v>
      </c>
      <c r="D220" s="49">
        <v>42800</v>
      </c>
      <c r="E220" s="49">
        <v>6419324700</v>
      </c>
      <c r="F220" s="49">
        <f t="shared" si="56"/>
        <v>0.17753724959914399</v>
      </c>
      <c r="G220" s="49">
        <f t="shared" si="57"/>
        <v>0.17753724959914399</v>
      </c>
      <c r="H220" s="48">
        <v>229000</v>
      </c>
      <c r="I220" s="48">
        <v>227500</v>
      </c>
      <c r="J220" s="51">
        <v>125456133</v>
      </c>
      <c r="K220" s="48">
        <f t="shared" si="58"/>
        <v>1.39630369357553</v>
      </c>
      <c r="L220" s="48">
        <f t="shared" si="59"/>
        <v>1.39630369357553</v>
      </c>
      <c r="M220" s="49">
        <v>201700</v>
      </c>
      <c r="N220" s="49">
        <v>194200</v>
      </c>
      <c r="O220" s="49">
        <v>15956260</v>
      </c>
      <c r="P220" s="49">
        <f t="shared" si="60"/>
        <v>28.284863316129599</v>
      </c>
      <c r="Q220" s="49">
        <f t="shared" si="61"/>
        <v>28.284863316129599</v>
      </c>
      <c r="R220" s="48">
        <v>0</v>
      </c>
      <c r="S220" s="48"/>
      <c r="T220" s="48">
        <v>0</v>
      </c>
      <c r="U220" s="48">
        <v>0</v>
      </c>
      <c r="V220" s="48"/>
      <c r="W220" s="49">
        <v>1</v>
      </c>
      <c r="X220" s="49">
        <v>1</v>
      </c>
      <c r="Y220" s="49">
        <v>100000000</v>
      </c>
      <c r="Z220" s="49">
        <f t="shared" si="62"/>
        <v>1417748.54889318</v>
      </c>
      <c r="AA220" s="49">
        <f t="shared" si="63"/>
        <v>1417748.54889318</v>
      </c>
      <c r="AB220" s="82">
        <f t="shared" si="52"/>
        <v>0</v>
      </c>
      <c r="AC220" s="82">
        <f t="shared" si="53"/>
        <v>304598664874739.81</v>
      </c>
      <c r="AD220" s="81">
        <f t="shared" si="51"/>
        <v>318051446889470.62</v>
      </c>
      <c r="AE220" s="80">
        <f t="shared" si="54"/>
        <v>1044.1655974436494</v>
      </c>
      <c r="AF220" s="52">
        <f t="shared" si="64"/>
        <v>-1.4306929405296457E-2</v>
      </c>
      <c r="AG220" s="48">
        <f t="shared" si="55"/>
        <v>-1.9473081328751432E-2</v>
      </c>
      <c r="AH220" s="48">
        <f t="shared" si="65"/>
        <v>-6.5502183406113534E-3</v>
      </c>
      <c r="AI220" s="48">
        <f t="shared" si="66"/>
        <v>-3.7183936539414972E-2</v>
      </c>
      <c r="AJ220" s="48">
        <f t="shared" si="67"/>
        <v>0</v>
      </c>
    </row>
    <row r="221" spans="1:36" x14ac:dyDescent="0.3">
      <c r="A221" s="48">
        <v>20181121</v>
      </c>
      <c r="B221" s="48" t="s">
        <v>88</v>
      </c>
      <c r="C221" s="49">
        <v>42800</v>
      </c>
      <c r="D221" s="49">
        <v>42100</v>
      </c>
      <c r="E221" s="49">
        <v>6419324700</v>
      </c>
      <c r="F221" s="49">
        <f t="shared" si="56"/>
        <v>0.17753724959914399</v>
      </c>
      <c r="G221" s="49">
        <f t="shared" si="57"/>
        <v>0.17753724959914399</v>
      </c>
      <c r="H221" s="48">
        <v>227500</v>
      </c>
      <c r="I221" s="48">
        <v>225000</v>
      </c>
      <c r="J221" s="51">
        <v>125456133</v>
      </c>
      <c r="K221" s="48">
        <f t="shared" si="58"/>
        <v>1.39630369357553</v>
      </c>
      <c r="L221" s="48">
        <f t="shared" si="59"/>
        <v>1.39630369357553</v>
      </c>
      <c r="M221" s="49">
        <v>194200</v>
      </c>
      <c r="N221" s="49">
        <v>191100</v>
      </c>
      <c r="O221" s="49">
        <v>15956260</v>
      </c>
      <c r="P221" s="49">
        <f t="shared" si="60"/>
        <v>28.284863316129599</v>
      </c>
      <c r="Q221" s="49">
        <f t="shared" si="61"/>
        <v>28.284863316129599</v>
      </c>
      <c r="R221" s="48">
        <v>0</v>
      </c>
      <c r="S221" s="48"/>
      <c r="T221" s="48">
        <v>0</v>
      </c>
      <c r="U221" s="48">
        <v>0</v>
      </c>
      <c r="V221" s="48"/>
      <c r="W221" s="49">
        <v>1</v>
      </c>
      <c r="X221" s="49">
        <v>1</v>
      </c>
      <c r="Y221" s="49">
        <v>100000000</v>
      </c>
      <c r="Z221" s="49">
        <f t="shared" si="62"/>
        <v>1417748.54889318</v>
      </c>
      <c r="AA221" s="49">
        <f t="shared" si="63"/>
        <v>1417748.54889318</v>
      </c>
      <c r="AB221" s="82">
        <f t="shared" si="52"/>
        <v>0</v>
      </c>
      <c r="AC221" s="82">
        <f t="shared" si="53"/>
        <v>304598664874739.81</v>
      </c>
      <c r="AD221" s="81">
        <f t="shared" si="51"/>
        <v>315416647295957.75</v>
      </c>
      <c r="AE221" s="80">
        <f t="shared" si="54"/>
        <v>1035.5155280331469</v>
      </c>
      <c r="AF221" s="52">
        <f t="shared" si="64"/>
        <v>-8.2841930740486115E-3</v>
      </c>
      <c r="AG221" s="48">
        <f t="shared" si="55"/>
        <v>-1.6355140186915886E-2</v>
      </c>
      <c r="AH221" s="48">
        <f t="shared" si="65"/>
        <v>-1.098901098901099E-2</v>
      </c>
      <c r="AI221" s="48">
        <f t="shared" si="66"/>
        <v>-1.596292481977343E-2</v>
      </c>
      <c r="AJ221" s="48">
        <f t="shared" si="67"/>
        <v>0</v>
      </c>
    </row>
    <row r="222" spans="1:36" x14ac:dyDescent="0.3">
      <c r="A222" s="48">
        <v>20181122</v>
      </c>
      <c r="B222" s="48" t="s">
        <v>88</v>
      </c>
      <c r="C222" s="49">
        <v>42100</v>
      </c>
      <c r="D222" s="49">
        <v>42450</v>
      </c>
      <c r="E222" s="49">
        <v>6419324700</v>
      </c>
      <c r="F222" s="49">
        <f t="shared" si="56"/>
        <v>0.17753724959914399</v>
      </c>
      <c r="G222" s="49">
        <f t="shared" si="57"/>
        <v>0.17753724959914399</v>
      </c>
      <c r="H222" s="48">
        <v>225000</v>
      </c>
      <c r="I222" s="48">
        <v>223000</v>
      </c>
      <c r="J222" s="51">
        <v>125456133</v>
      </c>
      <c r="K222" s="48">
        <f t="shared" si="58"/>
        <v>1.39630369357553</v>
      </c>
      <c r="L222" s="48">
        <f t="shared" si="59"/>
        <v>1.39630369357553</v>
      </c>
      <c r="M222" s="49">
        <v>191100</v>
      </c>
      <c r="N222" s="49">
        <v>194900</v>
      </c>
      <c r="O222" s="49">
        <v>15956260</v>
      </c>
      <c r="P222" s="49">
        <f t="shared" si="60"/>
        <v>28.284863316129599</v>
      </c>
      <c r="Q222" s="49">
        <f t="shared" si="61"/>
        <v>28.284863316129599</v>
      </c>
      <c r="R222" s="48">
        <v>0</v>
      </c>
      <c r="S222" s="48"/>
      <c r="T222" s="48">
        <v>0</v>
      </c>
      <c r="U222" s="48">
        <v>0</v>
      </c>
      <c r="V222" s="48"/>
      <c r="W222" s="49">
        <v>1</v>
      </c>
      <c r="X222" s="49">
        <v>1</v>
      </c>
      <c r="Y222" s="49">
        <v>100000000</v>
      </c>
      <c r="Z222" s="49">
        <f t="shared" si="62"/>
        <v>1417748.54889318</v>
      </c>
      <c r="AA222" s="49">
        <f t="shared" si="63"/>
        <v>1417748.54889318</v>
      </c>
      <c r="AB222" s="82">
        <f t="shared" si="52"/>
        <v>0</v>
      </c>
      <c r="AC222" s="82">
        <f t="shared" si="53"/>
        <v>304598664874739.81</v>
      </c>
      <c r="AD222" s="81">
        <f t="shared" si="51"/>
        <v>317180200216130.44</v>
      </c>
      <c r="AE222" s="80">
        <f t="shared" si="54"/>
        <v>1041.3052872262738</v>
      </c>
      <c r="AF222" s="52">
        <f t="shared" si="64"/>
        <v>5.5911852950422903E-3</v>
      </c>
      <c r="AG222" s="48">
        <f t="shared" si="55"/>
        <v>8.3135391923990498E-3</v>
      </c>
      <c r="AH222" s="48">
        <f t="shared" si="65"/>
        <v>-8.8888888888888889E-3</v>
      </c>
      <c r="AI222" s="48">
        <f t="shared" si="66"/>
        <v>1.9884877027734171E-2</v>
      </c>
      <c r="AJ222" s="48">
        <f t="shared" si="67"/>
        <v>0</v>
      </c>
    </row>
    <row r="223" spans="1:36" x14ac:dyDescent="0.3">
      <c r="A223" s="48">
        <v>20181123</v>
      </c>
      <c r="B223" s="48" t="s">
        <v>88</v>
      </c>
      <c r="C223" s="49">
        <v>42450</v>
      </c>
      <c r="D223" s="49">
        <v>42400</v>
      </c>
      <c r="E223" s="49">
        <v>6419324700</v>
      </c>
      <c r="F223" s="49">
        <f t="shared" si="56"/>
        <v>0.17753724959914399</v>
      </c>
      <c r="G223" s="49">
        <f t="shared" si="57"/>
        <v>0.17753724959914399</v>
      </c>
      <c r="H223" s="48">
        <v>223000</v>
      </c>
      <c r="I223" s="48">
        <v>221000</v>
      </c>
      <c r="J223" s="51">
        <v>125456133</v>
      </c>
      <c r="K223" s="48">
        <f t="shared" si="58"/>
        <v>1.39630369357553</v>
      </c>
      <c r="L223" s="48">
        <f t="shared" si="59"/>
        <v>1.39630369357553</v>
      </c>
      <c r="M223" s="49">
        <v>194900</v>
      </c>
      <c r="N223" s="49">
        <v>189200</v>
      </c>
      <c r="O223" s="49">
        <v>15956260</v>
      </c>
      <c r="P223" s="49">
        <f t="shared" si="60"/>
        <v>28.284863316129599</v>
      </c>
      <c r="Q223" s="49">
        <f t="shared" si="61"/>
        <v>28.284863316129599</v>
      </c>
      <c r="R223" s="48">
        <v>0</v>
      </c>
      <c r="S223" s="48"/>
      <c r="T223" s="48">
        <v>0</v>
      </c>
      <c r="U223" s="48">
        <v>0</v>
      </c>
      <c r="V223" s="48"/>
      <c r="W223" s="49">
        <v>1</v>
      </c>
      <c r="X223" s="49">
        <v>1</v>
      </c>
      <c r="Y223" s="49">
        <v>100000000</v>
      </c>
      <c r="Z223" s="49">
        <f t="shared" si="62"/>
        <v>1417748.54889318</v>
      </c>
      <c r="AA223" s="49">
        <f t="shared" si="63"/>
        <v>1417748.54889318</v>
      </c>
      <c r="AB223" s="82">
        <f t="shared" si="52"/>
        <v>0</v>
      </c>
      <c r="AC223" s="82">
        <f t="shared" si="53"/>
        <v>304598664874739.81</v>
      </c>
      <c r="AD223" s="81">
        <f t="shared" si="51"/>
        <v>314200339420896.37</v>
      </c>
      <c r="AE223" s="80">
        <f t="shared" si="54"/>
        <v>1031.5223789641529</v>
      </c>
      <c r="AF223" s="52">
        <f t="shared" si="64"/>
        <v>-9.3948512334740691E-3</v>
      </c>
      <c r="AG223" s="48">
        <f t="shared" si="55"/>
        <v>-1.1778563015312131E-3</v>
      </c>
      <c r="AH223" s="48">
        <f t="shared" si="65"/>
        <v>-8.9686098654708519E-3</v>
      </c>
      <c r="AI223" s="48">
        <f t="shared" si="66"/>
        <v>-2.9245767060030785E-2</v>
      </c>
      <c r="AJ223" s="48">
        <f t="shared" si="67"/>
        <v>0</v>
      </c>
    </row>
    <row r="224" spans="1:36" x14ac:dyDescent="0.3">
      <c r="A224" s="48">
        <v>20181126</v>
      </c>
      <c r="B224" s="48" t="s">
        <v>88</v>
      </c>
      <c r="C224" s="49">
        <v>42400</v>
      </c>
      <c r="D224" s="49">
        <v>42600</v>
      </c>
      <c r="E224" s="49">
        <v>6419324700</v>
      </c>
      <c r="F224" s="49">
        <f t="shared" si="56"/>
        <v>0.17753724959914399</v>
      </c>
      <c r="G224" s="49">
        <f t="shared" si="57"/>
        <v>0.17753724959914399</v>
      </c>
      <c r="H224" s="48">
        <v>221000</v>
      </c>
      <c r="I224" s="48">
        <v>240500</v>
      </c>
      <c r="J224" s="51">
        <v>125456133</v>
      </c>
      <c r="K224" s="48">
        <f t="shared" si="58"/>
        <v>1.39630369357553</v>
      </c>
      <c r="L224" s="48">
        <f t="shared" si="59"/>
        <v>1.39630369357553</v>
      </c>
      <c r="M224" s="49">
        <v>189200</v>
      </c>
      <c r="N224" s="49">
        <v>194700</v>
      </c>
      <c r="O224" s="49">
        <v>15956260</v>
      </c>
      <c r="P224" s="49">
        <f t="shared" si="60"/>
        <v>28.284863316129599</v>
      </c>
      <c r="Q224" s="49">
        <f t="shared" si="61"/>
        <v>28.284863316129599</v>
      </c>
      <c r="R224" s="48">
        <v>0</v>
      </c>
      <c r="S224" s="48"/>
      <c r="T224" s="48">
        <v>0</v>
      </c>
      <c r="U224" s="48">
        <v>0</v>
      </c>
      <c r="V224" s="48"/>
      <c r="W224" s="49">
        <v>1</v>
      </c>
      <c r="X224" s="49">
        <v>1</v>
      </c>
      <c r="Y224" s="49">
        <v>100000000</v>
      </c>
      <c r="Z224" s="49">
        <f t="shared" si="62"/>
        <v>1417748.54889318</v>
      </c>
      <c r="AA224" s="49">
        <f t="shared" si="63"/>
        <v>1417748.54889318</v>
      </c>
      <c r="AB224" s="82">
        <f t="shared" si="52"/>
        <v>0</v>
      </c>
      <c r="AC224" s="82">
        <f t="shared" si="53"/>
        <v>304598664874739.81</v>
      </c>
      <c r="AD224" s="81">
        <f t="shared" si="51"/>
        <v>320326446560299.37</v>
      </c>
      <c r="AE224" s="80">
        <f t="shared" si="54"/>
        <v>1051.6344406566172</v>
      </c>
      <c r="AF224" s="52">
        <f t="shared" si="64"/>
        <v>1.9497455511009541E-2</v>
      </c>
      <c r="AG224" s="48">
        <f t="shared" si="55"/>
        <v>4.7169811320754715E-3</v>
      </c>
      <c r="AH224" s="48">
        <f t="shared" si="65"/>
        <v>8.8235294117647065E-2</v>
      </c>
      <c r="AI224" s="48">
        <f t="shared" si="66"/>
        <v>2.9069767441860465E-2</v>
      </c>
      <c r="AJ224" s="48">
        <f t="shared" si="67"/>
        <v>0</v>
      </c>
    </row>
    <row r="225" spans="1:36" x14ac:dyDescent="0.3">
      <c r="A225" s="48">
        <v>20181127</v>
      </c>
      <c r="B225" s="48" t="s">
        <v>88</v>
      </c>
      <c r="C225" s="49">
        <v>42600</v>
      </c>
      <c r="D225" s="49">
        <v>43050</v>
      </c>
      <c r="E225" s="49">
        <v>6419324700</v>
      </c>
      <c r="F225" s="49">
        <f t="shared" si="56"/>
        <v>0.17753724959914399</v>
      </c>
      <c r="G225" s="49">
        <f t="shared" si="57"/>
        <v>0.17753724959914399</v>
      </c>
      <c r="H225" s="48">
        <v>240500</v>
      </c>
      <c r="I225" s="48">
        <v>238000</v>
      </c>
      <c r="J225" s="51">
        <v>125456133</v>
      </c>
      <c r="K225" s="48">
        <f t="shared" si="58"/>
        <v>1.39630369357553</v>
      </c>
      <c r="L225" s="48">
        <f t="shared" si="59"/>
        <v>1.39630369357553</v>
      </c>
      <c r="M225" s="49">
        <v>194700</v>
      </c>
      <c r="N225" s="49">
        <v>202800</v>
      </c>
      <c r="O225" s="49">
        <v>15956260</v>
      </c>
      <c r="P225" s="49">
        <f t="shared" si="60"/>
        <v>28.284863316129599</v>
      </c>
      <c r="Q225" s="49">
        <f t="shared" si="61"/>
        <v>28.284863316129599</v>
      </c>
      <c r="R225" s="48">
        <v>0</v>
      </c>
      <c r="S225" s="48"/>
      <c r="T225" s="48">
        <v>0</v>
      </c>
      <c r="U225" s="48">
        <v>0</v>
      </c>
      <c r="V225" s="48"/>
      <c r="W225" s="49">
        <v>1</v>
      </c>
      <c r="X225" s="49">
        <v>1</v>
      </c>
      <c r="Y225" s="49">
        <v>100000000</v>
      </c>
      <c r="Z225" s="49">
        <f t="shared" si="62"/>
        <v>1417748.54889318</v>
      </c>
      <c r="AA225" s="49">
        <f t="shared" si="63"/>
        <v>1417748.54889318</v>
      </c>
      <c r="AB225" s="82">
        <f t="shared" si="52"/>
        <v>0</v>
      </c>
      <c r="AC225" s="82">
        <f t="shared" si="53"/>
        <v>304598664874739.81</v>
      </c>
      <c r="AD225" s="81">
        <f t="shared" si="51"/>
        <v>324057057697166.94</v>
      </c>
      <c r="AE225" s="80">
        <f t="shared" si="54"/>
        <v>1063.8820686572249</v>
      </c>
      <c r="AF225" s="52">
        <f t="shared" si="64"/>
        <v>1.1646278903684889E-2</v>
      </c>
      <c r="AG225" s="48">
        <f t="shared" si="55"/>
        <v>1.0563380281690141E-2</v>
      </c>
      <c r="AH225" s="48">
        <f t="shared" si="65"/>
        <v>-1.0395010395010396E-2</v>
      </c>
      <c r="AI225" s="48">
        <f t="shared" si="66"/>
        <v>4.1602465331278891E-2</v>
      </c>
      <c r="AJ225" s="48">
        <f t="shared" si="67"/>
        <v>0</v>
      </c>
    </row>
    <row r="226" spans="1:36" x14ac:dyDescent="0.3">
      <c r="A226" s="48">
        <v>20181128</v>
      </c>
      <c r="B226" s="48" t="s">
        <v>88</v>
      </c>
      <c r="C226" s="49">
        <v>43050</v>
      </c>
      <c r="D226" s="49">
        <v>43150</v>
      </c>
      <c r="E226" s="49">
        <v>6419324700</v>
      </c>
      <c r="F226" s="49">
        <f t="shared" si="56"/>
        <v>0.17753724959914399</v>
      </c>
      <c r="G226" s="49">
        <f t="shared" si="57"/>
        <v>0.17753724959914399</v>
      </c>
      <c r="H226" s="48">
        <v>238000</v>
      </c>
      <c r="I226" s="48">
        <v>236000</v>
      </c>
      <c r="J226" s="51">
        <v>125456133</v>
      </c>
      <c r="K226" s="48">
        <f t="shared" si="58"/>
        <v>1.39630369357553</v>
      </c>
      <c r="L226" s="48">
        <f t="shared" si="59"/>
        <v>1.39630369357553</v>
      </c>
      <c r="M226" s="49">
        <v>202800</v>
      </c>
      <c r="N226" s="49">
        <v>199000</v>
      </c>
      <c r="O226" s="49">
        <v>15956260</v>
      </c>
      <c r="P226" s="49">
        <f t="shared" si="60"/>
        <v>28.284863316129599</v>
      </c>
      <c r="Q226" s="49">
        <f t="shared" si="61"/>
        <v>28.284863316129599</v>
      </c>
      <c r="R226" s="48">
        <v>0</v>
      </c>
      <c r="S226" s="48"/>
      <c r="T226" s="48">
        <v>0</v>
      </c>
      <c r="U226" s="48">
        <v>0</v>
      </c>
      <c r="V226" s="48"/>
      <c r="W226" s="49">
        <v>1</v>
      </c>
      <c r="X226" s="49">
        <v>1</v>
      </c>
      <c r="Y226" s="49">
        <v>100000000</v>
      </c>
      <c r="Z226" s="49">
        <f t="shared" si="62"/>
        <v>1417748.54889318</v>
      </c>
      <c r="AA226" s="49">
        <f t="shared" si="63"/>
        <v>1417748.54889318</v>
      </c>
      <c r="AB226" s="82">
        <f t="shared" si="52"/>
        <v>0</v>
      </c>
      <c r="AC226" s="82">
        <f t="shared" si="53"/>
        <v>304598664874739.81</v>
      </c>
      <c r="AD226" s="81">
        <f t="shared" si="51"/>
        <v>322105656492620.75</v>
      </c>
      <c r="AE226" s="80">
        <f t="shared" si="54"/>
        <v>1057.4756019534109</v>
      </c>
      <c r="AF226" s="52">
        <f t="shared" si="64"/>
        <v>-6.0217827638545281E-3</v>
      </c>
      <c r="AG226" s="48">
        <f t="shared" si="55"/>
        <v>2.3228803716608595E-3</v>
      </c>
      <c r="AH226" s="48">
        <f t="shared" si="65"/>
        <v>-8.4033613445378148E-3</v>
      </c>
      <c r="AI226" s="48">
        <f t="shared" si="66"/>
        <v>-1.8737672583826429E-2</v>
      </c>
      <c r="AJ226" s="48">
        <f t="shared" si="67"/>
        <v>0</v>
      </c>
    </row>
    <row r="227" spans="1:36" x14ac:dyDescent="0.3">
      <c r="A227" s="48">
        <v>20181129</v>
      </c>
      <c r="B227" s="48" t="s">
        <v>88</v>
      </c>
      <c r="C227" s="49">
        <v>43150</v>
      </c>
      <c r="D227" s="49">
        <v>43150</v>
      </c>
      <c r="E227" s="49">
        <v>6419324700</v>
      </c>
      <c r="F227" s="49">
        <f t="shared" si="56"/>
        <v>0.17753724959914399</v>
      </c>
      <c r="G227" s="49">
        <f t="shared" si="57"/>
        <v>0.17753724959914399</v>
      </c>
      <c r="H227" s="48">
        <v>236000</v>
      </c>
      <c r="I227" s="48">
        <v>237000</v>
      </c>
      <c r="J227" s="51">
        <v>125456133</v>
      </c>
      <c r="K227" s="48">
        <f t="shared" si="58"/>
        <v>1.39630369357553</v>
      </c>
      <c r="L227" s="48">
        <f t="shared" si="59"/>
        <v>1.39630369357553</v>
      </c>
      <c r="M227" s="49">
        <v>199000</v>
      </c>
      <c r="N227" s="49">
        <v>196200</v>
      </c>
      <c r="O227" s="49">
        <v>15956260</v>
      </c>
      <c r="P227" s="49">
        <f t="shared" si="60"/>
        <v>28.284863316129599</v>
      </c>
      <c r="Q227" s="49">
        <f t="shared" si="61"/>
        <v>28.284863316129599</v>
      </c>
      <c r="R227" s="48">
        <v>0</v>
      </c>
      <c r="S227" s="48"/>
      <c r="T227" s="48">
        <v>0</v>
      </c>
      <c r="U227" s="48">
        <v>0</v>
      </c>
      <c r="V227" s="48"/>
      <c r="W227" s="49">
        <v>1</v>
      </c>
      <c r="X227" s="49">
        <v>1</v>
      </c>
      <c r="Y227" s="49">
        <v>100000000</v>
      </c>
      <c r="Z227" s="49">
        <f t="shared" si="62"/>
        <v>1417748.54889318</v>
      </c>
      <c r="AA227" s="49">
        <f t="shared" si="63"/>
        <v>1417748.54889318</v>
      </c>
      <c r="AB227" s="82">
        <f t="shared" si="52"/>
        <v>0</v>
      </c>
      <c r="AC227" s="82">
        <f t="shared" si="53"/>
        <v>304598664874739.81</v>
      </c>
      <c r="AD227" s="81">
        <f t="shared" si="51"/>
        <v>321017133581727.75</v>
      </c>
      <c r="AE227" s="80">
        <f t="shared" si="54"/>
        <v>1053.9019720054903</v>
      </c>
      <c r="AF227" s="52">
        <f t="shared" si="64"/>
        <v>-3.379397067241322E-3</v>
      </c>
      <c r="AG227" s="48">
        <f t="shared" si="55"/>
        <v>0</v>
      </c>
      <c r="AH227" s="48">
        <f t="shared" si="65"/>
        <v>4.2372881355932203E-3</v>
      </c>
      <c r="AI227" s="48">
        <f t="shared" si="66"/>
        <v>-1.407035175879397E-2</v>
      </c>
      <c r="AJ227" s="48">
        <f t="shared" si="67"/>
        <v>0</v>
      </c>
    </row>
    <row r="228" spans="1:36" x14ac:dyDescent="0.3">
      <c r="A228" s="48">
        <v>20181130</v>
      </c>
      <c r="B228" s="48" t="s">
        <v>88</v>
      </c>
      <c r="C228" s="49">
        <v>43150</v>
      </c>
      <c r="D228" s="49">
        <v>41850</v>
      </c>
      <c r="E228" s="49">
        <v>6419324700</v>
      </c>
      <c r="F228" s="49">
        <f t="shared" si="56"/>
        <v>0.17753724959914399</v>
      </c>
      <c r="G228" s="49">
        <f t="shared" si="57"/>
        <v>0.17753724959914399</v>
      </c>
      <c r="H228" s="48">
        <v>237000</v>
      </c>
      <c r="I228" s="48">
        <v>239500</v>
      </c>
      <c r="J228" s="51">
        <v>125456133</v>
      </c>
      <c r="K228" s="48">
        <f t="shared" si="58"/>
        <v>1.39630369357553</v>
      </c>
      <c r="L228" s="48">
        <f t="shared" si="59"/>
        <v>1.39630369357553</v>
      </c>
      <c r="M228" s="49">
        <v>196200</v>
      </c>
      <c r="N228" s="49">
        <v>197300</v>
      </c>
      <c r="O228" s="49">
        <v>15956260</v>
      </c>
      <c r="P228" s="49">
        <f t="shared" si="60"/>
        <v>28.284863316129599</v>
      </c>
      <c r="Q228" s="49">
        <f t="shared" si="61"/>
        <v>28.284863316129599</v>
      </c>
      <c r="R228" s="48">
        <v>0</v>
      </c>
      <c r="S228" s="48"/>
      <c r="T228" s="48">
        <v>0</v>
      </c>
      <c r="U228" s="48">
        <v>0</v>
      </c>
      <c r="V228" s="48"/>
      <c r="W228" s="49">
        <v>1</v>
      </c>
      <c r="X228" s="49">
        <v>1</v>
      </c>
      <c r="Y228" s="49">
        <v>100000000</v>
      </c>
      <c r="Z228" s="49">
        <f t="shared" si="62"/>
        <v>1417748.54889318</v>
      </c>
      <c r="AA228" s="49">
        <f t="shared" si="63"/>
        <v>1417748.54889318</v>
      </c>
      <c r="AB228" s="82">
        <f t="shared" si="52"/>
        <v>0</v>
      </c>
      <c r="AC228" s="82">
        <f t="shared" si="53"/>
        <v>304598664874739.81</v>
      </c>
      <c r="AD228" s="81">
        <f t="shared" si="51"/>
        <v>320469953405923.69</v>
      </c>
      <c r="AE228" s="80">
        <f t="shared" si="54"/>
        <v>1052.1055748478432</v>
      </c>
      <c r="AF228" s="52">
        <f t="shared" si="64"/>
        <v>-1.7045201597153368E-3</v>
      </c>
      <c r="AG228" s="48">
        <f t="shared" si="55"/>
        <v>-3.0127462340672075E-2</v>
      </c>
      <c r="AH228" s="48">
        <f t="shared" si="65"/>
        <v>1.0548523206751054E-2</v>
      </c>
      <c r="AI228" s="48">
        <f t="shared" si="66"/>
        <v>5.6065239551478085E-3</v>
      </c>
      <c r="AJ228" s="48">
        <f t="shared" si="67"/>
        <v>0</v>
      </c>
    </row>
    <row r="229" spans="1:36" x14ac:dyDescent="0.3">
      <c r="A229" s="48">
        <v>20181203</v>
      </c>
      <c r="B229" s="48" t="s">
        <v>88</v>
      </c>
      <c r="C229" s="49">
        <v>41850</v>
      </c>
      <c r="D229" s="49">
        <v>43250</v>
      </c>
      <c r="E229" s="49">
        <v>6419324700</v>
      </c>
      <c r="F229" s="49">
        <f t="shared" si="56"/>
        <v>0.17753724959914399</v>
      </c>
      <c r="G229" s="49">
        <f t="shared" si="57"/>
        <v>0.17753724959914399</v>
      </c>
      <c r="H229" s="48">
        <v>239500</v>
      </c>
      <c r="I229" s="48">
        <v>240500</v>
      </c>
      <c r="J229" s="51">
        <v>125456133</v>
      </c>
      <c r="K229" s="48">
        <f t="shared" si="58"/>
        <v>1.39630369357553</v>
      </c>
      <c r="L229" s="48">
        <f t="shared" si="59"/>
        <v>1.39630369357553</v>
      </c>
      <c r="M229" s="49">
        <v>197300</v>
      </c>
      <c r="N229" s="49">
        <v>206200</v>
      </c>
      <c r="O229" s="49">
        <v>15956260</v>
      </c>
      <c r="P229" s="49">
        <f t="shared" si="60"/>
        <v>28.284863316129599</v>
      </c>
      <c r="Q229" s="49">
        <f t="shared" si="61"/>
        <v>28.284863316129599</v>
      </c>
      <c r="R229" s="48">
        <v>0</v>
      </c>
      <c r="S229" s="48"/>
      <c r="T229" s="48">
        <v>0</v>
      </c>
      <c r="U229" s="48">
        <v>0</v>
      </c>
      <c r="V229" s="48"/>
      <c r="W229" s="49">
        <v>1</v>
      </c>
      <c r="X229" s="49">
        <v>1</v>
      </c>
      <c r="Y229" s="49">
        <v>100000000</v>
      </c>
      <c r="Z229" s="49">
        <f t="shared" si="62"/>
        <v>1417748.54889318</v>
      </c>
      <c r="AA229" s="49">
        <f t="shared" si="63"/>
        <v>1417748.54889318</v>
      </c>
      <c r="AB229" s="82">
        <f t="shared" si="52"/>
        <v>0</v>
      </c>
      <c r="AC229" s="82">
        <f t="shared" si="53"/>
        <v>304598664874739.81</v>
      </c>
      <c r="AD229" s="81">
        <f t="shared" si="51"/>
        <v>326257418854859.81</v>
      </c>
      <c r="AE229" s="80">
        <f t="shared" si="54"/>
        <v>1071.1058729985791</v>
      </c>
      <c r="AF229" s="52">
        <f t="shared" si="64"/>
        <v>1.8059307549514497E-2</v>
      </c>
      <c r="AG229" s="48">
        <f t="shared" si="55"/>
        <v>3.3452807646356032E-2</v>
      </c>
      <c r="AH229" s="48">
        <f t="shared" si="65"/>
        <v>4.1753653444676405E-3</v>
      </c>
      <c r="AI229" s="48">
        <f t="shared" si="66"/>
        <v>4.5108971109984797E-2</v>
      </c>
      <c r="AJ229" s="48">
        <f t="shared" si="67"/>
        <v>0</v>
      </c>
    </row>
    <row r="230" spans="1:36" x14ac:dyDescent="0.3">
      <c r="A230" s="48">
        <v>20181204</v>
      </c>
      <c r="B230" s="48" t="s">
        <v>88</v>
      </c>
      <c r="C230" s="49">
        <v>43250</v>
      </c>
      <c r="D230" s="49">
        <v>42150</v>
      </c>
      <c r="E230" s="49">
        <v>6419324700</v>
      </c>
      <c r="F230" s="49">
        <f t="shared" si="56"/>
        <v>0.17753724959914399</v>
      </c>
      <c r="G230" s="49">
        <f t="shared" si="57"/>
        <v>0.17753724959914399</v>
      </c>
      <c r="H230" s="48">
        <v>240500</v>
      </c>
      <c r="I230" s="48">
        <v>243500</v>
      </c>
      <c r="J230" s="51">
        <v>125456133</v>
      </c>
      <c r="K230" s="48">
        <f t="shared" si="58"/>
        <v>1.39630369357553</v>
      </c>
      <c r="L230" s="48">
        <f t="shared" si="59"/>
        <v>1.39630369357553</v>
      </c>
      <c r="M230" s="49">
        <v>206200</v>
      </c>
      <c r="N230" s="49">
        <v>205800</v>
      </c>
      <c r="O230" s="49">
        <v>15956260</v>
      </c>
      <c r="P230" s="49">
        <f t="shared" si="60"/>
        <v>28.284863316129599</v>
      </c>
      <c r="Q230" s="49">
        <f t="shared" si="61"/>
        <v>28.284863316129599</v>
      </c>
      <c r="R230" s="48">
        <v>0</v>
      </c>
      <c r="S230" s="48"/>
      <c r="T230" s="48">
        <v>0</v>
      </c>
      <c r="U230" s="48">
        <v>0</v>
      </c>
      <c r="V230" s="48"/>
      <c r="W230" s="49">
        <v>1</v>
      </c>
      <c r="X230" s="49">
        <v>1</v>
      </c>
      <c r="Y230" s="49">
        <v>100000000</v>
      </c>
      <c r="Z230" s="49">
        <f t="shared" si="62"/>
        <v>1417748.54889318</v>
      </c>
      <c r="AA230" s="49">
        <f t="shared" si="63"/>
        <v>1417748.54889318</v>
      </c>
      <c r="AB230" s="82">
        <f t="shared" si="52"/>
        <v>0</v>
      </c>
      <c r="AC230" s="82">
        <f t="shared" si="53"/>
        <v>304598664874739.81</v>
      </c>
      <c r="AD230" s="81">
        <f t="shared" si="51"/>
        <v>325348779010599.94</v>
      </c>
      <c r="AE230" s="80">
        <f t="shared" si="54"/>
        <v>1068.1228006839531</v>
      </c>
      <c r="AF230" s="52">
        <f t="shared" si="64"/>
        <v>-2.7850396397088935E-3</v>
      </c>
      <c r="AG230" s="48">
        <f t="shared" si="55"/>
        <v>-2.5433526011560695E-2</v>
      </c>
      <c r="AH230" s="48">
        <f t="shared" si="65"/>
        <v>1.2474012474012475E-2</v>
      </c>
      <c r="AI230" s="48">
        <f t="shared" si="66"/>
        <v>-1.9398642095053346E-3</v>
      </c>
      <c r="AJ230" s="48">
        <f t="shared" si="67"/>
        <v>0</v>
      </c>
    </row>
    <row r="231" spans="1:36" x14ac:dyDescent="0.3">
      <c r="A231" s="48">
        <v>20181205</v>
      </c>
      <c r="B231" s="48" t="s">
        <v>88</v>
      </c>
      <c r="C231" s="49">
        <v>42150</v>
      </c>
      <c r="D231" s="49">
        <v>41450</v>
      </c>
      <c r="E231" s="49">
        <v>6419324700</v>
      </c>
      <c r="F231" s="49">
        <f t="shared" si="56"/>
        <v>0.17753724959914399</v>
      </c>
      <c r="G231" s="49">
        <f t="shared" si="57"/>
        <v>0.17753724959914399</v>
      </c>
      <c r="H231" s="48">
        <v>243500</v>
      </c>
      <c r="I231" s="48">
        <v>242000</v>
      </c>
      <c r="J231" s="51">
        <v>125456133</v>
      </c>
      <c r="K231" s="48">
        <f t="shared" si="58"/>
        <v>1.39630369357553</v>
      </c>
      <c r="L231" s="48">
        <f t="shared" si="59"/>
        <v>1.39630369357553</v>
      </c>
      <c r="M231" s="49">
        <v>205800</v>
      </c>
      <c r="N231" s="49">
        <v>201500</v>
      </c>
      <c r="O231" s="49">
        <v>15956260</v>
      </c>
      <c r="P231" s="49">
        <f t="shared" si="60"/>
        <v>28.284863316129599</v>
      </c>
      <c r="Q231" s="49">
        <f t="shared" si="61"/>
        <v>28.284863316129599</v>
      </c>
      <c r="R231" s="48">
        <v>0</v>
      </c>
      <c r="S231" s="48"/>
      <c r="T231" s="48">
        <v>0</v>
      </c>
      <c r="U231" s="48">
        <v>0</v>
      </c>
      <c r="V231" s="48"/>
      <c r="W231" s="49">
        <v>1</v>
      </c>
      <c r="X231" s="49">
        <v>1</v>
      </c>
      <c r="Y231" s="49">
        <v>100000000</v>
      </c>
      <c r="Z231" s="49">
        <f t="shared" si="62"/>
        <v>1417748.54889318</v>
      </c>
      <c r="AA231" s="49">
        <f t="shared" si="63"/>
        <v>1417748.54889318</v>
      </c>
      <c r="AB231" s="82">
        <f t="shared" si="52"/>
        <v>0</v>
      </c>
      <c r="AC231" s="82">
        <f t="shared" si="53"/>
        <v>304598664874739.81</v>
      </c>
      <c r="AD231" s="81">
        <f t="shared" si="51"/>
        <v>322347569519212.75</v>
      </c>
      <c r="AE231" s="80">
        <f t="shared" si="54"/>
        <v>1058.2698044713093</v>
      </c>
      <c r="AF231" s="52">
        <f t="shared" si="64"/>
        <v>-9.2245912233449318E-3</v>
      </c>
      <c r="AG231" s="48">
        <f t="shared" si="55"/>
        <v>-1.6607354685646499E-2</v>
      </c>
      <c r="AH231" s="48">
        <f t="shared" si="65"/>
        <v>-6.1601642710472282E-3</v>
      </c>
      <c r="AI231" s="48">
        <f t="shared" si="66"/>
        <v>-2.0894071914480079E-2</v>
      </c>
      <c r="AJ231" s="48">
        <f t="shared" si="67"/>
        <v>0</v>
      </c>
    </row>
    <row r="232" spans="1:36" x14ac:dyDescent="0.3">
      <c r="A232" s="48">
        <v>20181206</v>
      </c>
      <c r="B232" s="48" t="s">
        <v>88</v>
      </c>
      <c r="C232" s="49">
        <v>41450</v>
      </c>
      <c r="D232" s="49">
        <v>40500</v>
      </c>
      <c r="E232" s="49">
        <v>6419324700</v>
      </c>
      <c r="F232" s="49">
        <f t="shared" si="56"/>
        <v>0.17753724959914399</v>
      </c>
      <c r="G232" s="49">
        <f t="shared" si="57"/>
        <v>0.17753724959914399</v>
      </c>
      <c r="H232" s="48">
        <v>242000</v>
      </c>
      <c r="I232" s="48">
        <v>235500</v>
      </c>
      <c r="J232" s="51">
        <v>125456133</v>
      </c>
      <c r="K232" s="48">
        <f t="shared" si="58"/>
        <v>1.39630369357553</v>
      </c>
      <c r="L232" s="48">
        <f t="shared" si="59"/>
        <v>1.39630369357553</v>
      </c>
      <c r="M232" s="49">
        <v>201500</v>
      </c>
      <c r="N232" s="49">
        <v>194500</v>
      </c>
      <c r="O232" s="49">
        <v>15956260</v>
      </c>
      <c r="P232" s="49">
        <f t="shared" si="60"/>
        <v>28.284863316129599</v>
      </c>
      <c r="Q232" s="49">
        <f t="shared" si="61"/>
        <v>28.284863316129599</v>
      </c>
      <c r="R232" s="48">
        <v>0</v>
      </c>
      <c r="S232" s="48"/>
      <c r="T232" s="48">
        <v>0</v>
      </c>
      <c r="U232" s="48">
        <v>0</v>
      </c>
      <c r="V232" s="48"/>
      <c r="W232" s="49">
        <v>1</v>
      </c>
      <c r="X232" s="49">
        <v>1</v>
      </c>
      <c r="Y232" s="49">
        <v>100000000</v>
      </c>
      <c r="Z232" s="49">
        <f t="shared" si="62"/>
        <v>1417748.54889318</v>
      </c>
      <c r="AA232" s="49">
        <f t="shared" si="63"/>
        <v>1417748.54889318</v>
      </c>
      <c r="AB232" s="82">
        <f t="shared" si="52"/>
        <v>0</v>
      </c>
      <c r="AC232" s="82">
        <f t="shared" si="53"/>
        <v>304598664874739.81</v>
      </c>
      <c r="AD232" s="81">
        <f t="shared" si="51"/>
        <v>316967002696028.19</v>
      </c>
      <c r="AE232" s="80">
        <f t="shared" si="54"/>
        <v>1040.6053579597094</v>
      </c>
      <c r="AF232" s="52">
        <f t="shared" si="64"/>
        <v>-1.6691817565771587E-2</v>
      </c>
      <c r="AG232" s="48">
        <f t="shared" si="55"/>
        <v>-2.2919179734620022E-2</v>
      </c>
      <c r="AH232" s="48">
        <f t="shared" si="65"/>
        <v>-2.6859504132231406E-2</v>
      </c>
      <c r="AI232" s="48">
        <f t="shared" si="66"/>
        <v>-3.4739454094292806E-2</v>
      </c>
      <c r="AJ232" s="48">
        <f t="shared" si="67"/>
        <v>0</v>
      </c>
    </row>
    <row r="233" spans="1:36" x14ac:dyDescent="0.3">
      <c r="A233" s="48">
        <v>20181207</v>
      </c>
      <c r="B233" s="48" t="s">
        <v>88</v>
      </c>
      <c r="C233" s="49">
        <v>40500</v>
      </c>
      <c r="D233" s="49">
        <v>40950</v>
      </c>
      <c r="E233" s="49">
        <v>6419324700</v>
      </c>
      <c r="F233" s="49">
        <f t="shared" si="56"/>
        <v>0.17753724959914399</v>
      </c>
      <c r="G233" s="49">
        <f t="shared" si="57"/>
        <v>0.17753724959914399</v>
      </c>
      <c r="H233" s="48">
        <v>235500</v>
      </c>
      <c r="I233" s="48">
        <v>245500</v>
      </c>
      <c r="J233" s="51">
        <v>125456133</v>
      </c>
      <c r="K233" s="48">
        <f t="shared" si="58"/>
        <v>1.39630369357553</v>
      </c>
      <c r="L233" s="48">
        <f t="shared" si="59"/>
        <v>1.39630369357553</v>
      </c>
      <c r="M233" s="49">
        <v>194500</v>
      </c>
      <c r="N233" s="49">
        <v>198300</v>
      </c>
      <c r="O233" s="49">
        <v>15956260</v>
      </c>
      <c r="P233" s="49">
        <f t="shared" si="60"/>
        <v>28.284863316129599</v>
      </c>
      <c r="Q233" s="49">
        <f t="shared" si="61"/>
        <v>28.284863316129599</v>
      </c>
      <c r="R233" s="48">
        <v>0</v>
      </c>
      <c r="S233" s="48"/>
      <c r="T233" s="48">
        <v>0</v>
      </c>
      <c r="U233" s="48">
        <v>0</v>
      </c>
      <c r="V233" s="48"/>
      <c r="W233" s="49">
        <v>1</v>
      </c>
      <c r="X233" s="49">
        <v>1</v>
      </c>
      <c r="Y233" s="49">
        <v>100000000</v>
      </c>
      <c r="Z233" s="49">
        <f t="shared" si="62"/>
        <v>1417748.54889318</v>
      </c>
      <c r="AA233" s="49">
        <f t="shared" si="63"/>
        <v>1417748.54889318</v>
      </c>
      <c r="AB233" s="82">
        <f t="shared" si="52"/>
        <v>0</v>
      </c>
      <c r="AC233" s="82">
        <f t="shared" si="53"/>
        <v>304598664874739.81</v>
      </c>
      <c r="AD233" s="81">
        <f t="shared" si="51"/>
        <v>320946620884028.25</v>
      </c>
      <c r="AE233" s="80">
        <f t="shared" si="54"/>
        <v>1053.6704782209442</v>
      </c>
      <c r="AF233" s="52">
        <f t="shared" si="64"/>
        <v>1.2555307505672755E-2</v>
      </c>
      <c r="AG233" s="48">
        <f t="shared" si="55"/>
        <v>1.1111111111111112E-2</v>
      </c>
      <c r="AH233" s="48">
        <f t="shared" si="65"/>
        <v>4.2462845010615709E-2</v>
      </c>
      <c r="AI233" s="48">
        <f t="shared" si="66"/>
        <v>1.9537275064267352E-2</v>
      </c>
      <c r="AJ233" s="48">
        <f t="shared" si="67"/>
        <v>0</v>
      </c>
    </row>
    <row r="234" spans="1:36" x14ac:dyDescent="0.3">
      <c r="A234" s="48">
        <v>20181210</v>
      </c>
      <c r="B234" s="48" t="s">
        <v>88</v>
      </c>
      <c r="C234" s="49">
        <v>40950</v>
      </c>
      <c r="D234" s="49">
        <v>40200</v>
      </c>
      <c r="E234" s="49">
        <v>6419324700</v>
      </c>
      <c r="F234" s="49">
        <f t="shared" si="56"/>
        <v>0.17753724959914399</v>
      </c>
      <c r="G234" s="49">
        <f t="shared" si="57"/>
        <v>0.17753724959914399</v>
      </c>
      <c r="H234" s="48">
        <v>245500</v>
      </c>
      <c r="I234" s="48">
        <v>244500</v>
      </c>
      <c r="J234" s="51">
        <v>125456133</v>
      </c>
      <c r="K234" s="48">
        <f t="shared" si="58"/>
        <v>1.39630369357553</v>
      </c>
      <c r="L234" s="48">
        <f t="shared" si="59"/>
        <v>1.39630369357553</v>
      </c>
      <c r="M234" s="49">
        <v>198300</v>
      </c>
      <c r="N234" s="49">
        <v>195300</v>
      </c>
      <c r="O234" s="49">
        <v>15956260</v>
      </c>
      <c r="P234" s="49">
        <f t="shared" si="60"/>
        <v>28.284863316129599</v>
      </c>
      <c r="Q234" s="49">
        <f t="shared" si="61"/>
        <v>28.284863316129599</v>
      </c>
      <c r="R234" s="48">
        <v>0</v>
      </c>
      <c r="S234" s="48"/>
      <c r="T234" s="48">
        <v>0</v>
      </c>
      <c r="U234" s="48">
        <v>0</v>
      </c>
      <c r="V234" s="48"/>
      <c r="W234" s="49">
        <v>1</v>
      </c>
      <c r="X234" s="49">
        <v>1</v>
      </c>
      <c r="Y234" s="49">
        <v>100000000</v>
      </c>
      <c r="Z234" s="49">
        <f t="shared" si="62"/>
        <v>1417748.54889318</v>
      </c>
      <c r="AA234" s="49">
        <f t="shared" si="63"/>
        <v>1417748.54889318</v>
      </c>
      <c r="AB234" s="82">
        <f t="shared" si="52"/>
        <v>0</v>
      </c>
      <c r="AC234" s="82">
        <f t="shared" si="53"/>
        <v>304598664874739.81</v>
      </c>
      <c r="AD234" s="81">
        <f t="shared" si="51"/>
        <v>318562732184087.37</v>
      </c>
      <c r="AE234" s="80">
        <f t="shared" si="54"/>
        <v>1045.8441514019439</v>
      </c>
      <c r="AF234" s="52">
        <f t="shared" si="64"/>
        <v>-7.4276796975602574E-3</v>
      </c>
      <c r="AG234" s="48">
        <f t="shared" si="55"/>
        <v>-1.8315018315018316E-2</v>
      </c>
      <c r="AH234" s="48">
        <f t="shared" si="65"/>
        <v>-4.0733197556008143E-3</v>
      </c>
      <c r="AI234" s="48">
        <f t="shared" si="66"/>
        <v>-1.5128593040847202E-2</v>
      </c>
      <c r="AJ234" s="48">
        <f t="shared" si="67"/>
        <v>0</v>
      </c>
    </row>
    <row r="235" spans="1:36" x14ac:dyDescent="0.3">
      <c r="A235" s="48">
        <v>20181211</v>
      </c>
      <c r="B235" s="48" t="s">
        <v>88</v>
      </c>
      <c r="C235" s="49">
        <v>40200</v>
      </c>
      <c r="D235" s="49">
        <v>40250</v>
      </c>
      <c r="E235" s="49">
        <v>6419324700</v>
      </c>
      <c r="F235" s="49">
        <f t="shared" si="56"/>
        <v>0.17753724959914399</v>
      </c>
      <c r="G235" s="49">
        <f t="shared" si="57"/>
        <v>0.17753724959914399</v>
      </c>
      <c r="H235" s="48">
        <v>244500</v>
      </c>
      <c r="I235" s="48">
        <v>220000</v>
      </c>
      <c r="J235" s="51">
        <v>125456133</v>
      </c>
      <c r="K235" s="48">
        <f t="shared" si="58"/>
        <v>1.39630369357553</v>
      </c>
      <c r="L235" s="48">
        <f t="shared" si="59"/>
        <v>1.39630369357553</v>
      </c>
      <c r="M235" s="49">
        <v>195300</v>
      </c>
      <c r="N235" s="49">
        <v>195400</v>
      </c>
      <c r="O235" s="49">
        <v>15956260</v>
      </c>
      <c r="P235" s="49">
        <f t="shared" si="60"/>
        <v>28.284863316129599</v>
      </c>
      <c r="Q235" s="49">
        <f t="shared" si="61"/>
        <v>28.284863316129599</v>
      </c>
      <c r="R235" s="48">
        <v>0</v>
      </c>
      <c r="S235" s="48"/>
      <c r="T235" s="48">
        <v>0</v>
      </c>
      <c r="U235" s="48">
        <v>0</v>
      </c>
      <c r="V235" s="48"/>
      <c r="W235" s="49">
        <v>1</v>
      </c>
      <c r="X235" s="49">
        <v>1</v>
      </c>
      <c r="Y235" s="49">
        <v>100000000</v>
      </c>
      <c r="Z235" s="49">
        <f t="shared" si="62"/>
        <v>1417748.54889318</v>
      </c>
      <c r="AA235" s="49">
        <f t="shared" si="63"/>
        <v>1417748.54889318</v>
      </c>
      <c r="AB235" s="82">
        <f t="shared" si="52"/>
        <v>0</v>
      </c>
      <c r="AC235" s="82">
        <f t="shared" si="53"/>
        <v>304598664874739.81</v>
      </c>
      <c r="AD235" s="81">
        <f t="shared" si="51"/>
        <v>314373063593681.87</v>
      </c>
      <c r="AE235" s="80">
        <f t="shared" si="54"/>
        <v>1032.0894338882331</v>
      </c>
      <c r="AF235" s="52">
        <f t="shared" si="64"/>
        <v>-1.31517850869776E-2</v>
      </c>
      <c r="AG235" s="48">
        <f t="shared" si="55"/>
        <v>1.2437810945273632E-3</v>
      </c>
      <c r="AH235" s="48">
        <f t="shared" si="65"/>
        <v>-0.10020449897750511</v>
      </c>
      <c r="AI235" s="48">
        <f t="shared" si="66"/>
        <v>5.1203277009728623E-4</v>
      </c>
      <c r="AJ235" s="48">
        <f t="shared" si="67"/>
        <v>0</v>
      </c>
    </row>
    <row r="236" spans="1:36" s="47" customFormat="1" x14ac:dyDescent="0.3">
      <c r="A236" s="65">
        <v>20181212</v>
      </c>
      <c r="B236" s="48" t="s">
        <v>88</v>
      </c>
      <c r="C236" s="49">
        <v>40250</v>
      </c>
      <c r="D236" s="49">
        <v>40450</v>
      </c>
      <c r="E236" s="49">
        <v>5969782550</v>
      </c>
      <c r="F236" s="49">
        <f t="shared" si="56"/>
        <v>0.17753724959914399</v>
      </c>
      <c r="G236" s="49">
        <f t="shared" si="57"/>
        <v>0.16456882480900001</v>
      </c>
      <c r="H236" s="48">
        <v>220000</v>
      </c>
      <c r="I236" s="48">
        <v>226500</v>
      </c>
      <c r="J236" s="51">
        <v>125456133</v>
      </c>
      <c r="K236" s="48">
        <f t="shared" si="58"/>
        <v>1.39630369357553</v>
      </c>
      <c r="L236" s="48">
        <f t="shared" si="59"/>
        <v>1.20366916680984</v>
      </c>
      <c r="M236" s="49">
        <v>195400</v>
      </c>
      <c r="N236" s="49">
        <v>203000</v>
      </c>
      <c r="O236" s="49">
        <v>15956260</v>
      </c>
      <c r="P236" s="49">
        <f t="shared" si="60"/>
        <v>28.284863316129599</v>
      </c>
      <c r="Q236" s="49">
        <f t="shared" si="61"/>
        <v>24.382674068472198</v>
      </c>
      <c r="R236" s="48">
        <v>0</v>
      </c>
      <c r="S236" s="48"/>
      <c r="T236" s="48">
        <v>0</v>
      </c>
      <c r="U236" s="48">
        <v>0</v>
      </c>
      <c r="V236" s="48"/>
      <c r="W236" s="49">
        <v>1</v>
      </c>
      <c r="X236" s="49">
        <v>1</v>
      </c>
      <c r="Y236" s="49">
        <v>100000000</v>
      </c>
      <c r="Z236" s="49">
        <f t="shared" si="62"/>
        <v>1417748.54889318</v>
      </c>
      <c r="AA236" s="49">
        <f t="shared" si="63"/>
        <v>1222155.4826817601</v>
      </c>
      <c r="AB236" s="82">
        <f t="shared" si="52"/>
        <v>1</v>
      </c>
      <c r="AC236" s="82">
        <f t="shared" si="53"/>
        <v>262576130714315.16</v>
      </c>
      <c r="AD236" s="81">
        <f t="shared" si="51"/>
        <v>275136915815921.12</v>
      </c>
      <c r="AE236" s="80">
        <f t="shared" si="54"/>
        <v>1047.8367362160279</v>
      </c>
      <c r="AF236" s="52">
        <f t="shared" si="64"/>
        <v>1.5257691640606551E-2</v>
      </c>
      <c r="AG236" s="48">
        <f t="shared" si="55"/>
        <v>4.9689440993788822E-3</v>
      </c>
      <c r="AH236" s="48">
        <f t="shared" si="65"/>
        <v>2.9545454545454545E-2</v>
      </c>
      <c r="AI236" s="48">
        <f t="shared" si="66"/>
        <v>3.8894575230296824E-2</v>
      </c>
      <c r="AJ236" s="48">
        <f t="shared" si="67"/>
        <v>0</v>
      </c>
    </row>
    <row r="237" spans="1:36" x14ac:dyDescent="0.3">
      <c r="A237" s="48">
        <v>20181213</v>
      </c>
      <c r="B237" s="48" t="s">
        <v>88</v>
      </c>
      <c r="C237" s="49">
        <v>40450</v>
      </c>
      <c r="D237" s="49">
        <v>40000</v>
      </c>
      <c r="E237" s="49">
        <v>5969782550</v>
      </c>
      <c r="F237" s="49">
        <f t="shared" si="56"/>
        <v>0.16456882480900001</v>
      </c>
      <c r="G237" s="49">
        <f t="shared" si="57"/>
        <v>0.16456882480900001</v>
      </c>
      <c r="H237" s="48">
        <v>226500</v>
      </c>
      <c r="I237" s="48">
        <v>217500</v>
      </c>
      <c r="J237" s="51">
        <v>125456133</v>
      </c>
      <c r="K237" s="48">
        <f t="shared" si="58"/>
        <v>1.20366916680984</v>
      </c>
      <c r="L237" s="48">
        <f t="shared" si="59"/>
        <v>1.20366916680984</v>
      </c>
      <c r="M237" s="49">
        <v>203000</v>
      </c>
      <c r="N237" s="49">
        <v>205700</v>
      </c>
      <c r="O237" s="49">
        <v>15956260</v>
      </c>
      <c r="P237" s="49">
        <f t="shared" si="60"/>
        <v>24.382674068472198</v>
      </c>
      <c r="Q237" s="49">
        <f t="shared" si="61"/>
        <v>24.382674068472198</v>
      </c>
      <c r="R237" s="48">
        <v>0</v>
      </c>
      <c r="S237" s="48"/>
      <c r="T237" s="48">
        <v>0</v>
      </c>
      <c r="U237" s="48">
        <v>0</v>
      </c>
      <c r="V237" s="48"/>
      <c r="W237" s="49">
        <v>1</v>
      </c>
      <c r="X237" s="49">
        <v>1</v>
      </c>
      <c r="Y237" s="49">
        <v>100000000</v>
      </c>
      <c r="Z237" s="49">
        <f t="shared" si="62"/>
        <v>1222155.4826817601</v>
      </c>
      <c r="AA237" s="49">
        <f t="shared" si="63"/>
        <v>1222155.4826817601</v>
      </c>
      <c r="AB237" s="82">
        <f t="shared" si="52"/>
        <v>0</v>
      </c>
      <c r="AC237" s="82">
        <f t="shared" si="53"/>
        <v>262576130714315.16</v>
      </c>
      <c r="AD237" s="81">
        <f t="shared" si="51"/>
        <v>274386200634544.87</v>
      </c>
      <c r="AE237" s="80">
        <f t="shared" si="54"/>
        <v>1044.9776980417125</v>
      </c>
      <c r="AF237" s="52">
        <f t="shared" si="64"/>
        <v>-2.7285149255598974E-3</v>
      </c>
      <c r="AG237" s="48">
        <f t="shared" si="55"/>
        <v>-1.1124845488257108E-2</v>
      </c>
      <c r="AH237" s="48">
        <f t="shared" si="65"/>
        <v>-3.9735099337748346E-2</v>
      </c>
      <c r="AI237" s="48">
        <f t="shared" si="66"/>
        <v>1.3300492610837438E-2</v>
      </c>
      <c r="AJ237" s="48">
        <f t="shared" si="67"/>
        <v>0</v>
      </c>
    </row>
    <row r="238" spans="1:36" x14ac:dyDescent="0.3">
      <c r="A238" s="48">
        <v>20181214</v>
      </c>
      <c r="B238" s="48" t="s">
        <v>88</v>
      </c>
      <c r="C238" s="49">
        <v>40000</v>
      </c>
      <c r="D238" s="49">
        <v>38950</v>
      </c>
      <c r="E238" s="49">
        <v>5969782550</v>
      </c>
      <c r="F238" s="49">
        <f t="shared" si="56"/>
        <v>0.16456882480900001</v>
      </c>
      <c r="G238" s="49">
        <f t="shared" si="57"/>
        <v>0.16456882480900001</v>
      </c>
      <c r="H238" s="48">
        <v>217500</v>
      </c>
      <c r="I238" s="48">
        <v>208000</v>
      </c>
      <c r="J238" s="51">
        <v>125456133</v>
      </c>
      <c r="K238" s="48">
        <f t="shared" si="58"/>
        <v>1.20366916680984</v>
      </c>
      <c r="L238" s="48">
        <f t="shared" si="59"/>
        <v>1.20366916680984</v>
      </c>
      <c r="M238" s="49">
        <v>205700</v>
      </c>
      <c r="N238" s="49">
        <v>199600</v>
      </c>
      <c r="O238" s="49">
        <v>15956260</v>
      </c>
      <c r="P238" s="49">
        <f t="shared" si="60"/>
        <v>24.382674068472198</v>
      </c>
      <c r="Q238" s="49">
        <f t="shared" si="61"/>
        <v>24.382674068472198</v>
      </c>
      <c r="R238" s="48">
        <v>0</v>
      </c>
      <c r="S238" s="48"/>
      <c r="T238" s="48">
        <v>0</v>
      </c>
      <c r="U238" s="48">
        <v>0</v>
      </c>
      <c r="V238" s="48"/>
      <c r="W238" s="49">
        <v>1</v>
      </c>
      <c r="X238" s="49">
        <v>1</v>
      </c>
      <c r="Y238" s="49">
        <v>100000000</v>
      </c>
      <c r="Z238" s="49">
        <f t="shared" si="62"/>
        <v>1222155.4826817601</v>
      </c>
      <c r="AA238" s="49">
        <f t="shared" si="63"/>
        <v>1222155.4826817601</v>
      </c>
      <c r="AB238" s="82">
        <f t="shared" si="52"/>
        <v>0</v>
      </c>
      <c r="AC238" s="82">
        <f t="shared" si="53"/>
        <v>262576130714315.16</v>
      </c>
      <c r="AD238" s="81">
        <f t="shared" si="51"/>
        <v>269546822229457.87</v>
      </c>
      <c r="AE238" s="80">
        <f t="shared" si="54"/>
        <v>1026.5473159962391</v>
      </c>
      <c r="AF238" s="52">
        <f t="shared" si="64"/>
        <v>-1.763710563394023E-2</v>
      </c>
      <c r="AG238" s="48">
        <f t="shared" si="55"/>
        <v>-2.6249999999999999E-2</v>
      </c>
      <c r="AH238" s="48">
        <f t="shared" si="65"/>
        <v>-4.3678160919540229E-2</v>
      </c>
      <c r="AI238" s="48">
        <f t="shared" si="66"/>
        <v>-2.9654837141468156E-2</v>
      </c>
      <c r="AJ238" s="48">
        <f t="shared" si="67"/>
        <v>0</v>
      </c>
    </row>
    <row r="239" spans="1:36" x14ac:dyDescent="0.3">
      <c r="A239" s="48">
        <v>20181217</v>
      </c>
      <c r="B239" s="48" t="s">
        <v>88</v>
      </c>
      <c r="C239" s="49">
        <v>38950</v>
      </c>
      <c r="D239" s="49">
        <v>39150</v>
      </c>
      <c r="E239" s="49">
        <v>5969782550</v>
      </c>
      <c r="F239" s="49">
        <f t="shared" si="56"/>
        <v>0.16456882480900001</v>
      </c>
      <c r="G239" s="49">
        <f t="shared" si="57"/>
        <v>0.16456882480900001</v>
      </c>
      <c r="H239" s="48">
        <v>208000</v>
      </c>
      <c r="I239" s="48">
        <v>214500</v>
      </c>
      <c r="J239" s="51">
        <v>125456133</v>
      </c>
      <c r="K239" s="48">
        <f t="shared" si="58"/>
        <v>1.20366916680984</v>
      </c>
      <c r="L239" s="48">
        <f t="shared" si="59"/>
        <v>1.20366916680984</v>
      </c>
      <c r="M239" s="49">
        <v>199600</v>
      </c>
      <c r="N239" s="49">
        <v>202000</v>
      </c>
      <c r="O239" s="49">
        <v>15956260</v>
      </c>
      <c r="P239" s="49">
        <f t="shared" si="60"/>
        <v>24.382674068472198</v>
      </c>
      <c r="Q239" s="49">
        <f t="shared" si="61"/>
        <v>24.382674068472198</v>
      </c>
      <c r="R239" s="48">
        <v>0</v>
      </c>
      <c r="S239" s="48"/>
      <c r="T239" s="48">
        <v>0</v>
      </c>
      <c r="U239" s="48">
        <v>0</v>
      </c>
      <c r="V239" s="48"/>
      <c r="W239" s="49">
        <v>1</v>
      </c>
      <c r="X239" s="49">
        <v>1</v>
      </c>
      <c r="Y239" s="49">
        <v>100000000</v>
      </c>
      <c r="Z239" s="49">
        <f t="shared" si="62"/>
        <v>1222155.4826817601</v>
      </c>
      <c r="AA239" s="49">
        <f t="shared" si="63"/>
        <v>1222155.4826817601</v>
      </c>
      <c r="AB239" s="82">
        <f t="shared" si="52"/>
        <v>0</v>
      </c>
      <c r="AC239" s="82">
        <f t="shared" si="53"/>
        <v>262576130714315.16</v>
      </c>
      <c r="AD239" s="81">
        <f t="shared" si="51"/>
        <v>271658595251833.37</v>
      </c>
      <c r="AE239" s="80">
        <f t="shared" si="54"/>
        <v>1034.5898331002522</v>
      </c>
      <c r="AF239" s="52">
        <f t="shared" si="64"/>
        <v>7.8345313252395181E-3</v>
      </c>
      <c r="AG239" s="48">
        <f t="shared" si="55"/>
        <v>5.1347881899871627E-3</v>
      </c>
      <c r="AH239" s="48">
        <f t="shared" si="65"/>
        <v>3.125E-2</v>
      </c>
      <c r="AI239" s="48">
        <f t="shared" si="66"/>
        <v>1.2024048096192385E-2</v>
      </c>
      <c r="AJ239" s="48">
        <f t="shared" si="67"/>
        <v>0</v>
      </c>
    </row>
    <row r="240" spans="1:36" x14ac:dyDescent="0.3">
      <c r="A240" s="48">
        <v>20181218</v>
      </c>
      <c r="B240" s="48" t="s">
        <v>88</v>
      </c>
      <c r="C240" s="49">
        <v>39150</v>
      </c>
      <c r="D240" s="49">
        <v>38900</v>
      </c>
      <c r="E240" s="49">
        <v>5969782550</v>
      </c>
      <c r="F240" s="49">
        <f t="shared" si="56"/>
        <v>0.16456882480900001</v>
      </c>
      <c r="G240" s="49">
        <f t="shared" si="57"/>
        <v>0.16456882480900001</v>
      </c>
      <c r="H240" s="48">
        <v>214500</v>
      </c>
      <c r="I240" s="48">
        <v>218500</v>
      </c>
      <c r="J240" s="51">
        <v>125456133</v>
      </c>
      <c r="K240" s="48">
        <f t="shared" si="58"/>
        <v>1.20366916680984</v>
      </c>
      <c r="L240" s="48">
        <f t="shared" si="59"/>
        <v>1.20366916680984</v>
      </c>
      <c r="M240" s="49">
        <v>202000</v>
      </c>
      <c r="N240" s="49">
        <v>215000</v>
      </c>
      <c r="O240" s="49">
        <v>15956260</v>
      </c>
      <c r="P240" s="49">
        <f t="shared" si="60"/>
        <v>24.382674068472198</v>
      </c>
      <c r="Q240" s="49">
        <f t="shared" si="61"/>
        <v>24.382674068472198</v>
      </c>
      <c r="R240" s="48">
        <v>0</v>
      </c>
      <c r="S240" s="48"/>
      <c r="T240" s="48">
        <v>0</v>
      </c>
      <c r="U240" s="48">
        <v>0</v>
      </c>
      <c r="V240" s="48"/>
      <c r="W240" s="49">
        <v>1</v>
      </c>
      <c r="X240" s="49">
        <v>1</v>
      </c>
      <c r="Y240" s="49">
        <v>100000000</v>
      </c>
      <c r="Z240" s="49">
        <f t="shared" si="62"/>
        <v>1222155.4826817601</v>
      </c>
      <c r="AA240" s="49">
        <f t="shared" si="63"/>
        <v>1222155.4826817601</v>
      </c>
      <c r="AB240" s="82">
        <f t="shared" si="52"/>
        <v>0</v>
      </c>
      <c r="AC240" s="82">
        <f t="shared" si="53"/>
        <v>262576130714315.16</v>
      </c>
      <c r="AD240" s="81">
        <f t="shared" si="51"/>
        <v>277074747673609.25</v>
      </c>
      <c r="AE240" s="80">
        <f t="shared" si="54"/>
        <v>1055.2168124339858</v>
      </c>
      <c r="AF240" s="52">
        <f t="shared" si="64"/>
        <v>1.9937349733973996E-2</v>
      </c>
      <c r="AG240" s="48">
        <f t="shared" si="55"/>
        <v>-6.3856960408684551E-3</v>
      </c>
      <c r="AH240" s="48">
        <f t="shared" si="65"/>
        <v>1.8648018648018648E-2</v>
      </c>
      <c r="AI240" s="48">
        <f t="shared" si="66"/>
        <v>6.4356435643564358E-2</v>
      </c>
      <c r="AJ240" s="48">
        <f t="shared" si="67"/>
        <v>0</v>
      </c>
    </row>
    <row r="241" spans="1:36" x14ac:dyDescent="0.3">
      <c r="A241" s="48">
        <v>20181219</v>
      </c>
      <c r="B241" s="48" t="s">
        <v>88</v>
      </c>
      <c r="C241" s="49">
        <v>38900</v>
      </c>
      <c r="D241" s="49">
        <v>39100</v>
      </c>
      <c r="E241" s="49">
        <v>5969782550</v>
      </c>
      <c r="F241" s="49">
        <f t="shared" si="56"/>
        <v>0.16456882480900001</v>
      </c>
      <c r="G241" s="49">
        <f t="shared" si="57"/>
        <v>0.16456882480900001</v>
      </c>
      <c r="H241" s="48">
        <v>218500</v>
      </c>
      <c r="I241" s="48">
        <v>225500</v>
      </c>
      <c r="J241" s="51">
        <v>125456133</v>
      </c>
      <c r="K241" s="48">
        <f t="shared" si="58"/>
        <v>1.20366916680984</v>
      </c>
      <c r="L241" s="48">
        <f t="shared" si="59"/>
        <v>1.20366916680984</v>
      </c>
      <c r="M241" s="49">
        <v>215000</v>
      </c>
      <c r="N241" s="49">
        <v>216700</v>
      </c>
      <c r="O241" s="49">
        <v>15956260</v>
      </c>
      <c r="P241" s="49">
        <f t="shared" si="60"/>
        <v>24.382674068472198</v>
      </c>
      <c r="Q241" s="49">
        <f t="shared" si="61"/>
        <v>24.382674068472198</v>
      </c>
      <c r="R241" s="48">
        <v>0</v>
      </c>
      <c r="S241" s="48"/>
      <c r="T241" s="48">
        <v>0</v>
      </c>
      <c r="U241" s="48">
        <v>0</v>
      </c>
      <c r="V241" s="48"/>
      <c r="W241" s="49">
        <v>1</v>
      </c>
      <c r="X241" s="49">
        <v>1</v>
      </c>
      <c r="Y241" s="49">
        <v>100000000</v>
      </c>
      <c r="Z241" s="49">
        <f t="shared" si="62"/>
        <v>1222155.4826817601</v>
      </c>
      <c r="AA241" s="49">
        <f t="shared" si="63"/>
        <v>1222155.4826817601</v>
      </c>
      <c r="AB241" s="82">
        <f t="shared" si="52"/>
        <v>0</v>
      </c>
      <c r="AC241" s="82">
        <f t="shared" si="53"/>
        <v>262576130714315.16</v>
      </c>
      <c r="AD241" s="81">
        <f t="shared" si="51"/>
        <v>278989685134672.12</v>
      </c>
      <c r="AE241" s="80">
        <f t="shared" si="54"/>
        <v>1062.5096971903172</v>
      </c>
      <c r="AF241" s="52">
        <f t="shared" si="64"/>
        <v>6.9112666424537986E-3</v>
      </c>
      <c r="AG241" s="48">
        <f t="shared" si="55"/>
        <v>5.1413881748071976E-3</v>
      </c>
      <c r="AH241" s="48">
        <f t="shared" si="65"/>
        <v>3.2036613272311214E-2</v>
      </c>
      <c r="AI241" s="48">
        <f t="shared" si="66"/>
        <v>7.9069767441860457E-3</v>
      </c>
      <c r="AJ241" s="48">
        <f t="shared" si="67"/>
        <v>0</v>
      </c>
    </row>
    <row r="242" spans="1:36" x14ac:dyDescent="0.3">
      <c r="A242" s="48">
        <v>20181220</v>
      </c>
      <c r="B242" s="48" t="s">
        <v>88</v>
      </c>
      <c r="C242" s="49">
        <v>39100</v>
      </c>
      <c r="D242" s="49">
        <v>38650</v>
      </c>
      <c r="E242" s="49">
        <v>5969782550</v>
      </c>
      <c r="F242" s="49">
        <f t="shared" si="56"/>
        <v>0.16456882480900001</v>
      </c>
      <c r="G242" s="49">
        <f t="shared" si="57"/>
        <v>0.16456882480900001</v>
      </c>
      <c r="H242" s="48">
        <v>225500</v>
      </c>
      <c r="I242" s="48">
        <v>224000</v>
      </c>
      <c r="J242" s="51">
        <v>125456133</v>
      </c>
      <c r="K242" s="48">
        <f t="shared" si="58"/>
        <v>1.20366916680984</v>
      </c>
      <c r="L242" s="48">
        <f t="shared" si="59"/>
        <v>1.20366916680984</v>
      </c>
      <c r="M242" s="49">
        <v>216700</v>
      </c>
      <c r="N242" s="49">
        <v>224500</v>
      </c>
      <c r="O242" s="49">
        <v>15956260</v>
      </c>
      <c r="P242" s="49">
        <f t="shared" si="60"/>
        <v>24.382674068472198</v>
      </c>
      <c r="Q242" s="49">
        <f t="shared" si="61"/>
        <v>24.382674068472198</v>
      </c>
      <c r="R242" s="48">
        <v>0</v>
      </c>
      <c r="S242" s="48"/>
      <c r="T242" s="48">
        <v>0</v>
      </c>
      <c r="U242" s="48">
        <v>0</v>
      </c>
      <c r="V242" s="48"/>
      <c r="W242" s="49">
        <v>1</v>
      </c>
      <c r="X242" s="49">
        <v>1</v>
      </c>
      <c r="Y242" s="49">
        <v>100000000</v>
      </c>
      <c r="Z242" s="49">
        <f t="shared" si="62"/>
        <v>1222155.4826817601</v>
      </c>
      <c r="AA242" s="49">
        <f t="shared" si="63"/>
        <v>1222155.4826817601</v>
      </c>
      <c r="AB242" s="82">
        <f t="shared" si="52"/>
        <v>0</v>
      </c>
      <c r="AC242" s="82">
        <f t="shared" si="53"/>
        <v>262576130714315.16</v>
      </c>
      <c r="AD242" s="81">
        <f t="shared" si="51"/>
        <v>281355714609742.75</v>
      </c>
      <c r="AE242" s="80">
        <f t="shared" si="54"/>
        <v>1071.5205294721168</v>
      </c>
      <c r="AF242" s="52">
        <f t="shared" si="64"/>
        <v>8.4807059226166947E-3</v>
      </c>
      <c r="AG242" s="48">
        <f t="shared" si="55"/>
        <v>-1.1508951406649617E-2</v>
      </c>
      <c r="AH242" s="48">
        <f t="shared" si="65"/>
        <v>-6.6518847006651885E-3</v>
      </c>
      <c r="AI242" s="48">
        <f t="shared" si="66"/>
        <v>3.599446239040148E-2</v>
      </c>
      <c r="AJ242" s="48">
        <f t="shared" si="67"/>
        <v>0</v>
      </c>
    </row>
    <row r="243" spans="1:36" x14ac:dyDescent="0.3">
      <c r="A243" s="48">
        <v>20181221</v>
      </c>
      <c r="B243" s="48" t="s">
        <v>88</v>
      </c>
      <c r="C243" s="49">
        <v>38650</v>
      </c>
      <c r="D243" s="49">
        <v>38650</v>
      </c>
      <c r="E243" s="49">
        <v>5969782550</v>
      </c>
      <c r="F243" s="49">
        <f t="shared" si="56"/>
        <v>0.16456882480900001</v>
      </c>
      <c r="G243" s="49">
        <f t="shared" si="57"/>
        <v>0.16456882480900001</v>
      </c>
      <c r="H243" s="48">
        <v>224000</v>
      </c>
      <c r="I243" s="48">
        <v>220000</v>
      </c>
      <c r="J243" s="51">
        <v>125456133</v>
      </c>
      <c r="K243" s="48">
        <f t="shared" si="58"/>
        <v>1.20366916680984</v>
      </c>
      <c r="L243" s="48">
        <f t="shared" si="59"/>
        <v>1.20366916680984</v>
      </c>
      <c r="M243" s="49">
        <v>224500</v>
      </c>
      <c r="N243" s="49">
        <v>228300</v>
      </c>
      <c r="O243" s="49">
        <v>15956260</v>
      </c>
      <c r="P243" s="49">
        <f t="shared" si="60"/>
        <v>24.382674068472198</v>
      </c>
      <c r="Q243" s="49">
        <f t="shared" si="61"/>
        <v>24.382674068472198</v>
      </c>
      <c r="R243" s="48">
        <v>0</v>
      </c>
      <c r="S243" s="48"/>
      <c r="T243" s="48">
        <v>0</v>
      </c>
      <c r="U243" s="48">
        <v>0</v>
      </c>
      <c r="V243" s="48"/>
      <c r="W243" s="49">
        <v>1</v>
      </c>
      <c r="X243" s="49">
        <v>1</v>
      </c>
      <c r="Y243" s="49">
        <v>100000000</v>
      </c>
      <c r="Z243" s="49">
        <f t="shared" si="62"/>
        <v>1222155.4826817601</v>
      </c>
      <c r="AA243" s="49">
        <f t="shared" si="63"/>
        <v>1222155.4826817601</v>
      </c>
      <c r="AB243" s="82">
        <f t="shared" si="52"/>
        <v>0</v>
      </c>
      <c r="AC243" s="82">
        <f t="shared" si="53"/>
        <v>262576130714315.16</v>
      </c>
      <c r="AD243" s="81">
        <f t="shared" si="51"/>
        <v>282230097783766.44</v>
      </c>
      <c r="AE243" s="80">
        <f t="shared" si="54"/>
        <v>1074.8505472145714</v>
      </c>
      <c r="AF243" s="52">
        <f t="shared" si="64"/>
        <v>3.1077498292031401E-3</v>
      </c>
      <c r="AG243" s="48">
        <f t="shared" si="55"/>
        <v>0</v>
      </c>
      <c r="AH243" s="48">
        <f t="shared" si="65"/>
        <v>-1.7857142857142856E-2</v>
      </c>
      <c r="AI243" s="48">
        <f t="shared" si="66"/>
        <v>1.6926503340757237E-2</v>
      </c>
      <c r="AJ243" s="48">
        <f t="shared" si="67"/>
        <v>0</v>
      </c>
    </row>
    <row r="244" spans="1:36" x14ac:dyDescent="0.3">
      <c r="A244" s="48">
        <v>20181224</v>
      </c>
      <c r="B244" s="48" t="s">
        <v>88</v>
      </c>
      <c r="C244" s="49">
        <v>38650</v>
      </c>
      <c r="D244" s="49">
        <v>38800</v>
      </c>
      <c r="E244" s="49">
        <v>5969782550</v>
      </c>
      <c r="F244" s="49">
        <f t="shared" si="56"/>
        <v>0.16456882480900001</v>
      </c>
      <c r="G244" s="49">
        <f t="shared" si="57"/>
        <v>0.16456882480900001</v>
      </c>
      <c r="H244" s="48">
        <v>220000</v>
      </c>
      <c r="I244" s="48">
        <v>210500</v>
      </c>
      <c r="J244" s="51">
        <v>125456133</v>
      </c>
      <c r="K244" s="48">
        <f t="shared" si="58"/>
        <v>1.20366916680984</v>
      </c>
      <c r="L244" s="48">
        <f t="shared" si="59"/>
        <v>1.20366916680984</v>
      </c>
      <c r="M244" s="49">
        <v>228300</v>
      </c>
      <c r="N244" s="49">
        <v>226900</v>
      </c>
      <c r="O244" s="49">
        <v>15956260</v>
      </c>
      <c r="P244" s="49">
        <f t="shared" si="60"/>
        <v>24.382674068472198</v>
      </c>
      <c r="Q244" s="49">
        <f t="shared" si="61"/>
        <v>24.382674068472198</v>
      </c>
      <c r="R244" s="48">
        <v>0</v>
      </c>
      <c r="S244" s="48"/>
      <c r="T244" s="48">
        <v>0</v>
      </c>
      <c r="U244" s="48">
        <v>0</v>
      </c>
      <c r="V244" s="48"/>
      <c r="W244" s="49">
        <v>1</v>
      </c>
      <c r="X244" s="49">
        <v>1</v>
      </c>
      <c r="Y244" s="49">
        <v>100000000</v>
      </c>
      <c r="Z244" s="49">
        <f t="shared" si="62"/>
        <v>1222155.4826817601</v>
      </c>
      <c r="AA244" s="49">
        <f t="shared" si="63"/>
        <v>1222155.4826817601</v>
      </c>
      <c r="AB244" s="82">
        <f t="shared" si="52"/>
        <v>0</v>
      </c>
      <c r="AC244" s="82">
        <f t="shared" si="53"/>
        <v>262576130714315.16</v>
      </c>
      <c r="AD244" s="81">
        <f t="shared" si="51"/>
        <v>280398212045601.44</v>
      </c>
      <c r="AE244" s="80">
        <f t="shared" si="54"/>
        <v>1067.8739582413789</v>
      </c>
      <c r="AF244" s="52">
        <f t="shared" si="64"/>
        <v>-6.4907525899968585E-3</v>
      </c>
      <c r="AG244" s="48">
        <f t="shared" si="55"/>
        <v>3.8809831824062097E-3</v>
      </c>
      <c r="AH244" s="48">
        <f t="shared" si="65"/>
        <v>-4.3181818181818182E-2</v>
      </c>
      <c r="AI244" s="48">
        <f t="shared" si="66"/>
        <v>-6.1322820849759093E-3</v>
      </c>
      <c r="AJ244" s="48">
        <f t="shared" si="67"/>
        <v>0</v>
      </c>
    </row>
    <row r="245" spans="1:36" x14ac:dyDescent="0.3">
      <c r="A245" s="48">
        <v>20181226</v>
      </c>
      <c r="B245" s="48" t="s">
        <v>88</v>
      </c>
      <c r="C245" s="49">
        <v>38800</v>
      </c>
      <c r="D245" s="49">
        <v>38350</v>
      </c>
      <c r="E245" s="49">
        <v>5969782550</v>
      </c>
      <c r="F245" s="49">
        <f t="shared" si="56"/>
        <v>0.16456882480900001</v>
      </c>
      <c r="G245" s="49">
        <f t="shared" si="57"/>
        <v>0.16456882480900001</v>
      </c>
      <c r="H245" s="48">
        <v>210500</v>
      </c>
      <c r="I245" s="48">
        <v>228000</v>
      </c>
      <c r="J245" s="51">
        <v>125456133</v>
      </c>
      <c r="K245" s="48">
        <f t="shared" si="58"/>
        <v>1.20366916680984</v>
      </c>
      <c r="L245" s="48">
        <f t="shared" si="59"/>
        <v>1.20366916680984</v>
      </c>
      <c r="M245" s="49">
        <v>226900</v>
      </c>
      <c r="N245" s="49">
        <v>233100</v>
      </c>
      <c r="O245" s="49">
        <v>15956260</v>
      </c>
      <c r="P245" s="49">
        <f t="shared" si="60"/>
        <v>24.382674068472198</v>
      </c>
      <c r="Q245" s="49">
        <f t="shared" si="61"/>
        <v>24.382674068472198</v>
      </c>
      <c r="R245" s="48">
        <v>0</v>
      </c>
      <c r="S245" s="48"/>
      <c r="T245" s="48">
        <v>0</v>
      </c>
      <c r="U245" s="48">
        <v>0</v>
      </c>
      <c r="V245" s="48"/>
      <c r="W245" s="49">
        <v>1</v>
      </c>
      <c r="X245" s="49">
        <v>1</v>
      </c>
      <c r="Y245" s="49">
        <v>100000000</v>
      </c>
      <c r="Z245" s="49">
        <f t="shared" si="62"/>
        <v>1222155.4826817601</v>
      </c>
      <c r="AA245" s="49">
        <f t="shared" si="63"/>
        <v>1222155.4826817601</v>
      </c>
      <c r="AB245" s="82">
        <f t="shared" si="52"/>
        <v>0</v>
      </c>
      <c r="AC245" s="82">
        <f t="shared" si="53"/>
        <v>262576130714315.16</v>
      </c>
      <c r="AD245" s="81">
        <f t="shared" si="51"/>
        <v>285010897364087.81</v>
      </c>
      <c r="AE245" s="80">
        <f t="shared" si="54"/>
        <v>1085.4409979640604</v>
      </c>
      <c r="AF245" s="52">
        <f t="shared" si="64"/>
        <v>1.6450480496417123E-2</v>
      </c>
      <c r="AG245" s="48">
        <f t="shared" si="55"/>
        <v>-1.1597938144329897E-2</v>
      </c>
      <c r="AH245" s="48">
        <f t="shared" si="65"/>
        <v>8.3135391923990498E-2</v>
      </c>
      <c r="AI245" s="48">
        <f t="shared" si="66"/>
        <v>2.7324812692816218E-2</v>
      </c>
      <c r="AJ245" s="48">
        <f t="shared" si="67"/>
        <v>0</v>
      </c>
    </row>
    <row r="246" spans="1:36" s="47" customFormat="1" x14ac:dyDescent="0.3">
      <c r="A246" s="48">
        <v>20181227</v>
      </c>
      <c r="B246" s="48" t="s">
        <v>88</v>
      </c>
      <c r="C246" s="49">
        <v>38350</v>
      </c>
      <c r="D246" s="49">
        <v>38250</v>
      </c>
      <c r="E246" s="49">
        <v>5969782550</v>
      </c>
      <c r="F246" s="49">
        <f t="shared" si="56"/>
        <v>0.16456882480900001</v>
      </c>
      <c r="G246" s="49">
        <f t="shared" si="57"/>
        <v>0.150567695237251</v>
      </c>
      <c r="H246" s="48">
        <v>224000</v>
      </c>
      <c r="I246" s="48">
        <v>223000</v>
      </c>
      <c r="J246" s="51">
        <v>125456133</v>
      </c>
      <c r="K246" s="48">
        <f t="shared" si="58"/>
        <v>1.20366916680984</v>
      </c>
      <c r="L246" s="48">
        <f t="shared" si="59"/>
        <v>1.1209292429612601</v>
      </c>
      <c r="M246" s="49">
        <v>233100</v>
      </c>
      <c r="N246" s="49">
        <v>243600</v>
      </c>
      <c r="O246" s="49">
        <v>15956260</v>
      </c>
      <c r="P246" s="49">
        <f t="shared" si="60"/>
        <v>24.382674068472198</v>
      </c>
      <c r="Q246" s="49">
        <f t="shared" si="61"/>
        <v>22.308253355225801</v>
      </c>
      <c r="R246" s="48">
        <v>0</v>
      </c>
      <c r="S246" s="48"/>
      <c r="T246" s="48">
        <v>0</v>
      </c>
      <c r="U246" s="48">
        <v>0</v>
      </c>
      <c r="V246" s="48"/>
      <c r="W246" s="49">
        <v>1</v>
      </c>
      <c r="X246" s="49">
        <v>1</v>
      </c>
      <c r="Y246" s="49">
        <v>100000000</v>
      </c>
      <c r="Z246" s="49">
        <f t="shared" si="62"/>
        <v>1222155.4826817601</v>
      </c>
      <c r="AA246" s="49">
        <f t="shared" si="63"/>
        <v>1118177.3611286001</v>
      </c>
      <c r="AB246" s="82">
        <f t="shared" si="52"/>
        <v>1</v>
      </c>
      <c r="AC246" s="82">
        <f t="shared" si="53"/>
        <v>240236769460162.22</v>
      </c>
      <c r="AD246" s="81">
        <f t="shared" si="51"/>
        <v>264269866754509.25</v>
      </c>
      <c r="AE246" s="80">
        <f t="shared" si="54"/>
        <v>1100.0392127664386</v>
      </c>
      <c r="AF246" s="52">
        <f t="shared" si="64"/>
        <v>1.3449109467727611E-2</v>
      </c>
      <c r="AG246" s="48">
        <f t="shared" si="55"/>
        <v>-2.6075619295958278E-3</v>
      </c>
      <c r="AH246" s="48">
        <f t="shared" si="65"/>
        <v>-4.464285714285714E-3</v>
      </c>
      <c r="AI246" s="48">
        <f t="shared" si="66"/>
        <v>4.5045045045045043E-2</v>
      </c>
      <c r="AJ246" s="48">
        <f t="shared" si="67"/>
        <v>0</v>
      </c>
    </row>
    <row r="247" spans="1:36" x14ac:dyDescent="0.3">
      <c r="A247" s="48">
        <v>20181228</v>
      </c>
      <c r="B247" s="48" t="s">
        <v>88</v>
      </c>
      <c r="C247" s="49">
        <v>38250</v>
      </c>
      <c r="D247" s="49">
        <v>38700</v>
      </c>
      <c r="E247" s="49">
        <v>5969782550</v>
      </c>
      <c r="F247" s="49">
        <f t="shared" si="56"/>
        <v>0.150567695237251</v>
      </c>
      <c r="G247" s="49">
        <f t="shared" si="57"/>
        <v>0.150567695237251</v>
      </c>
      <c r="H247" s="48">
        <v>223000</v>
      </c>
      <c r="I247" s="48">
        <v>222500</v>
      </c>
      <c r="J247" s="51">
        <v>125456133</v>
      </c>
      <c r="K247" s="48">
        <f t="shared" si="58"/>
        <v>1.1209292429612601</v>
      </c>
      <c r="L247" s="48">
        <f t="shared" si="59"/>
        <v>1.1209292429612601</v>
      </c>
      <c r="M247" s="49">
        <v>243600</v>
      </c>
      <c r="N247" s="49">
        <v>254000</v>
      </c>
      <c r="O247" s="49">
        <v>15956260</v>
      </c>
      <c r="P247" s="49">
        <f t="shared" si="60"/>
        <v>22.308253355225801</v>
      </c>
      <c r="Q247" s="49">
        <f t="shared" si="61"/>
        <v>22.308253355225801</v>
      </c>
      <c r="R247" s="48">
        <v>0</v>
      </c>
      <c r="S247" s="48"/>
      <c r="T247" s="48">
        <v>0</v>
      </c>
      <c r="U247" s="48">
        <v>0</v>
      </c>
      <c r="V247" s="48"/>
      <c r="W247" s="49">
        <v>1</v>
      </c>
      <c r="X247" s="49">
        <v>1</v>
      </c>
      <c r="Y247" s="49">
        <v>100000000</v>
      </c>
      <c r="Z247" s="49">
        <f t="shared" si="62"/>
        <v>1118177.3611286001</v>
      </c>
      <c r="AA247" s="49">
        <f t="shared" si="63"/>
        <v>1118177.3611286001</v>
      </c>
      <c r="AB247" s="82">
        <f t="shared" si="52"/>
        <v>0</v>
      </c>
      <c r="AC247" s="82">
        <f t="shared" si="53"/>
        <v>240236769460162.22</v>
      </c>
      <c r="AD247" s="81">
        <f t="shared" si="51"/>
        <v>268305983833335.75</v>
      </c>
      <c r="AE247" s="80">
        <f t="shared" si="54"/>
        <v>1116.8397928270849</v>
      </c>
      <c r="AF247" s="52">
        <f t="shared" si="64"/>
        <v>1.5272710159481779E-2</v>
      </c>
      <c r="AG247" s="48">
        <f t="shared" si="55"/>
        <v>1.1764705882352941E-2</v>
      </c>
      <c r="AH247" s="48">
        <f t="shared" si="65"/>
        <v>-2.242152466367713E-3</v>
      </c>
      <c r="AI247" s="48">
        <f t="shared" si="66"/>
        <v>4.2692939244663386E-2</v>
      </c>
      <c r="AJ247" s="48">
        <f t="shared" si="67"/>
        <v>0</v>
      </c>
    </row>
    <row r="248" spans="1:36" s="72" customFormat="1" x14ac:dyDescent="0.3">
      <c r="A248" s="71">
        <v>20190102</v>
      </c>
      <c r="B248" s="71" t="s">
        <v>89</v>
      </c>
      <c r="C248" s="53">
        <v>38700</v>
      </c>
      <c r="D248" s="53">
        <v>38750</v>
      </c>
      <c r="E248" s="53">
        <v>5969782550</v>
      </c>
      <c r="F248" s="53">
        <f t="shared" si="56"/>
        <v>0.150567695237251</v>
      </c>
      <c r="G248" s="49">
        <f>IF(B248="Y",ROUND(0.15*(C248*E248+H248*J248+M248*O248+R248*T248)/(C248*E248),17),IF(AB248=0,F248,ROUND(D247*E247*G247/AD247*(C248*E248+H248*J248+M248*O248+R248*T248)/(C248*E248),17)))</f>
        <v>0.17115977220739101</v>
      </c>
      <c r="H248" s="71">
        <v>222500</v>
      </c>
      <c r="I248" s="71">
        <v>214500</v>
      </c>
      <c r="J248" s="75">
        <v>125456133</v>
      </c>
      <c r="K248" s="71">
        <f t="shared" si="58"/>
        <v>1.1209292429612601</v>
      </c>
      <c r="L248" s="48">
        <f>IF(B248="Y",ROUND(0.15*(C248*E248+H248*J248+M248*O248+R248*T248)/(H248*J248),17),IF(AB248=0,K248,ROUND(I247*J247*L247/AD247*(C248*E248+H248*J248+M248*O248+R248*T248)/(H248*J248),17)))</f>
        <v>1.41660661284511</v>
      </c>
      <c r="M248" s="53">
        <v>254000</v>
      </c>
      <c r="N248" s="53">
        <v>260000</v>
      </c>
      <c r="O248" s="53">
        <v>15956260</v>
      </c>
      <c r="P248" s="53">
        <f t="shared" si="60"/>
        <v>22.308253355225801</v>
      </c>
      <c r="Q248" s="49">
        <f>IF(B248="Y",ROUND(0.3*(C248*E248+H248*J248+M248*O248+R248*T248)/(M248*O248),17),IF(AB248=0,P248,ROUND(N247*O247*Q247/AD247*(C248*E248+H248*J248+M248*O248+R248*T248)/(M248*O248),17)))</f>
        <v>19.513552974471999</v>
      </c>
      <c r="R248" s="71">
        <v>10040</v>
      </c>
      <c r="S248" s="71">
        <v>9845</v>
      </c>
      <c r="T248" s="71">
        <v>62100000</v>
      </c>
      <c r="U248" s="71">
        <f>ROUND(0.4*(C248*E248+H248*J248+M248*O248+R248*T248)/(R248*T248),17)</f>
        <v>169.12764293390001</v>
      </c>
      <c r="V248" s="71">
        <f>ROUND(0.4*(C248*E248+H248*J248+M248*O248+R248*T248)/(R248*T248),17)</f>
        <v>169.12764293390001</v>
      </c>
      <c r="W248" s="53">
        <v>0</v>
      </c>
      <c r="X248" s="53">
        <v>0</v>
      </c>
      <c r="Y248" s="53">
        <v>0</v>
      </c>
      <c r="Z248" s="53">
        <v>0</v>
      </c>
      <c r="AA248" s="53">
        <v>0</v>
      </c>
      <c r="AB248" s="83">
        <f t="shared" ref="AB248:AB279" si="68">IF(AD247&lt;&gt;(C248*E248*F248+H248*J248*K248+M248*O248*P248+R248*T248*U248),1,0)</f>
        <v>1</v>
      </c>
      <c r="AC248" s="83">
        <f t="shared" ref="AC248:AC279" si="69">IF(AND(AB248=0,B248="N"),AC247,AC247*(C248*E248*G248+H248*J248*L248+M248*O248*Q248+R248*T248*V248)/AD247)</f>
        <v>236041865637854.19</v>
      </c>
      <c r="AD248" s="83">
        <f t="shared" ref="AD248:AD279" si="70">D248*E248*G248+I248*J248*L248+N248*O248*Q248+S248*T248*V248</f>
        <v>262070390504129.41</v>
      </c>
      <c r="AE248" s="84">
        <f t="shared" si="54"/>
        <v>1110.2707979194222</v>
      </c>
      <c r="AF248" s="85">
        <f t="shared" si="64"/>
        <v>-5.8817701069143174E-3</v>
      </c>
      <c r="AG248" s="71">
        <f t="shared" si="55"/>
        <v>1.2919896640826874E-3</v>
      </c>
      <c r="AH248" s="71">
        <f t="shared" si="65"/>
        <v>-3.5955056179775284E-2</v>
      </c>
      <c r="AI248" s="71">
        <f t="shared" si="66"/>
        <v>2.3622047244094488E-2</v>
      </c>
      <c r="AJ248" s="71" t="e">
        <f t="shared" si="67"/>
        <v>#DIV/0!</v>
      </c>
    </row>
    <row r="249" spans="1:36" x14ac:dyDescent="0.3">
      <c r="A249" s="48">
        <v>20190103</v>
      </c>
      <c r="B249" s="48" t="s">
        <v>88</v>
      </c>
      <c r="C249" s="49">
        <v>38750</v>
      </c>
      <c r="D249" s="49">
        <v>37600</v>
      </c>
      <c r="E249" s="49">
        <v>5969782550</v>
      </c>
      <c r="F249" s="49">
        <f t="shared" si="56"/>
        <v>0.17115977220739101</v>
      </c>
      <c r="G249" s="49">
        <f t="shared" ref="G249:G312" si="71">IF(B249="Y",ROUND(0.15*(C249*E249+H249*J249+M249*O249+R249*T249)/(C249*E249),17),IF(AB249=0,F249,ROUND(D248*E248*G248/AD248*(C249*E249+H249*J249+M249*O249+R249*T249)/(C249*E249),17)))</f>
        <v>0.17115977220739101</v>
      </c>
      <c r="H249" s="48">
        <v>214500</v>
      </c>
      <c r="I249" s="48">
        <v>210500</v>
      </c>
      <c r="J249" s="51">
        <v>125456133</v>
      </c>
      <c r="K249" s="48">
        <f t="shared" si="58"/>
        <v>1.41660661284511</v>
      </c>
      <c r="L249" s="48">
        <f t="shared" ref="L249:L312" si="72">IF(B249="Y",ROUND(0.15*(C249*E249+H249*J249+M249*O249+R249*T249)/(H249*J249),17),IF(AB249=0,K249,ROUND(I248*J248*L248/AD248*(C249*E249+H249*J249+M249*O249+R249*T249)/(H249*J249),17)))</f>
        <v>1.41660661284511</v>
      </c>
      <c r="M249" s="49">
        <v>260000</v>
      </c>
      <c r="N249" s="49">
        <v>249400</v>
      </c>
      <c r="O249" s="49">
        <v>15956260</v>
      </c>
      <c r="P249" s="49">
        <f t="shared" si="60"/>
        <v>19.513552974471999</v>
      </c>
      <c r="Q249" s="49">
        <f t="shared" ref="Q249:Q312" si="73">IF(B249="Y",ROUND(0.3*(C249*E249+H249*J249+M249*O249+R249*T249)/(M249*O249),17),IF(AB249=0,P249,ROUND(N248*O248*Q248/AD248*(C249*E249+H249*J249+M249*O249+R249*T249)/(M249*O249),17)))</f>
        <v>19.513552974471999</v>
      </c>
      <c r="R249" s="48">
        <v>9845</v>
      </c>
      <c r="S249" s="48">
        <v>9750</v>
      </c>
      <c r="T249" s="48">
        <v>62100000</v>
      </c>
      <c r="U249" s="48">
        <f>V248</f>
        <v>169.12764293390001</v>
      </c>
      <c r="V249" s="48">
        <f>IF(B249="Y",ROUND(0.4*(C249*E249+H249*J249+M249*O249+R249*T249)/(R249*T249),17),IF(AB249=0,U249,ROUND(S248*T248*V248/AD248*(C249*E249+H249*J249+M249*O249+R249*T249)/(R249*T249),17)))</f>
        <v>169.12764293390001</v>
      </c>
      <c r="W249" s="49">
        <v>0</v>
      </c>
      <c r="X249" s="49">
        <v>0</v>
      </c>
      <c r="Y249" s="49">
        <v>0</v>
      </c>
      <c r="Z249" s="49">
        <f t="shared" si="62"/>
        <v>0</v>
      </c>
      <c r="AA249" s="49">
        <v>0</v>
      </c>
      <c r="AB249" s="82">
        <f t="shared" si="68"/>
        <v>0</v>
      </c>
      <c r="AC249" s="82">
        <f t="shared" si="69"/>
        <v>236041865637854.19</v>
      </c>
      <c r="AD249" s="81">
        <f t="shared" si="70"/>
        <v>255886228166813.06</v>
      </c>
      <c r="AE249" s="80">
        <f t="shared" si="54"/>
        <v>1084.0713679132029</v>
      </c>
      <c r="AF249" s="52">
        <f t="shared" si="64"/>
        <v>-2.3597333240967279E-2</v>
      </c>
      <c r="AG249" s="48">
        <f t="shared" si="55"/>
        <v>-2.9677419354838711E-2</v>
      </c>
      <c r="AH249" s="48">
        <f t="shared" si="65"/>
        <v>-1.8648018648018648E-2</v>
      </c>
      <c r="AI249" s="48">
        <f t="shared" si="66"/>
        <v>-4.0769230769230766E-2</v>
      </c>
      <c r="AJ249" s="48" t="e">
        <f t="shared" si="67"/>
        <v>#DIV/0!</v>
      </c>
    </row>
    <row r="250" spans="1:36" x14ac:dyDescent="0.3">
      <c r="A250" s="48">
        <v>20190104</v>
      </c>
      <c r="B250" s="48" t="s">
        <v>88</v>
      </c>
      <c r="C250" s="49">
        <v>37600</v>
      </c>
      <c r="D250" s="49">
        <v>37450</v>
      </c>
      <c r="E250" s="49">
        <v>5969782550</v>
      </c>
      <c r="F250" s="49">
        <f t="shared" si="56"/>
        <v>0.17115977220739101</v>
      </c>
      <c r="G250" s="49">
        <f t="shared" si="71"/>
        <v>0.17115977220739101</v>
      </c>
      <c r="H250" s="48">
        <v>210500</v>
      </c>
      <c r="I250" s="48">
        <v>220000</v>
      </c>
      <c r="J250" s="51">
        <v>125456133</v>
      </c>
      <c r="K250" s="48">
        <f t="shared" si="58"/>
        <v>1.41660661284511</v>
      </c>
      <c r="L250" s="48">
        <f t="shared" si="72"/>
        <v>1.41660661284511</v>
      </c>
      <c r="M250" s="49">
        <v>249400</v>
      </c>
      <c r="N250" s="49">
        <v>254200</v>
      </c>
      <c r="O250" s="49">
        <v>15956260</v>
      </c>
      <c r="P250" s="49">
        <f t="shared" si="60"/>
        <v>19.513552974471999</v>
      </c>
      <c r="Q250" s="49">
        <f t="shared" si="73"/>
        <v>19.513552974471999</v>
      </c>
      <c r="R250" s="48">
        <v>9750</v>
      </c>
      <c r="S250" s="48">
        <v>9810</v>
      </c>
      <c r="T250" s="48">
        <v>62100000</v>
      </c>
      <c r="U250" s="48">
        <f t="shared" ref="U250:U313" si="74">V249</f>
        <v>169.12764293390001</v>
      </c>
      <c r="V250" s="48">
        <f t="shared" ref="V250:V313" si="75">IF(B250="Y",ROUND(0.4*(C250*E250+H250*J250+M250*O250+R250*T250)/(R250*T250),17),IF(AB250=0,U250,ROUND(S249*T249*V249/AD249*(C250*E250+H250*J250+M250*O250+R250*T250)/(R250*T250),17)))</f>
        <v>169.12764293390001</v>
      </c>
      <c r="W250" s="49">
        <v>0</v>
      </c>
      <c r="X250" s="49">
        <v>0</v>
      </c>
      <c r="Y250" s="49">
        <v>0</v>
      </c>
      <c r="Z250" s="49">
        <f t="shared" si="62"/>
        <v>0</v>
      </c>
      <c r="AA250" s="49">
        <v>0</v>
      </c>
      <c r="AB250" s="82">
        <f t="shared" si="68"/>
        <v>0</v>
      </c>
      <c r="AC250" s="82">
        <f t="shared" si="69"/>
        <v>236041865637854.19</v>
      </c>
      <c r="AD250" s="81">
        <f t="shared" si="70"/>
        <v>259546032612625.19</v>
      </c>
      <c r="AE250" s="80">
        <f t="shared" si="54"/>
        <v>1099.5762633516554</v>
      </c>
      <c r="AF250" s="52">
        <f t="shared" si="64"/>
        <v>1.4302467436529359E-2</v>
      </c>
      <c r="AG250" s="48">
        <f t="shared" si="55"/>
        <v>-3.9893617021276593E-3</v>
      </c>
      <c r="AH250" s="48">
        <f t="shared" si="65"/>
        <v>4.5130641330166268E-2</v>
      </c>
      <c r="AI250" s="48">
        <f t="shared" si="66"/>
        <v>1.9246190858059342E-2</v>
      </c>
      <c r="AJ250" s="48" t="e">
        <f t="shared" si="67"/>
        <v>#DIV/0!</v>
      </c>
    </row>
    <row r="251" spans="1:36" x14ac:dyDescent="0.3">
      <c r="A251" s="48">
        <v>20190107</v>
      </c>
      <c r="B251" s="48" t="s">
        <v>88</v>
      </c>
      <c r="C251" s="49">
        <v>37450</v>
      </c>
      <c r="D251" s="49">
        <v>38750</v>
      </c>
      <c r="E251" s="49">
        <v>5969782550</v>
      </c>
      <c r="F251" s="49">
        <f t="shared" si="56"/>
        <v>0.17115977220739101</v>
      </c>
      <c r="G251" s="49">
        <f t="shared" si="71"/>
        <v>0.17115977220739101</v>
      </c>
      <c r="H251" s="48">
        <v>220000</v>
      </c>
      <c r="I251" s="48">
        <v>216000</v>
      </c>
      <c r="J251" s="51">
        <v>125456133</v>
      </c>
      <c r="K251" s="48">
        <f t="shared" si="58"/>
        <v>1.41660661284511</v>
      </c>
      <c r="L251" s="48">
        <f t="shared" si="72"/>
        <v>1.41660661284511</v>
      </c>
      <c r="M251" s="49">
        <v>254200</v>
      </c>
      <c r="N251" s="49">
        <v>255400</v>
      </c>
      <c r="O251" s="49">
        <v>15956260</v>
      </c>
      <c r="P251" s="49">
        <f t="shared" si="60"/>
        <v>19.513552974471999</v>
      </c>
      <c r="Q251" s="49">
        <f t="shared" si="73"/>
        <v>19.513552974471999</v>
      </c>
      <c r="R251" s="48">
        <v>9810</v>
      </c>
      <c r="S251" s="48">
        <v>9975</v>
      </c>
      <c r="T251" s="48">
        <v>62100000</v>
      </c>
      <c r="U251" s="48">
        <f t="shared" si="74"/>
        <v>169.12764293390001</v>
      </c>
      <c r="V251" s="48">
        <f t="shared" si="75"/>
        <v>169.12764293390001</v>
      </c>
      <c r="W251" s="49">
        <v>0</v>
      </c>
      <c r="X251" s="49">
        <v>0</v>
      </c>
      <c r="Y251" s="49">
        <v>0</v>
      </c>
      <c r="Z251" s="49">
        <f t="shared" si="62"/>
        <v>0</v>
      </c>
      <c r="AA251" s="49">
        <v>0</v>
      </c>
      <c r="AB251" s="82">
        <f t="shared" si="68"/>
        <v>0</v>
      </c>
      <c r="AC251" s="82">
        <f t="shared" si="69"/>
        <v>236041865637854.19</v>
      </c>
      <c r="AD251" s="81">
        <f t="shared" si="70"/>
        <v>262270069652970.97</v>
      </c>
      <c r="AE251" s="80">
        <f t="shared" si="54"/>
        <v>1111.1167459392871</v>
      </c>
      <c r="AF251" s="52">
        <f t="shared" si="64"/>
        <v>1.0495390790316583E-2</v>
      </c>
      <c r="AG251" s="48">
        <f t="shared" si="55"/>
        <v>3.4712950600801068E-2</v>
      </c>
      <c r="AH251" s="48">
        <f t="shared" si="65"/>
        <v>-1.8181818181818181E-2</v>
      </c>
      <c r="AI251" s="48">
        <f t="shared" si="66"/>
        <v>4.7206923682140047E-3</v>
      </c>
      <c r="AJ251" s="48" t="e">
        <f t="shared" si="67"/>
        <v>#DIV/0!</v>
      </c>
    </row>
    <row r="252" spans="1:36" x14ac:dyDescent="0.3">
      <c r="A252" s="48">
        <v>20190108</v>
      </c>
      <c r="B252" s="48" t="s">
        <v>88</v>
      </c>
      <c r="C252" s="49">
        <v>38750</v>
      </c>
      <c r="D252" s="49">
        <v>38100</v>
      </c>
      <c r="E252" s="49">
        <v>5969782550</v>
      </c>
      <c r="F252" s="49">
        <f t="shared" si="56"/>
        <v>0.17115977220739101</v>
      </c>
      <c r="G252" s="49">
        <f t="shared" si="71"/>
        <v>0.17115977220739101</v>
      </c>
      <c r="H252" s="48">
        <v>216000</v>
      </c>
      <c r="I252" s="48">
        <v>213500</v>
      </c>
      <c r="J252" s="51">
        <v>125456133</v>
      </c>
      <c r="K252" s="48">
        <f t="shared" si="58"/>
        <v>1.41660661284511</v>
      </c>
      <c r="L252" s="48">
        <f t="shared" si="72"/>
        <v>1.41660661284511</v>
      </c>
      <c r="M252" s="49">
        <v>255400</v>
      </c>
      <c r="N252" s="49">
        <v>259800</v>
      </c>
      <c r="O252" s="49">
        <v>15956260</v>
      </c>
      <c r="P252" s="49">
        <f t="shared" si="60"/>
        <v>19.513552974471999</v>
      </c>
      <c r="Q252" s="49">
        <f t="shared" si="73"/>
        <v>19.513552974471999</v>
      </c>
      <c r="R252" s="48">
        <v>9975</v>
      </c>
      <c r="S252" s="48">
        <v>9920</v>
      </c>
      <c r="T252" s="48">
        <v>62100000</v>
      </c>
      <c r="U252" s="48">
        <f t="shared" si="74"/>
        <v>169.12764293390001</v>
      </c>
      <c r="V252" s="48">
        <f t="shared" si="75"/>
        <v>169.12764293390001</v>
      </c>
      <c r="W252" s="49">
        <v>0</v>
      </c>
      <c r="X252" s="49">
        <v>0</v>
      </c>
      <c r="Y252" s="49">
        <v>0</v>
      </c>
      <c r="Z252" s="49">
        <f t="shared" si="62"/>
        <v>0</v>
      </c>
      <c r="AA252" s="49">
        <v>0</v>
      </c>
      <c r="AB252" s="82">
        <f t="shared" si="68"/>
        <v>0</v>
      </c>
      <c r="AC252" s="82">
        <f t="shared" si="69"/>
        <v>236041865637854.19</v>
      </c>
      <c r="AD252" s="81">
        <f t="shared" si="70"/>
        <v>261953946544606.66</v>
      </c>
      <c r="AE252" s="80">
        <f t="shared" si="54"/>
        <v>1109.7774788244892</v>
      </c>
      <c r="AF252" s="52">
        <f t="shared" si="64"/>
        <v>-1.2053342906516039E-3</v>
      </c>
      <c r="AG252" s="48">
        <f t="shared" si="55"/>
        <v>-1.6774193548387096E-2</v>
      </c>
      <c r="AH252" s="48">
        <f t="shared" si="65"/>
        <v>-1.1574074074074073E-2</v>
      </c>
      <c r="AI252" s="48">
        <f t="shared" si="66"/>
        <v>1.7227877838684416E-2</v>
      </c>
      <c r="AJ252" s="48" t="e">
        <f t="shared" si="67"/>
        <v>#DIV/0!</v>
      </c>
    </row>
    <row r="253" spans="1:36" x14ac:dyDescent="0.3">
      <c r="A253" s="48">
        <v>20190109</v>
      </c>
      <c r="B253" s="48" t="s">
        <v>88</v>
      </c>
      <c r="C253" s="49">
        <v>38100</v>
      </c>
      <c r="D253" s="49">
        <v>39600</v>
      </c>
      <c r="E253" s="49">
        <v>5969782550</v>
      </c>
      <c r="F253" s="49">
        <f t="shared" si="56"/>
        <v>0.17115977220739101</v>
      </c>
      <c r="G253" s="49">
        <f t="shared" si="71"/>
        <v>0.17115977220739101</v>
      </c>
      <c r="H253" s="48">
        <v>213500</v>
      </c>
      <c r="I253" s="48">
        <v>214000</v>
      </c>
      <c r="J253" s="51">
        <v>125456133</v>
      </c>
      <c r="K253" s="48">
        <f t="shared" si="58"/>
        <v>1.41660661284511</v>
      </c>
      <c r="L253" s="48">
        <f t="shared" si="72"/>
        <v>1.41660661284511</v>
      </c>
      <c r="M253" s="49">
        <v>259800</v>
      </c>
      <c r="N253" s="49">
        <v>243700</v>
      </c>
      <c r="O253" s="49">
        <v>15956260</v>
      </c>
      <c r="P253" s="49">
        <f t="shared" si="60"/>
        <v>19.513552974471999</v>
      </c>
      <c r="Q253" s="49">
        <f t="shared" si="73"/>
        <v>19.513552974471999</v>
      </c>
      <c r="R253" s="48">
        <v>9920</v>
      </c>
      <c r="S253" s="48">
        <v>10145</v>
      </c>
      <c r="T253" s="48">
        <v>62100000</v>
      </c>
      <c r="U253" s="48">
        <f t="shared" si="74"/>
        <v>169.12764293390001</v>
      </c>
      <c r="V253" s="48">
        <f t="shared" si="75"/>
        <v>169.12764293390001</v>
      </c>
      <c r="W253" s="49">
        <v>0</v>
      </c>
      <c r="X253" s="49">
        <v>0</v>
      </c>
      <c r="Y253" s="49">
        <v>0</v>
      </c>
      <c r="Z253" s="49">
        <f t="shared" si="62"/>
        <v>0</v>
      </c>
      <c r="AA253" s="49">
        <v>0</v>
      </c>
      <c r="AB253" s="82">
        <f t="shared" si="68"/>
        <v>0</v>
      </c>
      <c r="AC253" s="82">
        <f t="shared" si="69"/>
        <v>236041865637854.19</v>
      </c>
      <c r="AD253" s="81">
        <f t="shared" si="70"/>
        <v>260925673932364.37</v>
      </c>
      <c r="AE253" s="80">
        <f t="shared" si="54"/>
        <v>1105.4211642806113</v>
      </c>
      <c r="AF253" s="52">
        <f t="shared" si="64"/>
        <v>-3.9253946191918458E-3</v>
      </c>
      <c r="AG253" s="48">
        <f t="shared" si="55"/>
        <v>3.937007874015748E-2</v>
      </c>
      <c r="AH253" s="48">
        <f t="shared" si="65"/>
        <v>2.34192037470726E-3</v>
      </c>
      <c r="AI253" s="48">
        <f t="shared" si="66"/>
        <v>-6.19707467282525E-2</v>
      </c>
      <c r="AJ253" s="48" t="e">
        <f t="shared" si="67"/>
        <v>#DIV/0!</v>
      </c>
    </row>
    <row r="254" spans="1:36" x14ac:dyDescent="0.3">
      <c r="A254" s="48">
        <v>20190110</v>
      </c>
      <c r="B254" s="48" t="s">
        <v>88</v>
      </c>
      <c r="C254" s="49">
        <v>39600</v>
      </c>
      <c r="D254" s="49">
        <v>39800</v>
      </c>
      <c r="E254" s="49">
        <v>5969782550</v>
      </c>
      <c r="F254" s="49">
        <f t="shared" si="56"/>
        <v>0.17115977220739101</v>
      </c>
      <c r="G254" s="49">
        <f t="shared" si="71"/>
        <v>0.17115977220739101</v>
      </c>
      <c r="H254" s="48">
        <v>214000</v>
      </c>
      <c r="I254" s="48">
        <v>216500</v>
      </c>
      <c r="J254" s="51">
        <v>125456133</v>
      </c>
      <c r="K254" s="48">
        <f t="shared" si="58"/>
        <v>1.41660661284511</v>
      </c>
      <c r="L254" s="48">
        <f t="shared" si="72"/>
        <v>1.41660661284511</v>
      </c>
      <c r="M254" s="49">
        <v>243700</v>
      </c>
      <c r="N254" s="49">
        <v>249300</v>
      </c>
      <c r="O254" s="49">
        <v>15956260</v>
      </c>
      <c r="P254" s="49">
        <f t="shared" si="60"/>
        <v>19.513552974471999</v>
      </c>
      <c r="Q254" s="49">
        <f t="shared" si="73"/>
        <v>19.513552974471999</v>
      </c>
      <c r="R254" s="48">
        <v>10145</v>
      </c>
      <c r="S254" s="48">
        <v>10125</v>
      </c>
      <c r="T254" s="48">
        <v>62100000</v>
      </c>
      <c r="U254" s="48">
        <f t="shared" si="74"/>
        <v>169.12764293390001</v>
      </c>
      <c r="V254" s="48">
        <f t="shared" si="75"/>
        <v>169.12764293390001</v>
      </c>
      <c r="W254" s="49">
        <v>0</v>
      </c>
      <c r="X254" s="49">
        <v>0</v>
      </c>
      <c r="Y254" s="49">
        <v>0</v>
      </c>
      <c r="Z254" s="49">
        <f t="shared" si="62"/>
        <v>0</v>
      </c>
      <c r="AA254" s="49">
        <v>0</v>
      </c>
      <c r="AB254" s="82">
        <f t="shared" si="68"/>
        <v>0</v>
      </c>
      <c r="AC254" s="82">
        <f t="shared" si="69"/>
        <v>236041865637854.19</v>
      </c>
      <c r="AD254" s="81">
        <f t="shared" si="70"/>
        <v>263107914311984.94</v>
      </c>
      <c r="AE254" s="80">
        <f t="shared" si="54"/>
        <v>1114.6663054919957</v>
      </c>
      <c r="AF254" s="52">
        <f t="shared" si="64"/>
        <v>8.3634559479426867E-3</v>
      </c>
      <c r="AG254" s="48">
        <f t="shared" si="55"/>
        <v>5.0505050505050509E-3</v>
      </c>
      <c r="AH254" s="48">
        <f t="shared" si="65"/>
        <v>1.1682242990654205E-2</v>
      </c>
      <c r="AI254" s="48">
        <f t="shared" si="66"/>
        <v>2.2979072630283134E-2</v>
      </c>
      <c r="AJ254" s="48" t="e">
        <f t="shared" si="67"/>
        <v>#DIV/0!</v>
      </c>
    </row>
    <row r="255" spans="1:36" x14ac:dyDescent="0.3">
      <c r="A255" s="48">
        <v>20190111</v>
      </c>
      <c r="B255" s="48" t="s">
        <v>88</v>
      </c>
      <c r="C255" s="49">
        <v>39800</v>
      </c>
      <c r="D255" s="49">
        <v>40500</v>
      </c>
      <c r="E255" s="49">
        <v>5969782550</v>
      </c>
      <c r="F255" s="49">
        <f t="shared" si="56"/>
        <v>0.17115977220739101</v>
      </c>
      <c r="G255" s="49">
        <f t="shared" si="71"/>
        <v>0.17115977220739101</v>
      </c>
      <c r="H255" s="48">
        <v>216500</v>
      </c>
      <c r="I255" s="48">
        <v>216500</v>
      </c>
      <c r="J255" s="51">
        <v>125456133</v>
      </c>
      <c r="K255" s="48">
        <f t="shared" si="58"/>
        <v>1.41660661284511</v>
      </c>
      <c r="L255" s="48">
        <f t="shared" si="72"/>
        <v>1.41660661284511</v>
      </c>
      <c r="M255" s="49">
        <v>249300</v>
      </c>
      <c r="N255" s="49">
        <v>248700</v>
      </c>
      <c r="O255" s="49">
        <v>15956260</v>
      </c>
      <c r="P255" s="49">
        <f t="shared" si="60"/>
        <v>19.513552974471999</v>
      </c>
      <c r="Q255" s="49">
        <f t="shared" si="73"/>
        <v>19.513552974471999</v>
      </c>
      <c r="R255" s="48">
        <v>10125</v>
      </c>
      <c r="S255" s="48">
        <v>10240</v>
      </c>
      <c r="T255" s="48">
        <v>62100000</v>
      </c>
      <c r="U255" s="48">
        <f t="shared" si="74"/>
        <v>169.12764293390001</v>
      </c>
      <c r="V255" s="48">
        <f t="shared" si="75"/>
        <v>169.12764293390001</v>
      </c>
      <c r="W255" s="49">
        <v>0</v>
      </c>
      <c r="X255" s="49">
        <v>0</v>
      </c>
      <c r="Y255" s="49">
        <v>0</v>
      </c>
      <c r="Z255" s="49">
        <f t="shared" si="62"/>
        <v>0</v>
      </c>
      <c r="AA255" s="49">
        <v>0</v>
      </c>
      <c r="AB255" s="82">
        <f t="shared" si="68"/>
        <v>0</v>
      </c>
      <c r="AC255" s="82">
        <f t="shared" si="69"/>
        <v>236041865637854.19</v>
      </c>
      <c r="AD255" s="81">
        <f t="shared" si="70"/>
        <v>264844172014096.69</v>
      </c>
      <c r="AE255" s="80">
        <f t="shared" si="54"/>
        <v>1122.0220247726404</v>
      </c>
      <c r="AF255" s="52">
        <f t="shared" si="64"/>
        <v>6.599032593344642E-3</v>
      </c>
      <c r="AG255" s="48">
        <f t="shared" si="55"/>
        <v>1.7587939698492462E-2</v>
      </c>
      <c r="AH255" s="48">
        <f t="shared" si="65"/>
        <v>0</v>
      </c>
      <c r="AI255" s="48">
        <f t="shared" si="66"/>
        <v>-2.4067388688327317E-3</v>
      </c>
      <c r="AJ255" s="48" t="e">
        <f t="shared" si="67"/>
        <v>#DIV/0!</v>
      </c>
    </row>
    <row r="256" spans="1:36" x14ac:dyDescent="0.3">
      <c r="A256" s="48">
        <v>20190114</v>
      </c>
      <c r="B256" s="48" t="s">
        <v>88</v>
      </c>
      <c r="C256" s="49">
        <v>40500</v>
      </c>
      <c r="D256" s="49">
        <v>40050</v>
      </c>
      <c r="E256" s="49">
        <v>5969782550</v>
      </c>
      <c r="F256" s="49">
        <f t="shared" si="56"/>
        <v>0.17115977220739101</v>
      </c>
      <c r="G256" s="49">
        <f t="shared" si="71"/>
        <v>0.17115977220739101</v>
      </c>
      <c r="H256" s="48">
        <v>216500</v>
      </c>
      <c r="I256" s="48">
        <v>211000</v>
      </c>
      <c r="J256" s="51">
        <v>125456133</v>
      </c>
      <c r="K256" s="48">
        <f t="shared" si="58"/>
        <v>1.41660661284511</v>
      </c>
      <c r="L256" s="48">
        <f t="shared" si="72"/>
        <v>1.41660661284511</v>
      </c>
      <c r="M256" s="49">
        <v>248700</v>
      </c>
      <c r="N256" s="49">
        <v>243800</v>
      </c>
      <c r="O256" s="49">
        <v>15956260</v>
      </c>
      <c r="P256" s="49">
        <f t="shared" si="60"/>
        <v>19.513552974471999</v>
      </c>
      <c r="Q256" s="49">
        <f t="shared" si="73"/>
        <v>19.513552974471999</v>
      </c>
      <c r="R256" s="48">
        <v>10240</v>
      </c>
      <c r="S256" s="48">
        <v>10200</v>
      </c>
      <c r="T256" s="48">
        <v>62100000</v>
      </c>
      <c r="U256" s="48">
        <f t="shared" si="74"/>
        <v>169.12764293390001</v>
      </c>
      <c r="V256" s="48">
        <f t="shared" si="75"/>
        <v>169.12764293390001</v>
      </c>
      <c r="W256" s="49">
        <v>0</v>
      </c>
      <c r="X256" s="49">
        <v>0</v>
      </c>
      <c r="Y256" s="49">
        <v>0</v>
      </c>
      <c r="Z256" s="49">
        <f t="shared" si="62"/>
        <v>0</v>
      </c>
      <c r="AA256" s="49">
        <v>0</v>
      </c>
      <c r="AB256" s="82">
        <f t="shared" si="68"/>
        <v>0</v>
      </c>
      <c r="AC256" s="82">
        <f t="shared" si="69"/>
        <v>236041865637854.19</v>
      </c>
      <c r="AD256" s="81">
        <f t="shared" si="70"/>
        <v>261461103746017.75</v>
      </c>
      <c r="AE256" s="80">
        <f t="shared" si="54"/>
        <v>1107.6895322762907</v>
      </c>
      <c r="AF256" s="52">
        <f t="shared" si="64"/>
        <v>-1.2773806734545994E-2</v>
      </c>
      <c r="AG256" s="48">
        <f t="shared" si="55"/>
        <v>-1.1111111111111112E-2</v>
      </c>
      <c r="AH256" s="48">
        <f t="shared" si="65"/>
        <v>-2.5404157043879907E-2</v>
      </c>
      <c r="AI256" s="48">
        <f t="shared" si="66"/>
        <v>-1.9702452754322478E-2</v>
      </c>
      <c r="AJ256" s="48" t="e">
        <f t="shared" si="67"/>
        <v>#DIV/0!</v>
      </c>
    </row>
    <row r="257" spans="1:36" x14ac:dyDescent="0.3">
      <c r="A257" s="48">
        <v>20190115</v>
      </c>
      <c r="B257" s="48" t="s">
        <v>88</v>
      </c>
      <c r="C257" s="49">
        <v>40050</v>
      </c>
      <c r="D257" s="49">
        <v>41100</v>
      </c>
      <c r="E257" s="49">
        <v>5969782550</v>
      </c>
      <c r="F257" s="49">
        <f t="shared" si="56"/>
        <v>0.17115977220739101</v>
      </c>
      <c r="G257" s="49">
        <f t="shared" si="71"/>
        <v>0.17115977220739101</v>
      </c>
      <c r="H257" s="48">
        <v>211000</v>
      </c>
      <c r="I257" s="48">
        <v>207500</v>
      </c>
      <c r="J257" s="51">
        <v>125456133</v>
      </c>
      <c r="K257" s="48">
        <f t="shared" si="58"/>
        <v>1.41660661284511</v>
      </c>
      <c r="L257" s="48">
        <f t="shared" si="72"/>
        <v>1.41660661284511</v>
      </c>
      <c r="M257" s="49">
        <v>243800</v>
      </c>
      <c r="N257" s="49">
        <v>247100</v>
      </c>
      <c r="O257" s="49">
        <v>15956260</v>
      </c>
      <c r="P257" s="49">
        <f t="shared" si="60"/>
        <v>19.513552974471999</v>
      </c>
      <c r="Q257" s="49">
        <f t="shared" si="73"/>
        <v>19.513552974471999</v>
      </c>
      <c r="R257" s="48">
        <v>10200</v>
      </c>
      <c r="S257" s="48">
        <v>10295</v>
      </c>
      <c r="T257" s="48">
        <v>62100000</v>
      </c>
      <c r="U257" s="48">
        <f t="shared" si="74"/>
        <v>169.12764293390001</v>
      </c>
      <c r="V257" s="48">
        <f t="shared" si="75"/>
        <v>169.12764293390001</v>
      </c>
      <c r="W257" s="49">
        <v>0</v>
      </c>
      <c r="X257" s="49">
        <v>0</v>
      </c>
      <c r="Y257" s="49">
        <v>0</v>
      </c>
      <c r="Z257" s="49">
        <f t="shared" si="62"/>
        <v>0</v>
      </c>
      <c r="AA257" s="49">
        <v>0</v>
      </c>
      <c r="AB257" s="82">
        <f t="shared" si="68"/>
        <v>0</v>
      </c>
      <c r="AC257" s="82">
        <f t="shared" si="69"/>
        <v>236041865637854.19</v>
      </c>
      <c r="AD257" s="81">
        <f t="shared" si="70"/>
        <v>263937220243045.75</v>
      </c>
      <c r="AE257" s="80">
        <f t="shared" si="54"/>
        <v>1118.1796904113182</v>
      </c>
      <c r="AF257" s="52">
        <f t="shared" si="64"/>
        <v>9.4703053783223405E-3</v>
      </c>
      <c r="AG257" s="48">
        <f t="shared" si="55"/>
        <v>2.6217228464419477E-2</v>
      </c>
      <c r="AH257" s="48">
        <f t="shared" si="65"/>
        <v>-1.6587677725118485E-2</v>
      </c>
      <c r="AI257" s="48">
        <f t="shared" si="66"/>
        <v>1.3535684987694831E-2</v>
      </c>
      <c r="AJ257" s="48" t="e">
        <f t="shared" si="67"/>
        <v>#DIV/0!</v>
      </c>
    </row>
    <row r="258" spans="1:36" x14ac:dyDescent="0.3">
      <c r="A258" s="48">
        <v>20190116</v>
      </c>
      <c r="B258" s="48" t="s">
        <v>88</v>
      </c>
      <c r="C258" s="49">
        <v>41100</v>
      </c>
      <c r="D258" s="49">
        <v>41450</v>
      </c>
      <c r="E258" s="49">
        <v>5969782550</v>
      </c>
      <c r="F258" s="49">
        <f t="shared" si="56"/>
        <v>0.17115977220739101</v>
      </c>
      <c r="G258" s="49">
        <f t="shared" si="71"/>
        <v>0.17115977220739101</v>
      </c>
      <c r="H258" s="48">
        <v>207500</v>
      </c>
      <c r="I258" s="48">
        <v>202000</v>
      </c>
      <c r="J258" s="51">
        <v>125456133</v>
      </c>
      <c r="K258" s="48">
        <f t="shared" si="58"/>
        <v>1.41660661284511</v>
      </c>
      <c r="L258" s="48">
        <f t="shared" si="72"/>
        <v>1.41660661284511</v>
      </c>
      <c r="M258" s="49">
        <v>247100</v>
      </c>
      <c r="N258" s="49">
        <v>249200</v>
      </c>
      <c r="O258" s="49">
        <v>15956260</v>
      </c>
      <c r="P258" s="49">
        <f t="shared" si="60"/>
        <v>19.513552974471999</v>
      </c>
      <c r="Q258" s="49">
        <f t="shared" si="73"/>
        <v>19.513552974471999</v>
      </c>
      <c r="R258" s="48">
        <v>10295</v>
      </c>
      <c r="S258" s="48">
        <v>10400</v>
      </c>
      <c r="T258" s="48">
        <v>62100000</v>
      </c>
      <c r="U258" s="48">
        <f t="shared" si="74"/>
        <v>169.12764293390001</v>
      </c>
      <c r="V258" s="48">
        <f t="shared" si="75"/>
        <v>169.12764293390001</v>
      </c>
      <c r="W258" s="49">
        <v>0</v>
      </c>
      <c r="X258" s="49">
        <v>0</v>
      </c>
      <c r="Y258" s="49">
        <v>0</v>
      </c>
      <c r="Z258" s="49">
        <f t="shared" si="62"/>
        <v>0</v>
      </c>
      <c r="AA258" s="49">
        <v>0</v>
      </c>
      <c r="AB258" s="82">
        <f t="shared" si="68"/>
        <v>0</v>
      </c>
      <c r="AC258" s="82">
        <f t="shared" si="69"/>
        <v>236041865637854.19</v>
      </c>
      <c r="AD258" s="81">
        <f t="shared" si="70"/>
        <v>265074034406364.75</v>
      </c>
      <c r="AE258" s="80">
        <f t="shared" si="54"/>
        <v>1122.9958452076166</v>
      </c>
      <c r="AF258" s="52">
        <f t="shared" si="64"/>
        <v>4.3071385016184667E-3</v>
      </c>
      <c r="AG258" s="48">
        <f t="shared" si="55"/>
        <v>8.5158150851581509E-3</v>
      </c>
      <c r="AH258" s="48">
        <f t="shared" si="65"/>
        <v>-2.6506024096385541E-2</v>
      </c>
      <c r="AI258" s="48">
        <f t="shared" si="66"/>
        <v>8.4985835694051E-3</v>
      </c>
      <c r="AJ258" s="48" t="e">
        <f t="shared" si="67"/>
        <v>#DIV/0!</v>
      </c>
    </row>
    <row r="259" spans="1:36" x14ac:dyDescent="0.3">
      <c r="A259" s="48">
        <v>20190117</v>
      </c>
      <c r="B259" s="48" t="s">
        <v>88</v>
      </c>
      <c r="C259" s="49">
        <v>41450</v>
      </c>
      <c r="D259" s="49">
        <v>41950</v>
      </c>
      <c r="E259" s="49">
        <v>5969782550</v>
      </c>
      <c r="F259" s="49">
        <f t="shared" si="56"/>
        <v>0.17115977220739101</v>
      </c>
      <c r="G259" s="49">
        <f t="shared" si="71"/>
        <v>0.17115977220739101</v>
      </c>
      <c r="H259" s="48">
        <v>202000</v>
      </c>
      <c r="I259" s="48">
        <v>195500</v>
      </c>
      <c r="J259" s="51">
        <v>125456133</v>
      </c>
      <c r="K259" s="48">
        <f t="shared" si="58"/>
        <v>1.41660661284511</v>
      </c>
      <c r="L259" s="48">
        <f t="shared" si="72"/>
        <v>1.41660661284511</v>
      </c>
      <c r="M259" s="49">
        <v>249200</v>
      </c>
      <c r="N259" s="49">
        <v>255100</v>
      </c>
      <c r="O259" s="49">
        <v>15956260</v>
      </c>
      <c r="P259" s="49">
        <f t="shared" si="60"/>
        <v>19.513552974471999</v>
      </c>
      <c r="Q259" s="49">
        <f t="shared" si="73"/>
        <v>19.513552974471999</v>
      </c>
      <c r="R259" s="48">
        <v>10400</v>
      </c>
      <c r="S259" s="48">
        <v>10410</v>
      </c>
      <c r="T259" s="48">
        <v>62100000</v>
      </c>
      <c r="U259" s="48">
        <f t="shared" si="74"/>
        <v>169.12764293390001</v>
      </c>
      <c r="V259" s="48">
        <f t="shared" si="75"/>
        <v>169.12764293390001</v>
      </c>
      <c r="W259" s="49">
        <v>0</v>
      </c>
      <c r="X259" s="49">
        <v>0</v>
      </c>
      <c r="Y259" s="49">
        <v>0</v>
      </c>
      <c r="Z259" s="49">
        <f t="shared" si="62"/>
        <v>0</v>
      </c>
      <c r="AA259" s="49">
        <v>0</v>
      </c>
      <c r="AB259" s="82">
        <f t="shared" si="68"/>
        <v>0</v>
      </c>
      <c r="AC259" s="82">
        <f t="shared" si="69"/>
        <v>236041865637854.19</v>
      </c>
      <c r="AD259" s="81">
        <f t="shared" si="70"/>
        <v>266371806679954.25</v>
      </c>
      <c r="AE259" s="80">
        <f t="shared" si="54"/>
        <v>1128.4939049271607</v>
      </c>
      <c r="AF259" s="52">
        <f t="shared" si="64"/>
        <v>4.8958860738505666E-3</v>
      </c>
      <c r="AG259" s="48">
        <f t="shared" si="55"/>
        <v>1.2062726176115802E-2</v>
      </c>
      <c r="AH259" s="48">
        <f t="shared" si="65"/>
        <v>-3.2178217821782179E-2</v>
      </c>
      <c r="AI259" s="48">
        <f t="shared" si="66"/>
        <v>2.3675762439807384E-2</v>
      </c>
      <c r="AJ259" s="48" t="e">
        <f t="shared" si="67"/>
        <v>#DIV/0!</v>
      </c>
    </row>
    <row r="260" spans="1:36" x14ac:dyDescent="0.3">
      <c r="A260" s="48">
        <v>20190118</v>
      </c>
      <c r="B260" s="48" t="s">
        <v>88</v>
      </c>
      <c r="C260" s="49">
        <v>41950</v>
      </c>
      <c r="D260" s="49">
        <v>42300</v>
      </c>
      <c r="E260" s="49">
        <v>5969782550</v>
      </c>
      <c r="F260" s="49">
        <f t="shared" si="56"/>
        <v>0.17115977220739101</v>
      </c>
      <c r="G260" s="49">
        <f t="shared" si="71"/>
        <v>0.17115977220739101</v>
      </c>
      <c r="H260" s="48">
        <v>195500</v>
      </c>
      <c r="I260" s="48">
        <v>201000</v>
      </c>
      <c r="J260" s="51">
        <v>125456133</v>
      </c>
      <c r="K260" s="48">
        <f t="shared" si="58"/>
        <v>1.41660661284511</v>
      </c>
      <c r="L260" s="48">
        <f t="shared" si="72"/>
        <v>1.41660661284511</v>
      </c>
      <c r="M260" s="49">
        <v>255100</v>
      </c>
      <c r="N260" s="49">
        <v>261000</v>
      </c>
      <c r="O260" s="49">
        <v>15956260</v>
      </c>
      <c r="P260" s="49">
        <f t="shared" si="60"/>
        <v>19.513552974471999</v>
      </c>
      <c r="Q260" s="49">
        <f t="shared" si="73"/>
        <v>19.513552974471999</v>
      </c>
      <c r="R260" s="48">
        <v>10410</v>
      </c>
      <c r="S260" s="48">
        <v>10470</v>
      </c>
      <c r="T260" s="48">
        <v>62100000</v>
      </c>
      <c r="U260" s="48">
        <f t="shared" si="74"/>
        <v>169.12764293390001</v>
      </c>
      <c r="V260" s="48">
        <f t="shared" si="75"/>
        <v>169.12764293390001</v>
      </c>
      <c r="W260" s="49">
        <v>0</v>
      </c>
      <c r="X260" s="49">
        <v>0</v>
      </c>
      <c r="Y260" s="49">
        <v>0</v>
      </c>
      <c r="Z260" s="49">
        <f t="shared" si="62"/>
        <v>0</v>
      </c>
      <c r="AA260" s="49">
        <v>0</v>
      </c>
      <c r="AB260" s="82">
        <f t="shared" si="68"/>
        <v>0</v>
      </c>
      <c r="AC260" s="82">
        <f t="shared" si="69"/>
        <v>236041865637854.19</v>
      </c>
      <c r="AD260" s="81">
        <f t="shared" si="70"/>
        <v>270174116143202.94</v>
      </c>
      <c r="AE260" s="80">
        <f t="shared" ref="AE260:AE323" si="76">AD260/AC260*1000</f>
        <v>1144.6025280859117</v>
      </c>
      <c r="AF260" s="52">
        <f t="shared" si="64"/>
        <v>1.4274444096169715E-2</v>
      </c>
      <c r="AG260" s="48">
        <f t="shared" ref="AG260:AG323" si="77">(D260-C260)/C260</f>
        <v>8.3432657926102508E-3</v>
      </c>
      <c r="AH260" s="48">
        <f t="shared" si="65"/>
        <v>2.8132992327365727E-2</v>
      </c>
      <c r="AI260" s="48">
        <f t="shared" si="66"/>
        <v>2.3128185025480204E-2</v>
      </c>
      <c r="AJ260" s="48" t="e">
        <f t="shared" si="67"/>
        <v>#DIV/0!</v>
      </c>
    </row>
    <row r="261" spans="1:36" x14ac:dyDescent="0.3">
      <c r="A261" s="48">
        <v>20190121</v>
      </c>
      <c r="B261" s="48" t="s">
        <v>88</v>
      </c>
      <c r="C261" s="49">
        <v>42300</v>
      </c>
      <c r="D261" s="49">
        <v>42750</v>
      </c>
      <c r="E261" s="49">
        <v>5969782550</v>
      </c>
      <c r="F261" s="49">
        <f t="shared" ref="F261:F324" si="78">G260</f>
        <v>0.17115977220739101</v>
      </c>
      <c r="G261" s="49">
        <f t="shared" si="71"/>
        <v>0.17115977220739101</v>
      </c>
      <c r="H261" s="48">
        <v>201000</v>
      </c>
      <c r="I261" s="48">
        <v>198000</v>
      </c>
      <c r="J261" s="51">
        <v>125456133</v>
      </c>
      <c r="K261" s="48">
        <f t="shared" ref="K261:K324" si="79">L260</f>
        <v>1.41660661284511</v>
      </c>
      <c r="L261" s="48">
        <f t="shared" si="72"/>
        <v>1.41660661284511</v>
      </c>
      <c r="M261" s="49">
        <v>261000</v>
      </c>
      <c r="N261" s="49">
        <v>257000</v>
      </c>
      <c r="O261" s="49">
        <v>15956260</v>
      </c>
      <c r="P261" s="49">
        <f t="shared" ref="P261:P324" si="80">Q260</f>
        <v>19.513552974471999</v>
      </c>
      <c r="Q261" s="49">
        <f t="shared" si="73"/>
        <v>19.513552974471999</v>
      </c>
      <c r="R261" s="48">
        <v>10470</v>
      </c>
      <c r="S261" s="48">
        <v>10505</v>
      </c>
      <c r="T261" s="48">
        <v>62100000</v>
      </c>
      <c r="U261" s="48">
        <f t="shared" si="74"/>
        <v>169.12764293390001</v>
      </c>
      <c r="V261" s="48">
        <f t="shared" si="75"/>
        <v>169.12764293390001</v>
      </c>
      <c r="W261" s="49">
        <v>0</v>
      </c>
      <c r="X261" s="49">
        <v>0</v>
      </c>
      <c r="Y261" s="49">
        <v>0</v>
      </c>
      <c r="Z261" s="49">
        <f t="shared" ref="Z261:Z324" si="81">AA260</f>
        <v>0</v>
      </c>
      <c r="AA261" s="49">
        <v>0</v>
      </c>
      <c r="AB261" s="82">
        <f t="shared" si="68"/>
        <v>0</v>
      </c>
      <c r="AC261" s="82">
        <f t="shared" si="69"/>
        <v>236041865637854.19</v>
      </c>
      <c r="AD261" s="81">
        <f t="shared" si="70"/>
        <v>269222899792716.22</v>
      </c>
      <c r="AE261" s="80">
        <f t="shared" si="76"/>
        <v>1140.5726652142712</v>
      </c>
      <c r="AF261" s="52">
        <f t="shared" ref="AF261:AF324" si="82">(AE261-AE260)/AE260</f>
        <v>-3.5207530760739464E-3</v>
      </c>
      <c r="AG261" s="48">
        <f t="shared" si="77"/>
        <v>1.0638297872340425E-2</v>
      </c>
      <c r="AH261" s="48">
        <f t="shared" ref="AH261:AH324" si="83">(I261-H261)/H261</f>
        <v>-1.4925373134328358E-2</v>
      </c>
      <c r="AI261" s="48">
        <f t="shared" ref="AI261:AI324" si="84">(N261-M261)/M261</f>
        <v>-1.532567049808429E-2</v>
      </c>
      <c r="AJ261" s="48" t="e">
        <f t="shared" ref="AJ261:AJ324" si="85">(X261-W261)/X261</f>
        <v>#DIV/0!</v>
      </c>
    </row>
    <row r="262" spans="1:36" x14ac:dyDescent="0.3">
      <c r="A262" s="48">
        <v>20190122</v>
      </c>
      <c r="B262" s="48" t="s">
        <v>88</v>
      </c>
      <c r="C262" s="49">
        <v>42750</v>
      </c>
      <c r="D262" s="49">
        <v>42150</v>
      </c>
      <c r="E262" s="49">
        <v>5969782550</v>
      </c>
      <c r="F262" s="49">
        <f t="shared" si="78"/>
        <v>0.17115977220739101</v>
      </c>
      <c r="G262" s="49">
        <f t="shared" si="71"/>
        <v>0.17115977220739101</v>
      </c>
      <c r="H262" s="48">
        <v>198000</v>
      </c>
      <c r="I262" s="48">
        <v>200000</v>
      </c>
      <c r="J262" s="51">
        <v>125456133</v>
      </c>
      <c r="K262" s="48">
        <f t="shared" si="79"/>
        <v>1.41660661284511</v>
      </c>
      <c r="L262" s="48">
        <f t="shared" si="72"/>
        <v>1.41660661284511</v>
      </c>
      <c r="M262" s="49">
        <v>257000</v>
      </c>
      <c r="N262" s="49">
        <v>257100</v>
      </c>
      <c r="O262" s="49">
        <v>15956260</v>
      </c>
      <c r="P262" s="49">
        <f t="shared" si="80"/>
        <v>19.513552974471999</v>
      </c>
      <c r="Q262" s="49">
        <f t="shared" si="73"/>
        <v>19.513552974471999</v>
      </c>
      <c r="R262" s="48">
        <v>10505</v>
      </c>
      <c r="S262" s="48">
        <v>10450</v>
      </c>
      <c r="T262" s="48">
        <v>62100000</v>
      </c>
      <c r="U262" s="48">
        <f t="shared" si="74"/>
        <v>169.12764293390001</v>
      </c>
      <c r="V262" s="48">
        <f t="shared" si="75"/>
        <v>169.12764293390001</v>
      </c>
      <c r="W262" s="49">
        <v>0</v>
      </c>
      <c r="X262" s="49">
        <v>0</v>
      </c>
      <c r="Y262" s="49">
        <v>0</v>
      </c>
      <c r="Z262" s="49">
        <f t="shared" si="81"/>
        <v>0</v>
      </c>
      <c r="AA262" s="49">
        <v>0</v>
      </c>
      <c r="AB262" s="82">
        <f t="shared" si="68"/>
        <v>0</v>
      </c>
      <c r="AC262" s="82">
        <f t="shared" si="69"/>
        <v>236041865637854.19</v>
      </c>
      <c r="AD262" s="81">
        <f t="shared" si="70"/>
        <v>268418752663182.06</v>
      </c>
      <c r="AE262" s="80">
        <f t="shared" si="76"/>
        <v>1137.1658664781185</v>
      </c>
      <c r="AF262" s="52">
        <f t="shared" si="82"/>
        <v>-2.9869195011022927E-3</v>
      </c>
      <c r="AG262" s="48">
        <f t="shared" si="77"/>
        <v>-1.4035087719298246E-2</v>
      </c>
      <c r="AH262" s="48">
        <f t="shared" si="83"/>
        <v>1.0101010101010102E-2</v>
      </c>
      <c r="AI262" s="48">
        <f t="shared" si="84"/>
        <v>3.8910505836575878E-4</v>
      </c>
      <c r="AJ262" s="48" t="e">
        <f t="shared" si="85"/>
        <v>#DIV/0!</v>
      </c>
    </row>
    <row r="263" spans="1:36" x14ac:dyDescent="0.3">
      <c r="A263" s="48">
        <v>20190123</v>
      </c>
      <c r="B263" s="48" t="s">
        <v>88</v>
      </c>
      <c r="C263" s="49">
        <v>42150</v>
      </c>
      <c r="D263" s="49">
        <v>42000</v>
      </c>
      <c r="E263" s="49">
        <v>5969782550</v>
      </c>
      <c r="F263" s="49">
        <f t="shared" si="78"/>
        <v>0.17115977220739101</v>
      </c>
      <c r="G263" s="49">
        <f t="shared" si="71"/>
        <v>0.17115977220739101</v>
      </c>
      <c r="H263" s="48">
        <v>200000</v>
      </c>
      <c r="I263" s="48">
        <v>200000</v>
      </c>
      <c r="J263" s="51">
        <v>125456133</v>
      </c>
      <c r="K263" s="48">
        <f t="shared" si="79"/>
        <v>1.41660661284511</v>
      </c>
      <c r="L263" s="48">
        <f t="shared" si="72"/>
        <v>1.41660661284511</v>
      </c>
      <c r="M263" s="49">
        <v>257100</v>
      </c>
      <c r="N263" s="49">
        <v>251900</v>
      </c>
      <c r="O263" s="49">
        <v>15956260</v>
      </c>
      <c r="P263" s="49">
        <f t="shared" si="80"/>
        <v>19.513552974471999</v>
      </c>
      <c r="Q263" s="49">
        <f t="shared" si="73"/>
        <v>19.513552974471999</v>
      </c>
      <c r="R263" s="48">
        <v>10450</v>
      </c>
      <c r="S263" s="48">
        <v>10485</v>
      </c>
      <c r="T263" s="48">
        <v>62100000</v>
      </c>
      <c r="U263" s="48">
        <f t="shared" si="74"/>
        <v>169.12764293390001</v>
      </c>
      <c r="V263" s="48">
        <f t="shared" si="75"/>
        <v>169.12764293390001</v>
      </c>
      <c r="W263" s="49">
        <v>0</v>
      </c>
      <c r="X263" s="49">
        <v>0</v>
      </c>
      <c r="Y263" s="49">
        <v>0</v>
      </c>
      <c r="Z263" s="49">
        <f t="shared" si="81"/>
        <v>0</v>
      </c>
      <c r="AA263" s="49">
        <v>0</v>
      </c>
      <c r="AB263" s="82">
        <f t="shared" si="68"/>
        <v>0</v>
      </c>
      <c r="AC263" s="82">
        <f t="shared" si="69"/>
        <v>236041865637854.19</v>
      </c>
      <c r="AD263" s="81">
        <f t="shared" si="70"/>
        <v>267013994313011.94</v>
      </c>
      <c r="AE263" s="80">
        <f t="shared" si="76"/>
        <v>1131.2145563307679</v>
      </c>
      <c r="AF263" s="52">
        <f t="shared" si="82"/>
        <v>-5.2334583043564158E-3</v>
      </c>
      <c r="AG263" s="48">
        <f t="shared" si="77"/>
        <v>-3.5587188612099642E-3</v>
      </c>
      <c r="AH263" s="48">
        <f t="shared" si="83"/>
        <v>0</v>
      </c>
      <c r="AI263" s="48">
        <f t="shared" si="84"/>
        <v>-2.0225593154414623E-2</v>
      </c>
      <c r="AJ263" s="48" t="e">
        <f t="shared" si="85"/>
        <v>#DIV/0!</v>
      </c>
    </row>
    <row r="264" spans="1:36" x14ac:dyDescent="0.3">
      <c r="A264" s="48">
        <v>20190124</v>
      </c>
      <c r="B264" s="48" t="s">
        <v>88</v>
      </c>
      <c r="C264" s="49">
        <v>42000</v>
      </c>
      <c r="D264" s="49">
        <v>43050</v>
      </c>
      <c r="E264" s="49">
        <v>5969782550</v>
      </c>
      <c r="F264" s="49">
        <f t="shared" si="78"/>
        <v>0.17115977220739101</v>
      </c>
      <c r="G264" s="49">
        <f t="shared" si="71"/>
        <v>0.17115977220739101</v>
      </c>
      <c r="H264" s="48">
        <v>200000</v>
      </c>
      <c r="I264" s="48">
        <v>208000</v>
      </c>
      <c r="J264" s="51">
        <v>125456133</v>
      </c>
      <c r="K264" s="48">
        <f t="shared" si="79"/>
        <v>1.41660661284511</v>
      </c>
      <c r="L264" s="48">
        <f t="shared" si="72"/>
        <v>1.41660661284511</v>
      </c>
      <c r="M264" s="49">
        <v>251900</v>
      </c>
      <c r="N264" s="49">
        <v>261700</v>
      </c>
      <c r="O264" s="49">
        <v>15956260</v>
      </c>
      <c r="P264" s="49">
        <f t="shared" si="80"/>
        <v>19.513552974471999</v>
      </c>
      <c r="Q264" s="49">
        <f t="shared" si="73"/>
        <v>19.513552974471999</v>
      </c>
      <c r="R264" s="48">
        <v>10485</v>
      </c>
      <c r="S264" s="48">
        <v>10605</v>
      </c>
      <c r="T264" s="48">
        <v>62100000</v>
      </c>
      <c r="U264" s="48">
        <f t="shared" si="74"/>
        <v>169.12764293390001</v>
      </c>
      <c r="V264" s="48">
        <f t="shared" si="75"/>
        <v>169.12764293390001</v>
      </c>
      <c r="W264" s="49">
        <v>0</v>
      </c>
      <c r="X264" s="49">
        <v>0</v>
      </c>
      <c r="Y264" s="49">
        <v>0</v>
      </c>
      <c r="Z264" s="49">
        <f t="shared" si="81"/>
        <v>0</v>
      </c>
      <c r="AA264" s="49">
        <v>0</v>
      </c>
      <c r="AB264" s="82">
        <f t="shared" si="68"/>
        <v>0</v>
      </c>
      <c r="AC264" s="82">
        <f t="shared" si="69"/>
        <v>236041865637854.19</v>
      </c>
      <c r="AD264" s="81">
        <f t="shared" si="70"/>
        <v>273820345944536.09</v>
      </c>
      <c r="AE264" s="80">
        <f t="shared" si="76"/>
        <v>1160.0499140463637</v>
      </c>
      <c r="AF264" s="52">
        <f t="shared" si="82"/>
        <v>2.5490617632367471E-2</v>
      </c>
      <c r="AG264" s="48">
        <f t="shared" si="77"/>
        <v>2.5000000000000001E-2</v>
      </c>
      <c r="AH264" s="48">
        <f t="shared" si="83"/>
        <v>0.04</v>
      </c>
      <c r="AI264" s="48">
        <f t="shared" si="84"/>
        <v>3.8904327113934101E-2</v>
      </c>
      <c r="AJ264" s="48" t="e">
        <f t="shared" si="85"/>
        <v>#DIV/0!</v>
      </c>
    </row>
    <row r="265" spans="1:36" x14ac:dyDescent="0.3">
      <c r="A265" s="48">
        <v>20190125</v>
      </c>
      <c r="B265" s="48" t="s">
        <v>88</v>
      </c>
      <c r="C265" s="49">
        <v>43050</v>
      </c>
      <c r="D265" s="49">
        <v>44750</v>
      </c>
      <c r="E265" s="49">
        <v>5969782550</v>
      </c>
      <c r="F265" s="49">
        <f t="shared" si="78"/>
        <v>0.17115977220739101</v>
      </c>
      <c r="G265" s="49">
        <f t="shared" si="71"/>
        <v>0.17115977220739101</v>
      </c>
      <c r="H265" s="48">
        <v>208000</v>
      </c>
      <c r="I265" s="48">
        <v>208500</v>
      </c>
      <c r="J265" s="51">
        <v>125456133</v>
      </c>
      <c r="K265" s="48">
        <f t="shared" si="79"/>
        <v>1.41660661284511</v>
      </c>
      <c r="L265" s="48">
        <f t="shared" si="72"/>
        <v>1.41660661284511</v>
      </c>
      <c r="M265" s="49">
        <v>261700</v>
      </c>
      <c r="N265" s="49">
        <v>260300</v>
      </c>
      <c r="O265" s="49">
        <v>15956260</v>
      </c>
      <c r="P265" s="49">
        <f t="shared" si="80"/>
        <v>19.513552974471999</v>
      </c>
      <c r="Q265" s="49">
        <f t="shared" si="73"/>
        <v>19.513552974471999</v>
      </c>
      <c r="R265" s="48">
        <v>10605</v>
      </c>
      <c r="S265" s="48">
        <v>10820</v>
      </c>
      <c r="T265" s="48">
        <v>62100000</v>
      </c>
      <c r="U265" s="48">
        <f t="shared" si="74"/>
        <v>169.12764293390001</v>
      </c>
      <c r="V265" s="48">
        <f t="shared" si="75"/>
        <v>169.12764293390001</v>
      </c>
      <c r="W265" s="49">
        <v>0</v>
      </c>
      <c r="X265" s="49">
        <v>0</v>
      </c>
      <c r="Y265" s="49">
        <v>0</v>
      </c>
      <c r="Z265" s="49">
        <f t="shared" si="81"/>
        <v>0</v>
      </c>
      <c r="AA265" s="49">
        <v>0</v>
      </c>
      <c r="AB265" s="82">
        <f t="shared" si="68"/>
        <v>0</v>
      </c>
      <c r="AC265" s="82">
        <f t="shared" si="69"/>
        <v>236041865637854.19</v>
      </c>
      <c r="AD265" s="81">
        <f t="shared" si="70"/>
        <v>277468443264640.31</v>
      </c>
      <c r="AE265" s="80">
        <f t="shared" si="76"/>
        <v>1175.505211818418</v>
      </c>
      <c r="AF265" s="52">
        <f t="shared" si="82"/>
        <v>1.332295928383357E-2</v>
      </c>
      <c r="AG265" s="48">
        <f t="shared" si="77"/>
        <v>3.9488966318234613E-2</v>
      </c>
      <c r="AH265" s="48">
        <f t="shared" si="83"/>
        <v>2.403846153846154E-3</v>
      </c>
      <c r="AI265" s="48">
        <f t="shared" si="84"/>
        <v>-5.349636988918609E-3</v>
      </c>
      <c r="AJ265" s="48" t="e">
        <f t="shared" si="85"/>
        <v>#DIV/0!</v>
      </c>
    </row>
    <row r="266" spans="1:36" x14ac:dyDescent="0.3">
      <c r="A266" s="48">
        <v>20190128</v>
      </c>
      <c r="B266" s="48" t="s">
        <v>88</v>
      </c>
      <c r="C266" s="49">
        <v>44750</v>
      </c>
      <c r="D266" s="49">
        <v>45050</v>
      </c>
      <c r="E266" s="49">
        <v>5969782550</v>
      </c>
      <c r="F266" s="49">
        <f t="shared" si="78"/>
        <v>0.17115977220739101</v>
      </c>
      <c r="G266" s="49">
        <f t="shared" si="71"/>
        <v>0.17115977220739101</v>
      </c>
      <c r="H266" s="48">
        <v>208500</v>
      </c>
      <c r="I266" s="48">
        <v>211000</v>
      </c>
      <c r="J266" s="51">
        <v>125456133</v>
      </c>
      <c r="K266" s="48">
        <f t="shared" si="79"/>
        <v>1.41660661284511</v>
      </c>
      <c r="L266" s="48">
        <f t="shared" si="72"/>
        <v>1.41660661284511</v>
      </c>
      <c r="M266" s="49">
        <v>260300</v>
      </c>
      <c r="N266" s="49">
        <v>262700</v>
      </c>
      <c r="O266" s="49">
        <v>15956260</v>
      </c>
      <c r="P266" s="49">
        <f t="shared" si="80"/>
        <v>19.513552974471999</v>
      </c>
      <c r="Q266" s="49">
        <f t="shared" si="73"/>
        <v>19.513552974471999</v>
      </c>
      <c r="R266" s="48">
        <v>10820</v>
      </c>
      <c r="S266" s="48">
        <v>10875</v>
      </c>
      <c r="T266" s="48">
        <v>62100000</v>
      </c>
      <c r="U266" s="48">
        <f t="shared" si="74"/>
        <v>169.12764293390001</v>
      </c>
      <c r="V266" s="48">
        <f t="shared" si="75"/>
        <v>169.12764293390001</v>
      </c>
      <c r="W266" s="49">
        <v>0</v>
      </c>
      <c r="X266" s="49">
        <v>0</v>
      </c>
      <c r="Y266" s="49">
        <v>0</v>
      </c>
      <c r="Z266" s="49">
        <f t="shared" si="81"/>
        <v>0</v>
      </c>
      <c r="AA266" s="49">
        <v>0</v>
      </c>
      <c r="AB266" s="82">
        <f t="shared" si="68"/>
        <v>0</v>
      </c>
      <c r="AC266" s="82">
        <f t="shared" si="69"/>
        <v>236041865637854.19</v>
      </c>
      <c r="AD266" s="81">
        <f t="shared" si="70"/>
        <v>279544211664053.87</v>
      </c>
      <c r="AE266" s="80">
        <f t="shared" si="76"/>
        <v>1184.2992805900919</v>
      </c>
      <c r="AF266" s="52">
        <f t="shared" si="82"/>
        <v>7.4810972195266832E-3</v>
      </c>
      <c r="AG266" s="48">
        <f t="shared" si="77"/>
        <v>6.7039106145251395E-3</v>
      </c>
      <c r="AH266" s="48">
        <f t="shared" si="83"/>
        <v>1.1990407673860911E-2</v>
      </c>
      <c r="AI266" s="48">
        <f t="shared" si="84"/>
        <v>9.2201306185170952E-3</v>
      </c>
      <c r="AJ266" s="48" t="e">
        <f t="shared" si="85"/>
        <v>#DIV/0!</v>
      </c>
    </row>
    <row r="267" spans="1:36" x14ac:dyDescent="0.3">
      <c r="A267" s="48">
        <v>20190129</v>
      </c>
      <c r="B267" s="48" t="s">
        <v>88</v>
      </c>
      <c r="C267" s="49">
        <v>45050</v>
      </c>
      <c r="D267" s="49">
        <v>45500</v>
      </c>
      <c r="E267" s="49">
        <v>5969782550</v>
      </c>
      <c r="F267" s="49">
        <f t="shared" si="78"/>
        <v>0.17115977220739101</v>
      </c>
      <c r="G267" s="49">
        <f t="shared" si="71"/>
        <v>0.17115977220739101</v>
      </c>
      <c r="H267" s="48">
        <v>211000</v>
      </c>
      <c r="I267" s="48">
        <v>210500</v>
      </c>
      <c r="J267" s="51">
        <v>125456133</v>
      </c>
      <c r="K267" s="48">
        <f t="shared" si="79"/>
        <v>1.41660661284511</v>
      </c>
      <c r="L267" s="48">
        <f t="shared" si="72"/>
        <v>1.41660661284511</v>
      </c>
      <c r="M267" s="49">
        <v>262700</v>
      </c>
      <c r="N267" s="49">
        <v>269900</v>
      </c>
      <c r="O267" s="49">
        <v>15956260</v>
      </c>
      <c r="P267" s="49">
        <f t="shared" si="80"/>
        <v>19.513552974471999</v>
      </c>
      <c r="Q267" s="49">
        <f t="shared" si="73"/>
        <v>19.513552974471999</v>
      </c>
      <c r="R267" s="48">
        <v>10875</v>
      </c>
      <c r="S267" s="48">
        <v>10875</v>
      </c>
      <c r="T267" s="48">
        <v>62100000</v>
      </c>
      <c r="U267" s="48">
        <f t="shared" si="74"/>
        <v>169.12764293390001</v>
      </c>
      <c r="V267" s="48">
        <f t="shared" si="75"/>
        <v>169.12764293390001</v>
      </c>
      <c r="W267" s="49">
        <v>0</v>
      </c>
      <c r="X267" s="49">
        <v>0</v>
      </c>
      <c r="Y267" s="49">
        <v>0</v>
      </c>
      <c r="Z267" s="49">
        <f t="shared" si="81"/>
        <v>0</v>
      </c>
      <c r="AA267" s="49">
        <v>0</v>
      </c>
      <c r="AB267" s="82">
        <f t="shared" si="68"/>
        <v>0</v>
      </c>
      <c r="AC267" s="82">
        <f t="shared" si="69"/>
        <v>236041865637854.19</v>
      </c>
      <c r="AD267" s="81">
        <f t="shared" si="70"/>
        <v>282156970588310.56</v>
      </c>
      <c r="AE267" s="80">
        <f t="shared" si="76"/>
        <v>1195.3683293675037</v>
      </c>
      <c r="AF267" s="52">
        <f t="shared" si="82"/>
        <v>9.3464962436661421E-3</v>
      </c>
      <c r="AG267" s="48">
        <f t="shared" si="77"/>
        <v>9.9889012208657056E-3</v>
      </c>
      <c r="AH267" s="48">
        <f t="shared" si="83"/>
        <v>-2.3696682464454978E-3</v>
      </c>
      <c r="AI267" s="48">
        <f t="shared" si="84"/>
        <v>2.7407689379520365E-2</v>
      </c>
      <c r="AJ267" s="48" t="e">
        <f t="shared" si="85"/>
        <v>#DIV/0!</v>
      </c>
    </row>
    <row r="268" spans="1:36" x14ac:dyDescent="0.3">
      <c r="A268" s="48">
        <v>20190130</v>
      </c>
      <c r="B268" s="48" t="s">
        <v>88</v>
      </c>
      <c r="C268" s="49">
        <v>45500</v>
      </c>
      <c r="D268" s="49">
        <v>46400</v>
      </c>
      <c r="E268" s="49">
        <v>5969782550</v>
      </c>
      <c r="F268" s="49">
        <f t="shared" si="78"/>
        <v>0.17115977220739101</v>
      </c>
      <c r="G268" s="49">
        <f t="shared" si="71"/>
        <v>0.17115977220739101</v>
      </c>
      <c r="H268" s="48">
        <v>210500</v>
      </c>
      <c r="I268" s="48">
        <v>215000</v>
      </c>
      <c r="J268" s="51">
        <v>125456133</v>
      </c>
      <c r="K268" s="48">
        <f t="shared" si="79"/>
        <v>1.41660661284511</v>
      </c>
      <c r="L268" s="48">
        <f t="shared" si="72"/>
        <v>1.41660661284511</v>
      </c>
      <c r="M268" s="49">
        <v>269900</v>
      </c>
      <c r="N268" s="49">
        <v>273500</v>
      </c>
      <c r="O268" s="49">
        <v>15956260</v>
      </c>
      <c r="P268" s="49">
        <f t="shared" si="80"/>
        <v>19.513552974471999</v>
      </c>
      <c r="Q268" s="49">
        <f t="shared" si="73"/>
        <v>19.513552974471999</v>
      </c>
      <c r="R268" s="48">
        <v>10875</v>
      </c>
      <c r="S268" s="48">
        <v>11020</v>
      </c>
      <c r="T268" s="48">
        <v>62100000</v>
      </c>
      <c r="U268" s="48">
        <f t="shared" si="74"/>
        <v>169.12764293390001</v>
      </c>
      <c r="V268" s="48">
        <f t="shared" si="75"/>
        <v>169.12764293390001</v>
      </c>
      <c r="W268" s="49">
        <v>0</v>
      </c>
      <c r="X268" s="49">
        <v>0</v>
      </c>
      <c r="Y268" s="49">
        <v>0</v>
      </c>
      <c r="Z268" s="49">
        <f t="shared" si="81"/>
        <v>0</v>
      </c>
      <c r="AA268" s="49">
        <v>0</v>
      </c>
      <c r="AB268" s="82">
        <f t="shared" si="68"/>
        <v>0</v>
      </c>
      <c r="AC268" s="82">
        <f t="shared" si="69"/>
        <v>236041865637854.19</v>
      </c>
      <c r="AD268" s="81">
        <f t="shared" si="70"/>
        <v>286520145321914</v>
      </c>
      <c r="AE268" s="80">
        <f t="shared" si="76"/>
        <v>1213.8530787648738</v>
      </c>
      <c r="AF268" s="52">
        <f t="shared" si="82"/>
        <v>1.5463643249734349E-2</v>
      </c>
      <c r="AG268" s="48">
        <f t="shared" si="77"/>
        <v>1.9780219780219779E-2</v>
      </c>
      <c r="AH268" s="48">
        <f t="shared" si="83"/>
        <v>2.1377672209026127E-2</v>
      </c>
      <c r="AI268" s="48">
        <f t="shared" si="84"/>
        <v>1.333827343460541E-2</v>
      </c>
      <c r="AJ268" s="48" t="e">
        <f t="shared" si="85"/>
        <v>#DIV/0!</v>
      </c>
    </row>
    <row r="269" spans="1:36" x14ac:dyDescent="0.3">
      <c r="A269" s="48">
        <v>20190131</v>
      </c>
      <c r="B269" s="48" t="s">
        <v>88</v>
      </c>
      <c r="C269" s="49">
        <v>46400</v>
      </c>
      <c r="D269" s="49">
        <v>46150</v>
      </c>
      <c r="E269" s="49">
        <v>5969782550</v>
      </c>
      <c r="F269" s="49">
        <f t="shared" si="78"/>
        <v>0.17115977220739101</v>
      </c>
      <c r="G269" s="49">
        <f t="shared" si="71"/>
        <v>0.17115977220739101</v>
      </c>
      <c r="H269" s="48">
        <v>215000</v>
      </c>
      <c r="I269" s="48">
        <v>219000</v>
      </c>
      <c r="J269" s="51">
        <v>125456133</v>
      </c>
      <c r="K269" s="48">
        <f t="shared" si="79"/>
        <v>1.41660661284511</v>
      </c>
      <c r="L269" s="48">
        <f t="shared" si="72"/>
        <v>1.41660661284511</v>
      </c>
      <c r="M269" s="49">
        <v>273500</v>
      </c>
      <c r="N269" s="49">
        <v>276000</v>
      </c>
      <c r="O269" s="49">
        <v>15956260</v>
      </c>
      <c r="P269" s="49">
        <f t="shared" si="80"/>
        <v>19.513552974471999</v>
      </c>
      <c r="Q269" s="49">
        <f t="shared" si="73"/>
        <v>19.513552974471999</v>
      </c>
      <c r="R269" s="48">
        <v>11020</v>
      </c>
      <c r="S269" s="48">
        <v>11045</v>
      </c>
      <c r="T269" s="48">
        <v>62100000</v>
      </c>
      <c r="U269" s="48">
        <f t="shared" si="74"/>
        <v>169.12764293390001</v>
      </c>
      <c r="V269" s="48">
        <f t="shared" si="75"/>
        <v>169.12764293390001</v>
      </c>
      <c r="W269" s="49">
        <v>0</v>
      </c>
      <c r="X269" s="49">
        <v>0</v>
      </c>
      <c r="Y269" s="49">
        <v>0</v>
      </c>
      <c r="Z269" s="49">
        <f t="shared" si="81"/>
        <v>0</v>
      </c>
      <c r="AA269" s="49">
        <v>0</v>
      </c>
      <c r="AB269" s="82">
        <f t="shared" si="68"/>
        <v>0</v>
      </c>
      <c r="AC269" s="82">
        <f t="shared" si="69"/>
        <v>236041865637854.19</v>
      </c>
      <c r="AD269" s="81">
        <f t="shared" si="70"/>
        <v>288016565594702.62</v>
      </c>
      <c r="AE269" s="80">
        <f t="shared" si="76"/>
        <v>1220.1927180010953</v>
      </c>
      <c r="AF269" s="52">
        <f t="shared" si="82"/>
        <v>5.2227401710528629E-3</v>
      </c>
      <c r="AG269" s="48">
        <f t="shared" si="77"/>
        <v>-5.387931034482759E-3</v>
      </c>
      <c r="AH269" s="48">
        <f t="shared" si="83"/>
        <v>1.8604651162790697E-2</v>
      </c>
      <c r="AI269" s="48">
        <f t="shared" si="84"/>
        <v>9.140767824497258E-3</v>
      </c>
      <c r="AJ269" s="48" t="e">
        <f t="shared" si="85"/>
        <v>#DIV/0!</v>
      </c>
    </row>
    <row r="270" spans="1:36" x14ac:dyDescent="0.3">
      <c r="A270" s="48">
        <v>20190201</v>
      </c>
      <c r="B270" s="48" t="s">
        <v>88</v>
      </c>
      <c r="C270" s="49">
        <v>46150</v>
      </c>
      <c r="D270" s="49">
        <v>46350</v>
      </c>
      <c r="E270" s="49">
        <v>5969782550</v>
      </c>
      <c r="F270" s="49">
        <f t="shared" si="78"/>
        <v>0.17115977220739101</v>
      </c>
      <c r="G270" s="49">
        <f t="shared" si="71"/>
        <v>0.17115977220739101</v>
      </c>
      <c r="H270" s="48">
        <v>219000</v>
      </c>
      <c r="I270" s="48">
        <v>214500</v>
      </c>
      <c r="J270" s="51">
        <v>125456133</v>
      </c>
      <c r="K270" s="48">
        <f t="shared" si="79"/>
        <v>1.41660661284511</v>
      </c>
      <c r="L270" s="48">
        <f t="shared" si="72"/>
        <v>1.41660661284511</v>
      </c>
      <c r="M270" s="49">
        <v>276000</v>
      </c>
      <c r="N270" s="49">
        <v>278200</v>
      </c>
      <c r="O270" s="49">
        <v>15956260</v>
      </c>
      <c r="P270" s="49">
        <f t="shared" si="80"/>
        <v>19.513552974471999</v>
      </c>
      <c r="Q270" s="49">
        <f t="shared" si="73"/>
        <v>19.513552974471999</v>
      </c>
      <c r="R270" s="48">
        <v>11045</v>
      </c>
      <c r="S270" s="48">
        <v>11030</v>
      </c>
      <c r="T270" s="48">
        <v>62100000</v>
      </c>
      <c r="U270" s="48">
        <f t="shared" si="74"/>
        <v>169.12764293390001</v>
      </c>
      <c r="V270" s="48">
        <f t="shared" si="75"/>
        <v>169.12764293390001</v>
      </c>
      <c r="W270" s="49">
        <v>0</v>
      </c>
      <c r="X270" s="49">
        <v>0</v>
      </c>
      <c r="Y270" s="49">
        <v>0</v>
      </c>
      <c r="Z270" s="49">
        <f t="shared" si="81"/>
        <v>0</v>
      </c>
      <c r="AA270" s="49">
        <v>0</v>
      </c>
      <c r="AB270" s="82">
        <f t="shared" si="68"/>
        <v>0</v>
      </c>
      <c r="AC270" s="82">
        <f t="shared" si="69"/>
        <v>236041865637854.19</v>
      </c>
      <c r="AD270" s="81">
        <f t="shared" si="70"/>
        <v>287948630889778.69</v>
      </c>
      <c r="AE270" s="80">
        <f t="shared" si="76"/>
        <v>1219.9049101381115</v>
      </c>
      <c r="AF270" s="52">
        <f t="shared" si="82"/>
        <v>-2.3587082494250409E-4</v>
      </c>
      <c r="AG270" s="48">
        <f t="shared" si="77"/>
        <v>4.3336944745395447E-3</v>
      </c>
      <c r="AH270" s="48">
        <f t="shared" si="83"/>
        <v>-2.0547945205479451E-2</v>
      </c>
      <c r="AI270" s="48">
        <f t="shared" si="84"/>
        <v>7.9710144927536229E-3</v>
      </c>
      <c r="AJ270" s="48" t="e">
        <f t="shared" si="85"/>
        <v>#DIV/0!</v>
      </c>
    </row>
    <row r="271" spans="1:36" x14ac:dyDescent="0.3">
      <c r="A271" s="48">
        <v>20190207</v>
      </c>
      <c r="B271" s="48" t="s">
        <v>88</v>
      </c>
      <c r="C271" s="49">
        <v>46350</v>
      </c>
      <c r="D271" s="49">
        <v>46200</v>
      </c>
      <c r="E271" s="49">
        <v>5969782550</v>
      </c>
      <c r="F271" s="49">
        <f t="shared" si="78"/>
        <v>0.17115977220739101</v>
      </c>
      <c r="G271" s="49">
        <f t="shared" si="71"/>
        <v>0.17115977220739101</v>
      </c>
      <c r="H271" s="48">
        <v>214500</v>
      </c>
      <c r="I271" s="48">
        <v>214000</v>
      </c>
      <c r="J271" s="51">
        <v>125456133</v>
      </c>
      <c r="K271" s="48">
        <f t="shared" si="79"/>
        <v>1.41660661284511</v>
      </c>
      <c r="L271" s="48">
        <f t="shared" si="72"/>
        <v>1.41660661284511</v>
      </c>
      <c r="M271" s="49">
        <v>278200</v>
      </c>
      <c r="N271" s="49">
        <v>288100</v>
      </c>
      <c r="O271" s="49">
        <v>15956260</v>
      </c>
      <c r="P271" s="49">
        <f t="shared" si="80"/>
        <v>19.513552974471999</v>
      </c>
      <c r="Q271" s="49">
        <f t="shared" si="73"/>
        <v>19.513552974471999</v>
      </c>
      <c r="R271" s="48">
        <v>11030</v>
      </c>
      <c r="S271" s="48">
        <v>11020</v>
      </c>
      <c r="T271" s="48">
        <v>62100000</v>
      </c>
      <c r="U271" s="48">
        <f t="shared" si="74"/>
        <v>169.12764293390001</v>
      </c>
      <c r="V271" s="48">
        <f t="shared" si="75"/>
        <v>169.12764293390001</v>
      </c>
      <c r="W271" s="49">
        <v>0</v>
      </c>
      <c r="X271" s="49">
        <v>0</v>
      </c>
      <c r="Y271" s="49">
        <v>0</v>
      </c>
      <c r="Z271" s="49">
        <f t="shared" si="81"/>
        <v>0</v>
      </c>
      <c r="AA271" s="49">
        <v>0</v>
      </c>
      <c r="AB271" s="82">
        <f t="shared" si="68"/>
        <v>0</v>
      </c>
      <c r="AC271" s="82">
        <f t="shared" si="69"/>
        <v>236041865637854.19</v>
      </c>
      <c r="AD271" s="81">
        <f t="shared" si="70"/>
        <v>290683970551860</v>
      </c>
      <c r="AE271" s="80">
        <f t="shared" si="76"/>
        <v>1231.4932766962625</v>
      </c>
      <c r="AF271" s="52">
        <f t="shared" si="82"/>
        <v>9.4994015204340476E-3</v>
      </c>
      <c r="AG271" s="48">
        <f t="shared" si="77"/>
        <v>-3.2362459546925568E-3</v>
      </c>
      <c r="AH271" s="48">
        <f t="shared" si="83"/>
        <v>-2.331002331002331E-3</v>
      </c>
      <c r="AI271" s="48">
        <f t="shared" si="84"/>
        <v>3.5585909417685122E-2</v>
      </c>
      <c r="AJ271" s="48" t="e">
        <f t="shared" si="85"/>
        <v>#DIV/0!</v>
      </c>
    </row>
    <row r="272" spans="1:36" x14ac:dyDescent="0.3">
      <c r="A272" s="48">
        <v>20190208</v>
      </c>
      <c r="B272" s="48" t="s">
        <v>88</v>
      </c>
      <c r="C272" s="49">
        <v>46200</v>
      </c>
      <c r="D272" s="49">
        <v>44800</v>
      </c>
      <c r="E272" s="49">
        <v>5969782550</v>
      </c>
      <c r="F272" s="49">
        <f t="shared" si="78"/>
        <v>0.17115977220739101</v>
      </c>
      <c r="G272" s="49">
        <f t="shared" si="71"/>
        <v>0.17115977220739101</v>
      </c>
      <c r="H272" s="48">
        <v>214000</v>
      </c>
      <c r="I272" s="48">
        <v>215000</v>
      </c>
      <c r="J272" s="51">
        <v>125456133</v>
      </c>
      <c r="K272" s="48">
        <f t="shared" si="79"/>
        <v>1.41660661284511</v>
      </c>
      <c r="L272" s="48">
        <f t="shared" si="72"/>
        <v>1.41660661284511</v>
      </c>
      <c r="M272" s="49">
        <v>288100</v>
      </c>
      <c r="N272" s="49">
        <v>289200</v>
      </c>
      <c r="O272" s="49">
        <v>15956260</v>
      </c>
      <c r="P272" s="49">
        <f t="shared" si="80"/>
        <v>19.513552974471999</v>
      </c>
      <c r="Q272" s="49">
        <f t="shared" si="73"/>
        <v>19.513552974471999</v>
      </c>
      <c r="R272" s="48">
        <v>11020</v>
      </c>
      <c r="S272" s="48">
        <v>10845</v>
      </c>
      <c r="T272" s="48">
        <v>62100000</v>
      </c>
      <c r="U272" s="48">
        <f t="shared" si="74"/>
        <v>169.12764293390001</v>
      </c>
      <c r="V272" s="48">
        <f t="shared" si="75"/>
        <v>169.12764293390001</v>
      </c>
      <c r="W272" s="49">
        <v>0</v>
      </c>
      <c r="X272" s="49">
        <v>0</v>
      </c>
      <c r="Y272" s="49">
        <v>0</v>
      </c>
      <c r="Z272" s="49">
        <f t="shared" si="81"/>
        <v>0</v>
      </c>
      <c r="AA272" s="49">
        <v>0</v>
      </c>
      <c r="AB272" s="82">
        <f t="shared" si="68"/>
        <v>0</v>
      </c>
      <c r="AC272" s="82">
        <f t="shared" si="69"/>
        <v>236041865637854.19</v>
      </c>
      <c r="AD272" s="81">
        <f t="shared" si="70"/>
        <v>287935696267228.62</v>
      </c>
      <c r="AE272" s="80">
        <f t="shared" si="76"/>
        <v>1219.8501121364302</v>
      </c>
      <c r="AF272" s="52">
        <f t="shared" si="82"/>
        <v>-9.4545092370032866E-3</v>
      </c>
      <c r="AG272" s="48">
        <f t="shared" si="77"/>
        <v>-3.0303030303030304E-2</v>
      </c>
      <c r="AH272" s="48">
        <f t="shared" si="83"/>
        <v>4.6728971962616819E-3</v>
      </c>
      <c r="AI272" s="48">
        <f t="shared" si="84"/>
        <v>3.8181187087816732E-3</v>
      </c>
      <c r="AJ272" s="48" t="e">
        <f t="shared" si="85"/>
        <v>#DIV/0!</v>
      </c>
    </row>
    <row r="273" spans="1:36" x14ac:dyDescent="0.3">
      <c r="A273" s="48">
        <v>20190211</v>
      </c>
      <c r="B273" s="48" t="s">
        <v>88</v>
      </c>
      <c r="C273" s="49">
        <v>44800</v>
      </c>
      <c r="D273" s="49">
        <v>45000</v>
      </c>
      <c r="E273" s="49">
        <v>5969782550</v>
      </c>
      <c r="F273" s="49">
        <f t="shared" si="78"/>
        <v>0.17115977220739101</v>
      </c>
      <c r="G273" s="49">
        <f t="shared" si="71"/>
        <v>0.17115977220739101</v>
      </c>
      <c r="H273" s="48">
        <v>215000</v>
      </c>
      <c r="I273" s="48">
        <v>215500</v>
      </c>
      <c r="J273" s="51">
        <v>125456133</v>
      </c>
      <c r="K273" s="48">
        <f t="shared" si="79"/>
        <v>1.41660661284511</v>
      </c>
      <c r="L273" s="48">
        <f t="shared" si="72"/>
        <v>1.41660661284511</v>
      </c>
      <c r="M273" s="49">
        <v>289200</v>
      </c>
      <c r="N273" s="49">
        <v>290000</v>
      </c>
      <c r="O273" s="49">
        <v>15956260</v>
      </c>
      <c r="P273" s="49">
        <f t="shared" si="80"/>
        <v>19.513552974471999</v>
      </c>
      <c r="Q273" s="49">
        <f t="shared" si="73"/>
        <v>19.513552974471999</v>
      </c>
      <c r="R273" s="48">
        <v>10845</v>
      </c>
      <c r="S273" s="48">
        <v>10775</v>
      </c>
      <c r="T273" s="48">
        <v>62100000</v>
      </c>
      <c r="U273" s="48">
        <f t="shared" si="74"/>
        <v>169.12764293390001</v>
      </c>
      <c r="V273" s="48">
        <f t="shared" si="75"/>
        <v>169.12764293390001</v>
      </c>
      <c r="W273" s="49">
        <v>0</v>
      </c>
      <c r="X273" s="49">
        <v>0</v>
      </c>
      <c r="Y273" s="49">
        <v>0</v>
      </c>
      <c r="Z273" s="49">
        <f t="shared" si="81"/>
        <v>0</v>
      </c>
      <c r="AA273" s="49">
        <v>0</v>
      </c>
      <c r="AB273" s="82">
        <f t="shared" si="68"/>
        <v>0</v>
      </c>
      <c r="AC273" s="82">
        <f t="shared" si="69"/>
        <v>236041865637854.19</v>
      </c>
      <c r="AD273" s="81">
        <f t="shared" si="70"/>
        <v>287742807381314.5</v>
      </c>
      <c r="AE273" s="80">
        <f t="shared" si="76"/>
        <v>1219.0329313138975</v>
      </c>
      <c r="AF273" s="52">
        <f t="shared" si="82"/>
        <v>-6.6990264984399686E-4</v>
      </c>
      <c r="AG273" s="48">
        <f t="shared" si="77"/>
        <v>4.464285714285714E-3</v>
      </c>
      <c r="AH273" s="48">
        <f t="shared" si="83"/>
        <v>2.3255813953488372E-3</v>
      </c>
      <c r="AI273" s="48">
        <f t="shared" si="84"/>
        <v>2.7662517289073307E-3</v>
      </c>
      <c r="AJ273" s="48" t="e">
        <f t="shared" si="85"/>
        <v>#DIV/0!</v>
      </c>
    </row>
    <row r="274" spans="1:36" x14ac:dyDescent="0.3">
      <c r="A274" s="48">
        <v>20190212</v>
      </c>
      <c r="B274" s="48" t="s">
        <v>88</v>
      </c>
      <c r="C274" s="49">
        <v>45000</v>
      </c>
      <c r="D274" s="49">
        <v>46050</v>
      </c>
      <c r="E274" s="49">
        <v>5969782550</v>
      </c>
      <c r="F274" s="49">
        <f t="shared" si="78"/>
        <v>0.17115977220739101</v>
      </c>
      <c r="G274" s="49">
        <f t="shared" si="71"/>
        <v>0.17115977220739101</v>
      </c>
      <c r="H274" s="48">
        <v>215500</v>
      </c>
      <c r="I274" s="48">
        <v>212500</v>
      </c>
      <c r="J274" s="51">
        <v>125456133</v>
      </c>
      <c r="K274" s="48">
        <f t="shared" si="79"/>
        <v>1.41660661284511</v>
      </c>
      <c r="L274" s="48">
        <f t="shared" si="72"/>
        <v>1.41660661284511</v>
      </c>
      <c r="M274" s="49">
        <v>290000</v>
      </c>
      <c r="N274" s="49">
        <v>279300</v>
      </c>
      <c r="O274" s="49">
        <v>15956260</v>
      </c>
      <c r="P274" s="49">
        <f t="shared" si="80"/>
        <v>19.513552974471999</v>
      </c>
      <c r="Q274" s="49">
        <f t="shared" si="73"/>
        <v>19.513552974471999</v>
      </c>
      <c r="R274" s="48">
        <v>10775</v>
      </c>
      <c r="S274" s="48">
        <v>10935</v>
      </c>
      <c r="T274" s="48">
        <v>62100000</v>
      </c>
      <c r="U274" s="48">
        <f t="shared" si="74"/>
        <v>169.12764293390001</v>
      </c>
      <c r="V274" s="48">
        <f t="shared" si="75"/>
        <v>169.12764293390001</v>
      </c>
      <c r="W274" s="49">
        <v>0</v>
      </c>
      <c r="X274" s="49">
        <v>0</v>
      </c>
      <c r="Y274" s="49">
        <v>0</v>
      </c>
      <c r="Z274" s="49">
        <f t="shared" si="81"/>
        <v>0</v>
      </c>
      <c r="AA274" s="49">
        <v>0</v>
      </c>
      <c r="AB274" s="82">
        <f t="shared" si="68"/>
        <v>0</v>
      </c>
      <c r="AC274" s="82">
        <f t="shared" si="69"/>
        <v>236041865637854.19</v>
      </c>
      <c r="AD274" s="81">
        <f t="shared" si="70"/>
        <v>286631382055877.75</v>
      </c>
      <c r="AE274" s="80">
        <f t="shared" si="76"/>
        <v>1214.3243372582058</v>
      </c>
      <c r="AF274" s="52">
        <f t="shared" si="82"/>
        <v>-3.8625650995471506E-3</v>
      </c>
      <c r="AG274" s="48">
        <f t="shared" si="77"/>
        <v>2.3333333333333334E-2</v>
      </c>
      <c r="AH274" s="48">
        <f t="shared" si="83"/>
        <v>-1.3921113689095127E-2</v>
      </c>
      <c r="AI274" s="48">
        <f t="shared" si="84"/>
        <v>-3.689655172413793E-2</v>
      </c>
      <c r="AJ274" s="48" t="e">
        <f t="shared" si="85"/>
        <v>#DIV/0!</v>
      </c>
    </row>
    <row r="275" spans="1:36" x14ac:dyDescent="0.3">
      <c r="A275" s="48">
        <v>20190213</v>
      </c>
      <c r="B275" s="48" t="s">
        <v>88</v>
      </c>
      <c r="C275" s="49">
        <v>46050</v>
      </c>
      <c r="D275" s="49">
        <v>46200</v>
      </c>
      <c r="E275" s="49">
        <v>5969782550</v>
      </c>
      <c r="F275" s="49">
        <f t="shared" si="78"/>
        <v>0.17115977220739101</v>
      </c>
      <c r="G275" s="49">
        <f t="shared" si="71"/>
        <v>0.17115977220739101</v>
      </c>
      <c r="H275" s="48">
        <v>212500</v>
      </c>
      <c r="I275" s="48">
        <v>212000</v>
      </c>
      <c r="J275" s="51">
        <v>125456133</v>
      </c>
      <c r="K275" s="48">
        <f t="shared" si="79"/>
        <v>1.41660661284511</v>
      </c>
      <c r="L275" s="48">
        <f t="shared" si="72"/>
        <v>1.41660661284511</v>
      </c>
      <c r="M275" s="49">
        <v>279300</v>
      </c>
      <c r="N275" s="49">
        <v>282600</v>
      </c>
      <c r="O275" s="49">
        <v>15956260</v>
      </c>
      <c r="P275" s="49">
        <f t="shared" si="80"/>
        <v>19.513552974471999</v>
      </c>
      <c r="Q275" s="49">
        <f t="shared" si="73"/>
        <v>19.513552974471999</v>
      </c>
      <c r="R275" s="48">
        <v>10935</v>
      </c>
      <c r="S275" s="48">
        <v>10990</v>
      </c>
      <c r="T275" s="48">
        <v>62100000</v>
      </c>
      <c r="U275" s="48">
        <f t="shared" si="74"/>
        <v>169.12764293390001</v>
      </c>
      <c r="V275" s="48">
        <f t="shared" si="75"/>
        <v>169.12764293390001</v>
      </c>
      <c r="W275" s="49">
        <v>0</v>
      </c>
      <c r="X275" s="49">
        <v>0</v>
      </c>
      <c r="Y275" s="49">
        <v>0</v>
      </c>
      <c r="Z275" s="49">
        <f t="shared" si="81"/>
        <v>0</v>
      </c>
      <c r="AA275" s="49">
        <v>0</v>
      </c>
      <c r="AB275" s="82">
        <f t="shared" si="68"/>
        <v>0</v>
      </c>
      <c r="AC275" s="82">
        <f t="shared" si="69"/>
        <v>236041865637854.19</v>
      </c>
      <c r="AD275" s="81">
        <f t="shared" si="70"/>
        <v>288300943491500.12</v>
      </c>
      <c r="AE275" s="80">
        <f t="shared" si="76"/>
        <v>1221.3974953656066</v>
      </c>
      <c r="AF275" s="52">
        <f t="shared" si="82"/>
        <v>5.8247684661999798E-3</v>
      </c>
      <c r="AG275" s="48">
        <f t="shared" si="77"/>
        <v>3.2573289902280132E-3</v>
      </c>
      <c r="AH275" s="48">
        <f t="shared" si="83"/>
        <v>-2.352941176470588E-3</v>
      </c>
      <c r="AI275" s="48">
        <f t="shared" si="84"/>
        <v>1.1815252416756176E-2</v>
      </c>
      <c r="AJ275" s="48" t="e">
        <f t="shared" si="85"/>
        <v>#DIV/0!</v>
      </c>
    </row>
    <row r="276" spans="1:36" s="47" customFormat="1" x14ac:dyDescent="0.3">
      <c r="A276" s="48">
        <v>20190214</v>
      </c>
      <c r="B276" s="48" t="s">
        <v>88</v>
      </c>
      <c r="C276" s="49">
        <v>46200</v>
      </c>
      <c r="D276" s="49">
        <v>47500</v>
      </c>
      <c r="E276" s="49">
        <v>5969782550</v>
      </c>
      <c r="F276" s="49">
        <f t="shared" si="78"/>
        <v>0.17115977220739101</v>
      </c>
      <c r="G276" s="49">
        <f t="shared" si="71"/>
        <v>0.17115977220739101</v>
      </c>
      <c r="H276" s="48">
        <v>212000</v>
      </c>
      <c r="I276" s="48">
        <v>210000</v>
      </c>
      <c r="J276" s="51">
        <v>125456133</v>
      </c>
      <c r="K276" s="48">
        <f t="shared" si="79"/>
        <v>1.41660661284511</v>
      </c>
      <c r="L276" s="48">
        <f t="shared" si="72"/>
        <v>1.41660661284511</v>
      </c>
      <c r="M276" s="49">
        <v>282600</v>
      </c>
      <c r="N276" s="49">
        <v>280000</v>
      </c>
      <c r="O276" s="49">
        <v>15956260</v>
      </c>
      <c r="P276" s="49">
        <f t="shared" si="80"/>
        <v>19.513552974471999</v>
      </c>
      <c r="Q276" s="49">
        <f t="shared" si="73"/>
        <v>19.513552974471999</v>
      </c>
      <c r="R276" s="48">
        <v>10990</v>
      </c>
      <c r="S276" s="48">
        <v>11090</v>
      </c>
      <c r="T276" s="48">
        <v>62100000</v>
      </c>
      <c r="U276" s="48">
        <f t="shared" si="74"/>
        <v>169.12764293390001</v>
      </c>
      <c r="V276" s="48">
        <f t="shared" si="75"/>
        <v>169.12764293390001</v>
      </c>
      <c r="W276" s="49">
        <v>0</v>
      </c>
      <c r="X276" s="49">
        <v>0</v>
      </c>
      <c r="Y276" s="49">
        <v>0</v>
      </c>
      <c r="Z276" s="49">
        <f t="shared" si="81"/>
        <v>0</v>
      </c>
      <c r="AA276" s="49">
        <v>0</v>
      </c>
      <c r="AB276" s="82">
        <f t="shared" si="68"/>
        <v>0</v>
      </c>
      <c r="AC276" s="82">
        <f t="shared" si="69"/>
        <v>236041865637854.19</v>
      </c>
      <c r="AD276" s="81">
        <f t="shared" si="70"/>
        <v>289514560142221.87</v>
      </c>
      <c r="AE276" s="80">
        <f t="shared" si="76"/>
        <v>1226.5390267098119</v>
      </c>
      <c r="AF276" s="52">
        <f t="shared" si="82"/>
        <v>4.2095479675650282E-3</v>
      </c>
      <c r="AG276" s="48">
        <f t="shared" si="77"/>
        <v>2.813852813852814E-2</v>
      </c>
      <c r="AH276" s="48">
        <f t="shared" si="83"/>
        <v>-9.433962264150943E-3</v>
      </c>
      <c r="AI276" s="48">
        <f t="shared" si="84"/>
        <v>-9.200283085633405E-3</v>
      </c>
      <c r="AJ276" s="48" t="e">
        <f t="shared" si="85"/>
        <v>#DIV/0!</v>
      </c>
    </row>
    <row r="277" spans="1:36" x14ac:dyDescent="0.3">
      <c r="A277" s="48">
        <v>20190215</v>
      </c>
      <c r="B277" s="48" t="s">
        <v>88</v>
      </c>
      <c r="C277" s="49">
        <v>47500</v>
      </c>
      <c r="D277" s="49">
        <v>46050</v>
      </c>
      <c r="E277" s="49">
        <v>5969782550</v>
      </c>
      <c r="F277" s="49">
        <f t="shared" si="78"/>
        <v>0.17115977220739101</v>
      </c>
      <c r="G277" s="49">
        <f t="shared" si="71"/>
        <v>0.17115977220739101</v>
      </c>
      <c r="H277" s="48">
        <v>210000</v>
      </c>
      <c r="I277" s="48">
        <v>209500</v>
      </c>
      <c r="J277" s="51">
        <v>125456133</v>
      </c>
      <c r="K277" s="48">
        <f t="shared" si="79"/>
        <v>1.41660661284511</v>
      </c>
      <c r="L277" s="48">
        <f t="shared" si="72"/>
        <v>1.41660661284511</v>
      </c>
      <c r="M277" s="49">
        <v>280000</v>
      </c>
      <c r="N277" s="49">
        <v>284700</v>
      </c>
      <c r="O277" s="49">
        <v>15956260</v>
      </c>
      <c r="P277" s="49">
        <f t="shared" si="80"/>
        <v>19.513552974471999</v>
      </c>
      <c r="Q277" s="49">
        <f t="shared" si="73"/>
        <v>19.513552974471999</v>
      </c>
      <c r="R277" s="48">
        <v>11090</v>
      </c>
      <c r="S277" s="48">
        <v>10945</v>
      </c>
      <c r="T277" s="48">
        <v>62100000</v>
      </c>
      <c r="U277" s="48">
        <f t="shared" si="74"/>
        <v>169.12764293390001</v>
      </c>
      <c r="V277" s="48">
        <f t="shared" si="75"/>
        <v>169.12764293390001</v>
      </c>
      <c r="W277" s="49">
        <v>0</v>
      </c>
      <c r="X277" s="49">
        <v>0</v>
      </c>
      <c r="Y277" s="49">
        <v>0</v>
      </c>
      <c r="Z277" s="49">
        <f t="shared" si="81"/>
        <v>0</v>
      </c>
      <c r="AA277" s="49">
        <v>0</v>
      </c>
      <c r="AB277" s="82">
        <f t="shared" si="68"/>
        <v>0</v>
      </c>
      <c r="AC277" s="82">
        <f t="shared" si="69"/>
        <v>236041865637854.19</v>
      </c>
      <c r="AD277" s="81">
        <f t="shared" si="70"/>
        <v>287884606313086.44</v>
      </c>
      <c r="AE277" s="80">
        <f t="shared" si="76"/>
        <v>1219.6336676764436</v>
      </c>
      <c r="AF277" s="52">
        <f t="shared" si="82"/>
        <v>-5.6299545982584206E-3</v>
      </c>
      <c r="AG277" s="48">
        <f t="shared" si="77"/>
        <v>-3.0526315789473683E-2</v>
      </c>
      <c r="AH277" s="48">
        <f t="shared" si="83"/>
        <v>-2.3809523809523812E-3</v>
      </c>
      <c r="AI277" s="48">
        <f t="shared" si="84"/>
        <v>1.6785714285714286E-2</v>
      </c>
      <c r="AJ277" s="48" t="e">
        <f t="shared" si="85"/>
        <v>#DIV/0!</v>
      </c>
    </row>
    <row r="278" spans="1:36" x14ac:dyDescent="0.3">
      <c r="A278" s="48">
        <v>20190218</v>
      </c>
      <c r="B278" s="48" t="s">
        <v>88</v>
      </c>
      <c r="C278" s="49">
        <v>46050</v>
      </c>
      <c r="D278" s="49">
        <v>46200</v>
      </c>
      <c r="E278" s="49">
        <v>5969782550</v>
      </c>
      <c r="F278" s="49">
        <f t="shared" si="78"/>
        <v>0.17115977220739101</v>
      </c>
      <c r="G278" s="49">
        <f t="shared" si="71"/>
        <v>0.17115977220739101</v>
      </c>
      <c r="H278" s="48">
        <v>209500</v>
      </c>
      <c r="I278" s="48">
        <v>212000</v>
      </c>
      <c r="J278" s="51">
        <v>125456133</v>
      </c>
      <c r="K278" s="48">
        <f t="shared" si="79"/>
        <v>1.41660661284511</v>
      </c>
      <c r="L278" s="48">
        <f t="shared" si="72"/>
        <v>1.41660661284511</v>
      </c>
      <c r="M278" s="49">
        <v>284700</v>
      </c>
      <c r="N278" s="49">
        <v>278700</v>
      </c>
      <c r="O278" s="49">
        <v>15956260</v>
      </c>
      <c r="P278" s="49">
        <f t="shared" si="80"/>
        <v>19.513552974471999</v>
      </c>
      <c r="Q278" s="49">
        <f t="shared" si="73"/>
        <v>19.513552974471999</v>
      </c>
      <c r="R278" s="48">
        <v>10945</v>
      </c>
      <c r="S278" s="48">
        <v>11015</v>
      </c>
      <c r="T278" s="48">
        <v>62100000</v>
      </c>
      <c r="U278" s="48">
        <f t="shared" si="74"/>
        <v>169.12764293390001</v>
      </c>
      <c r="V278" s="48">
        <f t="shared" si="75"/>
        <v>169.12764293390001</v>
      </c>
      <c r="W278" s="49">
        <v>0</v>
      </c>
      <c r="X278" s="49">
        <v>0</v>
      </c>
      <c r="Y278" s="49">
        <v>0</v>
      </c>
      <c r="Z278" s="49">
        <f t="shared" si="81"/>
        <v>0</v>
      </c>
      <c r="AA278" s="49">
        <v>0</v>
      </c>
      <c r="AB278" s="82">
        <f t="shared" si="68"/>
        <v>0</v>
      </c>
      <c r="AC278" s="82">
        <f t="shared" si="69"/>
        <v>236041865637854.19</v>
      </c>
      <c r="AD278" s="81">
        <f t="shared" si="70"/>
        <v>287349197190495.62</v>
      </c>
      <c r="AE278" s="80">
        <f t="shared" si="76"/>
        <v>1217.3653873392079</v>
      </c>
      <c r="AF278" s="52">
        <f t="shared" si="82"/>
        <v>-1.8598046260538204E-3</v>
      </c>
      <c r="AG278" s="48">
        <f t="shared" si="77"/>
        <v>3.2573289902280132E-3</v>
      </c>
      <c r="AH278" s="48">
        <f t="shared" si="83"/>
        <v>1.1933174224343675E-2</v>
      </c>
      <c r="AI278" s="48">
        <f t="shared" si="84"/>
        <v>-2.107481559536354E-2</v>
      </c>
      <c r="AJ278" s="48" t="e">
        <f t="shared" si="85"/>
        <v>#DIV/0!</v>
      </c>
    </row>
    <row r="279" spans="1:36" x14ac:dyDescent="0.3">
      <c r="A279" s="48">
        <v>20190219</v>
      </c>
      <c r="B279" s="48" t="s">
        <v>88</v>
      </c>
      <c r="C279" s="49">
        <v>46200</v>
      </c>
      <c r="D279" s="49">
        <v>45950</v>
      </c>
      <c r="E279" s="49">
        <v>5969782550</v>
      </c>
      <c r="F279" s="49">
        <f t="shared" si="78"/>
        <v>0.17115977220739101</v>
      </c>
      <c r="G279" s="49">
        <f t="shared" si="71"/>
        <v>0.17115977220739101</v>
      </c>
      <c r="H279" s="48">
        <v>212000</v>
      </c>
      <c r="I279" s="48">
        <v>215000</v>
      </c>
      <c r="J279" s="51">
        <v>125456133</v>
      </c>
      <c r="K279" s="48">
        <f t="shared" si="79"/>
        <v>1.41660661284511</v>
      </c>
      <c r="L279" s="48">
        <f t="shared" si="72"/>
        <v>1.41660661284511</v>
      </c>
      <c r="M279" s="49">
        <v>278700</v>
      </c>
      <c r="N279" s="49">
        <v>288300</v>
      </c>
      <c r="O279" s="49">
        <v>15956260</v>
      </c>
      <c r="P279" s="49">
        <f t="shared" si="80"/>
        <v>19.513552974471999</v>
      </c>
      <c r="Q279" s="49">
        <f t="shared" si="73"/>
        <v>19.513552974471999</v>
      </c>
      <c r="R279" s="48">
        <v>11015</v>
      </c>
      <c r="S279" s="48">
        <v>10975</v>
      </c>
      <c r="T279" s="48">
        <v>62100000</v>
      </c>
      <c r="U279" s="48">
        <f t="shared" si="74"/>
        <v>169.12764293390001</v>
      </c>
      <c r="V279" s="48">
        <f t="shared" si="75"/>
        <v>169.12764293390001</v>
      </c>
      <c r="W279" s="49">
        <v>0</v>
      </c>
      <c r="X279" s="49">
        <v>0</v>
      </c>
      <c r="Y279" s="49">
        <v>0</v>
      </c>
      <c r="Z279" s="49">
        <f t="shared" si="81"/>
        <v>0</v>
      </c>
      <c r="AA279" s="49">
        <v>0</v>
      </c>
      <c r="AB279" s="82">
        <f t="shared" si="68"/>
        <v>0</v>
      </c>
      <c r="AC279" s="82">
        <f t="shared" si="69"/>
        <v>236041865637854.19</v>
      </c>
      <c r="AD279" s="81">
        <f t="shared" si="70"/>
        <v>290195891350921.5</v>
      </c>
      <c r="AE279" s="80">
        <f t="shared" si="76"/>
        <v>1229.4255113037991</v>
      </c>
      <c r="AF279" s="52">
        <f t="shared" si="82"/>
        <v>9.9067413038175529E-3</v>
      </c>
      <c r="AG279" s="48">
        <f t="shared" si="77"/>
        <v>-5.411255411255411E-3</v>
      </c>
      <c r="AH279" s="48">
        <f t="shared" si="83"/>
        <v>1.4150943396226415E-2</v>
      </c>
      <c r="AI279" s="48">
        <f t="shared" si="84"/>
        <v>3.4445640473627553E-2</v>
      </c>
      <c r="AJ279" s="48" t="e">
        <f t="shared" si="85"/>
        <v>#DIV/0!</v>
      </c>
    </row>
    <row r="280" spans="1:36" s="73" customFormat="1" x14ac:dyDescent="0.3">
      <c r="A280" s="48">
        <v>20190220</v>
      </c>
      <c r="B280" s="48" t="s">
        <v>88</v>
      </c>
      <c r="C280" s="49">
        <v>45950</v>
      </c>
      <c r="D280" s="49">
        <v>46900</v>
      </c>
      <c r="E280" s="49">
        <v>5969782550</v>
      </c>
      <c r="F280" s="49">
        <f t="shared" si="78"/>
        <v>0.17115977220739101</v>
      </c>
      <c r="G280" s="49">
        <f t="shared" si="71"/>
        <v>0.180815846328331</v>
      </c>
      <c r="H280" s="48">
        <v>215000</v>
      </c>
      <c r="I280" s="48">
        <v>213500</v>
      </c>
      <c r="J280" s="51">
        <v>125461438</v>
      </c>
      <c r="K280" s="48">
        <f t="shared" si="79"/>
        <v>1.41660661284511</v>
      </c>
      <c r="L280" s="48">
        <f t="shared" si="72"/>
        <v>1.4964619869729701</v>
      </c>
      <c r="M280" s="49">
        <v>288300</v>
      </c>
      <c r="N280" s="49">
        <v>290600</v>
      </c>
      <c r="O280" s="49">
        <v>15956260</v>
      </c>
      <c r="P280" s="49">
        <f t="shared" si="80"/>
        <v>19.513552974471999</v>
      </c>
      <c r="Q280" s="49">
        <f t="shared" si="73"/>
        <v>20.6144209614665</v>
      </c>
      <c r="R280" s="48">
        <v>10975</v>
      </c>
      <c r="S280" s="48">
        <v>11090</v>
      </c>
      <c r="T280" s="48">
        <v>62100000</v>
      </c>
      <c r="U280" s="48">
        <f t="shared" si="74"/>
        <v>169.12764293390001</v>
      </c>
      <c r="V280" s="48">
        <f t="shared" si="75"/>
        <v>178.66907334717999</v>
      </c>
      <c r="W280" s="49">
        <v>0</v>
      </c>
      <c r="X280" s="49">
        <v>0</v>
      </c>
      <c r="Y280" s="49">
        <v>0</v>
      </c>
      <c r="Z280" s="49">
        <f t="shared" si="81"/>
        <v>0</v>
      </c>
      <c r="AA280" s="49">
        <v>0</v>
      </c>
      <c r="AB280" s="82">
        <f t="shared" ref="AB280:AB311" si="86">IF(AD279&lt;&gt;(C280*E280*F280+H280*J280*K280+M280*O280*P280+R280*T280*U280),1,0)</f>
        <v>1</v>
      </c>
      <c r="AC280" s="82">
        <f t="shared" ref="AC280:AC311" si="87">IF(AND(AB280=0,B280="N"),AC279,AC279*(C280*E280*G280+H280*J280*L280+M280*O280*Q280+R280*T280*V280)/AD279)</f>
        <v>249358299288410.66</v>
      </c>
      <c r="AD280" s="81">
        <f t="shared" ref="AD280:AD311" si="88">D280*E280*G280+I280*J280*L280+N280*O280*Q280+S280*T280*V280</f>
        <v>309343793937982.06</v>
      </c>
      <c r="AE280" s="80">
        <f t="shared" si="76"/>
        <v>1240.5594472722623</v>
      </c>
      <c r="AF280" s="52">
        <f t="shared" si="82"/>
        <v>9.056210291793718E-3</v>
      </c>
      <c r="AG280" s="48">
        <f t="shared" si="77"/>
        <v>2.0674646354733407E-2</v>
      </c>
      <c r="AH280" s="48">
        <f t="shared" si="83"/>
        <v>-6.9767441860465115E-3</v>
      </c>
      <c r="AI280" s="48">
        <f t="shared" si="84"/>
        <v>7.9778009018383628E-3</v>
      </c>
      <c r="AJ280" s="48" t="e">
        <f t="shared" si="85"/>
        <v>#DIV/0!</v>
      </c>
    </row>
    <row r="281" spans="1:36" x14ac:dyDescent="0.3">
      <c r="A281" s="48">
        <v>20190221</v>
      </c>
      <c r="B281" s="48" t="s">
        <v>88</v>
      </c>
      <c r="C281" s="49">
        <v>46900</v>
      </c>
      <c r="D281" s="49">
        <v>46950</v>
      </c>
      <c r="E281" s="49">
        <v>5969782550</v>
      </c>
      <c r="F281" s="49">
        <f t="shared" si="78"/>
        <v>0.180815846328331</v>
      </c>
      <c r="G281" s="49">
        <f t="shared" si="71"/>
        <v>0.180815846328331</v>
      </c>
      <c r="H281" s="48">
        <v>213500</v>
      </c>
      <c r="I281" s="48">
        <v>207500</v>
      </c>
      <c r="J281" s="51">
        <v>125461438</v>
      </c>
      <c r="K281" s="48">
        <f t="shared" si="79"/>
        <v>1.4964619869729701</v>
      </c>
      <c r="L281" s="48">
        <f t="shared" si="72"/>
        <v>1.4964619869729701</v>
      </c>
      <c r="M281" s="49">
        <v>290600</v>
      </c>
      <c r="N281" s="49">
        <v>287200</v>
      </c>
      <c r="O281" s="49">
        <v>15956260</v>
      </c>
      <c r="P281" s="49">
        <f t="shared" si="80"/>
        <v>20.6144209614665</v>
      </c>
      <c r="Q281" s="49">
        <f t="shared" si="73"/>
        <v>20.6144209614665</v>
      </c>
      <c r="R281" s="48">
        <v>11090</v>
      </c>
      <c r="S281" s="48">
        <v>11095</v>
      </c>
      <c r="T281" s="48">
        <v>62100000</v>
      </c>
      <c r="U281" s="48">
        <f t="shared" si="74"/>
        <v>178.66907334717999</v>
      </c>
      <c r="V281" s="48">
        <f t="shared" si="75"/>
        <v>178.66907334717999</v>
      </c>
      <c r="W281" s="49">
        <v>0</v>
      </c>
      <c r="X281" s="49">
        <v>0</v>
      </c>
      <c r="Y281" s="49">
        <v>0</v>
      </c>
      <c r="Z281" s="49">
        <f t="shared" si="81"/>
        <v>0</v>
      </c>
      <c r="AA281" s="49">
        <v>0</v>
      </c>
      <c r="AB281" s="82">
        <f t="shared" si="86"/>
        <v>0</v>
      </c>
      <c r="AC281" s="82">
        <f t="shared" si="87"/>
        <v>249358299288410.66</v>
      </c>
      <c r="AD281" s="81">
        <f t="shared" si="88"/>
        <v>307208393806601.12</v>
      </c>
      <c r="AE281" s="80">
        <f t="shared" si="76"/>
        <v>1231.9958657212383</v>
      </c>
      <c r="AF281" s="52">
        <f t="shared" si="82"/>
        <v>-6.9029997472943713E-3</v>
      </c>
      <c r="AG281" s="48">
        <f t="shared" si="77"/>
        <v>1.0660980810234541E-3</v>
      </c>
      <c r="AH281" s="48">
        <f t="shared" si="83"/>
        <v>-2.8103044496487119E-2</v>
      </c>
      <c r="AI281" s="48">
        <f t="shared" si="84"/>
        <v>-1.1699931176875429E-2</v>
      </c>
      <c r="AJ281" s="48" t="e">
        <f t="shared" si="85"/>
        <v>#DIV/0!</v>
      </c>
    </row>
    <row r="282" spans="1:36" x14ac:dyDescent="0.3">
      <c r="A282" s="48">
        <v>20190222</v>
      </c>
      <c r="B282" s="48" t="s">
        <v>88</v>
      </c>
      <c r="C282" s="49">
        <v>46950</v>
      </c>
      <c r="D282" s="49">
        <v>47150</v>
      </c>
      <c r="E282" s="49">
        <v>5969782550</v>
      </c>
      <c r="F282" s="49">
        <f t="shared" si="78"/>
        <v>0.180815846328331</v>
      </c>
      <c r="G282" s="49">
        <f t="shared" si="71"/>
        <v>0.180815846328331</v>
      </c>
      <c r="H282" s="48">
        <v>207500</v>
      </c>
      <c r="I282" s="48">
        <v>207000</v>
      </c>
      <c r="J282" s="51">
        <v>125461438</v>
      </c>
      <c r="K282" s="48">
        <f t="shared" si="79"/>
        <v>1.4964619869729701</v>
      </c>
      <c r="L282" s="48">
        <f t="shared" si="72"/>
        <v>1.4964619869729701</v>
      </c>
      <c r="M282" s="49">
        <v>287200</v>
      </c>
      <c r="N282" s="49">
        <v>287500</v>
      </c>
      <c r="O282" s="49">
        <v>15956260</v>
      </c>
      <c r="P282" s="49">
        <f t="shared" si="80"/>
        <v>20.6144209614665</v>
      </c>
      <c r="Q282" s="49">
        <f t="shared" si="73"/>
        <v>20.6144209614665</v>
      </c>
      <c r="R282" s="48">
        <v>11095</v>
      </c>
      <c r="S282" s="48">
        <v>11075</v>
      </c>
      <c r="T282" s="48">
        <v>62100000</v>
      </c>
      <c r="U282" s="48">
        <f t="shared" si="74"/>
        <v>178.66907334717999</v>
      </c>
      <c r="V282" s="48">
        <f t="shared" si="75"/>
        <v>178.66907334717999</v>
      </c>
      <c r="W282" s="49">
        <v>0</v>
      </c>
      <c r="X282" s="49">
        <v>0</v>
      </c>
      <c r="Y282" s="49">
        <v>0</v>
      </c>
      <c r="Z282" s="49">
        <f t="shared" si="81"/>
        <v>0</v>
      </c>
      <c r="AA282" s="49">
        <v>0</v>
      </c>
      <c r="AB282" s="82">
        <f t="shared" si="86"/>
        <v>0</v>
      </c>
      <c r="AC282" s="82">
        <f t="shared" si="87"/>
        <v>249358299288410.66</v>
      </c>
      <c r="AD282" s="81">
        <f t="shared" si="88"/>
        <v>307207177656123.06</v>
      </c>
      <c r="AE282" s="80">
        <f t="shared" si="76"/>
        <v>1231.9909886007192</v>
      </c>
      <c r="AF282" s="52">
        <f t="shared" si="82"/>
        <v>-3.9587150044414868E-6</v>
      </c>
      <c r="AG282" s="48">
        <f t="shared" si="77"/>
        <v>4.2598509052183178E-3</v>
      </c>
      <c r="AH282" s="48">
        <f t="shared" si="83"/>
        <v>-2.4096385542168677E-3</v>
      </c>
      <c r="AI282" s="48">
        <f t="shared" si="84"/>
        <v>1.0445682451253482E-3</v>
      </c>
      <c r="AJ282" s="48" t="e">
        <f t="shared" si="85"/>
        <v>#DIV/0!</v>
      </c>
    </row>
    <row r="283" spans="1:36" x14ac:dyDescent="0.3">
      <c r="A283" s="48">
        <v>20190225</v>
      </c>
      <c r="B283" s="48" t="s">
        <v>88</v>
      </c>
      <c r="C283" s="49">
        <v>47150</v>
      </c>
      <c r="D283" s="49">
        <v>47350</v>
      </c>
      <c r="E283" s="49">
        <v>5969782550</v>
      </c>
      <c r="F283" s="49">
        <f t="shared" si="78"/>
        <v>0.180815846328331</v>
      </c>
      <c r="G283" s="49">
        <f t="shared" si="71"/>
        <v>0.180815846328331</v>
      </c>
      <c r="H283" s="48">
        <v>207000</v>
      </c>
      <c r="I283" s="48">
        <v>204000</v>
      </c>
      <c r="J283" s="51">
        <v>125461438</v>
      </c>
      <c r="K283" s="48">
        <f t="shared" si="79"/>
        <v>1.4964619869729701</v>
      </c>
      <c r="L283" s="48">
        <f t="shared" si="72"/>
        <v>1.4964619869729701</v>
      </c>
      <c r="M283" s="49">
        <v>287500</v>
      </c>
      <c r="N283" s="49">
        <v>283000</v>
      </c>
      <c r="O283" s="49">
        <v>15956260</v>
      </c>
      <c r="P283" s="49">
        <f t="shared" si="80"/>
        <v>20.6144209614665</v>
      </c>
      <c r="Q283" s="49">
        <f t="shared" si="73"/>
        <v>20.6144209614665</v>
      </c>
      <c r="R283" s="48">
        <v>11075</v>
      </c>
      <c r="S283" s="48">
        <v>11130</v>
      </c>
      <c r="T283" s="48">
        <v>62100000</v>
      </c>
      <c r="U283" s="48">
        <f t="shared" si="74"/>
        <v>178.66907334717999</v>
      </c>
      <c r="V283" s="48">
        <f t="shared" si="75"/>
        <v>178.66907334717999</v>
      </c>
      <c r="W283" s="49">
        <v>0</v>
      </c>
      <c r="X283" s="49">
        <v>0</v>
      </c>
      <c r="Y283" s="49">
        <v>0</v>
      </c>
      <c r="Z283" s="49">
        <f t="shared" si="81"/>
        <v>0</v>
      </c>
      <c r="AA283" s="49">
        <v>0</v>
      </c>
      <c r="AB283" s="82">
        <f t="shared" si="86"/>
        <v>0</v>
      </c>
      <c r="AC283" s="82">
        <f t="shared" si="87"/>
        <v>249358299288410.66</v>
      </c>
      <c r="AD283" s="81">
        <f t="shared" si="88"/>
        <v>305989882541833.56</v>
      </c>
      <c r="AE283" s="80">
        <f t="shared" si="76"/>
        <v>1227.1092777542653</v>
      </c>
      <c r="AF283" s="52">
        <f t="shared" si="82"/>
        <v>-3.9624566182894401E-3</v>
      </c>
      <c r="AG283" s="48">
        <f t="shared" si="77"/>
        <v>4.2417815482502655E-3</v>
      </c>
      <c r="AH283" s="48">
        <f t="shared" si="83"/>
        <v>-1.4492753623188406E-2</v>
      </c>
      <c r="AI283" s="48">
        <f t="shared" si="84"/>
        <v>-1.5652173913043479E-2</v>
      </c>
      <c r="AJ283" s="48" t="e">
        <f t="shared" si="85"/>
        <v>#DIV/0!</v>
      </c>
    </row>
    <row r="284" spans="1:36" x14ac:dyDescent="0.3">
      <c r="A284" s="48">
        <v>20190226</v>
      </c>
      <c r="B284" s="48" t="s">
        <v>88</v>
      </c>
      <c r="C284" s="49">
        <v>47350</v>
      </c>
      <c r="D284" s="49">
        <v>46750</v>
      </c>
      <c r="E284" s="49">
        <v>5969782550</v>
      </c>
      <c r="F284" s="49">
        <f t="shared" si="78"/>
        <v>0.180815846328331</v>
      </c>
      <c r="G284" s="49">
        <f t="shared" si="71"/>
        <v>0.180815846328331</v>
      </c>
      <c r="H284" s="48">
        <v>204000</v>
      </c>
      <c r="I284" s="48">
        <v>204500</v>
      </c>
      <c r="J284" s="51">
        <v>125461438</v>
      </c>
      <c r="K284" s="48">
        <f t="shared" si="79"/>
        <v>1.4964619869729701</v>
      </c>
      <c r="L284" s="48">
        <f t="shared" si="72"/>
        <v>1.4964619869729701</v>
      </c>
      <c r="M284" s="49">
        <v>283000</v>
      </c>
      <c r="N284" s="49">
        <v>281500</v>
      </c>
      <c r="O284" s="49">
        <v>15956260</v>
      </c>
      <c r="P284" s="49">
        <f t="shared" si="80"/>
        <v>20.6144209614665</v>
      </c>
      <c r="Q284" s="49">
        <f t="shared" si="73"/>
        <v>20.6144209614665</v>
      </c>
      <c r="R284" s="48">
        <v>11130</v>
      </c>
      <c r="S284" s="48">
        <v>11095</v>
      </c>
      <c r="T284" s="48">
        <v>62100000</v>
      </c>
      <c r="U284" s="48">
        <f t="shared" si="74"/>
        <v>178.66907334717999</v>
      </c>
      <c r="V284" s="48">
        <f t="shared" si="75"/>
        <v>178.66907334717999</v>
      </c>
      <c r="W284" s="49">
        <v>0</v>
      </c>
      <c r="X284" s="49">
        <v>0</v>
      </c>
      <c r="Y284" s="49">
        <v>0</v>
      </c>
      <c r="Z284" s="49">
        <f t="shared" si="81"/>
        <v>0</v>
      </c>
      <c r="AA284" s="49">
        <v>0</v>
      </c>
      <c r="AB284" s="82">
        <f t="shared" si="86"/>
        <v>0</v>
      </c>
      <c r="AC284" s="82">
        <f t="shared" si="87"/>
        <v>249358299288410.66</v>
      </c>
      <c r="AD284" s="81">
        <f t="shared" si="88"/>
        <v>304554367085891.87</v>
      </c>
      <c r="AE284" s="80">
        <f t="shared" si="76"/>
        <v>1221.3524392610684</v>
      </c>
      <c r="AF284" s="52">
        <f t="shared" si="82"/>
        <v>-4.6913820941298211E-3</v>
      </c>
      <c r="AG284" s="48">
        <f t="shared" si="77"/>
        <v>-1.2671594508975714E-2</v>
      </c>
      <c r="AH284" s="48">
        <f t="shared" si="83"/>
        <v>2.4509803921568627E-3</v>
      </c>
      <c r="AI284" s="48">
        <f t="shared" si="84"/>
        <v>-5.3003533568904597E-3</v>
      </c>
      <c r="AJ284" s="48" t="e">
        <f t="shared" si="85"/>
        <v>#DIV/0!</v>
      </c>
    </row>
    <row r="285" spans="1:36" x14ac:dyDescent="0.3">
      <c r="A285" s="48">
        <v>20190227</v>
      </c>
      <c r="B285" s="48" t="s">
        <v>88</v>
      </c>
      <c r="C285" s="49">
        <v>46750</v>
      </c>
      <c r="D285" s="49">
        <v>46750</v>
      </c>
      <c r="E285" s="49">
        <v>5969782550</v>
      </c>
      <c r="F285" s="49">
        <f t="shared" si="78"/>
        <v>0.180815846328331</v>
      </c>
      <c r="G285" s="49">
        <f t="shared" si="71"/>
        <v>0.180815846328331</v>
      </c>
      <c r="H285" s="48">
        <v>204500</v>
      </c>
      <c r="I285" s="48">
        <v>202500</v>
      </c>
      <c r="J285" s="51">
        <v>125461438</v>
      </c>
      <c r="K285" s="48">
        <f t="shared" si="79"/>
        <v>1.4964619869729701</v>
      </c>
      <c r="L285" s="48">
        <f t="shared" si="72"/>
        <v>1.4964619869729701</v>
      </c>
      <c r="M285" s="49">
        <v>281500</v>
      </c>
      <c r="N285" s="49">
        <v>277300</v>
      </c>
      <c r="O285" s="49">
        <v>15956260</v>
      </c>
      <c r="P285" s="49">
        <f t="shared" si="80"/>
        <v>20.6144209614665</v>
      </c>
      <c r="Q285" s="49">
        <f t="shared" si="73"/>
        <v>20.6144209614665</v>
      </c>
      <c r="R285" s="48">
        <v>11095</v>
      </c>
      <c r="S285" s="48">
        <v>11095</v>
      </c>
      <c r="T285" s="48">
        <v>62100000</v>
      </c>
      <c r="U285" s="48">
        <f t="shared" si="74"/>
        <v>178.66907334717999</v>
      </c>
      <c r="V285" s="48">
        <f t="shared" si="75"/>
        <v>178.66907334717999</v>
      </c>
      <c r="W285" s="49">
        <v>0</v>
      </c>
      <c r="X285" s="49">
        <v>0</v>
      </c>
      <c r="Y285" s="49">
        <v>0</v>
      </c>
      <c r="Z285" s="49">
        <f t="shared" si="81"/>
        <v>0</v>
      </c>
      <c r="AA285" s="49">
        <v>0</v>
      </c>
      <c r="AB285" s="82">
        <f t="shared" si="86"/>
        <v>0</v>
      </c>
      <c r="AC285" s="82">
        <f t="shared" si="87"/>
        <v>249358299288410.66</v>
      </c>
      <c r="AD285" s="81">
        <f t="shared" si="88"/>
        <v>302797368485731.44</v>
      </c>
      <c r="AE285" s="80">
        <f t="shared" si="76"/>
        <v>1214.3063589614578</v>
      </c>
      <c r="AF285" s="52">
        <f t="shared" si="82"/>
        <v>-5.7690803023847477E-3</v>
      </c>
      <c r="AG285" s="48">
        <f t="shared" si="77"/>
        <v>0</v>
      </c>
      <c r="AH285" s="48">
        <f t="shared" si="83"/>
        <v>-9.7799511002444987E-3</v>
      </c>
      <c r="AI285" s="48">
        <f t="shared" si="84"/>
        <v>-1.4920071047957371E-2</v>
      </c>
      <c r="AJ285" s="48" t="e">
        <f t="shared" si="85"/>
        <v>#DIV/0!</v>
      </c>
    </row>
    <row r="286" spans="1:36" x14ac:dyDescent="0.3">
      <c r="A286" s="48">
        <v>20190228</v>
      </c>
      <c r="B286" s="48" t="s">
        <v>88</v>
      </c>
      <c r="C286" s="49">
        <v>46750</v>
      </c>
      <c r="D286" s="49">
        <v>45100</v>
      </c>
      <c r="E286" s="49">
        <v>5969782550</v>
      </c>
      <c r="F286" s="49">
        <f t="shared" si="78"/>
        <v>0.180815846328331</v>
      </c>
      <c r="G286" s="49">
        <f t="shared" si="71"/>
        <v>0.180815846328331</v>
      </c>
      <c r="H286" s="48">
        <v>202500</v>
      </c>
      <c r="I286" s="48">
        <v>204500</v>
      </c>
      <c r="J286" s="51">
        <v>125461438</v>
      </c>
      <c r="K286" s="48">
        <f t="shared" si="79"/>
        <v>1.4964619869729701</v>
      </c>
      <c r="L286" s="48">
        <f t="shared" si="72"/>
        <v>1.4964619869729701</v>
      </c>
      <c r="M286" s="49">
        <v>277300</v>
      </c>
      <c r="N286" s="49">
        <v>277800</v>
      </c>
      <c r="O286" s="49">
        <v>15956260</v>
      </c>
      <c r="P286" s="49">
        <f t="shared" si="80"/>
        <v>20.6144209614665</v>
      </c>
      <c r="Q286" s="49">
        <f t="shared" si="73"/>
        <v>20.6144209614665</v>
      </c>
      <c r="R286" s="48">
        <v>11095</v>
      </c>
      <c r="S286" s="48">
        <v>10950</v>
      </c>
      <c r="T286" s="48">
        <v>62100000</v>
      </c>
      <c r="U286" s="48">
        <f t="shared" si="74"/>
        <v>178.66907334717999</v>
      </c>
      <c r="V286" s="48">
        <f t="shared" si="75"/>
        <v>178.66907334717999</v>
      </c>
      <c r="W286" s="49">
        <v>0</v>
      </c>
      <c r="X286" s="49">
        <v>0</v>
      </c>
      <c r="Y286" s="49">
        <v>0</v>
      </c>
      <c r="Z286" s="49">
        <f t="shared" si="81"/>
        <v>0</v>
      </c>
      <c r="AA286" s="49">
        <v>0</v>
      </c>
      <c r="AB286" s="82">
        <f t="shared" si="86"/>
        <v>0</v>
      </c>
      <c r="AC286" s="82">
        <f t="shared" si="87"/>
        <v>249358299288410.66</v>
      </c>
      <c r="AD286" s="81">
        <f t="shared" si="88"/>
        <v>299947442271790.31</v>
      </c>
      <c r="AE286" s="80">
        <f t="shared" si="76"/>
        <v>1202.8773180108503</v>
      </c>
      <c r="AF286" s="52">
        <f t="shared" si="82"/>
        <v>-9.411991353139448E-3</v>
      </c>
      <c r="AG286" s="48">
        <f t="shared" si="77"/>
        <v>-3.5294117647058823E-2</v>
      </c>
      <c r="AH286" s="48">
        <f t="shared" si="83"/>
        <v>9.876543209876543E-3</v>
      </c>
      <c r="AI286" s="48">
        <f t="shared" si="84"/>
        <v>1.8031013342949874E-3</v>
      </c>
      <c r="AJ286" s="48" t="e">
        <f t="shared" si="85"/>
        <v>#DIV/0!</v>
      </c>
    </row>
    <row r="287" spans="1:36" x14ac:dyDescent="0.3">
      <c r="A287" s="48">
        <v>20190304</v>
      </c>
      <c r="B287" s="48" t="s">
        <v>88</v>
      </c>
      <c r="C287" s="49">
        <v>45100</v>
      </c>
      <c r="D287" s="49">
        <v>44850</v>
      </c>
      <c r="E287" s="49">
        <v>5969782550</v>
      </c>
      <c r="F287" s="49">
        <f t="shared" si="78"/>
        <v>0.180815846328331</v>
      </c>
      <c r="G287" s="49">
        <f t="shared" si="71"/>
        <v>0.180815846328331</v>
      </c>
      <c r="H287" s="48">
        <v>204500</v>
      </c>
      <c r="I287" s="48">
        <v>207500</v>
      </c>
      <c r="J287" s="51">
        <v>125461438</v>
      </c>
      <c r="K287" s="48">
        <f t="shared" si="79"/>
        <v>1.4964619869729701</v>
      </c>
      <c r="L287" s="48">
        <f t="shared" si="72"/>
        <v>1.4964619869729701</v>
      </c>
      <c r="M287" s="49">
        <v>277800</v>
      </c>
      <c r="N287" s="49">
        <v>290800</v>
      </c>
      <c r="O287" s="49">
        <v>15956260</v>
      </c>
      <c r="P287" s="49">
        <f t="shared" si="80"/>
        <v>20.6144209614665</v>
      </c>
      <c r="Q287" s="49">
        <f t="shared" si="73"/>
        <v>20.6144209614665</v>
      </c>
      <c r="R287" s="48">
        <v>10950</v>
      </c>
      <c r="S287" s="48">
        <v>10895</v>
      </c>
      <c r="T287" s="48">
        <v>62100000</v>
      </c>
      <c r="U287" s="48">
        <f t="shared" si="74"/>
        <v>178.66907334717999</v>
      </c>
      <c r="V287" s="48">
        <f t="shared" si="75"/>
        <v>178.66907334717999</v>
      </c>
      <c r="W287" s="49">
        <v>0</v>
      </c>
      <c r="X287" s="49">
        <v>0</v>
      </c>
      <c r="Y287" s="49">
        <v>0</v>
      </c>
      <c r="Z287" s="49">
        <f t="shared" si="81"/>
        <v>0</v>
      </c>
      <c r="AA287" s="49">
        <v>0</v>
      </c>
      <c r="AB287" s="82">
        <f t="shared" si="86"/>
        <v>0</v>
      </c>
      <c r="AC287" s="82">
        <f t="shared" si="87"/>
        <v>249358299288410.66</v>
      </c>
      <c r="AD287" s="81">
        <f t="shared" si="88"/>
        <v>303906662837061.25</v>
      </c>
      <c r="AE287" s="80">
        <f t="shared" si="76"/>
        <v>1218.7549550358433</v>
      </c>
      <c r="AF287" s="52">
        <f t="shared" si="82"/>
        <v>1.3199714374238241E-2</v>
      </c>
      <c r="AG287" s="48">
        <f t="shared" si="77"/>
        <v>-5.5432372505543242E-3</v>
      </c>
      <c r="AH287" s="48">
        <f t="shared" si="83"/>
        <v>1.4669926650366748E-2</v>
      </c>
      <c r="AI287" s="48">
        <f t="shared" si="84"/>
        <v>4.679625629949604E-2</v>
      </c>
      <c r="AJ287" s="48" t="e">
        <f t="shared" si="85"/>
        <v>#DIV/0!</v>
      </c>
    </row>
    <row r="288" spans="1:36" x14ac:dyDescent="0.3">
      <c r="A288" s="48">
        <v>20190305</v>
      </c>
      <c r="B288" s="48" t="s">
        <v>88</v>
      </c>
      <c r="C288" s="49">
        <v>44850</v>
      </c>
      <c r="D288" s="49">
        <v>44250</v>
      </c>
      <c r="E288" s="49">
        <v>5969782550</v>
      </c>
      <c r="F288" s="49">
        <f t="shared" si="78"/>
        <v>0.180815846328331</v>
      </c>
      <c r="G288" s="49">
        <f t="shared" si="71"/>
        <v>0.180815846328331</v>
      </c>
      <c r="H288" s="48">
        <v>207500</v>
      </c>
      <c r="I288" s="48">
        <v>210000</v>
      </c>
      <c r="J288" s="51">
        <v>125461438</v>
      </c>
      <c r="K288" s="48">
        <f t="shared" si="79"/>
        <v>1.4964619869729701</v>
      </c>
      <c r="L288" s="48">
        <f t="shared" si="72"/>
        <v>1.4964619869729701</v>
      </c>
      <c r="M288" s="49">
        <v>290800</v>
      </c>
      <c r="N288" s="49">
        <v>298000</v>
      </c>
      <c r="O288" s="49">
        <v>15956260</v>
      </c>
      <c r="P288" s="49">
        <f t="shared" si="80"/>
        <v>20.6144209614665</v>
      </c>
      <c r="Q288" s="49">
        <f t="shared" si="73"/>
        <v>20.6144209614665</v>
      </c>
      <c r="R288" s="48">
        <v>10895</v>
      </c>
      <c r="S288" s="48">
        <v>10805</v>
      </c>
      <c r="T288" s="48">
        <v>62100000</v>
      </c>
      <c r="U288" s="48">
        <f t="shared" si="74"/>
        <v>178.66907334717999</v>
      </c>
      <c r="V288" s="48">
        <f t="shared" si="75"/>
        <v>178.66907334717999</v>
      </c>
      <c r="W288" s="49">
        <v>0</v>
      </c>
      <c r="X288" s="49">
        <v>0</v>
      </c>
      <c r="Y288" s="49">
        <v>0</v>
      </c>
      <c r="Z288" s="49">
        <f t="shared" si="81"/>
        <v>0</v>
      </c>
      <c r="AA288" s="49">
        <v>0</v>
      </c>
      <c r="AB288" s="82">
        <f t="shared" si="86"/>
        <v>0</v>
      </c>
      <c r="AC288" s="82">
        <f t="shared" si="87"/>
        <v>249358299288410.66</v>
      </c>
      <c r="AD288" s="81">
        <f t="shared" si="88"/>
        <v>305098082534010.56</v>
      </c>
      <c r="AE288" s="80">
        <f t="shared" si="76"/>
        <v>1223.5328978608834</v>
      </c>
      <c r="AF288" s="52">
        <f t="shared" si="82"/>
        <v>3.9203474047821056E-3</v>
      </c>
      <c r="AG288" s="48">
        <f t="shared" si="77"/>
        <v>-1.3377926421404682E-2</v>
      </c>
      <c r="AH288" s="48">
        <f t="shared" si="83"/>
        <v>1.2048192771084338E-2</v>
      </c>
      <c r="AI288" s="48">
        <f t="shared" si="84"/>
        <v>2.4759284731774415E-2</v>
      </c>
      <c r="AJ288" s="48" t="e">
        <f t="shared" si="85"/>
        <v>#DIV/0!</v>
      </c>
    </row>
    <row r="289" spans="1:36" x14ac:dyDescent="0.3">
      <c r="A289" s="48">
        <v>20190306</v>
      </c>
      <c r="B289" s="48" t="s">
        <v>88</v>
      </c>
      <c r="C289" s="49">
        <v>44250</v>
      </c>
      <c r="D289" s="49">
        <v>44000</v>
      </c>
      <c r="E289" s="49">
        <v>5969782550</v>
      </c>
      <c r="F289" s="49">
        <f t="shared" si="78"/>
        <v>0.180815846328331</v>
      </c>
      <c r="G289" s="49">
        <f t="shared" si="71"/>
        <v>0.180815846328331</v>
      </c>
      <c r="H289" s="48">
        <v>210000</v>
      </c>
      <c r="I289" s="48">
        <v>211000</v>
      </c>
      <c r="J289" s="51">
        <v>125461438</v>
      </c>
      <c r="K289" s="48">
        <f t="shared" si="79"/>
        <v>1.4964619869729701</v>
      </c>
      <c r="L289" s="48">
        <f t="shared" si="72"/>
        <v>1.4964619869729701</v>
      </c>
      <c r="M289" s="49">
        <v>298000</v>
      </c>
      <c r="N289" s="49">
        <v>297600</v>
      </c>
      <c r="O289" s="49">
        <v>15956260</v>
      </c>
      <c r="P289" s="49">
        <f t="shared" si="80"/>
        <v>20.6144209614665</v>
      </c>
      <c r="Q289" s="49">
        <f t="shared" si="73"/>
        <v>20.6144209614665</v>
      </c>
      <c r="R289" s="48">
        <v>10805</v>
      </c>
      <c r="S289" s="48">
        <v>10780</v>
      </c>
      <c r="T289" s="48">
        <v>62100000</v>
      </c>
      <c r="U289" s="48">
        <f t="shared" si="74"/>
        <v>178.66907334717999</v>
      </c>
      <c r="V289" s="48">
        <f t="shared" si="75"/>
        <v>178.66907334717999</v>
      </c>
      <c r="W289" s="49">
        <v>0</v>
      </c>
      <c r="X289" s="49">
        <v>0</v>
      </c>
      <c r="Y289" s="49">
        <v>0</v>
      </c>
      <c r="Z289" s="49">
        <f t="shared" si="81"/>
        <v>0</v>
      </c>
      <c r="AA289" s="49">
        <v>0</v>
      </c>
      <c r="AB289" s="82">
        <f t="shared" si="86"/>
        <v>0</v>
      </c>
      <c r="AC289" s="82">
        <f t="shared" si="87"/>
        <v>249358299288410.66</v>
      </c>
      <c r="AD289" s="81">
        <f t="shared" si="88"/>
        <v>304607017625149.19</v>
      </c>
      <c r="AE289" s="80">
        <f t="shared" si="76"/>
        <v>1221.5635833834319</v>
      </c>
      <c r="AF289" s="52">
        <f t="shared" si="82"/>
        <v>-1.6095312850961648E-3</v>
      </c>
      <c r="AG289" s="48">
        <f t="shared" si="77"/>
        <v>-5.6497175141242938E-3</v>
      </c>
      <c r="AH289" s="48">
        <f t="shared" si="83"/>
        <v>4.7619047619047623E-3</v>
      </c>
      <c r="AI289" s="48">
        <f t="shared" si="84"/>
        <v>-1.3422818791946308E-3</v>
      </c>
      <c r="AJ289" s="48" t="e">
        <f t="shared" si="85"/>
        <v>#DIV/0!</v>
      </c>
    </row>
    <row r="290" spans="1:36" x14ac:dyDescent="0.3">
      <c r="A290" s="48">
        <v>20190307</v>
      </c>
      <c r="B290" s="48" t="s">
        <v>88</v>
      </c>
      <c r="C290" s="49">
        <v>44000</v>
      </c>
      <c r="D290" s="49">
        <v>44450</v>
      </c>
      <c r="E290" s="49">
        <v>5969782550</v>
      </c>
      <c r="F290" s="49">
        <f t="shared" si="78"/>
        <v>0.180815846328331</v>
      </c>
      <c r="G290" s="49">
        <f t="shared" si="71"/>
        <v>0.180815846328331</v>
      </c>
      <c r="H290" s="48">
        <v>211000</v>
      </c>
      <c r="I290" s="48">
        <v>207000</v>
      </c>
      <c r="J290" s="51">
        <v>125461438</v>
      </c>
      <c r="K290" s="48">
        <f t="shared" si="79"/>
        <v>1.4964619869729701</v>
      </c>
      <c r="L290" s="48">
        <f t="shared" si="72"/>
        <v>1.4964619869729701</v>
      </c>
      <c r="M290" s="49">
        <v>297600</v>
      </c>
      <c r="N290" s="49">
        <v>284000</v>
      </c>
      <c r="O290" s="49">
        <v>15956260</v>
      </c>
      <c r="P290" s="49">
        <f t="shared" si="80"/>
        <v>20.6144209614665</v>
      </c>
      <c r="Q290" s="49">
        <f t="shared" si="73"/>
        <v>20.6144209614665</v>
      </c>
      <c r="R290" s="48">
        <v>10780</v>
      </c>
      <c r="S290" s="48">
        <v>10740</v>
      </c>
      <c r="T290" s="48">
        <v>62100000</v>
      </c>
      <c r="U290" s="48">
        <f t="shared" si="74"/>
        <v>178.66907334717999</v>
      </c>
      <c r="V290" s="48">
        <f t="shared" si="75"/>
        <v>178.66907334717999</v>
      </c>
      <c r="W290" s="49">
        <v>0</v>
      </c>
      <c r="X290" s="49">
        <v>0</v>
      </c>
      <c r="Y290" s="49">
        <v>0</v>
      </c>
      <c r="Z290" s="49">
        <f t="shared" si="81"/>
        <v>0</v>
      </c>
      <c r="AA290" s="49">
        <v>0</v>
      </c>
      <c r="AB290" s="82">
        <f t="shared" si="86"/>
        <v>0</v>
      </c>
      <c r="AC290" s="82">
        <f t="shared" si="87"/>
        <v>249358299288410.66</v>
      </c>
      <c r="AD290" s="81">
        <f t="shared" si="88"/>
        <v>299424519409337.12</v>
      </c>
      <c r="AE290" s="80">
        <f t="shared" si="76"/>
        <v>1200.7802437849452</v>
      </c>
      <c r="AF290" s="52">
        <f t="shared" si="82"/>
        <v>-1.7013719041068603E-2</v>
      </c>
      <c r="AG290" s="48">
        <f t="shared" si="77"/>
        <v>1.0227272727272727E-2</v>
      </c>
      <c r="AH290" s="48">
        <f t="shared" si="83"/>
        <v>-1.8957345971563982E-2</v>
      </c>
      <c r="AI290" s="48">
        <f t="shared" si="84"/>
        <v>-4.5698924731182797E-2</v>
      </c>
      <c r="AJ290" s="48" t="e">
        <f t="shared" si="85"/>
        <v>#DIV/0!</v>
      </c>
    </row>
    <row r="291" spans="1:36" x14ac:dyDescent="0.3">
      <c r="A291" s="48">
        <v>20190308</v>
      </c>
      <c r="B291" s="48" t="s">
        <v>88</v>
      </c>
      <c r="C291" s="49">
        <v>44450</v>
      </c>
      <c r="D291" s="49">
        <v>43800</v>
      </c>
      <c r="E291" s="49">
        <v>5969782550</v>
      </c>
      <c r="F291" s="49">
        <f t="shared" si="78"/>
        <v>0.180815846328331</v>
      </c>
      <c r="G291" s="49">
        <f t="shared" si="71"/>
        <v>0.180815846328331</v>
      </c>
      <c r="H291" s="48">
        <v>207000</v>
      </c>
      <c r="I291" s="48">
        <v>206000</v>
      </c>
      <c r="J291" s="51">
        <v>125461438</v>
      </c>
      <c r="K291" s="48">
        <f t="shared" si="79"/>
        <v>1.4964619869729701</v>
      </c>
      <c r="L291" s="48">
        <f t="shared" si="72"/>
        <v>1.4964619869729701</v>
      </c>
      <c r="M291" s="49">
        <v>284000</v>
      </c>
      <c r="N291" s="49">
        <v>281500</v>
      </c>
      <c r="O291" s="49">
        <v>15956260</v>
      </c>
      <c r="P291" s="49">
        <f t="shared" si="80"/>
        <v>20.6144209614665</v>
      </c>
      <c r="Q291" s="49">
        <f t="shared" si="73"/>
        <v>20.6144209614665</v>
      </c>
      <c r="R291" s="48">
        <v>10740</v>
      </c>
      <c r="S291" s="48">
        <v>10660</v>
      </c>
      <c r="T291" s="48">
        <v>62100000</v>
      </c>
      <c r="U291" s="48">
        <f t="shared" si="74"/>
        <v>178.66907334717999</v>
      </c>
      <c r="V291" s="48">
        <f t="shared" si="75"/>
        <v>178.66907334717999</v>
      </c>
      <c r="W291" s="49">
        <v>0</v>
      </c>
      <c r="X291" s="49">
        <v>0</v>
      </c>
      <c r="Y291" s="49">
        <v>0</v>
      </c>
      <c r="Z291" s="49">
        <f t="shared" si="81"/>
        <v>0</v>
      </c>
      <c r="AA291" s="49">
        <v>0</v>
      </c>
      <c r="AB291" s="82">
        <f t="shared" si="86"/>
        <v>0</v>
      </c>
      <c r="AC291" s="82">
        <f t="shared" si="87"/>
        <v>249358299288410.66</v>
      </c>
      <c r="AD291" s="81">
        <f t="shared" si="88"/>
        <v>296825190193910.5</v>
      </c>
      <c r="AE291" s="80">
        <f t="shared" si="76"/>
        <v>1190.3561703819573</v>
      </c>
      <c r="AF291" s="52">
        <f t="shared" si="82"/>
        <v>-8.6810833680361771E-3</v>
      </c>
      <c r="AG291" s="48">
        <f t="shared" si="77"/>
        <v>-1.4623172103487065E-2</v>
      </c>
      <c r="AH291" s="48">
        <f t="shared" si="83"/>
        <v>-4.830917874396135E-3</v>
      </c>
      <c r="AI291" s="48">
        <f t="shared" si="84"/>
        <v>-8.8028169014084511E-3</v>
      </c>
      <c r="AJ291" s="48" t="e">
        <f t="shared" si="85"/>
        <v>#DIV/0!</v>
      </c>
    </row>
    <row r="292" spans="1:36" x14ac:dyDescent="0.3">
      <c r="A292" s="48">
        <v>20190311</v>
      </c>
      <c r="B292" s="48" t="s">
        <v>88</v>
      </c>
      <c r="C292" s="49">
        <v>43800</v>
      </c>
      <c r="D292" s="49">
        <v>43650</v>
      </c>
      <c r="E292" s="49">
        <v>5969782550</v>
      </c>
      <c r="F292" s="49">
        <f t="shared" si="78"/>
        <v>0.180815846328331</v>
      </c>
      <c r="G292" s="49">
        <f t="shared" si="71"/>
        <v>0.180815846328331</v>
      </c>
      <c r="H292" s="48">
        <v>206000</v>
      </c>
      <c r="I292" s="48">
        <v>205000</v>
      </c>
      <c r="J292" s="51">
        <v>125461438</v>
      </c>
      <c r="K292" s="48">
        <f t="shared" si="79"/>
        <v>1.4964619869729701</v>
      </c>
      <c r="L292" s="48">
        <f t="shared" si="72"/>
        <v>1.4964619869729701</v>
      </c>
      <c r="M292" s="49">
        <v>281500</v>
      </c>
      <c r="N292" s="49">
        <v>288100</v>
      </c>
      <c r="O292" s="49">
        <v>15956260</v>
      </c>
      <c r="P292" s="49">
        <f t="shared" si="80"/>
        <v>20.6144209614665</v>
      </c>
      <c r="Q292" s="49">
        <f t="shared" si="73"/>
        <v>20.6144209614665</v>
      </c>
      <c r="R292" s="48">
        <v>10660</v>
      </c>
      <c r="S292" s="48">
        <v>10610</v>
      </c>
      <c r="T292" s="48">
        <v>62100000</v>
      </c>
      <c r="U292" s="48">
        <f t="shared" si="74"/>
        <v>178.66907334717999</v>
      </c>
      <c r="V292" s="48">
        <f t="shared" si="75"/>
        <v>178.66907334717999</v>
      </c>
      <c r="W292" s="49">
        <v>0</v>
      </c>
      <c r="X292" s="49">
        <v>0</v>
      </c>
      <c r="Y292" s="49">
        <v>0</v>
      </c>
      <c r="Z292" s="49">
        <f t="shared" si="81"/>
        <v>0</v>
      </c>
      <c r="AA292" s="49">
        <v>0</v>
      </c>
      <c r="AB292" s="82">
        <f t="shared" si="86"/>
        <v>0</v>
      </c>
      <c r="AC292" s="82">
        <f t="shared" si="87"/>
        <v>249358299288410.66</v>
      </c>
      <c r="AD292" s="81">
        <f t="shared" si="88"/>
        <v>298091691555773.37</v>
      </c>
      <c r="AE292" s="80">
        <f t="shared" si="76"/>
        <v>1195.4352127297641</v>
      </c>
      <c r="AF292" s="52">
        <f t="shared" si="82"/>
        <v>4.2668257402127107E-3</v>
      </c>
      <c r="AG292" s="48">
        <f t="shared" si="77"/>
        <v>-3.4246575342465752E-3</v>
      </c>
      <c r="AH292" s="48">
        <f t="shared" si="83"/>
        <v>-4.8543689320388345E-3</v>
      </c>
      <c r="AI292" s="48">
        <f t="shared" si="84"/>
        <v>2.3445825932504442E-2</v>
      </c>
      <c r="AJ292" s="48" t="e">
        <f t="shared" si="85"/>
        <v>#DIV/0!</v>
      </c>
    </row>
    <row r="293" spans="1:36" x14ac:dyDescent="0.3">
      <c r="A293" s="48">
        <v>20190312</v>
      </c>
      <c r="B293" s="48" t="s">
        <v>88</v>
      </c>
      <c r="C293" s="49">
        <v>43650</v>
      </c>
      <c r="D293" s="49">
        <v>44650</v>
      </c>
      <c r="E293" s="49">
        <v>5969782550</v>
      </c>
      <c r="F293" s="49">
        <f t="shared" si="78"/>
        <v>0.180815846328331</v>
      </c>
      <c r="G293" s="49">
        <f t="shared" si="71"/>
        <v>0.180815846328331</v>
      </c>
      <c r="H293" s="48">
        <v>205000</v>
      </c>
      <c r="I293" s="48">
        <v>209000</v>
      </c>
      <c r="J293" s="51">
        <v>125461438</v>
      </c>
      <c r="K293" s="48">
        <f t="shared" si="79"/>
        <v>1.4964619869729701</v>
      </c>
      <c r="L293" s="48">
        <f t="shared" si="72"/>
        <v>1.4964619869729701</v>
      </c>
      <c r="M293" s="49">
        <v>288100</v>
      </c>
      <c r="N293" s="49">
        <v>301500</v>
      </c>
      <c r="O293" s="49">
        <v>15956260</v>
      </c>
      <c r="P293" s="49">
        <f t="shared" si="80"/>
        <v>20.6144209614665</v>
      </c>
      <c r="Q293" s="49">
        <f t="shared" si="73"/>
        <v>20.6144209614665</v>
      </c>
      <c r="R293" s="48">
        <v>10610</v>
      </c>
      <c r="S293" s="48">
        <v>10725</v>
      </c>
      <c r="T293" s="48">
        <v>62100000</v>
      </c>
      <c r="U293" s="48">
        <f t="shared" si="74"/>
        <v>178.66907334717999</v>
      </c>
      <c r="V293" s="48">
        <f t="shared" si="75"/>
        <v>178.66907334717999</v>
      </c>
      <c r="W293" s="49">
        <v>0</v>
      </c>
      <c r="X293" s="49">
        <v>0</v>
      </c>
      <c r="Y293" s="49">
        <v>0</v>
      </c>
      <c r="Z293" s="49">
        <f t="shared" si="81"/>
        <v>0</v>
      </c>
      <c r="AA293" s="49">
        <v>0</v>
      </c>
      <c r="AB293" s="82">
        <f t="shared" si="86"/>
        <v>0</v>
      </c>
      <c r="AC293" s="82">
        <f t="shared" si="87"/>
        <v>249358299288410.66</v>
      </c>
      <c r="AD293" s="81">
        <f t="shared" si="88"/>
        <v>305605730530630.69</v>
      </c>
      <c r="AE293" s="80">
        <f t="shared" si="76"/>
        <v>1225.5687153895913</v>
      </c>
      <c r="AF293" s="52">
        <f t="shared" si="82"/>
        <v>2.5207139909336974E-2</v>
      </c>
      <c r="AG293" s="48">
        <f t="shared" si="77"/>
        <v>2.2909507445589918E-2</v>
      </c>
      <c r="AH293" s="48">
        <f t="shared" si="83"/>
        <v>1.9512195121951219E-2</v>
      </c>
      <c r="AI293" s="48">
        <f t="shared" si="84"/>
        <v>4.6511627906976744E-2</v>
      </c>
      <c r="AJ293" s="48" t="e">
        <f t="shared" si="85"/>
        <v>#DIV/0!</v>
      </c>
    </row>
    <row r="294" spans="1:36" x14ac:dyDescent="0.3">
      <c r="A294" s="48">
        <v>20190313</v>
      </c>
      <c r="B294" s="48" t="s">
        <v>88</v>
      </c>
      <c r="C294" s="49">
        <v>44650</v>
      </c>
      <c r="D294" s="49">
        <v>43850</v>
      </c>
      <c r="E294" s="49">
        <v>5969782550</v>
      </c>
      <c r="F294" s="49">
        <f t="shared" si="78"/>
        <v>0.180815846328331</v>
      </c>
      <c r="G294" s="49">
        <f t="shared" si="71"/>
        <v>0.180815846328331</v>
      </c>
      <c r="H294" s="48">
        <v>209000</v>
      </c>
      <c r="I294" s="48">
        <v>207500</v>
      </c>
      <c r="J294" s="51">
        <v>125461438</v>
      </c>
      <c r="K294" s="48">
        <f t="shared" si="79"/>
        <v>1.4964619869729701</v>
      </c>
      <c r="L294" s="48">
        <f t="shared" si="72"/>
        <v>1.4964619869729701</v>
      </c>
      <c r="M294" s="49">
        <v>301500</v>
      </c>
      <c r="N294" s="49">
        <v>312200</v>
      </c>
      <c r="O294" s="49">
        <v>15956260</v>
      </c>
      <c r="P294" s="49">
        <f t="shared" si="80"/>
        <v>20.6144209614665</v>
      </c>
      <c r="Q294" s="49">
        <f t="shared" si="73"/>
        <v>20.6144209614665</v>
      </c>
      <c r="R294" s="48">
        <v>10725</v>
      </c>
      <c r="S294" s="48">
        <v>10630</v>
      </c>
      <c r="T294" s="48">
        <v>62100000</v>
      </c>
      <c r="U294" s="48">
        <f t="shared" si="74"/>
        <v>178.66907334717999</v>
      </c>
      <c r="V294" s="48">
        <f t="shared" si="75"/>
        <v>178.66907334717999</v>
      </c>
      <c r="W294" s="49">
        <v>0</v>
      </c>
      <c r="X294" s="49">
        <v>0</v>
      </c>
      <c r="Y294" s="49">
        <v>0</v>
      </c>
      <c r="Z294" s="49">
        <f t="shared" si="81"/>
        <v>0</v>
      </c>
      <c r="AA294" s="49">
        <v>0</v>
      </c>
      <c r="AB294" s="82">
        <f t="shared" si="86"/>
        <v>0</v>
      </c>
      <c r="AC294" s="82">
        <f t="shared" si="87"/>
        <v>249358299288410.66</v>
      </c>
      <c r="AD294" s="81">
        <f t="shared" si="88"/>
        <v>306926045844416.06</v>
      </c>
      <c r="AE294" s="80">
        <f t="shared" si="76"/>
        <v>1230.8635674861655</v>
      </c>
      <c r="AF294" s="52">
        <f t="shared" si="82"/>
        <v>4.3203225001472662E-3</v>
      </c>
      <c r="AG294" s="48">
        <f t="shared" si="77"/>
        <v>-1.7917133258678612E-2</v>
      </c>
      <c r="AH294" s="48">
        <f t="shared" si="83"/>
        <v>-7.1770334928229667E-3</v>
      </c>
      <c r="AI294" s="48">
        <f t="shared" si="84"/>
        <v>3.5489220563847429E-2</v>
      </c>
      <c r="AJ294" s="48" t="e">
        <f t="shared" si="85"/>
        <v>#DIV/0!</v>
      </c>
    </row>
    <row r="295" spans="1:36" x14ac:dyDescent="0.3">
      <c r="A295" s="48">
        <v>20190314</v>
      </c>
      <c r="B295" s="48" t="s">
        <v>88</v>
      </c>
      <c r="C295" s="49">
        <v>43850</v>
      </c>
      <c r="D295" s="49">
        <v>43850</v>
      </c>
      <c r="E295" s="49">
        <v>5969782550</v>
      </c>
      <c r="F295" s="49">
        <f t="shared" si="78"/>
        <v>0.180815846328331</v>
      </c>
      <c r="G295" s="49">
        <f t="shared" si="71"/>
        <v>0.180815846328331</v>
      </c>
      <c r="H295" s="48">
        <v>207500</v>
      </c>
      <c r="I295" s="48">
        <v>206000</v>
      </c>
      <c r="J295" s="51">
        <v>125461438</v>
      </c>
      <c r="K295" s="48">
        <f t="shared" si="79"/>
        <v>1.4964619869729701</v>
      </c>
      <c r="L295" s="48">
        <f t="shared" si="72"/>
        <v>1.4964619869729701</v>
      </c>
      <c r="M295" s="49">
        <v>312200</v>
      </c>
      <c r="N295" s="49">
        <v>306800</v>
      </c>
      <c r="O295" s="49">
        <v>15956260</v>
      </c>
      <c r="P295" s="49">
        <f t="shared" si="80"/>
        <v>20.6144209614665</v>
      </c>
      <c r="Q295" s="49">
        <f t="shared" si="73"/>
        <v>20.6144209614665</v>
      </c>
      <c r="R295" s="48">
        <v>10630</v>
      </c>
      <c r="S295" s="48">
        <v>10620</v>
      </c>
      <c r="T295" s="48">
        <v>62100000</v>
      </c>
      <c r="U295" s="48">
        <f t="shared" si="74"/>
        <v>178.66907334717999</v>
      </c>
      <c r="V295" s="48">
        <f t="shared" si="75"/>
        <v>178.66907334717999</v>
      </c>
      <c r="W295" s="49">
        <v>0</v>
      </c>
      <c r="X295" s="49">
        <v>0</v>
      </c>
      <c r="Y295" s="49">
        <v>0</v>
      </c>
      <c r="Z295" s="49">
        <f t="shared" si="81"/>
        <v>0</v>
      </c>
      <c r="AA295" s="49">
        <v>0</v>
      </c>
      <c r="AB295" s="82">
        <f t="shared" si="86"/>
        <v>0</v>
      </c>
      <c r="AC295" s="82">
        <f t="shared" si="87"/>
        <v>249358299288410.66</v>
      </c>
      <c r="AD295" s="81">
        <f t="shared" si="88"/>
        <v>304757253013373.19</v>
      </c>
      <c r="AE295" s="80">
        <f t="shared" si="76"/>
        <v>1222.1660714042948</v>
      </c>
      <c r="AF295" s="52">
        <f t="shared" si="82"/>
        <v>-7.0661739543025548E-3</v>
      </c>
      <c r="AG295" s="48">
        <f t="shared" si="77"/>
        <v>0</v>
      </c>
      <c r="AH295" s="48">
        <f t="shared" si="83"/>
        <v>-7.2289156626506026E-3</v>
      </c>
      <c r="AI295" s="48">
        <f t="shared" si="84"/>
        <v>-1.729660474055093E-2</v>
      </c>
      <c r="AJ295" s="48" t="e">
        <f t="shared" si="85"/>
        <v>#DIV/0!</v>
      </c>
    </row>
    <row r="296" spans="1:36" x14ac:dyDescent="0.3">
      <c r="A296" s="48">
        <v>20190315</v>
      </c>
      <c r="B296" s="48" t="s">
        <v>88</v>
      </c>
      <c r="C296" s="49">
        <v>43850</v>
      </c>
      <c r="D296" s="49">
        <v>44200</v>
      </c>
      <c r="E296" s="49">
        <v>5969782550</v>
      </c>
      <c r="F296" s="49">
        <f t="shared" si="78"/>
        <v>0.180815846328331</v>
      </c>
      <c r="G296" s="49">
        <f t="shared" si="71"/>
        <v>0.180815846328331</v>
      </c>
      <c r="H296" s="48">
        <v>206000</v>
      </c>
      <c r="I296" s="48">
        <v>203000</v>
      </c>
      <c r="J296" s="51">
        <v>125461438</v>
      </c>
      <c r="K296" s="48">
        <f t="shared" si="79"/>
        <v>1.4964619869729701</v>
      </c>
      <c r="L296" s="48">
        <f t="shared" si="72"/>
        <v>1.4964619869729701</v>
      </c>
      <c r="M296" s="49">
        <v>306800</v>
      </c>
      <c r="N296" s="49">
        <v>305500</v>
      </c>
      <c r="O296" s="49">
        <v>15956260</v>
      </c>
      <c r="P296" s="49">
        <f t="shared" si="80"/>
        <v>20.6144209614665</v>
      </c>
      <c r="Q296" s="49">
        <f t="shared" si="73"/>
        <v>20.6144209614665</v>
      </c>
      <c r="R296" s="48">
        <v>10620</v>
      </c>
      <c r="S296" s="48">
        <v>10775</v>
      </c>
      <c r="T296" s="48">
        <v>62100000</v>
      </c>
      <c r="U296" s="48">
        <f t="shared" si="74"/>
        <v>178.66907334717999</v>
      </c>
      <c r="V296" s="48">
        <f t="shared" si="75"/>
        <v>178.66907334717999</v>
      </c>
      <c r="W296" s="49">
        <v>0</v>
      </c>
      <c r="X296" s="49">
        <v>0</v>
      </c>
      <c r="Y296" s="49">
        <v>0</v>
      </c>
      <c r="Z296" s="49">
        <f t="shared" si="81"/>
        <v>0</v>
      </c>
      <c r="AA296" s="49">
        <v>0</v>
      </c>
      <c r="AB296" s="82">
        <f t="shared" si="86"/>
        <v>0</v>
      </c>
      <c r="AC296" s="82">
        <f t="shared" si="87"/>
        <v>249358299288410.66</v>
      </c>
      <c r="AD296" s="81">
        <f t="shared" si="88"/>
        <v>305863980531149.81</v>
      </c>
      <c r="AE296" s="80">
        <f t="shared" si="76"/>
        <v>1226.6043737224243</v>
      </c>
      <c r="AF296" s="52">
        <f t="shared" si="82"/>
        <v>3.6315050973635202E-3</v>
      </c>
      <c r="AG296" s="48">
        <f t="shared" si="77"/>
        <v>7.98175598631699E-3</v>
      </c>
      <c r="AH296" s="48">
        <f t="shared" si="83"/>
        <v>-1.4563106796116505E-2</v>
      </c>
      <c r="AI296" s="48">
        <f t="shared" si="84"/>
        <v>-4.2372881355932203E-3</v>
      </c>
      <c r="AJ296" s="48" t="e">
        <f t="shared" si="85"/>
        <v>#DIV/0!</v>
      </c>
    </row>
    <row r="297" spans="1:36" x14ac:dyDescent="0.3">
      <c r="A297" s="48">
        <v>20190318</v>
      </c>
      <c r="B297" s="48" t="s">
        <v>88</v>
      </c>
      <c r="C297" s="49">
        <v>44200</v>
      </c>
      <c r="D297" s="49">
        <v>43700</v>
      </c>
      <c r="E297" s="49">
        <v>5969782550</v>
      </c>
      <c r="F297" s="49">
        <f t="shared" si="78"/>
        <v>0.180815846328331</v>
      </c>
      <c r="G297" s="49">
        <f t="shared" si="71"/>
        <v>0.180815846328331</v>
      </c>
      <c r="H297" s="48">
        <v>203000</v>
      </c>
      <c r="I297" s="48">
        <v>201000</v>
      </c>
      <c r="J297" s="51">
        <v>125461438</v>
      </c>
      <c r="K297" s="48">
        <f t="shared" si="79"/>
        <v>1.4964619869729701</v>
      </c>
      <c r="L297" s="48">
        <f t="shared" si="72"/>
        <v>1.4964619869729701</v>
      </c>
      <c r="M297" s="49">
        <v>305500</v>
      </c>
      <c r="N297" s="49">
        <v>299400</v>
      </c>
      <c r="O297" s="49">
        <v>15956260</v>
      </c>
      <c r="P297" s="49">
        <f t="shared" si="80"/>
        <v>20.6144209614665</v>
      </c>
      <c r="Q297" s="49">
        <f t="shared" si="73"/>
        <v>20.6144209614665</v>
      </c>
      <c r="R297" s="48">
        <v>10775</v>
      </c>
      <c r="S297" s="48">
        <v>10755</v>
      </c>
      <c r="T297" s="48">
        <v>62100000</v>
      </c>
      <c r="U297" s="48">
        <f t="shared" si="74"/>
        <v>178.66907334717999</v>
      </c>
      <c r="V297" s="48">
        <f t="shared" si="75"/>
        <v>178.66907334717999</v>
      </c>
      <c r="W297" s="49">
        <v>0</v>
      </c>
      <c r="X297" s="49">
        <v>0</v>
      </c>
      <c r="Y297" s="49">
        <v>0</v>
      </c>
      <c r="Z297" s="49">
        <f t="shared" si="81"/>
        <v>0</v>
      </c>
      <c r="AA297" s="49">
        <v>0</v>
      </c>
      <c r="AB297" s="82">
        <f t="shared" si="86"/>
        <v>0</v>
      </c>
      <c r="AC297" s="82">
        <f t="shared" si="87"/>
        <v>249358299288410.66</v>
      </c>
      <c r="AD297" s="81">
        <f t="shared" si="88"/>
        <v>302720394084644.81</v>
      </c>
      <c r="AE297" s="80">
        <f t="shared" si="76"/>
        <v>1213.9976690108676</v>
      </c>
      <c r="AF297" s="52">
        <f t="shared" si="82"/>
        <v>-1.0277726854420527E-2</v>
      </c>
      <c r="AG297" s="48">
        <f t="shared" si="77"/>
        <v>-1.1312217194570135E-2</v>
      </c>
      <c r="AH297" s="48">
        <f t="shared" si="83"/>
        <v>-9.852216748768473E-3</v>
      </c>
      <c r="AI297" s="48">
        <f t="shared" si="84"/>
        <v>-1.9967266775777415E-2</v>
      </c>
      <c r="AJ297" s="48" t="e">
        <f t="shared" si="85"/>
        <v>#DIV/0!</v>
      </c>
    </row>
    <row r="298" spans="1:36" x14ac:dyDescent="0.3">
      <c r="A298" s="48">
        <v>20190319</v>
      </c>
      <c r="B298" s="48" t="s">
        <v>88</v>
      </c>
      <c r="C298" s="49">
        <v>43700</v>
      </c>
      <c r="D298" s="49">
        <v>43900</v>
      </c>
      <c r="E298" s="49">
        <v>5969782550</v>
      </c>
      <c r="F298" s="49">
        <f t="shared" si="78"/>
        <v>0.180815846328331</v>
      </c>
      <c r="G298" s="49">
        <f t="shared" si="71"/>
        <v>0.180815846328331</v>
      </c>
      <c r="H298" s="48">
        <v>201000</v>
      </c>
      <c r="I298" s="48">
        <v>203000</v>
      </c>
      <c r="J298" s="51">
        <v>125461438</v>
      </c>
      <c r="K298" s="48">
        <f t="shared" si="79"/>
        <v>1.4964619869729701</v>
      </c>
      <c r="L298" s="48">
        <f t="shared" si="72"/>
        <v>1.4964619869729701</v>
      </c>
      <c r="M298" s="49">
        <v>299400</v>
      </c>
      <c r="N298" s="49">
        <v>289800</v>
      </c>
      <c r="O298" s="49">
        <v>15956260</v>
      </c>
      <c r="P298" s="49">
        <f t="shared" si="80"/>
        <v>20.6144209614665</v>
      </c>
      <c r="Q298" s="49">
        <f t="shared" si="73"/>
        <v>20.6144209614665</v>
      </c>
      <c r="R298" s="48">
        <v>10755</v>
      </c>
      <c r="S298" s="48">
        <v>10775</v>
      </c>
      <c r="T298" s="48">
        <v>62100000</v>
      </c>
      <c r="U298" s="48">
        <f t="shared" si="74"/>
        <v>178.66907334717999</v>
      </c>
      <c r="V298" s="48">
        <f t="shared" si="75"/>
        <v>178.66907334717999</v>
      </c>
      <c r="W298" s="49">
        <v>0</v>
      </c>
      <c r="X298" s="49">
        <v>0</v>
      </c>
      <c r="Y298" s="49">
        <v>0</v>
      </c>
      <c r="Z298" s="49">
        <f t="shared" si="81"/>
        <v>0</v>
      </c>
      <c r="AA298" s="49">
        <v>0</v>
      </c>
      <c r="AB298" s="82">
        <f t="shared" si="86"/>
        <v>0</v>
      </c>
      <c r="AC298" s="82">
        <f t="shared" si="87"/>
        <v>249358299288410.66</v>
      </c>
      <c r="AD298" s="81">
        <f t="shared" si="88"/>
        <v>300375964894311</v>
      </c>
      <c r="AE298" s="80">
        <f t="shared" si="76"/>
        <v>1204.5958195555895</v>
      </c>
      <c r="AF298" s="52">
        <f t="shared" si="82"/>
        <v>-7.7445366620337063E-3</v>
      </c>
      <c r="AG298" s="48">
        <f t="shared" si="77"/>
        <v>4.5766590389016018E-3</v>
      </c>
      <c r="AH298" s="48">
        <f t="shared" si="83"/>
        <v>9.9502487562189053E-3</v>
      </c>
      <c r="AI298" s="48">
        <f t="shared" si="84"/>
        <v>-3.2064128256513023E-2</v>
      </c>
      <c r="AJ298" s="48" t="e">
        <f t="shared" si="85"/>
        <v>#DIV/0!</v>
      </c>
    </row>
    <row r="299" spans="1:36" x14ac:dyDescent="0.3">
      <c r="A299" s="48">
        <v>20190320</v>
      </c>
      <c r="B299" s="48" t="s">
        <v>88</v>
      </c>
      <c r="C299" s="49">
        <v>43900</v>
      </c>
      <c r="D299" s="49">
        <v>44050</v>
      </c>
      <c r="E299" s="49">
        <v>5969782550</v>
      </c>
      <c r="F299" s="49">
        <f t="shared" si="78"/>
        <v>0.180815846328331</v>
      </c>
      <c r="G299" s="49">
        <f t="shared" si="71"/>
        <v>0.180815846328331</v>
      </c>
      <c r="H299" s="48">
        <v>203000</v>
      </c>
      <c r="I299" s="48">
        <v>201000</v>
      </c>
      <c r="J299" s="51">
        <v>125461438</v>
      </c>
      <c r="K299" s="48">
        <f t="shared" si="79"/>
        <v>1.4964619869729701</v>
      </c>
      <c r="L299" s="48">
        <f t="shared" si="72"/>
        <v>1.4964619869729701</v>
      </c>
      <c r="M299" s="49">
        <v>289800</v>
      </c>
      <c r="N299" s="49">
        <v>294700</v>
      </c>
      <c r="O299" s="49">
        <v>15956260</v>
      </c>
      <c r="P299" s="49">
        <f t="shared" si="80"/>
        <v>20.6144209614665</v>
      </c>
      <c r="Q299" s="49">
        <f t="shared" si="73"/>
        <v>20.6144209614665</v>
      </c>
      <c r="R299" s="48">
        <v>10775</v>
      </c>
      <c r="S299" s="48">
        <v>10790</v>
      </c>
      <c r="T299" s="48">
        <v>62100000</v>
      </c>
      <c r="U299" s="48">
        <f t="shared" si="74"/>
        <v>178.66907334717999</v>
      </c>
      <c r="V299" s="48">
        <f t="shared" si="75"/>
        <v>178.66907334717999</v>
      </c>
      <c r="W299" s="49">
        <v>0</v>
      </c>
      <c r="X299" s="49">
        <v>0</v>
      </c>
      <c r="Y299" s="49">
        <v>0</v>
      </c>
      <c r="Z299" s="49">
        <f t="shared" si="81"/>
        <v>0</v>
      </c>
      <c r="AA299" s="49">
        <v>0</v>
      </c>
      <c r="AB299" s="82">
        <f t="shared" si="86"/>
        <v>0</v>
      </c>
      <c r="AC299" s="82">
        <f t="shared" si="87"/>
        <v>249358299288410.66</v>
      </c>
      <c r="AD299" s="81">
        <f t="shared" si="88"/>
        <v>301940565680156.06</v>
      </c>
      <c r="AE299" s="80">
        <f t="shared" si="76"/>
        <v>1210.8703281254263</v>
      </c>
      <c r="AF299" s="52">
        <f t="shared" si="82"/>
        <v>5.208808189415496E-3</v>
      </c>
      <c r="AG299" s="48">
        <f t="shared" si="77"/>
        <v>3.4168564920273349E-3</v>
      </c>
      <c r="AH299" s="48">
        <f t="shared" si="83"/>
        <v>-9.852216748768473E-3</v>
      </c>
      <c r="AI299" s="48">
        <f t="shared" si="84"/>
        <v>1.6908212560386472E-2</v>
      </c>
      <c r="AJ299" s="48" t="e">
        <f t="shared" si="85"/>
        <v>#DIV/0!</v>
      </c>
    </row>
    <row r="300" spans="1:36" x14ac:dyDescent="0.3">
      <c r="A300" s="48">
        <v>20190321</v>
      </c>
      <c r="B300" s="48" t="s">
        <v>88</v>
      </c>
      <c r="C300" s="49">
        <v>44050</v>
      </c>
      <c r="D300" s="49">
        <v>45850</v>
      </c>
      <c r="E300" s="49">
        <v>5969782550</v>
      </c>
      <c r="F300" s="49">
        <f t="shared" si="78"/>
        <v>0.180815846328331</v>
      </c>
      <c r="G300" s="49">
        <f t="shared" si="71"/>
        <v>0.180815846328331</v>
      </c>
      <c r="H300" s="48">
        <v>201000</v>
      </c>
      <c r="I300" s="48">
        <v>200500</v>
      </c>
      <c r="J300" s="51">
        <v>125461438</v>
      </c>
      <c r="K300" s="48">
        <f t="shared" si="79"/>
        <v>1.4964619869729701</v>
      </c>
      <c r="L300" s="48">
        <f t="shared" si="72"/>
        <v>1.4964619869729701</v>
      </c>
      <c r="M300" s="49">
        <v>294700</v>
      </c>
      <c r="N300" s="49">
        <v>282800</v>
      </c>
      <c r="O300" s="49">
        <v>15956260</v>
      </c>
      <c r="P300" s="49">
        <f t="shared" si="80"/>
        <v>20.6144209614665</v>
      </c>
      <c r="Q300" s="49">
        <f t="shared" si="73"/>
        <v>20.6144209614665</v>
      </c>
      <c r="R300" s="48">
        <v>10790</v>
      </c>
      <c r="S300" s="48">
        <v>10900</v>
      </c>
      <c r="T300" s="48">
        <v>62100000</v>
      </c>
      <c r="U300" s="48">
        <f t="shared" si="74"/>
        <v>178.66907334717999</v>
      </c>
      <c r="V300" s="48">
        <f t="shared" si="75"/>
        <v>178.66907334717999</v>
      </c>
      <c r="W300" s="49">
        <v>0</v>
      </c>
      <c r="X300" s="49">
        <v>0</v>
      </c>
      <c r="Y300" s="49">
        <v>0</v>
      </c>
      <c r="Z300" s="49">
        <f t="shared" si="81"/>
        <v>0</v>
      </c>
      <c r="AA300" s="49">
        <v>0</v>
      </c>
      <c r="AB300" s="82">
        <f t="shared" si="86"/>
        <v>0</v>
      </c>
      <c r="AC300" s="82">
        <f t="shared" si="87"/>
        <v>249358299288410.66</v>
      </c>
      <c r="AD300" s="81">
        <f t="shared" si="88"/>
        <v>301095900474039.25</v>
      </c>
      <c r="AE300" s="80">
        <f t="shared" si="76"/>
        <v>1207.4829726272246</v>
      </c>
      <c r="AF300" s="52">
        <f t="shared" si="82"/>
        <v>-2.797455201867693E-3</v>
      </c>
      <c r="AG300" s="48">
        <f t="shared" si="77"/>
        <v>4.0862656072644721E-2</v>
      </c>
      <c r="AH300" s="48">
        <f t="shared" si="83"/>
        <v>-2.4875621890547263E-3</v>
      </c>
      <c r="AI300" s="48">
        <f t="shared" si="84"/>
        <v>-4.0380047505938245E-2</v>
      </c>
      <c r="AJ300" s="48" t="e">
        <f t="shared" si="85"/>
        <v>#DIV/0!</v>
      </c>
    </row>
    <row r="301" spans="1:36" x14ac:dyDescent="0.3">
      <c r="A301" s="48">
        <v>20190322</v>
      </c>
      <c r="B301" s="48" t="s">
        <v>88</v>
      </c>
      <c r="C301" s="49">
        <v>45850</v>
      </c>
      <c r="D301" s="49">
        <v>46550</v>
      </c>
      <c r="E301" s="49">
        <v>5969782550</v>
      </c>
      <c r="F301" s="49">
        <f t="shared" si="78"/>
        <v>0.180815846328331</v>
      </c>
      <c r="G301" s="49">
        <f t="shared" si="71"/>
        <v>0.180815846328331</v>
      </c>
      <c r="H301" s="48">
        <v>200500</v>
      </c>
      <c r="I301" s="48">
        <v>199500</v>
      </c>
      <c r="J301" s="51">
        <v>125461438</v>
      </c>
      <c r="K301" s="48">
        <f t="shared" si="79"/>
        <v>1.4964619869729701</v>
      </c>
      <c r="L301" s="48">
        <f t="shared" si="72"/>
        <v>1.4964619869729701</v>
      </c>
      <c r="M301" s="49">
        <v>282800</v>
      </c>
      <c r="N301" s="49">
        <v>281300</v>
      </c>
      <c r="O301" s="49">
        <v>15956260</v>
      </c>
      <c r="P301" s="49">
        <f t="shared" si="80"/>
        <v>20.6144209614665</v>
      </c>
      <c r="Q301" s="49">
        <f t="shared" si="73"/>
        <v>20.6144209614665</v>
      </c>
      <c r="R301" s="48">
        <v>10900</v>
      </c>
      <c r="S301" s="48">
        <v>10925</v>
      </c>
      <c r="T301" s="48">
        <v>62100000</v>
      </c>
      <c r="U301" s="48">
        <f t="shared" si="74"/>
        <v>178.66907334717999</v>
      </c>
      <c r="V301" s="48">
        <f t="shared" si="75"/>
        <v>178.66907334717999</v>
      </c>
      <c r="W301" s="49">
        <v>0</v>
      </c>
      <c r="X301" s="49">
        <v>0</v>
      </c>
      <c r="Y301" s="49">
        <v>0</v>
      </c>
      <c r="Z301" s="49">
        <f t="shared" si="81"/>
        <v>0</v>
      </c>
      <c r="AA301" s="49">
        <v>0</v>
      </c>
      <c r="AB301" s="82">
        <f t="shared" si="86"/>
        <v>0</v>
      </c>
      <c r="AC301" s="82">
        <f t="shared" si="87"/>
        <v>249358299288410.66</v>
      </c>
      <c r="AD301" s="81">
        <f t="shared" si="88"/>
        <v>301447744245618.87</v>
      </c>
      <c r="AE301" s="80">
        <f t="shared" si="76"/>
        <v>1208.8939694642406</v>
      </c>
      <c r="AF301" s="52">
        <f t="shared" si="82"/>
        <v>1.1685438792946067E-3</v>
      </c>
      <c r="AG301" s="48">
        <f t="shared" si="77"/>
        <v>1.5267175572519083E-2</v>
      </c>
      <c r="AH301" s="48">
        <f t="shared" si="83"/>
        <v>-4.9875311720698253E-3</v>
      </c>
      <c r="AI301" s="48">
        <f t="shared" si="84"/>
        <v>-5.3041018387553042E-3</v>
      </c>
      <c r="AJ301" s="48" t="e">
        <f t="shared" si="85"/>
        <v>#DIV/0!</v>
      </c>
    </row>
    <row r="302" spans="1:36" x14ac:dyDescent="0.3">
      <c r="A302" s="48">
        <v>20190325</v>
      </c>
      <c r="B302" s="48" t="s">
        <v>88</v>
      </c>
      <c r="C302" s="49">
        <v>46550</v>
      </c>
      <c r="D302" s="49">
        <v>45500</v>
      </c>
      <c r="E302" s="49">
        <v>5969782550</v>
      </c>
      <c r="F302" s="49">
        <f t="shared" si="78"/>
        <v>0.180815846328331</v>
      </c>
      <c r="G302" s="49">
        <f t="shared" si="71"/>
        <v>0.180815846328331</v>
      </c>
      <c r="H302" s="48">
        <v>199500</v>
      </c>
      <c r="I302" s="48">
        <v>198000</v>
      </c>
      <c r="J302" s="51">
        <v>125461438</v>
      </c>
      <c r="K302" s="48">
        <f t="shared" si="79"/>
        <v>1.4964619869729701</v>
      </c>
      <c r="L302" s="48">
        <f t="shared" si="72"/>
        <v>1.4964619869729701</v>
      </c>
      <c r="M302" s="49">
        <v>281300</v>
      </c>
      <c r="N302" s="49">
        <v>271500</v>
      </c>
      <c r="O302" s="49">
        <v>15956260</v>
      </c>
      <c r="P302" s="49">
        <f t="shared" si="80"/>
        <v>20.6144209614665</v>
      </c>
      <c r="Q302" s="49">
        <f t="shared" si="73"/>
        <v>20.6144209614665</v>
      </c>
      <c r="R302" s="48">
        <v>10925</v>
      </c>
      <c r="S302" s="48">
        <v>10720</v>
      </c>
      <c r="T302" s="48">
        <v>62100000</v>
      </c>
      <c r="U302" s="48">
        <f t="shared" si="74"/>
        <v>178.66907334717999</v>
      </c>
      <c r="V302" s="48">
        <f t="shared" si="75"/>
        <v>178.66907334717999</v>
      </c>
      <c r="W302" s="49">
        <v>0</v>
      </c>
      <c r="X302" s="49">
        <v>0</v>
      </c>
      <c r="Y302" s="49">
        <v>0</v>
      </c>
      <c r="Z302" s="49">
        <f t="shared" si="81"/>
        <v>0</v>
      </c>
      <c r="AA302" s="49">
        <v>0</v>
      </c>
      <c r="AB302" s="82">
        <f t="shared" si="86"/>
        <v>0</v>
      </c>
      <c r="AC302" s="82">
        <f t="shared" si="87"/>
        <v>249358299288410.66</v>
      </c>
      <c r="AD302" s="81">
        <f t="shared" si="88"/>
        <v>294534667555808.69</v>
      </c>
      <c r="AE302" s="80">
        <f t="shared" si="76"/>
        <v>1181.1705020298784</v>
      </c>
      <c r="AF302" s="52">
        <f t="shared" si="82"/>
        <v>-2.2932918961163087E-2</v>
      </c>
      <c r="AG302" s="48">
        <f t="shared" si="77"/>
        <v>-2.2556390977443608E-2</v>
      </c>
      <c r="AH302" s="48">
        <f t="shared" si="83"/>
        <v>-7.5187969924812026E-3</v>
      </c>
      <c r="AI302" s="48">
        <f t="shared" si="84"/>
        <v>-3.4838250977603978E-2</v>
      </c>
      <c r="AJ302" s="48" t="e">
        <f t="shared" si="85"/>
        <v>#DIV/0!</v>
      </c>
    </row>
    <row r="303" spans="1:36" x14ac:dyDescent="0.3">
      <c r="A303" s="48">
        <v>20190326</v>
      </c>
      <c r="B303" s="48" t="s">
        <v>88</v>
      </c>
      <c r="C303" s="49">
        <v>45500</v>
      </c>
      <c r="D303" s="49">
        <v>45250</v>
      </c>
      <c r="E303" s="49">
        <v>5969782550</v>
      </c>
      <c r="F303" s="49">
        <f t="shared" si="78"/>
        <v>0.180815846328331</v>
      </c>
      <c r="G303" s="49">
        <f t="shared" si="71"/>
        <v>0.180815846328331</v>
      </c>
      <c r="H303" s="48">
        <v>198000</v>
      </c>
      <c r="I303" s="48">
        <v>192500</v>
      </c>
      <c r="J303" s="51">
        <v>125461438</v>
      </c>
      <c r="K303" s="48">
        <f t="shared" si="79"/>
        <v>1.4964619869729701</v>
      </c>
      <c r="L303" s="48">
        <f t="shared" si="72"/>
        <v>1.4964619869729701</v>
      </c>
      <c r="M303" s="49">
        <v>271500</v>
      </c>
      <c r="N303" s="49">
        <v>286300</v>
      </c>
      <c r="O303" s="49">
        <v>15956260</v>
      </c>
      <c r="P303" s="49">
        <f t="shared" si="80"/>
        <v>20.6144209614665</v>
      </c>
      <c r="Q303" s="49">
        <f t="shared" si="73"/>
        <v>20.6144209614665</v>
      </c>
      <c r="R303" s="48">
        <v>10720</v>
      </c>
      <c r="S303" s="48">
        <v>10740</v>
      </c>
      <c r="T303" s="48">
        <v>62100000</v>
      </c>
      <c r="U303" s="48">
        <f t="shared" si="74"/>
        <v>178.66907334717999</v>
      </c>
      <c r="V303" s="48">
        <f t="shared" si="75"/>
        <v>178.66907334717999</v>
      </c>
      <c r="W303" s="49">
        <v>0</v>
      </c>
      <c r="X303" s="49">
        <v>0</v>
      </c>
      <c r="Y303" s="49">
        <v>0</v>
      </c>
      <c r="Z303" s="49">
        <f t="shared" si="81"/>
        <v>0</v>
      </c>
      <c r="AA303" s="49">
        <v>0</v>
      </c>
      <c r="AB303" s="82">
        <f t="shared" si="86"/>
        <v>0</v>
      </c>
      <c r="AC303" s="82">
        <f t="shared" si="87"/>
        <v>249358299288410.66</v>
      </c>
      <c r="AD303" s="81">
        <f t="shared" si="88"/>
        <v>298322251320510.44</v>
      </c>
      <c r="AE303" s="80">
        <f t="shared" si="76"/>
        <v>1196.3598250863411</v>
      </c>
      <c r="AF303" s="52">
        <f t="shared" si="82"/>
        <v>1.2859551631503919E-2</v>
      </c>
      <c r="AG303" s="48">
        <f t="shared" si="77"/>
        <v>-5.4945054945054949E-3</v>
      </c>
      <c r="AH303" s="48">
        <f t="shared" si="83"/>
        <v>-2.7777777777777776E-2</v>
      </c>
      <c r="AI303" s="48">
        <f t="shared" si="84"/>
        <v>5.4511970534069983E-2</v>
      </c>
      <c r="AJ303" s="48" t="e">
        <f t="shared" si="85"/>
        <v>#DIV/0!</v>
      </c>
    </row>
    <row r="304" spans="1:36" x14ac:dyDescent="0.3">
      <c r="A304" s="48">
        <v>20190327</v>
      </c>
      <c r="B304" s="48" t="s">
        <v>88</v>
      </c>
      <c r="C304" s="49">
        <v>45250</v>
      </c>
      <c r="D304" s="49">
        <v>45350</v>
      </c>
      <c r="E304" s="49">
        <v>5969782550</v>
      </c>
      <c r="F304" s="49">
        <f t="shared" si="78"/>
        <v>0.180815846328331</v>
      </c>
      <c r="G304" s="49">
        <f t="shared" si="71"/>
        <v>0.180815846328331</v>
      </c>
      <c r="H304" s="48">
        <v>192500</v>
      </c>
      <c r="I304" s="48">
        <v>183000</v>
      </c>
      <c r="J304" s="51">
        <v>125461438</v>
      </c>
      <c r="K304" s="48">
        <f t="shared" si="79"/>
        <v>1.4964619869729701</v>
      </c>
      <c r="L304" s="48">
        <f t="shared" si="72"/>
        <v>1.4964619869729701</v>
      </c>
      <c r="M304" s="49">
        <v>286300</v>
      </c>
      <c r="N304" s="49">
        <v>269600</v>
      </c>
      <c r="O304" s="49">
        <v>15956260</v>
      </c>
      <c r="P304" s="49">
        <f t="shared" si="80"/>
        <v>20.6144209614665</v>
      </c>
      <c r="Q304" s="49">
        <f t="shared" si="73"/>
        <v>20.6144209614665</v>
      </c>
      <c r="R304" s="48">
        <v>10740</v>
      </c>
      <c r="S304" s="48">
        <v>10670</v>
      </c>
      <c r="T304" s="48">
        <v>62100000</v>
      </c>
      <c r="U304" s="48">
        <f t="shared" si="74"/>
        <v>178.66907334717999</v>
      </c>
      <c r="V304" s="48">
        <f t="shared" si="75"/>
        <v>178.66907334717999</v>
      </c>
      <c r="W304" s="49">
        <v>0</v>
      </c>
      <c r="X304" s="49">
        <v>0</v>
      </c>
      <c r="Y304" s="49">
        <v>0</v>
      </c>
      <c r="Z304" s="49">
        <f t="shared" si="81"/>
        <v>0</v>
      </c>
      <c r="AA304" s="49">
        <v>0</v>
      </c>
      <c r="AB304" s="82">
        <f t="shared" si="86"/>
        <v>0</v>
      </c>
      <c r="AC304" s="82">
        <f t="shared" si="87"/>
        <v>249358299288410.66</v>
      </c>
      <c r="AD304" s="81">
        <f t="shared" si="88"/>
        <v>290376796083309.87</v>
      </c>
      <c r="AE304" s="80">
        <f t="shared" si="76"/>
        <v>1164.4962165364177</v>
      </c>
      <c r="AF304" s="52">
        <f t="shared" si="82"/>
        <v>-2.663380020105888E-2</v>
      </c>
      <c r="AG304" s="48">
        <f t="shared" si="77"/>
        <v>2.2099447513812156E-3</v>
      </c>
      <c r="AH304" s="48">
        <f t="shared" si="83"/>
        <v>-4.9350649350649353E-2</v>
      </c>
      <c r="AI304" s="48">
        <f t="shared" si="84"/>
        <v>-5.8330422633601116E-2</v>
      </c>
      <c r="AJ304" s="48" t="e">
        <f t="shared" si="85"/>
        <v>#DIV/0!</v>
      </c>
    </row>
    <row r="305" spans="1:36" x14ac:dyDescent="0.3">
      <c r="A305" s="48">
        <v>20190328</v>
      </c>
      <c r="B305" s="48" t="s">
        <v>88</v>
      </c>
      <c r="C305" s="49">
        <v>45350</v>
      </c>
      <c r="D305" s="49">
        <v>44850</v>
      </c>
      <c r="E305" s="49">
        <v>5969782550</v>
      </c>
      <c r="F305" s="49">
        <f t="shared" si="78"/>
        <v>0.180815846328331</v>
      </c>
      <c r="G305" s="49">
        <f t="shared" si="71"/>
        <v>0.180815846328331</v>
      </c>
      <c r="H305" s="48">
        <v>183000</v>
      </c>
      <c r="I305" s="48">
        <v>180500</v>
      </c>
      <c r="J305" s="51">
        <v>125461438</v>
      </c>
      <c r="K305" s="48">
        <f t="shared" si="79"/>
        <v>1.4964619869729701</v>
      </c>
      <c r="L305" s="48">
        <f t="shared" si="72"/>
        <v>1.4964619869729701</v>
      </c>
      <c r="M305" s="49">
        <v>269600</v>
      </c>
      <c r="N305" s="49">
        <v>270300</v>
      </c>
      <c r="O305" s="49">
        <v>15956260</v>
      </c>
      <c r="P305" s="49">
        <f t="shared" si="80"/>
        <v>20.6144209614665</v>
      </c>
      <c r="Q305" s="49">
        <f t="shared" si="73"/>
        <v>20.6144209614665</v>
      </c>
      <c r="R305" s="48">
        <v>10670</v>
      </c>
      <c r="S305" s="48">
        <v>10630</v>
      </c>
      <c r="T305" s="48">
        <v>62100000</v>
      </c>
      <c r="U305" s="48">
        <f t="shared" si="74"/>
        <v>178.66907334717999</v>
      </c>
      <c r="V305" s="48">
        <f t="shared" si="75"/>
        <v>178.66907334717999</v>
      </c>
      <c r="W305" s="49">
        <v>0</v>
      </c>
      <c r="X305" s="49">
        <v>0</v>
      </c>
      <c r="Y305" s="49">
        <v>0</v>
      </c>
      <c r="Z305" s="49">
        <f t="shared" si="81"/>
        <v>0</v>
      </c>
      <c r="AA305" s="49">
        <v>0</v>
      </c>
      <c r="AB305" s="82">
        <f t="shared" si="86"/>
        <v>0</v>
      </c>
      <c r="AC305" s="82">
        <f t="shared" si="87"/>
        <v>249358299288410.66</v>
      </c>
      <c r="AD305" s="81">
        <f t="shared" si="88"/>
        <v>289154146123460.81</v>
      </c>
      <c r="AE305" s="80">
        <f t="shared" si="76"/>
        <v>1159.5930311869101</v>
      </c>
      <c r="AF305" s="52">
        <f t="shared" si="82"/>
        <v>-4.2105635723671134E-3</v>
      </c>
      <c r="AG305" s="48">
        <f t="shared" si="77"/>
        <v>-1.1025358324145534E-2</v>
      </c>
      <c r="AH305" s="48">
        <f t="shared" si="83"/>
        <v>-1.3661202185792349E-2</v>
      </c>
      <c r="AI305" s="48">
        <f t="shared" si="84"/>
        <v>2.5964391691394658E-3</v>
      </c>
      <c r="AJ305" s="48" t="e">
        <f t="shared" si="85"/>
        <v>#DIV/0!</v>
      </c>
    </row>
    <row r="306" spans="1:36" x14ac:dyDescent="0.3">
      <c r="A306" s="48">
        <v>20190329</v>
      </c>
      <c r="B306" s="48" t="s">
        <v>88</v>
      </c>
      <c r="C306" s="49">
        <v>44850</v>
      </c>
      <c r="D306" s="49">
        <v>44650</v>
      </c>
      <c r="E306" s="49">
        <v>5969782550</v>
      </c>
      <c r="F306" s="49">
        <f t="shared" si="78"/>
        <v>0.180815846328331</v>
      </c>
      <c r="G306" s="49">
        <f t="shared" si="71"/>
        <v>0.180815846328331</v>
      </c>
      <c r="H306" s="48">
        <v>180500</v>
      </c>
      <c r="I306" s="48">
        <v>181000</v>
      </c>
      <c r="J306" s="51">
        <v>125461438</v>
      </c>
      <c r="K306" s="48">
        <f t="shared" si="79"/>
        <v>1.4964619869729701</v>
      </c>
      <c r="L306" s="48">
        <f t="shared" si="72"/>
        <v>1.4964619869729701</v>
      </c>
      <c r="M306" s="49">
        <v>270300</v>
      </c>
      <c r="N306" s="49">
        <v>279800</v>
      </c>
      <c r="O306" s="49">
        <v>15956260</v>
      </c>
      <c r="P306" s="49">
        <f t="shared" si="80"/>
        <v>20.6144209614665</v>
      </c>
      <c r="Q306" s="49">
        <f t="shared" si="73"/>
        <v>20.6144209614665</v>
      </c>
      <c r="R306" s="48">
        <v>10630</v>
      </c>
      <c r="S306" s="48">
        <v>10715</v>
      </c>
      <c r="T306" s="48">
        <v>62100000</v>
      </c>
      <c r="U306" s="48">
        <f t="shared" si="74"/>
        <v>178.66907334717999</v>
      </c>
      <c r="V306" s="48">
        <f t="shared" si="75"/>
        <v>178.66907334717999</v>
      </c>
      <c r="W306" s="49">
        <v>0</v>
      </c>
      <c r="X306" s="49">
        <v>0</v>
      </c>
      <c r="Y306" s="49">
        <v>0</v>
      </c>
      <c r="Z306" s="49">
        <f t="shared" si="81"/>
        <v>0</v>
      </c>
      <c r="AA306" s="49">
        <v>0</v>
      </c>
      <c r="AB306" s="82">
        <f t="shared" si="86"/>
        <v>0</v>
      </c>
      <c r="AC306" s="82">
        <f t="shared" si="87"/>
        <v>249358299288410.66</v>
      </c>
      <c r="AD306" s="81">
        <f t="shared" si="88"/>
        <v>293100064782488.81</v>
      </c>
      <c r="AE306" s="80">
        <f t="shared" si="76"/>
        <v>1175.4173236619888</v>
      </c>
      <c r="AF306" s="52">
        <f t="shared" si="82"/>
        <v>1.3646419087980885E-2</v>
      </c>
      <c r="AG306" s="48">
        <f t="shared" si="77"/>
        <v>-4.459308807134894E-3</v>
      </c>
      <c r="AH306" s="48">
        <f t="shared" si="83"/>
        <v>2.7700831024930748E-3</v>
      </c>
      <c r="AI306" s="48">
        <f t="shared" si="84"/>
        <v>3.5146133925268219E-2</v>
      </c>
      <c r="AJ306" s="48" t="e">
        <f t="shared" si="85"/>
        <v>#DIV/0!</v>
      </c>
    </row>
    <row r="307" spans="1:36" x14ac:dyDescent="0.3">
      <c r="A307" s="48">
        <v>20190401</v>
      </c>
      <c r="B307" s="48" t="s">
        <v>88</v>
      </c>
      <c r="C307" s="49">
        <v>44650</v>
      </c>
      <c r="D307" s="49">
        <v>45050</v>
      </c>
      <c r="E307" s="49">
        <v>5969782550</v>
      </c>
      <c r="F307" s="49">
        <f t="shared" si="78"/>
        <v>0.180815846328331</v>
      </c>
      <c r="G307" s="49">
        <f t="shared" si="71"/>
        <v>0.180815846328331</v>
      </c>
      <c r="H307" s="48">
        <v>181000</v>
      </c>
      <c r="I307" s="48">
        <v>182000</v>
      </c>
      <c r="J307" s="51">
        <v>125461438</v>
      </c>
      <c r="K307" s="48">
        <f t="shared" si="79"/>
        <v>1.4964619869729701</v>
      </c>
      <c r="L307" s="48">
        <f t="shared" si="72"/>
        <v>1.4964619869729701</v>
      </c>
      <c r="M307" s="49">
        <v>279800</v>
      </c>
      <c r="N307" s="49">
        <v>274900</v>
      </c>
      <c r="O307" s="49">
        <v>15956260</v>
      </c>
      <c r="P307" s="49">
        <f t="shared" si="80"/>
        <v>20.6144209614665</v>
      </c>
      <c r="Q307" s="49">
        <f t="shared" si="73"/>
        <v>20.6144209614665</v>
      </c>
      <c r="R307" s="48">
        <v>10715</v>
      </c>
      <c r="S307" s="48">
        <v>10850</v>
      </c>
      <c r="T307" s="48">
        <v>62100000</v>
      </c>
      <c r="U307" s="48">
        <f t="shared" si="74"/>
        <v>178.66907334717999</v>
      </c>
      <c r="V307" s="48">
        <f t="shared" si="75"/>
        <v>178.66907334717999</v>
      </c>
      <c r="W307" s="49">
        <v>0</v>
      </c>
      <c r="X307" s="49">
        <v>0</v>
      </c>
      <c r="Y307" s="49">
        <v>0</v>
      </c>
      <c r="Z307" s="49">
        <f t="shared" si="81"/>
        <v>0</v>
      </c>
      <c r="AA307" s="49">
        <v>0</v>
      </c>
      <c r="AB307" s="82">
        <f t="shared" si="86"/>
        <v>0</v>
      </c>
      <c r="AC307" s="82">
        <f t="shared" si="87"/>
        <v>249358299288410.66</v>
      </c>
      <c r="AD307" s="81">
        <f t="shared" si="88"/>
        <v>293605705348370.62</v>
      </c>
      <c r="AE307" s="80">
        <f t="shared" si="76"/>
        <v>1177.4450908039878</v>
      </c>
      <c r="AF307" s="52">
        <f t="shared" si="82"/>
        <v>1.7251465510832575E-3</v>
      </c>
      <c r="AG307" s="48">
        <f t="shared" si="77"/>
        <v>8.9585666293393058E-3</v>
      </c>
      <c r="AH307" s="48">
        <f t="shared" si="83"/>
        <v>5.5248618784530384E-3</v>
      </c>
      <c r="AI307" s="48">
        <f t="shared" si="84"/>
        <v>-1.7512508934953538E-2</v>
      </c>
      <c r="AJ307" s="48" t="e">
        <f t="shared" si="85"/>
        <v>#DIV/0!</v>
      </c>
    </row>
    <row r="308" spans="1:36" x14ac:dyDescent="0.3">
      <c r="A308" s="48">
        <v>20190402</v>
      </c>
      <c r="B308" s="48" t="s">
        <v>88</v>
      </c>
      <c r="C308" s="49">
        <v>45050</v>
      </c>
      <c r="D308" s="49">
        <v>45750</v>
      </c>
      <c r="E308" s="49">
        <v>5969782550</v>
      </c>
      <c r="F308" s="49">
        <f t="shared" si="78"/>
        <v>0.180815846328331</v>
      </c>
      <c r="G308" s="49">
        <f t="shared" si="71"/>
        <v>0.180815846328331</v>
      </c>
      <c r="H308" s="48">
        <v>182000</v>
      </c>
      <c r="I308" s="48">
        <v>190000</v>
      </c>
      <c r="J308" s="51">
        <v>125461438</v>
      </c>
      <c r="K308" s="48">
        <f t="shared" si="79"/>
        <v>1.4964619869729701</v>
      </c>
      <c r="L308" s="48">
        <f t="shared" si="72"/>
        <v>1.4964619869729701</v>
      </c>
      <c r="M308" s="49">
        <v>274900</v>
      </c>
      <c r="N308" s="49">
        <v>277000</v>
      </c>
      <c r="O308" s="49">
        <v>15956260</v>
      </c>
      <c r="P308" s="49">
        <f t="shared" si="80"/>
        <v>20.6144209614665</v>
      </c>
      <c r="Q308" s="49">
        <f t="shared" si="73"/>
        <v>20.6144209614665</v>
      </c>
      <c r="R308" s="48">
        <v>10850</v>
      </c>
      <c r="S308" s="48">
        <v>10915</v>
      </c>
      <c r="T308" s="48">
        <v>62100000</v>
      </c>
      <c r="U308" s="48">
        <f t="shared" si="74"/>
        <v>178.66907334717999</v>
      </c>
      <c r="V308" s="48">
        <f t="shared" si="75"/>
        <v>178.66907334717999</v>
      </c>
      <c r="W308" s="49">
        <v>0</v>
      </c>
      <c r="X308" s="49">
        <v>0</v>
      </c>
      <c r="Y308" s="49">
        <v>0</v>
      </c>
      <c r="Z308" s="49">
        <f t="shared" si="81"/>
        <v>0</v>
      </c>
      <c r="AA308" s="49">
        <v>0</v>
      </c>
      <c r="AB308" s="82">
        <f t="shared" si="86"/>
        <v>0</v>
      </c>
      <c r="AC308" s="82">
        <f t="shared" si="87"/>
        <v>249358299288410.66</v>
      </c>
      <c r="AD308" s="81">
        <f t="shared" si="88"/>
        <v>297275242171524.5</v>
      </c>
      <c r="AE308" s="80">
        <f t="shared" si="76"/>
        <v>1192.1610109623523</v>
      </c>
      <c r="AF308" s="52">
        <f t="shared" si="82"/>
        <v>1.2498179552743401E-2</v>
      </c>
      <c r="AG308" s="48">
        <f t="shared" si="77"/>
        <v>1.5538290788013319E-2</v>
      </c>
      <c r="AH308" s="48">
        <f t="shared" si="83"/>
        <v>4.3956043956043959E-2</v>
      </c>
      <c r="AI308" s="48">
        <f t="shared" si="84"/>
        <v>7.6391415060021823E-3</v>
      </c>
      <c r="AJ308" s="48" t="e">
        <f t="shared" si="85"/>
        <v>#DIV/0!</v>
      </c>
    </row>
    <row r="309" spans="1:36" x14ac:dyDescent="0.3">
      <c r="A309" s="48">
        <v>20190403</v>
      </c>
      <c r="B309" s="48" t="s">
        <v>88</v>
      </c>
      <c r="C309" s="49">
        <v>45750</v>
      </c>
      <c r="D309" s="49">
        <v>46600</v>
      </c>
      <c r="E309" s="49">
        <v>5969782550</v>
      </c>
      <c r="F309" s="49">
        <f t="shared" si="78"/>
        <v>0.180815846328331</v>
      </c>
      <c r="G309" s="49">
        <f t="shared" si="71"/>
        <v>0.180815846328331</v>
      </c>
      <c r="H309" s="48">
        <v>190000</v>
      </c>
      <c r="I309" s="48">
        <v>193500</v>
      </c>
      <c r="J309" s="51">
        <v>125461438</v>
      </c>
      <c r="K309" s="48">
        <f t="shared" si="79"/>
        <v>1.4964619869729701</v>
      </c>
      <c r="L309" s="48">
        <f t="shared" si="72"/>
        <v>1.4964619869729701</v>
      </c>
      <c r="M309" s="49">
        <v>277000</v>
      </c>
      <c r="N309" s="49">
        <v>279500</v>
      </c>
      <c r="O309" s="49">
        <v>15956260</v>
      </c>
      <c r="P309" s="49">
        <f t="shared" si="80"/>
        <v>20.6144209614665</v>
      </c>
      <c r="Q309" s="49">
        <f t="shared" si="73"/>
        <v>20.6144209614665</v>
      </c>
      <c r="R309" s="48">
        <v>10915</v>
      </c>
      <c r="S309" s="48">
        <v>11080</v>
      </c>
      <c r="T309" s="48">
        <v>62100000</v>
      </c>
      <c r="U309" s="48">
        <f t="shared" si="74"/>
        <v>178.66907334717999</v>
      </c>
      <c r="V309" s="48">
        <f t="shared" si="75"/>
        <v>178.66907334717999</v>
      </c>
      <c r="W309" s="49">
        <v>0</v>
      </c>
      <c r="X309" s="49">
        <v>0</v>
      </c>
      <c r="Y309" s="49">
        <v>0</v>
      </c>
      <c r="Z309" s="49">
        <f t="shared" si="81"/>
        <v>0</v>
      </c>
      <c r="AA309" s="49">
        <v>0</v>
      </c>
      <c r="AB309" s="82">
        <f t="shared" si="86"/>
        <v>0</v>
      </c>
      <c r="AC309" s="82">
        <f t="shared" si="87"/>
        <v>249358299288410.66</v>
      </c>
      <c r="AD309" s="81">
        <f t="shared" si="88"/>
        <v>301502933029444</v>
      </c>
      <c r="AE309" s="80">
        <f t="shared" si="76"/>
        <v>1209.1152926926336</v>
      </c>
      <c r="AF309" s="52">
        <f t="shared" si="82"/>
        <v>1.4221469729659457E-2</v>
      </c>
      <c r="AG309" s="48">
        <f t="shared" si="77"/>
        <v>1.8579234972677595E-2</v>
      </c>
      <c r="AH309" s="48">
        <f t="shared" si="83"/>
        <v>1.8421052631578946E-2</v>
      </c>
      <c r="AI309" s="48">
        <f t="shared" si="84"/>
        <v>9.0252707581227436E-3</v>
      </c>
      <c r="AJ309" s="48" t="e">
        <f t="shared" si="85"/>
        <v>#DIV/0!</v>
      </c>
    </row>
    <row r="310" spans="1:36" x14ac:dyDescent="0.3">
      <c r="A310" s="48">
        <v>20190404</v>
      </c>
      <c r="B310" s="48" t="s">
        <v>88</v>
      </c>
      <c r="C310" s="49">
        <v>46600</v>
      </c>
      <c r="D310" s="49">
        <v>46950</v>
      </c>
      <c r="E310" s="49">
        <v>5969782550</v>
      </c>
      <c r="F310" s="49">
        <f t="shared" si="78"/>
        <v>0.180815846328331</v>
      </c>
      <c r="G310" s="49">
        <f t="shared" si="71"/>
        <v>0.180815846328331</v>
      </c>
      <c r="H310" s="48">
        <v>193500</v>
      </c>
      <c r="I310" s="48">
        <v>192500</v>
      </c>
      <c r="J310" s="51">
        <v>125461438</v>
      </c>
      <c r="K310" s="48">
        <f t="shared" si="79"/>
        <v>1.4964619869729701</v>
      </c>
      <c r="L310" s="48">
        <f t="shared" si="72"/>
        <v>1.4964619869729701</v>
      </c>
      <c r="M310" s="49">
        <v>279500</v>
      </c>
      <c r="N310" s="49">
        <v>272900</v>
      </c>
      <c r="O310" s="49">
        <v>15956260</v>
      </c>
      <c r="P310" s="49">
        <f t="shared" si="80"/>
        <v>20.6144209614665</v>
      </c>
      <c r="Q310" s="49">
        <f t="shared" si="73"/>
        <v>20.6144209614665</v>
      </c>
      <c r="R310" s="48">
        <v>11080</v>
      </c>
      <c r="S310" s="48">
        <v>11120</v>
      </c>
      <c r="T310" s="48">
        <v>62100000</v>
      </c>
      <c r="U310" s="48">
        <f t="shared" si="74"/>
        <v>178.66907334717999</v>
      </c>
      <c r="V310" s="48">
        <f t="shared" si="75"/>
        <v>178.66907334717999</v>
      </c>
      <c r="W310" s="49">
        <v>0</v>
      </c>
      <c r="X310" s="49">
        <v>0</v>
      </c>
      <c r="Y310" s="49">
        <v>0</v>
      </c>
      <c r="Z310" s="49">
        <f t="shared" si="81"/>
        <v>0</v>
      </c>
      <c r="AA310" s="49">
        <v>0</v>
      </c>
      <c r="AB310" s="82">
        <f t="shared" si="86"/>
        <v>0</v>
      </c>
      <c r="AC310" s="82">
        <f t="shared" si="87"/>
        <v>249358299288410.66</v>
      </c>
      <c r="AD310" s="81">
        <f t="shared" si="88"/>
        <v>299965867884271.44</v>
      </c>
      <c r="AE310" s="80">
        <f t="shared" si="76"/>
        <v>1202.9512101272694</v>
      </c>
      <c r="AF310" s="52">
        <f t="shared" si="82"/>
        <v>-5.0980105889134215E-3</v>
      </c>
      <c r="AG310" s="48">
        <f t="shared" si="77"/>
        <v>7.5107296137339056E-3</v>
      </c>
      <c r="AH310" s="48">
        <f t="shared" si="83"/>
        <v>-5.1679586563307496E-3</v>
      </c>
      <c r="AI310" s="48">
        <f t="shared" si="84"/>
        <v>-2.3613595706618962E-2</v>
      </c>
      <c r="AJ310" s="48" t="e">
        <f t="shared" si="85"/>
        <v>#DIV/0!</v>
      </c>
    </row>
    <row r="311" spans="1:36" x14ac:dyDescent="0.3">
      <c r="A311" s="48">
        <v>20190405</v>
      </c>
      <c r="B311" s="48" t="s">
        <v>88</v>
      </c>
      <c r="C311" s="49">
        <v>46950</v>
      </c>
      <c r="D311" s="49">
        <v>46850</v>
      </c>
      <c r="E311" s="49">
        <v>5969782550</v>
      </c>
      <c r="F311" s="49">
        <f t="shared" si="78"/>
        <v>0.180815846328331</v>
      </c>
      <c r="G311" s="49">
        <f t="shared" si="71"/>
        <v>0.180815846328331</v>
      </c>
      <c r="H311" s="48">
        <v>192500</v>
      </c>
      <c r="I311" s="48">
        <v>192000</v>
      </c>
      <c r="J311" s="51">
        <v>125461438</v>
      </c>
      <c r="K311" s="48">
        <f t="shared" si="79"/>
        <v>1.4964619869729701</v>
      </c>
      <c r="L311" s="48">
        <f t="shared" si="72"/>
        <v>1.4964619869729701</v>
      </c>
      <c r="M311" s="49">
        <v>272900</v>
      </c>
      <c r="N311" s="49">
        <v>265100</v>
      </c>
      <c r="O311" s="49">
        <v>15956260</v>
      </c>
      <c r="P311" s="49">
        <f t="shared" si="80"/>
        <v>20.6144209614665</v>
      </c>
      <c r="Q311" s="49">
        <f t="shared" si="73"/>
        <v>20.6144209614665</v>
      </c>
      <c r="R311" s="48">
        <v>11120</v>
      </c>
      <c r="S311" s="48">
        <v>11120</v>
      </c>
      <c r="T311" s="48">
        <v>62100000</v>
      </c>
      <c r="U311" s="48">
        <f t="shared" si="74"/>
        <v>178.66907334717999</v>
      </c>
      <c r="V311" s="48">
        <f t="shared" si="75"/>
        <v>178.66907334717999</v>
      </c>
      <c r="W311" s="49">
        <v>0</v>
      </c>
      <c r="X311" s="49">
        <v>0</v>
      </c>
      <c r="Y311" s="49">
        <v>0</v>
      </c>
      <c r="Z311" s="49">
        <f t="shared" si="81"/>
        <v>0</v>
      </c>
      <c r="AA311" s="49">
        <v>0</v>
      </c>
      <c r="AB311" s="82">
        <f t="shared" si="86"/>
        <v>0</v>
      </c>
      <c r="AC311" s="82">
        <f t="shared" si="87"/>
        <v>249358299288410.66</v>
      </c>
      <c r="AD311" s="81">
        <f t="shared" si="88"/>
        <v>297198403946692.25</v>
      </c>
      <c r="AE311" s="80">
        <f t="shared" si="76"/>
        <v>1191.8528671185279</v>
      </c>
      <c r="AF311" s="52">
        <f t="shared" si="82"/>
        <v>-9.2259294602374739E-3</v>
      </c>
      <c r="AG311" s="48">
        <f t="shared" si="77"/>
        <v>-2.1299254526091589E-3</v>
      </c>
      <c r="AH311" s="48">
        <f t="shared" si="83"/>
        <v>-2.5974025974025974E-3</v>
      </c>
      <c r="AI311" s="48">
        <f t="shared" si="84"/>
        <v>-2.8581898131183583E-2</v>
      </c>
      <c r="AJ311" s="48" t="e">
        <f t="shared" si="85"/>
        <v>#DIV/0!</v>
      </c>
    </row>
    <row r="312" spans="1:36" x14ac:dyDescent="0.3">
      <c r="A312" s="48">
        <v>20190408</v>
      </c>
      <c r="B312" s="48" t="s">
        <v>88</v>
      </c>
      <c r="C312" s="49">
        <v>46850</v>
      </c>
      <c r="D312" s="49">
        <v>46650</v>
      </c>
      <c r="E312" s="49">
        <v>5969782550</v>
      </c>
      <c r="F312" s="49">
        <f t="shared" si="78"/>
        <v>0.180815846328331</v>
      </c>
      <c r="G312" s="49">
        <f t="shared" si="71"/>
        <v>0.180815846328331</v>
      </c>
      <c r="H312" s="48">
        <v>192000</v>
      </c>
      <c r="I312" s="48">
        <v>195500</v>
      </c>
      <c r="J312" s="51">
        <v>125461438</v>
      </c>
      <c r="K312" s="48">
        <f t="shared" si="79"/>
        <v>1.4964619869729701</v>
      </c>
      <c r="L312" s="48">
        <f t="shared" si="72"/>
        <v>1.4964619869729701</v>
      </c>
      <c r="M312" s="49">
        <v>265100</v>
      </c>
      <c r="N312" s="49">
        <v>271200</v>
      </c>
      <c r="O312" s="49">
        <v>15956260</v>
      </c>
      <c r="P312" s="49">
        <f t="shared" si="80"/>
        <v>20.6144209614665</v>
      </c>
      <c r="Q312" s="49">
        <f t="shared" si="73"/>
        <v>20.6144209614665</v>
      </c>
      <c r="R312" s="48">
        <v>11120</v>
      </c>
      <c r="S312" s="48">
        <v>11105</v>
      </c>
      <c r="T312" s="48">
        <v>62100000</v>
      </c>
      <c r="U312" s="48">
        <f t="shared" si="74"/>
        <v>178.66907334717999</v>
      </c>
      <c r="V312" s="48">
        <f t="shared" si="75"/>
        <v>178.66907334717999</v>
      </c>
      <c r="W312" s="49">
        <v>0</v>
      </c>
      <c r="X312" s="49">
        <v>0</v>
      </c>
      <c r="Y312" s="49">
        <v>0</v>
      </c>
      <c r="Z312" s="49">
        <f t="shared" si="81"/>
        <v>0</v>
      </c>
      <c r="AA312" s="49">
        <v>0</v>
      </c>
      <c r="AB312" s="82">
        <f t="shared" ref="AB312:AB343" si="89">IF(AD311&lt;&gt;(C312*E312*F312+H312*J312*K312+M312*O312*P312+R312*T312*U312),1,0)</f>
        <v>0</v>
      </c>
      <c r="AC312" s="82">
        <f t="shared" ref="AC312:AC343" si="90">IF(AND(AB312=0,B312="N"),AC311,AC311*(C312*E312*G312+H312*J312*L312+M312*O312*Q312+R312*T312*V312)/AD311)</f>
        <v>249358299288410.66</v>
      </c>
      <c r="AD312" s="81">
        <f t="shared" ref="AD312:AD343" si="91">D312*E312*G312+I312*J312*L312+N312*O312*Q312+S312*T312*V312</f>
        <v>299479673672552.13</v>
      </c>
      <c r="AE312" s="80">
        <f t="shared" si="76"/>
        <v>1201.0014285755556</v>
      </c>
      <c r="AF312" s="52">
        <f t="shared" si="82"/>
        <v>7.6759151313245478E-3</v>
      </c>
      <c r="AG312" s="48">
        <f t="shared" si="77"/>
        <v>-4.2689434364994666E-3</v>
      </c>
      <c r="AH312" s="48">
        <f t="shared" si="83"/>
        <v>1.8229166666666668E-2</v>
      </c>
      <c r="AI312" s="48">
        <f t="shared" si="84"/>
        <v>2.3010184835910975E-2</v>
      </c>
      <c r="AJ312" s="48" t="e">
        <f t="shared" si="85"/>
        <v>#DIV/0!</v>
      </c>
    </row>
    <row r="313" spans="1:36" x14ac:dyDescent="0.3">
      <c r="A313" s="48">
        <v>20190409</v>
      </c>
      <c r="B313" s="48" t="s">
        <v>88</v>
      </c>
      <c r="C313" s="49">
        <v>46650</v>
      </c>
      <c r="D313" s="49">
        <v>46650</v>
      </c>
      <c r="E313" s="49">
        <v>5969782550</v>
      </c>
      <c r="F313" s="49">
        <f t="shared" si="78"/>
        <v>0.180815846328331</v>
      </c>
      <c r="G313" s="49">
        <f t="shared" ref="G313:G376" si="92">IF(B313="Y",ROUND(0.15*(C313*E313+H313*J313+M313*O313+R313*T313)/(C313*E313),17),IF(AB313=0,F313,ROUND(D312*E312*G312/AD312*(C313*E313+H313*J313+M313*O313+R313*T313)/(C313*E313),17)))</f>
        <v>0.180815846328331</v>
      </c>
      <c r="H313" s="48">
        <v>195500</v>
      </c>
      <c r="I313" s="48">
        <v>204500</v>
      </c>
      <c r="J313" s="51">
        <v>125461438</v>
      </c>
      <c r="K313" s="48">
        <f t="shared" si="79"/>
        <v>1.4964619869729701</v>
      </c>
      <c r="L313" s="48">
        <f t="shared" ref="L313:L376" si="93">IF(B313="Y",ROUND(0.15*(C313*E313+H313*J313+M313*O313+R313*T313)/(H313*J313),17),IF(AB313=0,K313,ROUND(I312*J312*L312/AD312*(C313*E313+H313*J313+M313*O313+R313*T313)/(H313*J313),17)))</f>
        <v>1.4964619869729701</v>
      </c>
      <c r="M313" s="49">
        <v>271200</v>
      </c>
      <c r="N313" s="49">
        <v>270900</v>
      </c>
      <c r="O313" s="49">
        <v>15956260</v>
      </c>
      <c r="P313" s="49">
        <f t="shared" si="80"/>
        <v>20.6144209614665</v>
      </c>
      <c r="Q313" s="49">
        <f t="shared" ref="Q313:Q376" si="94">IF(B313="Y",ROUND(0.3*(C313*E313+H313*J313+M313*O313+R313*T313)/(M313*O313),17),IF(AB313=0,P313,ROUND(N312*O312*Q312/AD312*(C313*E313+H313*J313+M313*O313+R313*T313)/(M313*O313),17)))</f>
        <v>20.6144209614665</v>
      </c>
      <c r="R313" s="48">
        <v>11105</v>
      </c>
      <c r="S313" s="48">
        <v>11175</v>
      </c>
      <c r="T313" s="48">
        <v>62100000</v>
      </c>
      <c r="U313" s="48">
        <f t="shared" si="74"/>
        <v>178.66907334717999</v>
      </c>
      <c r="V313" s="48">
        <f t="shared" si="75"/>
        <v>178.66907334717999</v>
      </c>
      <c r="W313" s="49">
        <v>0</v>
      </c>
      <c r="X313" s="49">
        <v>0</v>
      </c>
      <c r="Y313" s="49">
        <v>0</v>
      </c>
      <c r="Z313" s="49">
        <f t="shared" si="81"/>
        <v>0</v>
      </c>
      <c r="AA313" s="49">
        <v>0</v>
      </c>
      <c r="AB313" s="82">
        <f t="shared" si="89"/>
        <v>0</v>
      </c>
      <c r="AC313" s="82">
        <f t="shared" si="90"/>
        <v>249358299288410.66</v>
      </c>
      <c r="AD313" s="81">
        <f t="shared" si="91"/>
        <v>301847403871390.81</v>
      </c>
      <c r="AE313" s="80">
        <f t="shared" si="76"/>
        <v>1210.4967219168859</v>
      </c>
      <c r="AF313" s="52">
        <f t="shared" si="82"/>
        <v>7.9061465835159068E-3</v>
      </c>
      <c r="AG313" s="48">
        <f t="shared" si="77"/>
        <v>0</v>
      </c>
      <c r="AH313" s="48">
        <f t="shared" si="83"/>
        <v>4.6035805626598467E-2</v>
      </c>
      <c r="AI313" s="48">
        <f t="shared" si="84"/>
        <v>-1.1061946902654867E-3</v>
      </c>
      <c r="AJ313" s="48" t="e">
        <f t="shared" si="85"/>
        <v>#DIV/0!</v>
      </c>
    </row>
    <row r="314" spans="1:36" x14ac:dyDescent="0.3">
      <c r="A314" s="48">
        <v>20190410</v>
      </c>
      <c r="B314" s="48" t="s">
        <v>88</v>
      </c>
      <c r="C314" s="49">
        <v>46650</v>
      </c>
      <c r="D314" s="49">
        <v>46700</v>
      </c>
      <c r="E314" s="49">
        <v>5969782550</v>
      </c>
      <c r="F314" s="49">
        <f t="shared" si="78"/>
        <v>0.180815846328331</v>
      </c>
      <c r="G314" s="49">
        <f t="shared" si="92"/>
        <v>0.180815846328331</v>
      </c>
      <c r="H314" s="48">
        <v>204500</v>
      </c>
      <c r="I314" s="48">
        <v>205500</v>
      </c>
      <c r="J314" s="51">
        <v>125461438</v>
      </c>
      <c r="K314" s="48">
        <f t="shared" si="79"/>
        <v>1.4964619869729701</v>
      </c>
      <c r="L314" s="48">
        <f t="shared" si="93"/>
        <v>1.4964619869729701</v>
      </c>
      <c r="M314" s="49">
        <v>270900</v>
      </c>
      <c r="N314" s="49">
        <v>278000</v>
      </c>
      <c r="O314" s="49">
        <v>15956260</v>
      </c>
      <c r="P314" s="49">
        <f t="shared" si="80"/>
        <v>20.6144209614665</v>
      </c>
      <c r="Q314" s="49">
        <f t="shared" si="94"/>
        <v>20.6144209614665</v>
      </c>
      <c r="R314" s="48">
        <v>11175</v>
      </c>
      <c r="S314" s="48">
        <v>11090</v>
      </c>
      <c r="T314" s="48">
        <v>62100000</v>
      </c>
      <c r="U314" s="48">
        <f t="shared" ref="U314:U377" si="95">V313</f>
        <v>178.66907334717999</v>
      </c>
      <c r="V314" s="48">
        <f t="shared" ref="V314:V377" si="96">IF(B314="Y",ROUND(0.4*(C314*E314+H314*J314+M314*O314+R314*T314)/(R314*T314),17),IF(AB314=0,U314,ROUND(S313*T313*V313/AD313*(C314*E314+H314*J314+M314*O314+R314*T314)/(R314*T314),17)))</f>
        <v>178.66907334717999</v>
      </c>
      <c r="W314" s="49">
        <v>0</v>
      </c>
      <c r="X314" s="49">
        <v>0</v>
      </c>
      <c r="Y314" s="49">
        <v>0</v>
      </c>
      <c r="Z314" s="49">
        <f t="shared" si="81"/>
        <v>0</v>
      </c>
      <c r="AA314" s="49">
        <v>0</v>
      </c>
      <c r="AB314" s="82">
        <f t="shared" si="89"/>
        <v>0</v>
      </c>
      <c r="AC314" s="82">
        <f t="shared" si="90"/>
        <v>249358299288410.66</v>
      </c>
      <c r="AD314" s="81">
        <f t="shared" si="91"/>
        <v>303481415335069.75</v>
      </c>
      <c r="AE314" s="80">
        <f t="shared" si="76"/>
        <v>1217.0495876861098</v>
      </c>
      <c r="AF314" s="52">
        <f t="shared" si="82"/>
        <v>5.4133692810395123E-3</v>
      </c>
      <c r="AG314" s="48">
        <f t="shared" si="77"/>
        <v>1.0718113612004287E-3</v>
      </c>
      <c r="AH314" s="48">
        <f t="shared" si="83"/>
        <v>4.8899755501222494E-3</v>
      </c>
      <c r="AI314" s="48">
        <f t="shared" si="84"/>
        <v>2.6208933185677373E-2</v>
      </c>
      <c r="AJ314" s="48" t="e">
        <f t="shared" si="85"/>
        <v>#DIV/0!</v>
      </c>
    </row>
    <row r="315" spans="1:36" x14ac:dyDescent="0.3">
      <c r="A315" s="48">
        <v>20190411</v>
      </c>
      <c r="B315" s="48" t="s">
        <v>88</v>
      </c>
      <c r="C315" s="49">
        <v>46700</v>
      </c>
      <c r="D315" s="49">
        <v>46250</v>
      </c>
      <c r="E315" s="49">
        <v>5969782550</v>
      </c>
      <c r="F315" s="49">
        <f t="shared" si="78"/>
        <v>0.180815846328331</v>
      </c>
      <c r="G315" s="49">
        <f t="shared" si="92"/>
        <v>0.180815846328331</v>
      </c>
      <c r="H315" s="48">
        <v>205500</v>
      </c>
      <c r="I315" s="48">
        <v>210500</v>
      </c>
      <c r="J315" s="51">
        <v>125461438</v>
      </c>
      <c r="K315" s="48">
        <f t="shared" si="79"/>
        <v>1.4964619869729701</v>
      </c>
      <c r="L315" s="48">
        <f t="shared" si="93"/>
        <v>1.4964619869729701</v>
      </c>
      <c r="M315" s="49">
        <v>278000</v>
      </c>
      <c r="N315" s="49">
        <v>278500</v>
      </c>
      <c r="O315" s="49">
        <v>15956260</v>
      </c>
      <c r="P315" s="49">
        <f t="shared" si="80"/>
        <v>20.6144209614665</v>
      </c>
      <c r="Q315" s="49">
        <f t="shared" si="94"/>
        <v>20.6144209614665</v>
      </c>
      <c r="R315" s="48">
        <v>11090</v>
      </c>
      <c r="S315" s="48">
        <v>11140</v>
      </c>
      <c r="T315" s="48">
        <v>62100000</v>
      </c>
      <c r="U315" s="48">
        <f t="shared" si="95"/>
        <v>178.66907334717999</v>
      </c>
      <c r="V315" s="48">
        <f t="shared" si="96"/>
        <v>178.66907334717999</v>
      </c>
      <c r="W315" s="49">
        <v>0</v>
      </c>
      <c r="X315" s="49">
        <v>0</v>
      </c>
      <c r="Y315" s="49">
        <v>0</v>
      </c>
      <c r="Z315" s="49">
        <f t="shared" si="81"/>
        <v>0</v>
      </c>
      <c r="AA315" s="49">
        <v>0</v>
      </c>
      <c r="AB315" s="82">
        <f t="shared" si="89"/>
        <v>0</v>
      </c>
      <c r="AC315" s="82">
        <f t="shared" si="90"/>
        <v>249358299288410.66</v>
      </c>
      <c r="AD315" s="81">
        <f t="shared" si="91"/>
        <v>304653644624229.37</v>
      </c>
      <c r="AE315" s="80">
        <f t="shared" si="76"/>
        <v>1221.7505713409741</v>
      </c>
      <c r="AF315" s="52">
        <f t="shared" si="82"/>
        <v>3.8626065054604536E-3</v>
      </c>
      <c r="AG315" s="48">
        <f t="shared" si="77"/>
        <v>-9.6359743040685224E-3</v>
      </c>
      <c r="AH315" s="48">
        <f t="shared" si="83"/>
        <v>2.4330900243309004E-2</v>
      </c>
      <c r="AI315" s="48">
        <f t="shared" si="84"/>
        <v>1.7985611510791368E-3</v>
      </c>
      <c r="AJ315" s="48" t="e">
        <f t="shared" si="85"/>
        <v>#DIV/0!</v>
      </c>
    </row>
    <row r="316" spans="1:36" x14ac:dyDescent="0.3">
      <c r="A316" s="48">
        <v>20190412</v>
      </c>
      <c r="B316" s="48" t="s">
        <v>88</v>
      </c>
      <c r="C316" s="49">
        <v>46250</v>
      </c>
      <c r="D316" s="49">
        <v>46850</v>
      </c>
      <c r="E316" s="49">
        <v>5969782550</v>
      </c>
      <c r="F316" s="49">
        <f t="shared" si="78"/>
        <v>0.180815846328331</v>
      </c>
      <c r="G316" s="49">
        <f t="shared" si="92"/>
        <v>0.180815846328331</v>
      </c>
      <c r="H316" s="48">
        <v>210500</v>
      </c>
      <c r="I316" s="48">
        <v>209000</v>
      </c>
      <c r="J316" s="51">
        <v>125461438</v>
      </c>
      <c r="K316" s="48">
        <f t="shared" si="79"/>
        <v>1.4964619869729701</v>
      </c>
      <c r="L316" s="48">
        <f t="shared" si="93"/>
        <v>1.4964619869729701</v>
      </c>
      <c r="M316" s="49">
        <v>278500</v>
      </c>
      <c r="N316" s="49">
        <v>274100</v>
      </c>
      <c r="O316" s="49">
        <v>15956260</v>
      </c>
      <c r="P316" s="49">
        <f t="shared" si="80"/>
        <v>20.6144209614665</v>
      </c>
      <c r="Q316" s="49">
        <f t="shared" si="94"/>
        <v>20.6144209614665</v>
      </c>
      <c r="R316" s="48">
        <v>11140</v>
      </c>
      <c r="S316" s="48">
        <v>11150</v>
      </c>
      <c r="T316" s="48">
        <v>62100000</v>
      </c>
      <c r="U316" s="48">
        <f t="shared" si="95"/>
        <v>178.66907334717999</v>
      </c>
      <c r="V316" s="48">
        <f t="shared" si="96"/>
        <v>178.66907334717999</v>
      </c>
      <c r="W316" s="49">
        <v>0</v>
      </c>
      <c r="X316" s="49">
        <v>0</v>
      </c>
      <c r="Y316" s="49">
        <v>0</v>
      </c>
      <c r="Z316" s="49">
        <f t="shared" si="81"/>
        <v>0</v>
      </c>
      <c r="AA316" s="49">
        <v>0</v>
      </c>
      <c r="AB316" s="82">
        <f t="shared" si="89"/>
        <v>0</v>
      </c>
      <c r="AC316" s="82">
        <f t="shared" si="90"/>
        <v>249358299288410.66</v>
      </c>
      <c r="AD316" s="81">
        <f t="shared" si="91"/>
        <v>303683346613399</v>
      </c>
      <c r="AE316" s="80">
        <f t="shared" si="76"/>
        <v>1217.8593914059197</v>
      </c>
      <c r="AF316" s="52">
        <f t="shared" si="82"/>
        <v>-3.1849217232479184E-3</v>
      </c>
      <c r="AG316" s="48">
        <f t="shared" si="77"/>
        <v>1.2972972972972972E-2</v>
      </c>
      <c r="AH316" s="48">
        <f t="shared" si="83"/>
        <v>-7.1258907363420431E-3</v>
      </c>
      <c r="AI316" s="48">
        <f t="shared" si="84"/>
        <v>-1.5798922800718134E-2</v>
      </c>
      <c r="AJ316" s="48" t="e">
        <f t="shared" si="85"/>
        <v>#DIV/0!</v>
      </c>
    </row>
    <row r="317" spans="1:36" x14ac:dyDescent="0.3">
      <c r="A317" s="48">
        <v>20190415</v>
      </c>
      <c r="B317" s="48" t="s">
        <v>88</v>
      </c>
      <c r="C317" s="49">
        <v>46850</v>
      </c>
      <c r="D317" s="49">
        <v>47050</v>
      </c>
      <c r="E317" s="49">
        <v>5969782550</v>
      </c>
      <c r="F317" s="49">
        <f t="shared" si="78"/>
        <v>0.180815846328331</v>
      </c>
      <c r="G317" s="49">
        <f t="shared" si="92"/>
        <v>0.180815846328331</v>
      </c>
      <c r="H317" s="48">
        <v>209000</v>
      </c>
      <c r="I317" s="48">
        <v>203500</v>
      </c>
      <c r="J317" s="51">
        <v>125461438</v>
      </c>
      <c r="K317" s="48">
        <f t="shared" si="79"/>
        <v>1.4964619869729701</v>
      </c>
      <c r="L317" s="48">
        <f t="shared" si="93"/>
        <v>1.4964619869729701</v>
      </c>
      <c r="M317" s="49">
        <v>274100</v>
      </c>
      <c r="N317" s="49">
        <v>268400</v>
      </c>
      <c r="O317" s="49">
        <v>15956260</v>
      </c>
      <c r="P317" s="49">
        <f t="shared" si="80"/>
        <v>20.6144209614665</v>
      </c>
      <c r="Q317" s="49">
        <f t="shared" si="94"/>
        <v>20.6144209614665</v>
      </c>
      <c r="R317" s="48">
        <v>11150</v>
      </c>
      <c r="S317" s="48">
        <v>11190</v>
      </c>
      <c r="T317" s="48">
        <v>62100000</v>
      </c>
      <c r="U317" s="48">
        <f t="shared" si="95"/>
        <v>178.66907334717999</v>
      </c>
      <c r="V317" s="48">
        <f t="shared" si="96"/>
        <v>178.66907334717999</v>
      </c>
      <c r="W317" s="49">
        <v>0</v>
      </c>
      <c r="X317" s="49">
        <v>0</v>
      </c>
      <c r="Y317" s="49">
        <v>0</v>
      </c>
      <c r="Z317" s="49">
        <f t="shared" si="81"/>
        <v>0</v>
      </c>
      <c r="AA317" s="49">
        <v>0</v>
      </c>
      <c r="AB317" s="82">
        <f t="shared" si="89"/>
        <v>0</v>
      </c>
      <c r="AC317" s="82">
        <f t="shared" si="90"/>
        <v>249358299288410.66</v>
      </c>
      <c r="AD317" s="81">
        <f t="shared" si="91"/>
        <v>301435535702559</v>
      </c>
      <c r="AE317" s="80">
        <f t="shared" si="76"/>
        <v>1208.845009621738</v>
      </c>
      <c r="AF317" s="52">
        <f t="shared" si="82"/>
        <v>-7.4018247490585751E-3</v>
      </c>
      <c r="AG317" s="48">
        <f t="shared" si="77"/>
        <v>4.2689434364994666E-3</v>
      </c>
      <c r="AH317" s="48">
        <f t="shared" si="83"/>
        <v>-2.6315789473684209E-2</v>
      </c>
      <c r="AI317" s="48">
        <f t="shared" si="84"/>
        <v>-2.0795330171470266E-2</v>
      </c>
      <c r="AJ317" s="48" t="e">
        <f t="shared" si="85"/>
        <v>#DIV/0!</v>
      </c>
    </row>
    <row r="318" spans="1:36" x14ac:dyDescent="0.3">
      <c r="A318" s="48">
        <v>20190416</v>
      </c>
      <c r="B318" s="48" t="s">
        <v>88</v>
      </c>
      <c r="C318" s="49">
        <v>47050</v>
      </c>
      <c r="D318" s="49">
        <v>47250</v>
      </c>
      <c r="E318" s="49">
        <v>5969782550</v>
      </c>
      <c r="F318" s="49">
        <f t="shared" si="78"/>
        <v>0.180815846328331</v>
      </c>
      <c r="G318" s="49">
        <f t="shared" si="92"/>
        <v>0.180815846328331</v>
      </c>
      <c r="H318" s="48">
        <v>203500</v>
      </c>
      <c r="I318" s="48">
        <v>208000</v>
      </c>
      <c r="J318" s="51">
        <v>125461438</v>
      </c>
      <c r="K318" s="48">
        <f t="shared" si="79"/>
        <v>1.4964619869729701</v>
      </c>
      <c r="L318" s="48">
        <f t="shared" si="93"/>
        <v>1.4964619869729701</v>
      </c>
      <c r="M318" s="49">
        <v>268400</v>
      </c>
      <c r="N318" s="49">
        <v>270200</v>
      </c>
      <c r="O318" s="49">
        <v>15956260</v>
      </c>
      <c r="P318" s="49">
        <f t="shared" si="80"/>
        <v>20.6144209614665</v>
      </c>
      <c r="Q318" s="49">
        <f t="shared" si="94"/>
        <v>20.6144209614665</v>
      </c>
      <c r="R318" s="48">
        <v>11190</v>
      </c>
      <c r="S318" s="48">
        <v>11260</v>
      </c>
      <c r="T318" s="48">
        <v>62100000</v>
      </c>
      <c r="U318" s="48">
        <f t="shared" si="95"/>
        <v>178.66907334717999</v>
      </c>
      <c r="V318" s="48">
        <f t="shared" si="96"/>
        <v>178.66907334717999</v>
      </c>
      <c r="W318" s="49">
        <v>0</v>
      </c>
      <c r="X318" s="49">
        <v>0</v>
      </c>
      <c r="Y318" s="49">
        <v>0</v>
      </c>
      <c r="Z318" s="49">
        <f t="shared" si="81"/>
        <v>0</v>
      </c>
      <c r="AA318" s="49">
        <v>0</v>
      </c>
      <c r="AB318" s="82">
        <f t="shared" si="89"/>
        <v>0</v>
      </c>
      <c r="AC318" s="82">
        <f t="shared" si="90"/>
        <v>249358299288410.66</v>
      </c>
      <c r="AD318" s="81">
        <f t="shared" si="91"/>
        <v>303865035957924</v>
      </c>
      <c r="AE318" s="80">
        <f t="shared" si="76"/>
        <v>1218.5880190274727</v>
      </c>
      <c r="AF318" s="52">
        <f t="shared" si="82"/>
        <v>8.0597672391296993E-3</v>
      </c>
      <c r="AG318" s="48">
        <f t="shared" si="77"/>
        <v>4.2507970244420826E-3</v>
      </c>
      <c r="AH318" s="48">
        <f t="shared" si="83"/>
        <v>2.2113022113022112E-2</v>
      </c>
      <c r="AI318" s="48">
        <f t="shared" si="84"/>
        <v>6.7064083457526085E-3</v>
      </c>
      <c r="AJ318" s="48" t="e">
        <f t="shared" si="85"/>
        <v>#DIV/0!</v>
      </c>
    </row>
    <row r="319" spans="1:36" x14ac:dyDescent="0.3">
      <c r="A319" s="48">
        <v>20190417</v>
      </c>
      <c r="B319" s="48" t="s">
        <v>88</v>
      </c>
      <c r="C319" s="49">
        <v>47250</v>
      </c>
      <c r="D319" s="49">
        <v>47050</v>
      </c>
      <c r="E319" s="49">
        <v>5969782550</v>
      </c>
      <c r="F319" s="49">
        <f t="shared" si="78"/>
        <v>0.180815846328331</v>
      </c>
      <c r="G319" s="49">
        <f t="shared" si="92"/>
        <v>0.180815846328331</v>
      </c>
      <c r="H319" s="48">
        <v>208000</v>
      </c>
      <c r="I319" s="48">
        <v>208500</v>
      </c>
      <c r="J319" s="51">
        <v>125461438</v>
      </c>
      <c r="K319" s="48">
        <f t="shared" si="79"/>
        <v>1.4964619869729701</v>
      </c>
      <c r="L319" s="48">
        <f t="shared" si="93"/>
        <v>1.4964619869729701</v>
      </c>
      <c r="M319" s="49">
        <v>270200</v>
      </c>
      <c r="N319" s="49">
        <v>266500</v>
      </c>
      <c r="O319" s="49">
        <v>15956260</v>
      </c>
      <c r="P319" s="49">
        <f t="shared" si="80"/>
        <v>20.6144209614665</v>
      </c>
      <c r="Q319" s="49">
        <f t="shared" si="94"/>
        <v>20.6144209614665</v>
      </c>
      <c r="R319" s="48">
        <v>11260</v>
      </c>
      <c r="S319" s="48">
        <v>11260</v>
      </c>
      <c r="T319" s="48">
        <v>62100000</v>
      </c>
      <c r="U319" s="48">
        <f t="shared" si="95"/>
        <v>178.66907334717999</v>
      </c>
      <c r="V319" s="48">
        <f t="shared" si="96"/>
        <v>178.66907334717999</v>
      </c>
      <c r="W319" s="49">
        <v>0</v>
      </c>
      <c r="X319" s="49">
        <v>0</v>
      </c>
      <c r="Y319" s="49">
        <v>0</v>
      </c>
      <c r="Z319" s="49">
        <f t="shared" si="81"/>
        <v>0</v>
      </c>
      <c r="AA319" s="49">
        <v>0</v>
      </c>
      <c r="AB319" s="82">
        <f t="shared" si="89"/>
        <v>0</v>
      </c>
      <c r="AC319" s="82">
        <f t="shared" si="90"/>
        <v>249358299288410.66</v>
      </c>
      <c r="AD319" s="81">
        <f t="shared" si="91"/>
        <v>302525986313228.87</v>
      </c>
      <c r="AE319" s="80">
        <f t="shared" si="76"/>
        <v>1213.2180367629305</v>
      </c>
      <c r="AF319" s="52">
        <f t="shared" si="82"/>
        <v>-4.406724980627841E-3</v>
      </c>
      <c r="AG319" s="48">
        <f t="shared" si="77"/>
        <v>-4.2328042328042331E-3</v>
      </c>
      <c r="AH319" s="48">
        <f t="shared" si="83"/>
        <v>2.403846153846154E-3</v>
      </c>
      <c r="AI319" s="48">
        <f t="shared" si="84"/>
        <v>-1.3693560325684678E-2</v>
      </c>
      <c r="AJ319" s="48" t="e">
        <f t="shared" si="85"/>
        <v>#DIV/0!</v>
      </c>
    </row>
    <row r="320" spans="1:36" x14ac:dyDescent="0.3">
      <c r="A320" s="48">
        <v>20190418</v>
      </c>
      <c r="B320" s="48" t="s">
        <v>88</v>
      </c>
      <c r="C320" s="49">
        <v>47050</v>
      </c>
      <c r="D320" s="49">
        <v>45600</v>
      </c>
      <c r="E320" s="49">
        <v>5969782550</v>
      </c>
      <c r="F320" s="49">
        <f t="shared" si="78"/>
        <v>0.180815846328331</v>
      </c>
      <c r="G320" s="49">
        <f t="shared" si="92"/>
        <v>0.180815846328331</v>
      </c>
      <c r="H320" s="48">
        <v>208500</v>
      </c>
      <c r="I320" s="48">
        <v>203500</v>
      </c>
      <c r="J320" s="51">
        <v>125461438</v>
      </c>
      <c r="K320" s="48">
        <f t="shared" si="79"/>
        <v>1.4964619869729701</v>
      </c>
      <c r="L320" s="48">
        <f t="shared" si="93"/>
        <v>1.4964619869729701</v>
      </c>
      <c r="M320" s="49">
        <v>266500</v>
      </c>
      <c r="N320" s="49">
        <v>257500</v>
      </c>
      <c r="O320" s="49">
        <v>15956260</v>
      </c>
      <c r="P320" s="49">
        <f t="shared" si="80"/>
        <v>20.6144209614665</v>
      </c>
      <c r="Q320" s="49">
        <f t="shared" si="94"/>
        <v>20.6144209614665</v>
      </c>
      <c r="R320" s="48">
        <v>11260</v>
      </c>
      <c r="S320" s="48">
        <v>11085</v>
      </c>
      <c r="T320" s="48">
        <v>62100000</v>
      </c>
      <c r="U320" s="48">
        <f t="shared" si="95"/>
        <v>178.66907334717999</v>
      </c>
      <c r="V320" s="48">
        <f t="shared" si="96"/>
        <v>178.66907334717999</v>
      </c>
      <c r="W320" s="49">
        <v>0</v>
      </c>
      <c r="X320" s="49">
        <v>0</v>
      </c>
      <c r="Y320" s="49">
        <v>0</v>
      </c>
      <c r="Z320" s="49">
        <f t="shared" si="81"/>
        <v>0</v>
      </c>
      <c r="AA320" s="49">
        <v>0</v>
      </c>
      <c r="AB320" s="82">
        <f t="shared" si="89"/>
        <v>0</v>
      </c>
      <c r="AC320" s="82">
        <f t="shared" si="90"/>
        <v>249358299288410.66</v>
      </c>
      <c r="AD320" s="81">
        <f t="shared" si="91"/>
        <v>295120021887090.25</v>
      </c>
      <c r="AE320" s="80">
        <f t="shared" si="76"/>
        <v>1183.5179447777316</v>
      </c>
      <c r="AF320" s="52">
        <f t="shared" si="82"/>
        <v>-2.448042403362528E-2</v>
      </c>
      <c r="AG320" s="48">
        <f t="shared" si="77"/>
        <v>-3.0818278427205102E-2</v>
      </c>
      <c r="AH320" s="48">
        <f t="shared" si="83"/>
        <v>-2.3980815347721823E-2</v>
      </c>
      <c r="AI320" s="48">
        <f t="shared" si="84"/>
        <v>-3.3771106941838651E-2</v>
      </c>
      <c r="AJ320" s="48" t="e">
        <f t="shared" si="85"/>
        <v>#DIV/0!</v>
      </c>
    </row>
    <row r="321" spans="1:36" x14ac:dyDescent="0.3">
      <c r="A321" s="48">
        <v>20190419</v>
      </c>
      <c r="B321" s="48" t="s">
        <v>88</v>
      </c>
      <c r="C321" s="49">
        <v>45600</v>
      </c>
      <c r="D321" s="49">
        <v>45300</v>
      </c>
      <c r="E321" s="49">
        <v>5969782550</v>
      </c>
      <c r="F321" s="49">
        <f t="shared" si="78"/>
        <v>0.180815846328331</v>
      </c>
      <c r="G321" s="49">
        <f t="shared" si="92"/>
        <v>0.180815846328331</v>
      </c>
      <c r="H321" s="48">
        <v>203500</v>
      </c>
      <c r="I321" s="48">
        <v>218000</v>
      </c>
      <c r="J321" s="51">
        <v>125461438</v>
      </c>
      <c r="K321" s="48">
        <f t="shared" si="79"/>
        <v>1.4964619869729701</v>
      </c>
      <c r="L321" s="48">
        <f t="shared" si="93"/>
        <v>1.4964619869729701</v>
      </c>
      <c r="M321" s="49">
        <v>257500</v>
      </c>
      <c r="N321" s="49">
        <v>261500</v>
      </c>
      <c r="O321" s="49">
        <v>15956260</v>
      </c>
      <c r="P321" s="49">
        <f t="shared" si="80"/>
        <v>20.6144209614665</v>
      </c>
      <c r="Q321" s="49">
        <f t="shared" si="94"/>
        <v>20.6144209614665</v>
      </c>
      <c r="R321" s="48">
        <v>11085</v>
      </c>
      <c r="S321" s="48">
        <v>11085</v>
      </c>
      <c r="T321" s="48">
        <v>62100000</v>
      </c>
      <c r="U321" s="48">
        <f t="shared" si="95"/>
        <v>178.66907334717999</v>
      </c>
      <c r="V321" s="48">
        <f t="shared" si="96"/>
        <v>178.66907334717999</v>
      </c>
      <c r="W321" s="49">
        <v>0</v>
      </c>
      <c r="X321" s="49">
        <v>0</v>
      </c>
      <c r="Y321" s="49">
        <v>0</v>
      </c>
      <c r="Z321" s="49">
        <f t="shared" si="81"/>
        <v>0</v>
      </c>
      <c r="AA321" s="49">
        <v>0</v>
      </c>
      <c r="AB321" s="82">
        <f t="shared" si="89"/>
        <v>0</v>
      </c>
      <c r="AC321" s="82">
        <f t="shared" si="90"/>
        <v>249358299288410.66</v>
      </c>
      <c r="AD321" s="81">
        <f t="shared" si="91"/>
        <v>298834258699850.87</v>
      </c>
      <c r="AE321" s="80">
        <f t="shared" si="76"/>
        <v>1198.4131250198166</v>
      </c>
      <c r="AF321" s="52">
        <f t="shared" si="82"/>
        <v>1.2585512799201641E-2</v>
      </c>
      <c r="AG321" s="48">
        <f t="shared" si="77"/>
        <v>-6.5789473684210523E-3</v>
      </c>
      <c r="AH321" s="48">
        <f t="shared" si="83"/>
        <v>7.125307125307126E-2</v>
      </c>
      <c r="AI321" s="48">
        <f t="shared" si="84"/>
        <v>1.5533980582524271E-2</v>
      </c>
      <c r="AJ321" s="48" t="e">
        <f t="shared" si="85"/>
        <v>#DIV/0!</v>
      </c>
    </row>
    <row r="322" spans="1:36" x14ac:dyDescent="0.3">
      <c r="A322" s="48">
        <v>20190422</v>
      </c>
      <c r="B322" s="48" t="s">
        <v>88</v>
      </c>
      <c r="C322" s="49">
        <v>45300</v>
      </c>
      <c r="D322" s="49">
        <v>45350</v>
      </c>
      <c r="E322" s="49">
        <v>5969782550</v>
      </c>
      <c r="F322" s="49">
        <f t="shared" si="78"/>
        <v>0.180815846328331</v>
      </c>
      <c r="G322" s="49">
        <f t="shared" si="92"/>
        <v>0.180815846328331</v>
      </c>
      <c r="H322" s="48">
        <v>218000</v>
      </c>
      <c r="I322" s="48">
        <v>220500</v>
      </c>
      <c r="J322" s="51">
        <v>125461438</v>
      </c>
      <c r="K322" s="48">
        <f t="shared" si="79"/>
        <v>1.4964619869729701</v>
      </c>
      <c r="L322" s="48">
        <f t="shared" si="93"/>
        <v>1.4964619869729701</v>
      </c>
      <c r="M322" s="49">
        <v>261500</v>
      </c>
      <c r="N322" s="49">
        <v>259300</v>
      </c>
      <c r="O322" s="49">
        <v>15956260</v>
      </c>
      <c r="P322" s="49">
        <f t="shared" si="80"/>
        <v>20.6144209614665</v>
      </c>
      <c r="Q322" s="49">
        <f t="shared" si="94"/>
        <v>20.6144209614665</v>
      </c>
      <c r="R322" s="48">
        <v>11085</v>
      </c>
      <c r="S322" s="48">
        <v>11085</v>
      </c>
      <c r="T322" s="48">
        <v>62100000</v>
      </c>
      <c r="U322" s="48">
        <f t="shared" si="95"/>
        <v>178.66907334717999</v>
      </c>
      <c r="V322" s="48">
        <f t="shared" si="96"/>
        <v>178.66907334717999</v>
      </c>
      <c r="W322" s="49">
        <v>0</v>
      </c>
      <c r="X322" s="49">
        <v>0</v>
      </c>
      <c r="Y322" s="49">
        <v>0</v>
      </c>
      <c r="Z322" s="49">
        <f t="shared" si="81"/>
        <v>0</v>
      </c>
      <c r="AA322" s="49">
        <v>0</v>
      </c>
      <c r="AB322" s="82">
        <f t="shared" si="89"/>
        <v>0</v>
      </c>
      <c r="AC322" s="82">
        <f t="shared" si="90"/>
        <v>249358299288410.66</v>
      </c>
      <c r="AD322" s="81">
        <f t="shared" si="91"/>
        <v>298633957012711.12</v>
      </c>
      <c r="AE322" s="80">
        <f t="shared" si="76"/>
        <v>1197.6098564391782</v>
      </c>
      <c r="AF322" s="52">
        <f t="shared" si="82"/>
        <v>-6.7027685517469368E-4</v>
      </c>
      <c r="AG322" s="48">
        <f t="shared" si="77"/>
        <v>1.1037527593818985E-3</v>
      </c>
      <c r="AH322" s="48">
        <f t="shared" si="83"/>
        <v>1.1467889908256881E-2</v>
      </c>
      <c r="AI322" s="48">
        <f t="shared" si="84"/>
        <v>-8.4130019120458883E-3</v>
      </c>
      <c r="AJ322" s="48" t="e">
        <f t="shared" si="85"/>
        <v>#DIV/0!</v>
      </c>
    </row>
    <row r="323" spans="1:36" x14ac:dyDescent="0.3">
      <c r="A323" s="48">
        <v>20190423</v>
      </c>
      <c r="B323" s="48" t="s">
        <v>88</v>
      </c>
      <c r="C323" s="49">
        <v>45350</v>
      </c>
      <c r="D323" s="49">
        <v>45200</v>
      </c>
      <c r="E323" s="49">
        <v>5969782550</v>
      </c>
      <c r="F323" s="49">
        <f t="shared" si="78"/>
        <v>0.180815846328331</v>
      </c>
      <c r="G323" s="49">
        <f t="shared" si="92"/>
        <v>0.180815846328331</v>
      </c>
      <c r="H323" s="48">
        <v>220500</v>
      </c>
      <c r="I323" s="48">
        <v>221500</v>
      </c>
      <c r="J323" s="51">
        <v>125461438</v>
      </c>
      <c r="K323" s="48">
        <f t="shared" si="79"/>
        <v>1.4964619869729701</v>
      </c>
      <c r="L323" s="48">
        <f t="shared" si="93"/>
        <v>1.4964619869729701</v>
      </c>
      <c r="M323" s="49">
        <v>259300</v>
      </c>
      <c r="N323" s="49">
        <v>259300</v>
      </c>
      <c r="O323" s="49">
        <v>15956260</v>
      </c>
      <c r="P323" s="49">
        <f t="shared" si="80"/>
        <v>20.6144209614665</v>
      </c>
      <c r="Q323" s="49">
        <f t="shared" si="94"/>
        <v>20.6144209614665</v>
      </c>
      <c r="R323" s="48">
        <v>11085</v>
      </c>
      <c r="S323" s="48">
        <v>11085</v>
      </c>
      <c r="T323" s="48">
        <v>62100000</v>
      </c>
      <c r="U323" s="48">
        <f t="shared" si="95"/>
        <v>178.66907334717999</v>
      </c>
      <c r="V323" s="48">
        <f t="shared" si="96"/>
        <v>178.66907334717999</v>
      </c>
      <c r="W323" s="49">
        <v>0</v>
      </c>
      <c r="X323" s="49">
        <v>0</v>
      </c>
      <c r="Y323" s="49">
        <v>0</v>
      </c>
      <c r="Z323" s="49">
        <f t="shared" si="81"/>
        <v>0</v>
      </c>
      <c r="AA323" s="49">
        <v>0</v>
      </c>
      <c r="AB323" s="82">
        <f t="shared" si="89"/>
        <v>0</v>
      </c>
      <c r="AC323" s="82">
        <f t="shared" si="90"/>
        <v>249358299288410.66</v>
      </c>
      <c r="AD323" s="81">
        <f t="shared" si="91"/>
        <v>298659790592883</v>
      </c>
      <c r="AE323" s="80">
        <f t="shared" si="76"/>
        <v>1197.713456681262</v>
      </c>
      <c r="AF323" s="52">
        <f t="shared" si="82"/>
        <v>8.6505836209288959E-5</v>
      </c>
      <c r="AG323" s="48">
        <f t="shared" si="77"/>
        <v>-3.3076074972436605E-3</v>
      </c>
      <c r="AH323" s="48">
        <f t="shared" si="83"/>
        <v>4.5351473922902496E-3</v>
      </c>
      <c r="AI323" s="48">
        <f t="shared" si="84"/>
        <v>0</v>
      </c>
      <c r="AJ323" s="48" t="e">
        <f t="shared" si="85"/>
        <v>#DIV/0!</v>
      </c>
    </row>
    <row r="324" spans="1:36" s="73" customFormat="1" x14ac:dyDescent="0.3">
      <c r="A324" s="48">
        <v>20190424</v>
      </c>
      <c r="B324" s="48" t="s">
        <v>88</v>
      </c>
      <c r="C324" s="49">
        <v>45200</v>
      </c>
      <c r="D324" s="49">
        <v>44750</v>
      </c>
      <c r="E324" s="49">
        <v>5969782550</v>
      </c>
      <c r="F324" s="49">
        <f t="shared" si="78"/>
        <v>0.180815846328331</v>
      </c>
      <c r="G324" s="49">
        <f t="shared" si="92"/>
        <v>0.183444546595499</v>
      </c>
      <c r="H324" s="48">
        <v>221500</v>
      </c>
      <c r="I324" s="48">
        <v>218000</v>
      </c>
      <c r="J324" s="51">
        <v>127953489</v>
      </c>
      <c r="K324" s="48">
        <f t="shared" si="79"/>
        <v>1.4964619869729701</v>
      </c>
      <c r="L324" s="48">
        <f t="shared" si="93"/>
        <v>1.48864839990194</v>
      </c>
      <c r="M324" s="49">
        <v>259300</v>
      </c>
      <c r="N324" s="49">
        <v>258900</v>
      </c>
      <c r="O324" s="49">
        <v>15956260</v>
      </c>
      <c r="P324" s="49">
        <f t="shared" si="80"/>
        <v>20.6144209614665</v>
      </c>
      <c r="Q324" s="49">
        <f t="shared" si="94"/>
        <v>20.914113355630398</v>
      </c>
      <c r="R324" s="48">
        <v>11085</v>
      </c>
      <c r="S324" s="48">
        <v>10965</v>
      </c>
      <c r="T324" s="48">
        <v>62100000</v>
      </c>
      <c r="U324" s="48">
        <f t="shared" si="95"/>
        <v>178.66907334717999</v>
      </c>
      <c r="V324" s="48">
        <f t="shared" si="96"/>
        <v>181.26656383476401</v>
      </c>
      <c r="W324" s="49">
        <v>0</v>
      </c>
      <c r="X324" s="49">
        <v>0</v>
      </c>
      <c r="Y324" s="49">
        <v>0</v>
      </c>
      <c r="Z324" s="49">
        <f t="shared" si="81"/>
        <v>0</v>
      </c>
      <c r="AA324" s="49">
        <v>0</v>
      </c>
      <c r="AB324" s="82">
        <f t="shared" si="89"/>
        <v>1</v>
      </c>
      <c r="AC324" s="82">
        <f t="shared" si="90"/>
        <v>252983469544615.03</v>
      </c>
      <c r="AD324" s="81">
        <f t="shared" si="91"/>
        <v>300357944973416.87</v>
      </c>
      <c r="AE324" s="80">
        <f t="shared" ref="AE324:AE381" si="97">AD324/AC324*1000</f>
        <v>1187.2631263776982</v>
      </c>
      <c r="AF324" s="52">
        <f t="shared" si="82"/>
        <v>-8.7252341077644121E-3</v>
      </c>
      <c r="AG324" s="48">
        <f t="shared" ref="AG324:AG381" si="98">(D324-C324)/C324</f>
        <v>-9.9557522123893804E-3</v>
      </c>
      <c r="AH324" s="48">
        <f t="shared" si="83"/>
        <v>-1.580135440180587E-2</v>
      </c>
      <c r="AI324" s="48">
        <f t="shared" si="84"/>
        <v>-1.5426147319706903E-3</v>
      </c>
      <c r="AJ324" s="48" t="e">
        <f t="shared" si="85"/>
        <v>#DIV/0!</v>
      </c>
    </row>
    <row r="325" spans="1:36" x14ac:dyDescent="0.3">
      <c r="A325" s="48">
        <v>20190425</v>
      </c>
      <c r="B325" s="48" t="s">
        <v>88</v>
      </c>
      <c r="C325" s="49">
        <v>44750</v>
      </c>
      <c r="D325" s="49">
        <v>44650</v>
      </c>
      <c r="E325" s="49">
        <v>5969782550</v>
      </c>
      <c r="F325" s="49">
        <f t="shared" ref="F325:F381" si="99">G324</f>
        <v>0.183444546595499</v>
      </c>
      <c r="G325" s="49">
        <f t="shared" si="92"/>
        <v>0.183444546595499</v>
      </c>
      <c r="H325" s="48">
        <v>218000</v>
      </c>
      <c r="I325" s="48">
        <v>211500</v>
      </c>
      <c r="J325" s="51">
        <v>127953489</v>
      </c>
      <c r="K325" s="48">
        <f t="shared" ref="K325:K381" si="100">L324</f>
        <v>1.48864839990194</v>
      </c>
      <c r="L325" s="48">
        <f t="shared" si="93"/>
        <v>1.48864839990194</v>
      </c>
      <c r="M325" s="49">
        <v>258900</v>
      </c>
      <c r="N325" s="49">
        <v>254200</v>
      </c>
      <c r="O325" s="49">
        <v>15956260</v>
      </c>
      <c r="P325" s="49">
        <f t="shared" ref="P325:P381" si="101">Q324</f>
        <v>20.914113355630398</v>
      </c>
      <c r="Q325" s="49">
        <f t="shared" si="94"/>
        <v>20.914113355630398</v>
      </c>
      <c r="R325" s="48">
        <v>10965</v>
      </c>
      <c r="S325" s="48">
        <v>10965</v>
      </c>
      <c r="T325" s="48">
        <v>62100000</v>
      </c>
      <c r="U325" s="48">
        <f t="shared" si="95"/>
        <v>181.26656383476401</v>
      </c>
      <c r="V325" s="48">
        <f t="shared" si="96"/>
        <v>181.26656383476401</v>
      </c>
      <c r="W325" s="49">
        <v>0</v>
      </c>
      <c r="X325" s="49">
        <v>0</v>
      </c>
      <c r="Y325" s="49">
        <v>0</v>
      </c>
      <c r="Z325" s="49">
        <f t="shared" ref="Z325:Z381" si="102">AA324</f>
        <v>0</v>
      </c>
      <c r="AA325" s="49">
        <v>0</v>
      </c>
      <c r="AB325" s="82">
        <f t="shared" si="89"/>
        <v>0</v>
      </c>
      <c r="AC325" s="82">
        <f t="shared" si="90"/>
        <v>252983469544615.03</v>
      </c>
      <c r="AD325" s="81">
        <f t="shared" si="91"/>
        <v>297441885307051.87</v>
      </c>
      <c r="AE325" s="80">
        <f t="shared" si="97"/>
        <v>1175.7364457150682</v>
      </c>
      <c r="AF325" s="52">
        <f t="shared" ref="AF325:AF381" si="103">(AE325-AE324)/AE324</f>
        <v>-9.7086150546910159E-3</v>
      </c>
      <c r="AG325" s="48">
        <f t="shared" si="98"/>
        <v>-2.2346368715083797E-3</v>
      </c>
      <c r="AH325" s="48">
        <f t="shared" ref="AH325:AH381" si="104">(I325-H325)/H325</f>
        <v>-2.9816513761467892E-2</v>
      </c>
      <c r="AI325" s="48">
        <f t="shared" ref="AI325:AI381" si="105">(N325-M325)/M325</f>
        <v>-1.8153727307840865E-2</v>
      </c>
      <c r="AJ325" s="48" t="e">
        <f t="shared" ref="AJ325:AJ381" si="106">(X325-W325)/X325</f>
        <v>#DIV/0!</v>
      </c>
    </row>
    <row r="326" spans="1:36" x14ac:dyDescent="0.3">
      <c r="A326" s="48">
        <v>20190426</v>
      </c>
      <c r="B326" s="48" t="s">
        <v>88</v>
      </c>
      <c r="C326" s="49">
        <v>44650</v>
      </c>
      <c r="D326" s="49">
        <v>44850</v>
      </c>
      <c r="E326" s="49">
        <v>5969782550</v>
      </c>
      <c r="F326" s="49">
        <f t="shared" si="99"/>
        <v>0.183444546595499</v>
      </c>
      <c r="G326" s="49">
        <f t="shared" si="92"/>
        <v>0.183444546595499</v>
      </c>
      <c r="H326" s="48">
        <v>211500</v>
      </c>
      <c r="I326" s="48">
        <v>212000</v>
      </c>
      <c r="J326" s="51">
        <v>127953489</v>
      </c>
      <c r="K326" s="48">
        <f t="shared" si="100"/>
        <v>1.48864839990194</v>
      </c>
      <c r="L326" s="48">
        <f t="shared" si="93"/>
        <v>1.48864839990194</v>
      </c>
      <c r="M326" s="49">
        <v>254200</v>
      </c>
      <c r="N326" s="49">
        <v>254200</v>
      </c>
      <c r="O326" s="49">
        <v>15956260</v>
      </c>
      <c r="P326" s="49">
        <f t="shared" si="101"/>
        <v>20.914113355630398</v>
      </c>
      <c r="Q326" s="49">
        <f t="shared" si="94"/>
        <v>20.914113355630398</v>
      </c>
      <c r="R326" s="48">
        <v>10965</v>
      </c>
      <c r="S326" s="48">
        <v>10910</v>
      </c>
      <c r="T326" s="48">
        <v>62100000</v>
      </c>
      <c r="U326" s="48">
        <f t="shared" si="95"/>
        <v>181.26656383476401</v>
      </c>
      <c r="V326" s="48">
        <f t="shared" si="96"/>
        <v>181.26656383476401</v>
      </c>
      <c r="W326" s="49">
        <v>0</v>
      </c>
      <c r="X326" s="49">
        <v>0</v>
      </c>
      <c r="Y326" s="49">
        <v>0</v>
      </c>
      <c r="Z326" s="49">
        <f t="shared" si="102"/>
        <v>0</v>
      </c>
      <c r="AA326" s="49">
        <v>0</v>
      </c>
      <c r="AB326" s="82">
        <f t="shared" si="89"/>
        <v>0</v>
      </c>
      <c r="AC326" s="82">
        <f t="shared" si="90"/>
        <v>252983469544615.03</v>
      </c>
      <c r="AD326" s="81">
        <f t="shared" si="91"/>
        <v>297137033047236.81</v>
      </c>
      <c r="AE326" s="80">
        <f t="shared" si="97"/>
        <v>1174.5314173376655</v>
      </c>
      <c r="AF326" s="52">
        <f t="shared" si="103"/>
        <v>-1.0249136886028552E-3</v>
      </c>
      <c r="AG326" s="48">
        <f t="shared" si="98"/>
        <v>4.4792833146696529E-3</v>
      </c>
      <c r="AH326" s="48">
        <f t="shared" si="104"/>
        <v>2.3640661938534278E-3</v>
      </c>
      <c r="AI326" s="48">
        <f t="shared" si="105"/>
        <v>0</v>
      </c>
      <c r="AJ326" s="48" t="e">
        <f t="shared" si="106"/>
        <v>#DIV/0!</v>
      </c>
    </row>
    <row r="327" spans="1:36" x14ac:dyDescent="0.3">
      <c r="A327" s="48">
        <v>20190429</v>
      </c>
      <c r="B327" s="48" t="s">
        <v>88</v>
      </c>
      <c r="C327" s="49">
        <v>44850</v>
      </c>
      <c r="D327" s="49">
        <v>46150</v>
      </c>
      <c r="E327" s="49">
        <v>5969782550</v>
      </c>
      <c r="F327" s="49">
        <f t="shared" si="99"/>
        <v>0.183444546595499</v>
      </c>
      <c r="G327" s="49">
        <f t="shared" si="92"/>
        <v>0.183444546595499</v>
      </c>
      <c r="H327" s="48">
        <v>212000</v>
      </c>
      <c r="I327" s="48">
        <v>216000</v>
      </c>
      <c r="J327" s="51">
        <v>127953489</v>
      </c>
      <c r="K327" s="48">
        <f t="shared" si="100"/>
        <v>1.48864839990194</v>
      </c>
      <c r="L327" s="48">
        <f t="shared" si="93"/>
        <v>1.48864839990194</v>
      </c>
      <c r="M327" s="49">
        <v>254200</v>
      </c>
      <c r="N327" s="49">
        <v>258400</v>
      </c>
      <c r="O327" s="49">
        <v>15956260</v>
      </c>
      <c r="P327" s="49">
        <f t="shared" si="101"/>
        <v>20.914113355630398</v>
      </c>
      <c r="Q327" s="49">
        <f t="shared" si="94"/>
        <v>20.914113355630398</v>
      </c>
      <c r="R327" s="48">
        <v>10910</v>
      </c>
      <c r="S327" s="48">
        <v>11075</v>
      </c>
      <c r="T327" s="48">
        <v>62100000</v>
      </c>
      <c r="U327" s="48">
        <f t="shared" si="95"/>
        <v>181.26656383476401</v>
      </c>
      <c r="V327" s="48">
        <f t="shared" si="96"/>
        <v>181.26656383476401</v>
      </c>
      <c r="W327" s="49">
        <v>0</v>
      </c>
      <c r="X327" s="49">
        <v>0</v>
      </c>
      <c r="Y327" s="49">
        <v>0</v>
      </c>
      <c r="Z327" s="49">
        <f t="shared" si="102"/>
        <v>0</v>
      </c>
      <c r="AA327" s="49">
        <v>0</v>
      </c>
      <c r="AB327" s="82">
        <f t="shared" si="89"/>
        <v>0</v>
      </c>
      <c r="AC327" s="82">
        <f t="shared" si="90"/>
        <v>252983469544615.03</v>
      </c>
      <c r="AD327" s="81">
        <f t="shared" si="91"/>
        <v>302581539516884.62</v>
      </c>
      <c r="AE327" s="80">
        <f t="shared" si="97"/>
        <v>1196.0526119020703</v>
      </c>
      <c r="AF327" s="52">
        <f t="shared" si="103"/>
        <v>1.8323217452273312E-2</v>
      </c>
      <c r="AG327" s="48">
        <f t="shared" si="98"/>
        <v>2.8985507246376812E-2</v>
      </c>
      <c r="AH327" s="48">
        <f t="shared" si="104"/>
        <v>1.8867924528301886E-2</v>
      </c>
      <c r="AI327" s="48">
        <f t="shared" si="105"/>
        <v>1.6522423288749016E-2</v>
      </c>
      <c r="AJ327" s="48" t="e">
        <f t="shared" si="106"/>
        <v>#DIV/0!</v>
      </c>
    </row>
    <row r="328" spans="1:36" x14ac:dyDescent="0.3">
      <c r="A328" s="48">
        <v>20190430</v>
      </c>
      <c r="B328" s="48" t="s">
        <v>88</v>
      </c>
      <c r="C328" s="49">
        <v>46150</v>
      </c>
      <c r="D328" s="49">
        <v>45850</v>
      </c>
      <c r="E328" s="49">
        <v>5969782550</v>
      </c>
      <c r="F328" s="49">
        <f t="shared" si="99"/>
        <v>0.183444546595499</v>
      </c>
      <c r="G328" s="49">
        <f t="shared" si="92"/>
        <v>0.183444546595499</v>
      </c>
      <c r="H328" s="48">
        <v>216000</v>
      </c>
      <c r="I328" s="48">
        <v>212000</v>
      </c>
      <c r="J328" s="51">
        <v>127953489</v>
      </c>
      <c r="K328" s="48">
        <f t="shared" si="100"/>
        <v>1.48864839990194</v>
      </c>
      <c r="L328" s="48">
        <f t="shared" si="93"/>
        <v>1.48864839990194</v>
      </c>
      <c r="M328" s="49">
        <v>258400</v>
      </c>
      <c r="N328" s="49">
        <v>260300</v>
      </c>
      <c r="O328" s="49">
        <v>15956260</v>
      </c>
      <c r="P328" s="49">
        <f t="shared" si="101"/>
        <v>20.914113355630398</v>
      </c>
      <c r="Q328" s="49">
        <f t="shared" si="94"/>
        <v>20.914113355630398</v>
      </c>
      <c r="R328" s="48">
        <v>11075</v>
      </c>
      <c r="S328" s="48">
        <v>11070</v>
      </c>
      <c r="T328" s="48">
        <v>62100000</v>
      </c>
      <c r="U328" s="48">
        <f t="shared" si="95"/>
        <v>181.26656383476401</v>
      </c>
      <c r="V328" s="48">
        <f t="shared" si="96"/>
        <v>181.26656383476401</v>
      </c>
      <c r="W328" s="49">
        <v>0</v>
      </c>
      <c r="X328" s="49">
        <v>0</v>
      </c>
      <c r="Y328" s="49">
        <v>0</v>
      </c>
      <c r="Z328" s="49">
        <f t="shared" si="102"/>
        <v>0</v>
      </c>
      <c r="AA328" s="49">
        <v>0</v>
      </c>
      <c r="AB328" s="82">
        <f t="shared" si="89"/>
        <v>0</v>
      </c>
      <c r="AC328" s="82">
        <f t="shared" si="90"/>
        <v>252983469544615.03</v>
      </c>
      <c r="AD328" s="81">
        <f t="shared" si="91"/>
        <v>302068858963926.12</v>
      </c>
      <c r="AE328" s="80">
        <f t="shared" si="97"/>
        <v>1194.0260741449536</v>
      </c>
      <c r="AF328" s="52">
        <f t="shared" si="103"/>
        <v>-1.694355028324383E-3</v>
      </c>
      <c r="AG328" s="48">
        <f t="shared" si="98"/>
        <v>-6.5005417118093175E-3</v>
      </c>
      <c r="AH328" s="48">
        <f t="shared" si="104"/>
        <v>-1.8518518518518517E-2</v>
      </c>
      <c r="AI328" s="48">
        <f t="shared" si="105"/>
        <v>7.3529411764705881E-3</v>
      </c>
      <c r="AJ328" s="48" t="e">
        <f t="shared" si="106"/>
        <v>#DIV/0!</v>
      </c>
    </row>
    <row r="329" spans="1:36" x14ac:dyDescent="0.3">
      <c r="A329" s="48">
        <v>20190502</v>
      </c>
      <c r="B329" s="48" t="s">
        <v>88</v>
      </c>
      <c r="C329" s="49">
        <v>45850</v>
      </c>
      <c r="D329" s="49">
        <v>45900</v>
      </c>
      <c r="E329" s="49">
        <v>5969782550</v>
      </c>
      <c r="F329" s="49">
        <f t="shared" si="99"/>
        <v>0.183444546595499</v>
      </c>
      <c r="G329" s="49">
        <f t="shared" si="92"/>
        <v>0.183444546595499</v>
      </c>
      <c r="H329" s="48">
        <v>212000</v>
      </c>
      <c r="I329" s="48">
        <v>207000</v>
      </c>
      <c r="J329" s="51">
        <v>127953489</v>
      </c>
      <c r="K329" s="48">
        <f t="shared" si="100"/>
        <v>1.48864839990194</v>
      </c>
      <c r="L329" s="48">
        <f t="shared" si="93"/>
        <v>1.48864839990194</v>
      </c>
      <c r="M329" s="49">
        <v>260300</v>
      </c>
      <c r="N329" s="49">
        <v>249800</v>
      </c>
      <c r="O329" s="49">
        <v>15956260</v>
      </c>
      <c r="P329" s="49">
        <f t="shared" si="101"/>
        <v>20.914113355630398</v>
      </c>
      <c r="Q329" s="49">
        <f t="shared" si="94"/>
        <v>20.914113355630398</v>
      </c>
      <c r="R329" s="48">
        <v>11070</v>
      </c>
      <c r="S329" s="48">
        <v>11055</v>
      </c>
      <c r="T329" s="48">
        <v>62100000</v>
      </c>
      <c r="U329" s="48">
        <f t="shared" si="95"/>
        <v>181.26656383476401</v>
      </c>
      <c r="V329" s="48">
        <f t="shared" si="96"/>
        <v>181.26656383476401</v>
      </c>
      <c r="W329" s="49">
        <v>0</v>
      </c>
      <c r="X329" s="49">
        <v>0</v>
      </c>
      <c r="Y329" s="49">
        <v>0</v>
      </c>
      <c r="Z329" s="49">
        <f t="shared" si="102"/>
        <v>0</v>
      </c>
      <c r="AA329" s="49">
        <v>0</v>
      </c>
      <c r="AB329" s="82">
        <f t="shared" si="89"/>
        <v>0</v>
      </c>
      <c r="AC329" s="82">
        <f t="shared" si="90"/>
        <v>252983469544615.03</v>
      </c>
      <c r="AD329" s="81">
        <f t="shared" si="91"/>
        <v>297498410760158.31</v>
      </c>
      <c r="AE329" s="80">
        <f t="shared" si="97"/>
        <v>1175.9598810771026</v>
      </c>
      <c r="AF329" s="52">
        <f t="shared" si="103"/>
        <v>-1.513048455058922E-2</v>
      </c>
      <c r="AG329" s="48">
        <f t="shared" si="98"/>
        <v>1.0905125408942203E-3</v>
      </c>
      <c r="AH329" s="48">
        <f t="shared" si="104"/>
        <v>-2.358490566037736E-2</v>
      </c>
      <c r="AI329" s="48">
        <f t="shared" si="105"/>
        <v>-4.0338071456012294E-2</v>
      </c>
      <c r="AJ329" s="48" t="e">
        <f t="shared" si="106"/>
        <v>#DIV/0!</v>
      </c>
    </row>
    <row r="330" spans="1:36" x14ac:dyDescent="0.3">
      <c r="A330" s="48">
        <v>20190503</v>
      </c>
      <c r="B330" s="48" t="s">
        <v>88</v>
      </c>
      <c r="C330" s="49">
        <v>45900</v>
      </c>
      <c r="D330" s="49">
        <v>45300</v>
      </c>
      <c r="E330" s="49">
        <v>5969782550</v>
      </c>
      <c r="F330" s="49">
        <f t="shared" si="99"/>
        <v>0.183444546595499</v>
      </c>
      <c r="G330" s="49">
        <f t="shared" si="92"/>
        <v>0.183444546595499</v>
      </c>
      <c r="H330" s="48">
        <v>207000</v>
      </c>
      <c r="I330" s="48">
        <v>204500</v>
      </c>
      <c r="J330" s="51">
        <v>127953489</v>
      </c>
      <c r="K330" s="48">
        <f t="shared" si="100"/>
        <v>1.48864839990194</v>
      </c>
      <c r="L330" s="48">
        <f t="shared" si="93"/>
        <v>1.48864839990194</v>
      </c>
      <c r="M330" s="49">
        <v>249800</v>
      </c>
      <c r="N330" s="49">
        <v>248000</v>
      </c>
      <c r="O330" s="49">
        <v>15956260</v>
      </c>
      <c r="P330" s="49">
        <f t="shared" si="101"/>
        <v>20.914113355630398</v>
      </c>
      <c r="Q330" s="49">
        <f t="shared" si="94"/>
        <v>20.914113355630398</v>
      </c>
      <c r="R330" s="48">
        <v>11055</v>
      </c>
      <c r="S330" s="48">
        <v>11065</v>
      </c>
      <c r="T330" s="48">
        <v>62100000</v>
      </c>
      <c r="U330" s="48">
        <f t="shared" si="95"/>
        <v>181.26656383476401</v>
      </c>
      <c r="V330" s="48">
        <f t="shared" si="96"/>
        <v>181.26656383476401</v>
      </c>
      <c r="W330" s="49">
        <v>0</v>
      </c>
      <c r="X330" s="49">
        <v>0</v>
      </c>
      <c r="Y330" s="49">
        <v>0</v>
      </c>
      <c r="Z330" s="49">
        <f t="shared" si="102"/>
        <v>0</v>
      </c>
      <c r="AA330" s="49">
        <v>0</v>
      </c>
      <c r="AB330" s="82">
        <f t="shared" si="89"/>
        <v>0</v>
      </c>
      <c r="AC330" s="82">
        <f t="shared" si="90"/>
        <v>252983469544615.03</v>
      </c>
      <c r="AD330" s="81">
        <f t="shared" si="91"/>
        <v>295877028618080.87</v>
      </c>
      <c r="AE330" s="80">
        <f t="shared" si="97"/>
        <v>1169.5508372569827</v>
      </c>
      <c r="AF330" s="52">
        <f t="shared" si="103"/>
        <v>-5.4500531210721565E-3</v>
      </c>
      <c r="AG330" s="48">
        <f t="shared" si="98"/>
        <v>-1.3071895424836602E-2</v>
      </c>
      <c r="AH330" s="48">
        <f t="shared" si="104"/>
        <v>-1.2077294685990338E-2</v>
      </c>
      <c r="AI330" s="48">
        <f t="shared" si="105"/>
        <v>-7.2057646116893519E-3</v>
      </c>
      <c r="AJ330" s="48" t="e">
        <f t="shared" si="106"/>
        <v>#DIV/0!</v>
      </c>
    </row>
    <row r="331" spans="1:36" x14ac:dyDescent="0.3">
      <c r="A331" s="48">
        <v>20190507</v>
      </c>
      <c r="B331" s="48" t="s">
        <v>88</v>
      </c>
      <c r="C331" s="49">
        <v>45300</v>
      </c>
      <c r="D331" s="49">
        <v>44850</v>
      </c>
      <c r="E331" s="49">
        <v>5969782550</v>
      </c>
      <c r="F331" s="49">
        <f t="shared" si="99"/>
        <v>0.183444546595499</v>
      </c>
      <c r="G331" s="49">
        <f t="shared" si="92"/>
        <v>0.183444546595499</v>
      </c>
      <c r="H331" s="48">
        <v>204500</v>
      </c>
      <c r="I331" s="48">
        <v>205500</v>
      </c>
      <c r="J331" s="51">
        <v>127953489</v>
      </c>
      <c r="K331" s="48">
        <f t="shared" si="100"/>
        <v>1.48864839990194</v>
      </c>
      <c r="L331" s="48">
        <f t="shared" si="93"/>
        <v>1.48864839990194</v>
      </c>
      <c r="M331" s="49">
        <v>248000</v>
      </c>
      <c r="N331" s="49">
        <v>239500</v>
      </c>
      <c r="O331" s="49">
        <v>15956260</v>
      </c>
      <c r="P331" s="49">
        <f t="shared" si="101"/>
        <v>20.914113355630398</v>
      </c>
      <c r="Q331" s="49">
        <f t="shared" si="94"/>
        <v>20.914113355630398</v>
      </c>
      <c r="R331" s="48">
        <v>11065</v>
      </c>
      <c r="S331" s="48">
        <v>10885</v>
      </c>
      <c r="T331" s="48">
        <v>62100000</v>
      </c>
      <c r="U331" s="48">
        <f t="shared" si="95"/>
        <v>181.26656383476401</v>
      </c>
      <c r="V331" s="48">
        <f t="shared" si="96"/>
        <v>181.26656383476401</v>
      </c>
      <c r="W331" s="49">
        <v>0</v>
      </c>
      <c r="X331" s="49">
        <v>0</v>
      </c>
      <c r="Y331" s="49">
        <v>0</v>
      </c>
      <c r="Z331" s="49">
        <f t="shared" si="102"/>
        <v>0</v>
      </c>
      <c r="AA331" s="49">
        <v>0</v>
      </c>
      <c r="AB331" s="82">
        <f t="shared" si="89"/>
        <v>0</v>
      </c>
      <c r="AC331" s="82">
        <f t="shared" si="90"/>
        <v>252983469544615.03</v>
      </c>
      <c r="AD331" s="81">
        <f t="shared" si="91"/>
        <v>290711959142115.06</v>
      </c>
      <c r="AE331" s="80">
        <f t="shared" si="97"/>
        <v>1149.1342089086434</v>
      </c>
      <c r="AF331" s="52">
        <f t="shared" si="103"/>
        <v>-1.7456811365484298E-2</v>
      </c>
      <c r="AG331" s="48">
        <f t="shared" si="98"/>
        <v>-9.9337748344370865E-3</v>
      </c>
      <c r="AH331" s="48">
        <f t="shared" si="104"/>
        <v>4.8899755501222494E-3</v>
      </c>
      <c r="AI331" s="48">
        <f t="shared" si="105"/>
        <v>-3.4274193548387094E-2</v>
      </c>
      <c r="AJ331" s="48" t="e">
        <f t="shared" si="106"/>
        <v>#DIV/0!</v>
      </c>
    </row>
    <row r="332" spans="1:36" x14ac:dyDescent="0.3">
      <c r="A332" s="48">
        <v>20190508</v>
      </c>
      <c r="B332" s="48" t="s">
        <v>88</v>
      </c>
      <c r="C332" s="49">
        <v>44850</v>
      </c>
      <c r="D332" s="49">
        <v>44250</v>
      </c>
      <c r="E332" s="49">
        <v>5969782550</v>
      </c>
      <c r="F332" s="49">
        <f t="shared" si="99"/>
        <v>0.183444546595499</v>
      </c>
      <c r="G332" s="49">
        <f t="shared" si="92"/>
        <v>0.183444546595499</v>
      </c>
      <c r="H332" s="48">
        <v>205500</v>
      </c>
      <c r="I332" s="48">
        <v>205500</v>
      </c>
      <c r="J332" s="51">
        <v>127953489</v>
      </c>
      <c r="K332" s="48">
        <f t="shared" si="100"/>
        <v>1.48864839990194</v>
      </c>
      <c r="L332" s="48">
        <f t="shared" si="93"/>
        <v>1.48864839990194</v>
      </c>
      <c r="M332" s="49">
        <v>239500</v>
      </c>
      <c r="N332" s="49">
        <v>231300</v>
      </c>
      <c r="O332" s="49">
        <v>15956260</v>
      </c>
      <c r="P332" s="49">
        <f t="shared" si="101"/>
        <v>20.914113355630398</v>
      </c>
      <c r="Q332" s="49">
        <f t="shared" si="94"/>
        <v>20.914113355630398</v>
      </c>
      <c r="R332" s="48">
        <v>10885</v>
      </c>
      <c r="S332" s="48">
        <v>10855</v>
      </c>
      <c r="T332" s="48">
        <v>62100000</v>
      </c>
      <c r="U332" s="48">
        <f t="shared" si="95"/>
        <v>181.26656383476401</v>
      </c>
      <c r="V332" s="48">
        <f t="shared" si="96"/>
        <v>181.26656383476401</v>
      </c>
      <c r="W332" s="49">
        <v>0</v>
      </c>
      <c r="X332" s="49">
        <v>0</v>
      </c>
      <c r="Y332" s="49">
        <v>0</v>
      </c>
      <c r="Z332" s="49">
        <f t="shared" si="102"/>
        <v>0</v>
      </c>
      <c r="AA332" s="49">
        <v>0</v>
      </c>
      <c r="AB332" s="82">
        <f t="shared" si="89"/>
        <v>0</v>
      </c>
      <c r="AC332" s="82">
        <f t="shared" si="90"/>
        <v>252983469544615.03</v>
      </c>
      <c r="AD332" s="81">
        <f t="shared" si="91"/>
        <v>286980754652746.12</v>
      </c>
      <c r="AE332" s="80">
        <f t="shared" si="97"/>
        <v>1134.3854014229792</v>
      </c>
      <c r="AF332" s="52">
        <f t="shared" si="103"/>
        <v>-1.2834712752717936E-2</v>
      </c>
      <c r="AG332" s="48">
        <f t="shared" si="98"/>
        <v>-1.3377926421404682E-2</v>
      </c>
      <c r="AH332" s="48">
        <f t="shared" si="104"/>
        <v>0</v>
      </c>
      <c r="AI332" s="48">
        <f t="shared" si="105"/>
        <v>-3.4237995824634652E-2</v>
      </c>
      <c r="AJ332" s="48" t="e">
        <f t="shared" si="106"/>
        <v>#DIV/0!</v>
      </c>
    </row>
    <row r="333" spans="1:36" x14ac:dyDescent="0.3">
      <c r="A333" s="48">
        <v>20190509</v>
      </c>
      <c r="B333" s="48" t="s">
        <v>88</v>
      </c>
      <c r="C333" s="49">
        <v>44250</v>
      </c>
      <c r="D333" s="49">
        <v>42450</v>
      </c>
      <c r="E333" s="49">
        <v>5969782550</v>
      </c>
      <c r="F333" s="49">
        <f t="shared" si="99"/>
        <v>0.183444546595499</v>
      </c>
      <c r="G333" s="49">
        <f t="shared" si="92"/>
        <v>0.183444546595499</v>
      </c>
      <c r="H333" s="48">
        <v>205500</v>
      </c>
      <c r="I333" s="48">
        <v>210000</v>
      </c>
      <c r="J333" s="51">
        <v>127953489</v>
      </c>
      <c r="K333" s="48">
        <f t="shared" si="100"/>
        <v>1.48864839990194</v>
      </c>
      <c r="L333" s="48">
        <f t="shared" si="93"/>
        <v>1.48864839990194</v>
      </c>
      <c r="M333" s="49">
        <v>231300</v>
      </c>
      <c r="N333" s="49">
        <v>228100</v>
      </c>
      <c r="O333" s="49">
        <v>15956260</v>
      </c>
      <c r="P333" s="49">
        <f t="shared" si="101"/>
        <v>20.914113355630398</v>
      </c>
      <c r="Q333" s="49">
        <f t="shared" si="94"/>
        <v>20.914113355630398</v>
      </c>
      <c r="R333" s="48">
        <v>10855</v>
      </c>
      <c r="S333" s="48">
        <v>10490</v>
      </c>
      <c r="T333" s="48">
        <v>62100000</v>
      </c>
      <c r="U333" s="48">
        <f t="shared" si="95"/>
        <v>181.26656383476401</v>
      </c>
      <c r="V333" s="48">
        <f t="shared" si="96"/>
        <v>181.26656383476401</v>
      </c>
      <c r="W333" s="49">
        <v>0</v>
      </c>
      <c r="X333" s="49">
        <v>0</v>
      </c>
      <c r="Y333" s="49">
        <v>0</v>
      </c>
      <c r="Z333" s="49">
        <f t="shared" si="102"/>
        <v>0</v>
      </c>
      <c r="AA333" s="49">
        <v>0</v>
      </c>
      <c r="AB333" s="82">
        <f t="shared" si="89"/>
        <v>0</v>
      </c>
      <c r="AC333" s="82">
        <f t="shared" si="90"/>
        <v>252983469544615.03</v>
      </c>
      <c r="AD333" s="81">
        <f t="shared" si="91"/>
        <v>280690127395687.81</v>
      </c>
      <c r="AE333" s="80">
        <f t="shared" si="97"/>
        <v>1109.5196373934882</v>
      </c>
      <c r="AF333" s="52">
        <f t="shared" si="103"/>
        <v>-2.1920031761956033E-2</v>
      </c>
      <c r="AG333" s="48">
        <f t="shared" si="98"/>
        <v>-4.0677966101694912E-2</v>
      </c>
      <c r="AH333" s="48">
        <f t="shared" si="104"/>
        <v>2.1897810218978103E-2</v>
      </c>
      <c r="AI333" s="48">
        <f t="shared" si="105"/>
        <v>-1.3834846519671422E-2</v>
      </c>
      <c r="AJ333" s="48" t="e">
        <f t="shared" si="106"/>
        <v>#DIV/0!</v>
      </c>
    </row>
    <row r="334" spans="1:36" x14ac:dyDescent="0.3">
      <c r="A334" s="48">
        <v>20190510</v>
      </c>
      <c r="B334" s="48" t="s">
        <v>88</v>
      </c>
      <c r="C334" s="49">
        <v>42450</v>
      </c>
      <c r="D334" s="49">
        <v>42900</v>
      </c>
      <c r="E334" s="49">
        <v>5969782550</v>
      </c>
      <c r="F334" s="49">
        <f t="shared" si="99"/>
        <v>0.183444546595499</v>
      </c>
      <c r="G334" s="49">
        <f t="shared" si="92"/>
        <v>0.183444546595499</v>
      </c>
      <c r="H334" s="48">
        <v>210000</v>
      </c>
      <c r="I334" s="48">
        <v>201500</v>
      </c>
      <c r="J334" s="51">
        <v>127953489</v>
      </c>
      <c r="K334" s="48">
        <f t="shared" si="100"/>
        <v>1.48864839990194</v>
      </c>
      <c r="L334" s="48">
        <f t="shared" si="93"/>
        <v>1.48864839990194</v>
      </c>
      <c r="M334" s="49">
        <v>228100</v>
      </c>
      <c r="N334" s="49">
        <v>225500</v>
      </c>
      <c r="O334" s="49">
        <v>15956260</v>
      </c>
      <c r="P334" s="49">
        <f t="shared" si="101"/>
        <v>20.914113355630398</v>
      </c>
      <c r="Q334" s="49">
        <f t="shared" si="94"/>
        <v>20.914113355630398</v>
      </c>
      <c r="R334" s="48">
        <v>10490</v>
      </c>
      <c r="S334" s="48">
        <v>10530</v>
      </c>
      <c r="T334" s="48">
        <v>62100000</v>
      </c>
      <c r="U334" s="48">
        <f t="shared" si="95"/>
        <v>181.26656383476401</v>
      </c>
      <c r="V334" s="48">
        <f t="shared" si="96"/>
        <v>181.26656383476401</v>
      </c>
      <c r="W334" s="49">
        <v>0</v>
      </c>
      <c r="X334" s="49">
        <v>0</v>
      </c>
      <c r="Y334" s="49">
        <v>0</v>
      </c>
      <c r="Z334" s="49">
        <f t="shared" si="102"/>
        <v>0</v>
      </c>
      <c r="AA334" s="49">
        <v>0</v>
      </c>
      <c r="AB334" s="82">
        <f t="shared" si="89"/>
        <v>0</v>
      </c>
      <c r="AC334" s="82">
        <f t="shared" si="90"/>
        <v>252983469544615.03</v>
      </c>
      <c r="AD334" s="81">
        <f t="shared" si="91"/>
        <v>279146489753583.12</v>
      </c>
      <c r="AE334" s="80">
        <f t="shared" si="97"/>
        <v>1103.4179041660827</v>
      </c>
      <c r="AF334" s="52">
        <f t="shared" si="103"/>
        <v>-5.4994368930141894E-3</v>
      </c>
      <c r="AG334" s="48">
        <f t="shared" si="98"/>
        <v>1.0600706713780919E-2</v>
      </c>
      <c r="AH334" s="48">
        <f t="shared" si="104"/>
        <v>-4.0476190476190478E-2</v>
      </c>
      <c r="AI334" s="48">
        <f t="shared" si="105"/>
        <v>-1.1398509425690487E-2</v>
      </c>
      <c r="AJ334" s="48" t="e">
        <f t="shared" si="106"/>
        <v>#DIV/0!</v>
      </c>
    </row>
    <row r="335" spans="1:36" x14ac:dyDescent="0.3">
      <c r="A335" s="48">
        <v>20190513</v>
      </c>
      <c r="B335" s="48" t="s">
        <v>88</v>
      </c>
      <c r="C335" s="49">
        <v>42900</v>
      </c>
      <c r="D335" s="49">
        <v>42650</v>
      </c>
      <c r="E335" s="49">
        <v>5969782550</v>
      </c>
      <c r="F335" s="49">
        <f t="shared" si="99"/>
        <v>0.183444546595499</v>
      </c>
      <c r="G335" s="49">
        <f t="shared" si="92"/>
        <v>0.183444546595499</v>
      </c>
      <c r="H335" s="48">
        <v>201500</v>
      </c>
      <c r="I335" s="48">
        <v>194500</v>
      </c>
      <c r="J335" s="51">
        <v>127953489</v>
      </c>
      <c r="K335" s="48">
        <f t="shared" si="100"/>
        <v>1.48864839990194</v>
      </c>
      <c r="L335" s="48">
        <f t="shared" si="93"/>
        <v>1.48864839990194</v>
      </c>
      <c r="M335" s="49">
        <v>225500</v>
      </c>
      <c r="N335" s="49">
        <v>223700</v>
      </c>
      <c r="O335" s="49">
        <v>15956260</v>
      </c>
      <c r="P335" s="49">
        <f t="shared" si="101"/>
        <v>20.914113355630398</v>
      </c>
      <c r="Q335" s="49">
        <f t="shared" si="94"/>
        <v>20.914113355630398</v>
      </c>
      <c r="R335" s="48">
        <v>10530</v>
      </c>
      <c r="S335" s="48">
        <v>10425</v>
      </c>
      <c r="T335" s="48">
        <v>62100000</v>
      </c>
      <c r="U335" s="48">
        <f t="shared" si="95"/>
        <v>181.26656383476401</v>
      </c>
      <c r="V335" s="48">
        <f t="shared" si="96"/>
        <v>181.26656383476401</v>
      </c>
      <c r="W335" s="49">
        <v>0</v>
      </c>
      <c r="X335" s="49">
        <v>0</v>
      </c>
      <c r="Y335" s="49">
        <v>0</v>
      </c>
      <c r="Z335" s="49">
        <f t="shared" si="102"/>
        <v>0</v>
      </c>
      <c r="AA335" s="49">
        <v>0</v>
      </c>
      <c r="AB335" s="82">
        <f t="shared" si="89"/>
        <v>0</v>
      </c>
      <c r="AC335" s="82">
        <f t="shared" si="90"/>
        <v>252983469544615.03</v>
      </c>
      <c r="AD335" s="81">
        <f t="shared" si="91"/>
        <v>275756735959507.44</v>
      </c>
      <c r="AE335" s="80">
        <f t="shared" si="97"/>
        <v>1090.0187923577996</v>
      </c>
      <c r="AF335" s="52">
        <f t="shared" si="103"/>
        <v>-1.2143279312120291E-2</v>
      </c>
      <c r="AG335" s="48">
        <f t="shared" si="98"/>
        <v>-5.8275058275058279E-3</v>
      </c>
      <c r="AH335" s="48">
        <f t="shared" si="104"/>
        <v>-3.4739454094292806E-2</v>
      </c>
      <c r="AI335" s="48">
        <f t="shared" si="105"/>
        <v>-7.9822616407982262E-3</v>
      </c>
      <c r="AJ335" s="48" t="e">
        <f t="shared" si="106"/>
        <v>#DIV/0!</v>
      </c>
    </row>
    <row r="336" spans="1:36" x14ac:dyDescent="0.3">
      <c r="A336" s="48">
        <v>20190514</v>
      </c>
      <c r="B336" s="48" t="s">
        <v>88</v>
      </c>
      <c r="C336" s="49">
        <v>42650</v>
      </c>
      <c r="D336" s="49">
        <v>42650</v>
      </c>
      <c r="E336" s="49">
        <v>5969782550</v>
      </c>
      <c r="F336" s="49">
        <f t="shared" si="99"/>
        <v>0.183444546595499</v>
      </c>
      <c r="G336" s="49">
        <f t="shared" si="92"/>
        <v>0.183444546595499</v>
      </c>
      <c r="H336" s="48">
        <v>194500</v>
      </c>
      <c r="I336" s="48">
        <v>195500</v>
      </c>
      <c r="J336" s="51">
        <v>127953489</v>
      </c>
      <c r="K336" s="48">
        <f t="shared" si="100"/>
        <v>1.48864839990194</v>
      </c>
      <c r="L336" s="48">
        <f t="shared" si="93"/>
        <v>1.48864839990194</v>
      </c>
      <c r="M336" s="49">
        <v>223700</v>
      </c>
      <c r="N336" s="49">
        <v>225500</v>
      </c>
      <c r="O336" s="49">
        <v>15956260</v>
      </c>
      <c r="P336" s="49">
        <f t="shared" si="101"/>
        <v>20.914113355630398</v>
      </c>
      <c r="Q336" s="49">
        <f t="shared" si="94"/>
        <v>20.914113355630398</v>
      </c>
      <c r="R336" s="48">
        <v>10425</v>
      </c>
      <c r="S336" s="48">
        <v>10415</v>
      </c>
      <c r="T336" s="48">
        <v>62100000</v>
      </c>
      <c r="U336" s="48">
        <f t="shared" si="95"/>
        <v>181.26656383476401</v>
      </c>
      <c r="V336" s="48">
        <f t="shared" si="96"/>
        <v>181.26656383476401</v>
      </c>
      <c r="W336" s="49">
        <v>0</v>
      </c>
      <c r="X336" s="49">
        <v>0</v>
      </c>
      <c r="Y336" s="49">
        <v>0</v>
      </c>
      <c r="Z336" s="49">
        <f t="shared" si="102"/>
        <v>0</v>
      </c>
      <c r="AA336" s="49">
        <v>0</v>
      </c>
      <c r="AB336" s="82">
        <f t="shared" si="89"/>
        <v>0</v>
      </c>
      <c r="AC336" s="82">
        <f t="shared" si="90"/>
        <v>252983469544615.03</v>
      </c>
      <c r="AD336" s="81">
        <f t="shared" si="91"/>
        <v>276435327034697.19</v>
      </c>
      <c r="AE336" s="80">
        <f t="shared" si="97"/>
        <v>1092.7011457795911</v>
      </c>
      <c r="AF336" s="52">
        <f t="shared" si="103"/>
        <v>2.4608322724320691E-3</v>
      </c>
      <c r="AG336" s="48">
        <f t="shared" si="98"/>
        <v>0</v>
      </c>
      <c r="AH336" s="48">
        <f t="shared" si="104"/>
        <v>5.1413881748071976E-3</v>
      </c>
      <c r="AI336" s="48">
        <f t="shared" si="105"/>
        <v>8.0464908359409917E-3</v>
      </c>
      <c r="AJ336" s="48" t="e">
        <f t="shared" si="106"/>
        <v>#DIV/0!</v>
      </c>
    </row>
    <row r="337" spans="1:36" x14ac:dyDescent="0.3">
      <c r="A337" s="48">
        <v>20190515</v>
      </c>
      <c r="B337" s="48" t="s">
        <v>88</v>
      </c>
      <c r="C337" s="49">
        <v>42650</v>
      </c>
      <c r="D337" s="49">
        <v>42550</v>
      </c>
      <c r="E337" s="49">
        <v>5969782550</v>
      </c>
      <c r="F337" s="49">
        <f t="shared" si="99"/>
        <v>0.183444546595499</v>
      </c>
      <c r="G337" s="49">
        <f t="shared" si="92"/>
        <v>0.183444546595499</v>
      </c>
      <c r="H337" s="48">
        <v>195500</v>
      </c>
      <c r="I337" s="48">
        <v>196000</v>
      </c>
      <c r="J337" s="51">
        <v>127953489</v>
      </c>
      <c r="K337" s="48">
        <f t="shared" si="100"/>
        <v>1.48864839990194</v>
      </c>
      <c r="L337" s="48">
        <f t="shared" si="93"/>
        <v>1.48864839990194</v>
      </c>
      <c r="M337" s="49">
        <v>225500</v>
      </c>
      <c r="N337" s="49">
        <v>239400</v>
      </c>
      <c r="O337" s="49">
        <v>15956260</v>
      </c>
      <c r="P337" s="49">
        <f t="shared" si="101"/>
        <v>20.914113355630398</v>
      </c>
      <c r="Q337" s="49">
        <f t="shared" si="94"/>
        <v>20.914113355630398</v>
      </c>
      <c r="R337" s="48">
        <v>10415</v>
      </c>
      <c r="S337" s="48">
        <v>10440</v>
      </c>
      <c r="T337" s="48">
        <v>62100000</v>
      </c>
      <c r="U337" s="48">
        <f t="shared" si="95"/>
        <v>181.26656383476401</v>
      </c>
      <c r="V337" s="48">
        <f t="shared" si="96"/>
        <v>181.26656383476401</v>
      </c>
      <c r="W337" s="49">
        <v>0</v>
      </c>
      <c r="X337" s="49">
        <v>0</v>
      </c>
      <c r="Y337" s="49">
        <v>0</v>
      </c>
      <c r="Z337" s="49">
        <f t="shared" si="102"/>
        <v>0</v>
      </c>
      <c r="AA337" s="49">
        <v>0</v>
      </c>
      <c r="AB337" s="82">
        <f t="shared" si="89"/>
        <v>0</v>
      </c>
      <c r="AC337" s="82">
        <f t="shared" si="90"/>
        <v>252983469544615.03</v>
      </c>
      <c r="AD337" s="81">
        <f t="shared" si="91"/>
        <v>281341053170235.25</v>
      </c>
      <c r="AE337" s="80">
        <f t="shared" si="97"/>
        <v>1112.092634655796</v>
      </c>
      <c r="AF337" s="52">
        <f t="shared" si="103"/>
        <v>1.7746379191695624E-2</v>
      </c>
      <c r="AG337" s="48">
        <f t="shared" si="98"/>
        <v>-2.3446658851113715E-3</v>
      </c>
      <c r="AH337" s="48">
        <f t="shared" si="104"/>
        <v>2.5575447570332483E-3</v>
      </c>
      <c r="AI337" s="48">
        <f t="shared" si="105"/>
        <v>6.1640798226164077E-2</v>
      </c>
      <c r="AJ337" s="48" t="e">
        <f t="shared" si="106"/>
        <v>#DIV/0!</v>
      </c>
    </row>
    <row r="338" spans="1:36" x14ac:dyDescent="0.3">
      <c r="A338" s="48">
        <v>20190516</v>
      </c>
      <c r="B338" s="48" t="s">
        <v>88</v>
      </c>
      <c r="C338" s="49">
        <v>42550</v>
      </c>
      <c r="D338" s="49">
        <v>41550</v>
      </c>
      <c r="E338" s="49">
        <v>5969782550</v>
      </c>
      <c r="F338" s="49">
        <f t="shared" si="99"/>
        <v>0.183444546595499</v>
      </c>
      <c r="G338" s="49">
        <f t="shared" si="92"/>
        <v>0.183444546595499</v>
      </c>
      <c r="H338" s="48">
        <v>196000</v>
      </c>
      <c r="I338" s="48">
        <v>196500</v>
      </c>
      <c r="J338" s="51">
        <v>127953489</v>
      </c>
      <c r="K338" s="48">
        <f t="shared" si="100"/>
        <v>1.48864839990194</v>
      </c>
      <c r="L338" s="48">
        <f t="shared" si="93"/>
        <v>1.48864839990194</v>
      </c>
      <c r="M338" s="49">
        <v>239400</v>
      </c>
      <c r="N338" s="49">
        <v>224300</v>
      </c>
      <c r="O338" s="49">
        <v>15956260</v>
      </c>
      <c r="P338" s="49">
        <f t="shared" si="101"/>
        <v>20.914113355630398</v>
      </c>
      <c r="Q338" s="49">
        <f t="shared" si="94"/>
        <v>20.914113355630398</v>
      </c>
      <c r="R338" s="48">
        <v>10440</v>
      </c>
      <c r="S338" s="48">
        <v>10280</v>
      </c>
      <c r="T338" s="48">
        <v>62100000</v>
      </c>
      <c r="U338" s="48">
        <f t="shared" si="95"/>
        <v>181.26656383476401</v>
      </c>
      <c r="V338" s="48">
        <f t="shared" si="96"/>
        <v>181.26656383476401</v>
      </c>
      <c r="W338" s="49">
        <v>0</v>
      </c>
      <c r="X338" s="49">
        <v>0</v>
      </c>
      <c r="Y338" s="49">
        <v>0</v>
      </c>
      <c r="Z338" s="49">
        <f t="shared" si="102"/>
        <v>0</v>
      </c>
      <c r="AA338" s="49">
        <v>0</v>
      </c>
      <c r="AB338" s="82">
        <f t="shared" si="89"/>
        <v>0</v>
      </c>
      <c r="AC338" s="82">
        <f t="shared" si="90"/>
        <v>252983469544615.03</v>
      </c>
      <c r="AD338" s="81">
        <f t="shared" si="91"/>
        <v>273501066858529.56</v>
      </c>
      <c r="AE338" s="80">
        <f t="shared" si="97"/>
        <v>1081.1025216424118</v>
      </c>
      <c r="AF338" s="52">
        <f t="shared" si="103"/>
        <v>-2.786648526179291E-2</v>
      </c>
      <c r="AG338" s="48">
        <f t="shared" si="98"/>
        <v>-2.3501762632197415E-2</v>
      </c>
      <c r="AH338" s="48">
        <f t="shared" si="104"/>
        <v>2.5510204081632651E-3</v>
      </c>
      <c r="AI338" s="48">
        <f t="shared" si="105"/>
        <v>-6.3074352548036755E-2</v>
      </c>
      <c r="AJ338" s="48" t="e">
        <f t="shared" si="106"/>
        <v>#DIV/0!</v>
      </c>
    </row>
    <row r="339" spans="1:36" s="73" customFormat="1" x14ac:dyDescent="0.3">
      <c r="A339" s="48">
        <v>20190517</v>
      </c>
      <c r="B339" s="48" t="s">
        <v>88</v>
      </c>
      <c r="C339" s="49">
        <v>41550</v>
      </c>
      <c r="D339" s="49">
        <v>41200</v>
      </c>
      <c r="E339" s="49">
        <v>5969782550</v>
      </c>
      <c r="F339" s="49">
        <f t="shared" si="99"/>
        <v>0.183444546595499</v>
      </c>
      <c r="G339" s="49">
        <f t="shared" si="92"/>
        <v>0.18611232124486701</v>
      </c>
      <c r="H339" s="48">
        <v>196500</v>
      </c>
      <c r="I339" s="48">
        <v>195500</v>
      </c>
      <c r="J339" s="51">
        <v>128329070</v>
      </c>
      <c r="K339" s="48">
        <f t="shared" si="100"/>
        <v>1.48864839990194</v>
      </c>
      <c r="L339" s="48">
        <f t="shared" si="93"/>
        <v>1.5058771407602201</v>
      </c>
      <c r="M339" s="49">
        <v>224300</v>
      </c>
      <c r="N339" s="49">
        <v>222500</v>
      </c>
      <c r="O339" s="49">
        <v>15956260</v>
      </c>
      <c r="P339" s="49">
        <f t="shared" si="101"/>
        <v>20.914113355630398</v>
      </c>
      <c r="Q339" s="49">
        <f t="shared" si="94"/>
        <v>21.218260535034901</v>
      </c>
      <c r="R339" s="48">
        <v>10280</v>
      </c>
      <c r="S339" s="48">
        <v>10225</v>
      </c>
      <c r="T339" s="48">
        <v>62100000</v>
      </c>
      <c r="U339" s="48">
        <f t="shared" si="95"/>
        <v>181.26656383476401</v>
      </c>
      <c r="V339" s="48">
        <f t="shared" si="96"/>
        <v>183.902664785984</v>
      </c>
      <c r="W339" s="49">
        <v>0</v>
      </c>
      <c r="X339" s="49">
        <v>0</v>
      </c>
      <c r="Y339" s="49">
        <v>0</v>
      </c>
      <c r="Z339" s="49">
        <f t="shared" si="102"/>
        <v>0</v>
      </c>
      <c r="AA339" s="49">
        <v>0</v>
      </c>
      <c r="AB339" s="82">
        <f t="shared" si="89"/>
        <v>1</v>
      </c>
      <c r="AC339" s="82">
        <f t="shared" si="90"/>
        <v>256662526236600.03</v>
      </c>
      <c r="AD339" s="81">
        <f t="shared" si="91"/>
        <v>275658854082897.16</v>
      </c>
      <c r="AE339" s="80">
        <f t="shared" si="97"/>
        <v>1074.0128608754737</v>
      </c>
      <c r="AF339" s="52">
        <f t="shared" si="103"/>
        <v>-6.5578061516011242E-3</v>
      </c>
      <c r="AG339" s="48">
        <f t="shared" si="98"/>
        <v>-8.4235860409145602E-3</v>
      </c>
      <c r="AH339" s="48">
        <f t="shared" si="104"/>
        <v>-5.0890585241730284E-3</v>
      </c>
      <c r="AI339" s="48">
        <f t="shared" si="105"/>
        <v>-8.024966562639322E-3</v>
      </c>
      <c r="AJ339" s="48" t="e">
        <f t="shared" si="106"/>
        <v>#DIV/0!</v>
      </c>
    </row>
    <row r="340" spans="1:36" x14ac:dyDescent="0.3">
      <c r="A340" s="48">
        <v>20190520</v>
      </c>
      <c r="B340" s="48" t="s">
        <v>88</v>
      </c>
      <c r="C340" s="49">
        <v>41200</v>
      </c>
      <c r="D340" s="49">
        <v>42000</v>
      </c>
      <c r="E340" s="49">
        <v>5969782550</v>
      </c>
      <c r="F340" s="49">
        <f t="shared" si="99"/>
        <v>0.18611232124486701</v>
      </c>
      <c r="G340" s="49">
        <f t="shared" si="92"/>
        <v>0.18611232124486701</v>
      </c>
      <c r="H340" s="48">
        <v>195500</v>
      </c>
      <c r="I340" s="48">
        <v>188000</v>
      </c>
      <c r="J340" s="51">
        <v>128329070</v>
      </c>
      <c r="K340" s="48">
        <f t="shared" si="100"/>
        <v>1.5058771407602201</v>
      </c>
      <c r="L340" s="48">
        <f t="shared" si="93"/>
        <v>1.5058771407602201</v>
      </c>
      <c r="M340" s="49">
        <v>222500</v>
      </c>
      <c r="N340" s="49">
        <v>211900</v>
      </c>
      <c r="O340" s="49">
        <v>15956260</v>
      </c>
      <c r="P340" s="49">
        <f t="shared" si="101"/>
        <v>21.218260535034901</v>
      </c>
      <c r="Q340" s="49">
        <f t="shared" si="94"/>
        <v>21.218260535034901</v>
      </c>
      <c r="R340" s="48">
        <v>10225</v>
      </c>
      <c r="S340" s="48">
        <v>10315</v>
      </c>
      <c r="T340" s="48">
        <v>62100000</v>
      </c>
      <c r="U340" s="48">
        <f t="shared" si="95"/>
        <v>183.902664785984</v>
      </c>
      <c r="V340" s="48">
        <f t="shared" si="96"/>
        <v>183.902664785984</v>
      </c>
      <c r="W340" s="49">
        <v>0</v>
      </c>
      <c r="X340" s="49">
        <v>0</v>
      </c>
      <c r="Y340" s="49">
        <v>0</v>
      </c>
      <c r="Z340" s="49">
        <f t="shared" si="102"/>
        <v>0</v>
      </c>
      <c r="AA340" s="49">
        <v>0</v>
      </c>
      <c r="AB340" s="82">
        <f t="shared" si="89"/>
        <v>0</v>
      </c>
      <c r="AC340" s="82">
        <f t="shared" si="90"/>
        <v>256662526236600.03</v>
      </c>
      <c r="AD340" s="81">
        <f t="shared" si="91"/>
        <v>272537388281437.53</v>
      </c>
      <c r="AE340" s="80">
        <f t="shared" si="97"/>
        <v>1061.8511096170055</v>
      </c>
      <c r="AF340" s="52">
        <f t="shared" si="103"/>
        <v>-1.1323655145576837E-2</v>
      </c>
      <c r="AG340" s="48">
        <f t="shared" si="98"/>
        <v>1.9417475728155338E-2</v>
      </c>
      <c r="AH340" s="48">
        <f t="shared" si="104"/>
        <v>-3.8363171355498722E-2</v>
      </c>
      <c r="AI340" s="48">
        <f t="shared" si="105"/>
        <v>-4.7640449438202247E-2</v>
      </c>
      <c r="AJ340" s="48" t="e">
        <f t="shared" si="106"/>
        <v>#DIV/0!</v>
      </c>
    </row>
    <row r="341" spans="1:36" x14ac:dyDescent="0.3">
      <c r="A341" s="48">
        <v>20190521</v>
      </c>
      <c r="B341" s="48" t="s">
        <v>88</v>
      </c>
      <c r="C341" s="49">
        <v>42000</v>
      </c>
      <c r="D341" s="49">
        <v>43150</v>
      </c>
      <c r="E341" s="49">
        <v>5969782550</v>
      </c>
      <c r="F341" s="49">
        <f t="shared" si="99"/>
        <v>0.18611232124486701</v>
      </c>
      <c r="G341" s="49">
        <f t="shared" si="92"/>
        <v>0.18611232124486701</v>
      </c>
      <c r="H341" s="48">
        <v>188000</v>
      </c>
      <c r="I341" s="48">
        <v>181000</v>
      </c>
      <c r="J341" s="51">
        <v>128329070</v>
      </c>
      <c r="K341" s="48">
        <f t="shared" si="100"/>
        <v>1.5058771407602201</v>
      </c>
      <c r="L341" s="48">
        <f t="shared" si="93"/>
        <v>1.5058771407602201</v>
      </c>
      <c r="M341" s="49">
        <v>211900</v>
      </c>
      <c r="N341" s="49">
        <v>214200</v>
      </c>
      <c r="O341" s="49">
        <v>15956260</v>
      </c>
      <c r="P341" s="49">
        <f t="shared" si="101"/>
        <v>21.218260535034901</v>
      </c>
      <c r="Q341" s="49">
        <f t="shared" si="94"/>
        <v>21.218260535034901</v>
      </c>
      <c r="R341" s="48">
        <v>10315</v>
      </c>
      <c r="S341" s="48">
        <v>10370</v>
      </c>
      <c r="T341" s="48">
        <v>62100000</v>
      </c>
      <c r="U341" s="48">
        <f t="shared" si="95"/>
        <v>183.902664785984</v>
      </c>
      <c r="V341" s="48">
        <f t="shared" si="96"/>
        <v>183.902664785984</v>
      </c>
      <c r="W341" s="49">
        <v>0</v>
      </c>
      <c r="X341" s="49">
        <v>0</v>
      </c>
      <c r="Y341" s="49">
        <v>0</v>
      </c>
      <c r="Z341" s="49">
        <f t="shared" si="102"/>
        <v>0</v>
      </c>
      <c r="AA341" s="49">
        <v>0</v>
      </c>
      <c r="AB341" s="82">
        <f t="shared" si="89"/>
        <v>0</v>
      </c>
      <c r="AC341" s="82">
        <f t="shared" si="90"/>
        <v>256662526236600.03</v>
      </c>
      <c r="AD341" s="81">
        <f t="shared" si="91"/>
        <v>273869178131064.62</v>
      </c>
      <c r="AE341" s="80">
        <f t="shared" si="97"/>
        <v>1067.0399849435089</v>
      </c>
      <c r="AF341" s="52">
        <f t="shared" si="103"/>
        <v>4.8866317316134597E-3</v>
      </c>
      <c r="AG341" s="48">
        <f t="shared" si="98"/>
        <v>2.7380952380952381E-2</v>
      </c>
      <c r="AH341" s="48">
        <f t="shared" si="104"/>
        <v>-3.7234042553191488E-2</v>
      </c>
      <c r="AI341" s="48">
        <f t="shared" si="105"/>
        <v>1.0854176498348278E-2</v>
      </c>
      <c r="AJ341" s="48" t="e">
        <f t="shared" si="106"/>
        <v>#DIV/0!</v>
      </c>
    </row>
    <row r="342" spans="1:36" x14ac:dyDescent="0.3">
      <c r="A342" s="48">
        <v>20190522</v>
      </c>
      <c r="B342" s="48" t="s">
        <v>88</v>
      </c>
      <c r="C342" s="49">
        <v>43150</v>
      </c>
      <c r="D342" s="49">
        <v>43500</v>
      </c>
      <c r="E342" s="49">
        <v>5969782550</v>
      </c>
      <c r="F342" s="49">
        <f t="shared" si="99"/>
        <v>0.18611232124486701</v>
      </c>
      <c r="G342" s="49">
        <f t="shared" si="92"/>
        <v>0.18611232124486701</v>
      </c>
      <c r="H342" s="48">
        <v>181000</v>
      </c>
      <c r="I342" s="48">
        <v>184500</v>
      </c>
      <c r="J342" s="51">
        <v>128329070</v>
      </c>
      <c r="K342" s="48">
        <f t="shared" si="100"/>
        <v>1.5058771407602201</v>
      </c>
      <c r="L342" s="48">
        <f t="shared" si="93"/>
        <v>1.5058771407602201</v>
      </c>
      <c r="M342" s="49">
        <v>214200</v>
      </c>
      <c r="N342" s="49">
        <v>214500</v>
      </c>
      <c r="O342" s="49">
        <v>15956260</v>
      </c>
      <c r="P342" s="49">
        <f t="shared" si="101"/>
        <v>21.218260535034901</v>
      </c>
      <c r="Q342" s="49">
        <f t="shared" si="94"/>
        <v>21.218260535034901</v>
      </c>
      <c r="R342" s="48">
        <v>10370</v>
      </c>
      <c r="S342" s="48">
        <v>10315</v>
      </c>
      <c r="T342" s="48">
        <v>62100000</v>
      </c>
      <c r="U342" s="48">
        <f t="shared" si="95"/>
        <v>183.902664785984</v>
      </c>
      <c r="V342" s="48">
        <f t="shared" si="96"/>
        <v>183.902664785984</v>
      </c>
      <c r="W342" s="49">
        <v>0</v>
      </c>
      <c r="X342" s="49">
        <v>0</v>
      </c>
      <c r="Y342" s="49">
        <v>0</v>
      </c>
      <c r="Z342" s="49">
        <f t="shared" si="102"/>
        <v>0</v>
      </c>
      <c r="AA342" s="49">
        <v>0</v>
      </c>
      <c r="AB342" s="82">
        <f t="shared" si="89"/>
        <v>0</v>
      </c>
      <c r="AC342" s="82">
        <f t="shared" si="90"/>
        <v>256662526236600.03</v>
      </c>
      <c r="AD342" s="81">
        <f t="shared" si="91"/>
        <v>274407862680267.25</v>
      </c>
      <c r="AE342" s="80">
        <f t="shared" si="97"/>
        <v>1069.1387897713942</v>
      </c>
      <c r="AF342" s="52">
        <f t="shared" si="103"/>
        <v>1.9669411245131314E-3</v>
      </c>
      <c r="AG342" s="48">
        <f t="shared" si="98"/>
        <v>8.1112398609501733E-3</v>
      </c>
      <c r="AH342" s="48">
        <f t="shared" si="104"/>
        <v>1.9337016574585635E-2</v>
      </c>
      <c r="AI342" s="48">
        <f t="shared" si="105"/>
        <v>1.4005602240896359E-3</v>
      </c>
      <c r="AJ342" s="48" t="e">
        <f t="shared" si="106"/>
        <v>#DIV/0!</v>
      </c>
    </row>
    <row r="343" spans="1:36" x14ac:dyDescent="0.3">
      <c r="A343" s="48">
        <v>20190523</v>
      </c>
      <c r="B343" s="48" t="s">
        <v>88</v>
      </c>
      <c r="C343" s="49">
        <v>43500</v>
      </c>
      <c r="D343" s="49">
        <v>43850</v>
      </c>
      <c r="E343" s="49">
        <v>5969782550</v>
      </c>
      <c r="F343" s="49">
        <f t="shared" si="99"/>
        <v>0.18611232124486701</v>
      </c>
      <c r="G343" s="49">
        <f t="shared" si="92"/>
        <v>0.18611232124486701</v>
      </c>
      <c r="H343" s="48">
        <v>184500</v>
      </c>
      <c r="I343" s="48">
        <v>180500</v>
      </c>
      <c r="J343" s="51">
        <v>128329070</v>
      </c>
      <c r="K343" s="48">
        <f t="shared" si="100"/>
        <v>1.5058771407602201</v>
      </c>
      <c r="L343" s="48">
        <f t="shared" si="93"/>
        <v>1.5058771407602201</v>
      </c>
      <c r="M343" s="49">
        <v>214500</v>
      </c>
      <c r="N343" s="49">
        <v>203500</v>
      </c>
      <c r="O343" s="49">
        <v>15956260</v>
      </c>
      <c r="P343" s="49">
        <f t="shared" si="101"/>
        <v>21.218260535034901</v>
      </c>
      <c r="Q343" s="49">
        <f t="shared" si="94"/>
        <v>21.218260535034901</v>
      </c>
      <c r="R343" s="48">
        <v>10315</v>
      </c>
      <c r="S343" s="48">
        <v>10315</v>
      </c>
      <c r="T343" s="48">
        <v>62100000</v>
      </c>
      <c r="U343" s="48">
        <f t="shared" si="95"/>
        <v>183.902664785984</v>
      </c>
      <c r="V343" s="48">
        <f t="shared" si="96"/>
        <v>183.902664785984</v>
      </c>
      <c r="W343" s="49">
        <v>0</v>
      </c>
      <c r="X343" s="49">
        <v>0</v>
      </c>
      <c r="Y343" s="49">
        <v>0</v>
      </c>
      <c r="Z343" s="49">
        <f t="shared" si="102"/>
        <v>0</v>
      </c>
      <c r="AA343" s="49">
        <v>0</v>
      </c>
      <c r="AB343" s="82">
        <f t="shared" si="89"/>
        <v>0</v>
      </c>
      <c r="AC343" s="82">
        <f t="shared" si="90"/>
        <v>256662526236600.03</v>
      </c>
      <c r="AD343" s="81">
        <f t="shared" si="91"/>
        <v>270299534058640.53</v>
      </c>
      <c r="AE343" s="80">
        <f t="shared" si="97"/>
        <v>1053.1320564088483</v>
      </c>
      <c r="AF343" s="52">
        <f t="shared" si="103"/>
        <v>-1.4971614083863237E-2</v>
      </c>
      <c r="AG343" s="48">
        <f t="shared" si="98"/>
        <v>8.0459770114942528E-3</v>
      </c>
      <c r="AH343" s="48">
        <f t="shared" si="104"/>
        <v>-2.1680216802168022E-2</v>
      </c>
      <c r="AI343" s="48">
        <f t="shared" si="105"/>
        <v>-5.128205128205128E-2</v>
      </c>
      <c r="AJ343" s="48" t="e">
        <f t="shared" si="106"/>
        <v>#DIV/0!</v>
      </c>
    </row>
    <row r="344" spans="1:36" x14ac:dyDescent="0.3">
      <c r="A344" s="48">
        <v>20190524</v>
      </c>
      <c r="B344" s="48" t="s">
        <v>88</v>
      </c>
      <c r="C344" s="49">
        <v>43850</v>
      </c>
      <c r="D344" s="49">
        <v>42700</v>
      </c>
      <c r="E344" s="49">
        <v>5969782550</v>
      </c>
      <c r="F344" s="49">
        <f t="shared" si="99"/>
        <v>0.18611232124486701</v>
      </c>
      <c r="G344" s="49">
        <f t="shared" si="92"/>
        <v>0.18611232124486701</v>
      </c>
      <c r="H344" s="48">
        <v>180500</v>
      </c>
      <c r="I344" s="48">
        <v>181000</v>
      </c>
      <c r="J344" s="51">
        <v>128329070</v>
      </c>
      <c r="K344" s="48">
        <f t="shared" si="100"/>
        <v>1.5058771407602201</v>
      </c>
      <c r="L344" s="48">
        <f t="shared" si="93"/>
        <v>1.5058771407602201</v>
      </c>
      <c r="M344" s="49">
        <v>203500</v>
      </c>
      <c r="N344" s="49">
        <v>211500</v>
      </c>
      <c r="O344" s="49">
        <v>15956260</v>
      </c>
      <c r="P344" s="49">
        <f t="shared" si="101"/>
        <v>21.218260535034901</v>
      </c>
      <c r="Q344" s="49">
        <f t="shared" si="94"/>
        <v>21.218260535034901</v>
      </c>
      <c r="R344" s="48">
        <v>10315</v>
      </c>
      <c r="S344" s="48">
        <v>10260</v>
      </c>
      <c r="T344" s="48">
        <v>62100000</v>
      </c>
      <c r="U344" s="48">
        <f t="shared" si="95"/>
        <v>183.902664785984</v>
      </c>
      <c r="V344" s="48">
        <f t="shared" si="96"/>
        <v>183.902664785984</v>
      </c>
      <c r="W344" s="49">
        <v>0</v>
      </c>
      <c r="X344" s="49">
        <v>0</v>
      </c>
      <c r="Y344" s="49">
        <v>0</v>
      </c>
      <c r="Z344" s="49">
        <f t="shared" si="102"/>
        <v>0</v>
      </c>
      <c r="AA344" s="49">
        <v>0</v>
      </c>
      <c r="AB344" s="82">
        <f t="shared" ref="AB344:AB375" si="107">IF(AD343&lt;&gt;(C344*E344*F344+H344*J344*K344+M344*O344*P344+R344*T344*U344),1,0)</f>
        <v>0</v>
      </c>
      <c r="AC344" s="82">
        <f t="shared" ref="AC344:AC375" si="108">IF(AND(AB344=0,B344="N"),AC343,AC343*(C344*E344*G344+H344*J344*L344+M344*O344*Q344+R344*T344*V344)/AD343)</f>
        <v>256662526236600.03</v>
      </c>
      <c r="AD344" s="81">
        <f t="shared" ref="AD344:AD375" si="109">D344*E344*G344+I344*J344*L344+N344*O344*Q344+S344*T344*V344</f>
        <v>271198843467462.31</v>
      </c>
      <c r="AE344" s="80">
        <f t="shared" si="97"/>
        <v>1056.6359158230298</v>
      </c>
      <c r="AF344" s="52">
        <f t="shared" si="103"/>
        <v>3.327084569175113E-3</v>
      </c>
      <c r="AG344" s="48">
        <f t="shared" si="98"/>
        <v>-2.6225769669327253E-2</v>
      </c>
      <c r="AH344" s="48">
        <f t="shared" si="104"/>
        <v>2.7700831024930748E-3</v>
      </c>
      <c r="AI344" s="48">
        <f t="shared" si="105"/>
        <v>3.9312039312039311E-2</v>
      </c>
      <c r="AJ344" s="48" t="e">
        <f t="shared" si="106"/>
        <v>#DIV/0!</v>
      </c>
    </row>
    <row r="345" spans="1:36" x14ac:dyDescent="0.3">
      <c r="A345" s="48">
        <v>20190527</v>
      </c>
      <c r="B345" s="48" t="s">
        <v>88</v>
      </c>
      <c r="C345" s="49">
        <v>42700</v>
      </c>
      <c r="D345" s="49">
        <v>42650</v>
      </c>
      <c r="E345" s="49">
        <v>5969782550</v>
      </c>
      <c r="F345" s="49">
        <f t="shared" si="99"/>
        <v>0.18611232124486701</v>
      </c>
      <c r="G345" s="49">
        <f t="shared" si="92"/>
        <v>0.18611232124486701</v>
      </c>
      <c r="H345" s="48">
        <v>181000</v>
      </c>
      <c r="I345" s="48">
        <v>174000</v>
      </c>
      <c r="J345" s="51">
        <v>128329070</v>
      </c>
      <c r="K345" s="48">
        <f t="shared" si="100"/>
        <v>1.5058771407602201</v>
      </c>
      <c r="L345" s="48">
        <f t="shared" si="93"/>
        <v>1.5058771407602201</v>
      </c>
      <c r="M345" s="49">
        <v>211500</v>
      </c>
      <c r="N345" s="49">
        <v>211500</v>
      </c>
      <c r="O345" s="49">
        <v>15956260</v>
      </c>
      <c r="P345" s="49">
        <f t="shared" si="101"/>
        <v>21.218260535034901</v>
      </c>
      <c r="Q345" s="49">
        <f t="shared" si="94"/>
        <v>21.218260535034901</v>
      </c>
      <c r="R345" s="48">
        <v>10260</v>
      </c>
      <c r="S345" s="48">
        <v>10220</v>
      </c>
      <c r="T345" s="48">
        <v>62100000</v>
      </c>
      <c r="U345" s="48">
        <f t="shared" si="95"/>
        <v>183.902664785984</v>
      </c>
      <c r="V345" s="48">
        <f t="shared" si="96"/>
        <v>183.902664785984</v>
      </c>
      <c r="W345" s="49">
        <v>0</v>
      </c>
      <c r="X345" s="49">
        <v>0</v>
      </c>
      <c r="Y345" s="49">
        <v>0</v>
      </c>
      <c r="Z345" s="49">
        <f t="shared" si="102"/>
        <v>0</v>
      </c>
      <c r="AA345" s="49">
        <v>0</v>
      </c>
      <c r="AB345" s="82">
        <f t="shared" si="107"/>
        <v>0</v>
      </c>
      <c r="AC345" s="82">
        <f t="shared" si="108"/>
        <v>256662526236600.03</v>
      </c>
      <c r="AD345" s="81">
        <f t="shared" si="109"/>
        <v>269333742052692.44</v>
      </c>
      <c r="AE345" s="80">
        <f t="shared" si="97"/>
        <v>1049.3691697104689</v>
      </c>
      <c r="AF345" s="52">
        <f t="shared" si="103"/>
        <v>-6.8772469341066419E-3</v>
      </c>
      <c r="AG345" s="48">
        <f t="shared" si="98"/>
        <v>-1.17096018735363E-3</v>
      </c>
      <c r="AH345" s="48">
        <f t="shared" si="104"/>
        <v>-3.8674033149171269E-2</v>
      </c>
      <c r="AI345" s="48">
        <f t="shared" si="105"/>
        <v>0</v>
      </c>
      <c r="AJ345" s="48" t="e">
        <f t="shared" si="106"/>
        <v>#DIV/0!</v>
      </c>
    </row>
    <row r="346" spans="1:36" x14ac:dyDescent="0.3">
      <c r="A346" s="48">
        <v>20190528</v>
      </c>
      <c r="B346" s="48" t="s">
        <v>88</v>
      </c>
      <c r="C346" s="49">
        <v>42650</v>
      </c>
      <c r="D346" s="49">
        <v>42550</v>
      </c>
      <c r="E346" s="49">
        <v>5969782550</v>
      </c>
      <c r="F346" s="49">
        <f t="shared" si="99"/>
        <v>0.18611232124486701</v>
      </c>
      <c r="G346" s="49">
        <f t="shared" si="92"/>
        <v>0.18611232124486701</v>
      </c>
      <c r="H346" s="48">
        <v>174000</v>
      </c>
      <c r="I346" s="48">
        <v>186000</v>
      </c>
      <c r="J346" s="51">
        <v>128329070</v>
      </c>
      <c r="K346" s="48">
        <f t="shared" si="100"/>
        <v>1.5058771407602201</v>
      </c>
      <c r="L346" s="48">
        <f t="shared" si="93"/>
        <v>1.5058771407602201</v>
      </c>
      <c r="M346" s="49">
        <v>211500</v>
      </c>
      <c r="N346" s="49">
        <v>218200</v>
      </c>
      <c r="O346" s="49">
        <v>15956260</v>
      </c>
      <c r="P346" s="49">
        <f t="shared" si="101"/>
        <v>21.218260535034901</v>
      </c>
      <c r="Q346" s="49">
        <f t="shared" si="94"/>
        <v>21.218260535034901</v>
      </c>
      <c r="R346" s="48">
        <v>10220</v>
      </c>
      <c r="S346" s="48">
        <v>10260</v>
      </c>
      <c r="T346" s="48">
        <v>62100000</v>
      </c>
      <c r="U346" s="48">
        <f t="shared" si="95"/>
        <v>183.902664785984</v>
      </c>
      <c r="V346" s="48">
        <f t="shared" si="96"/>
        <v>183.902664785984</v>
      </c>
      <c r="W346" s="49">
        <v>0</v>
      </c>
      <c r="X346" s="49">
        <v>0</v>
      </c>
      <c r="Y346" s="49">
        <v>0</v>
      </c>
      <c r="Z346" s="49">
        <f t="shared" si="102"/>
        <v>0</v>
      </c>
      <c r="AA346" s="49">
        <v>0</v>
      </c>
      <c r="AB346" s="82">
        <f t="shared" si="107"/>
        <v>0</v>
      </c>
      <c r="AC346" s="82">
        <f t="shared" si="108"/>
        <v>256662526236600.03</v>
      </c>
      <c r="AD346" s="81">
        <f t="shared" si="109"/>
        <v>274266804367706.12</v>
      </c>
      <c r="AE346" s="80">
        <f t="shared" si="97"/>
        <v>1068.5892030645639</v>
      </c>
      <c r="AF346" s="52">
        <f t="shared" si="103"/>
        <v>1.8315797632398507E-2</v>
      </c>
      <c r="AG346" s="48">
        <f t="shared" si="98"/>
        <v>-2.3446658851113715E-3</v>
      </c>
      <c r="AH346" s="48">
        <f t="shared" si="104"/>
        <v>6.8965517241379309E-2</v>
      </c>
      <c r="AI346" s="48">
        <f t="shared" si="105"/>
        <v>3.1678486997635931E-2</v>
      </c>
      <c r="AJ346" s="48" t="e">
        <f t="shared" si="106"/>
        <v>#DIV/0!</v>
      </c>
    </row>
    <row r="347" spans="1:36" x14ac:dyDescent="0.3">
      <c r="A347" s="48">
        <v>20190529</v>
      </c>
      <c r="B347" s="48" t="s">
        <v>88</v>
      </c>
      <c r="C347" s="49">
        <v>42550</v>
      </c>
      <c r="D347" s="49">
        <v>41800</v>
      </c>
      <c r="E347" s="49">
        <v>5969782550</v>
      </c>
      <c r="F347" s="49">
        <f t="shared" si="99"/>
        <v>0.18611232124486701</v>
      </c>
      <c r="G347" s="49">
        <f t="shared" si="92"/>
        <v>0.18611232124486701</v>
      </c>
      <c r="H347" s="48">
        <v>186000</v>
      </c>
      <c r="I347" s="48">
        <v>185500</v>
      </c>
      <c r="J347" s="51">
        <v>128329070</v>
      </c>
      <c r="K347" s="48">
        <f t="shared" si="100"/>
        <v>1.5058771407602201</v>
      </c>
      <c r="L347" s="48">
        <f t="shared" si="93"/>
        <v>1.5058771407602201</v>
      </c>
      <c r="M347" s="49">
        <v>218200</v>
      </c>
      <c r="N347" s="49">
        <v>187900</v>
      </c>
      <c r="O347" s="49">
        <v>15956260</v>
      </c>
      <c r="P347" s="49">
        <f t="shared" si="101"/>
        <v>21.218260535034901</v>
      </c>
      <c r="Q347" s="49">
        <f t="shared" si="94"/>
        <v>21.218260535034901</v>
      </c>
      <c r="R347" s="48">
        <v>10260</v>
      </c>
      <c r="S347" s="48">
        <v>10075</v>
      </c>
      <c r="T347" s="48">
        <v>62100000</v>
      </c>
      <c r="U347" s="48">
        <f t="shared" si="95"/>
        <v>183.902664785984</v>
      </c>
      <c r="V347" s="48">
        <f t="shared" si="96"/>
        <v>183.902664785984</v>
      </c>
      <c r="W347" s="49">
        <v>0</v>
      </c>
      <c r="X347" s="49">
        <v>0</v>
      </c>
      <c r="Y347" s="49">
        <v>0</v>
      </c>
      <c r="Z347" s="49">
        <f t="shared" si="102"/>
        <v>0</v>
      </c>
      <c r="AA347" s="49">
        <v>0</v>
      </c>
      <c r="AB347" s="82">
        <f t="shared" si="107"/>
        <v>0</v>
      </c>
      <c r="AC347" s="82">
        <f t="shared" si="108"/>
        <v>256662526236600.03</v>
      </c>
      <c r="AD347" s="81">
        <f t="shared" si="109"/>
        <v>260965635451131.53</v>
      </c>
      <c r="AE347" s="80">
        <f t="shared" si="97"/>
        <v>1016.7656310316402</v>
      </c>
      <c r="AF347" s="52">
        <f t="shared" si="103"/>
        <v>-4.8497188521370971E-2</v>
      </c>
      <c r="AG347" s="48">
        <f t="shared" si="98"/>
        <v>-1.7626321974148061E-2</v>
      </c>
      <c r="AH347" s="48">
        <f t="shared" si="104"/>
        <v>-2.6881720430107529E-3</v>
      </c>
      <c r="AI347" s="48">
        <f t="shared" si="105"/>
        <v>-0.13886342804766269</v>
      </c>
      <c r="AJ347" s="48" t="e">
        <f t="shared" si="106"/>
        <v>#DIV/0!</v>
      </c>
    </row>
    <row r="348" spans="1:36" x14ac:dyDescent="0.3">
      <c r="A348" s="48">
        <v>20190530</v>
      </c>
      <c r="B348" s="48" t="s">
        <v>88</v>
      </c>
      <c r="C348" s="49">
        <v>41800</v>
      </c>
      <c r="D348" s="49">
        <v>42550</v>
      </c>
      <c r="E348" s="49">
        <v>5969782550</v>
      </c>
      <c r="F348" s="49">
        <f t="shared" si="99"/>
        <v>0.18611232124486701</v>
      </c>
      <c r="G348" s="49">
        <f t="shared" si="92"/>
        <v>0.18611232124486701</v>
      </c>
      <c r="H348" s="48">
        <v>185500</v>
      </c>
      <c r="I348" s="48">
        <v>186000</v>
      </c>
      <c r="J348" s="51">
        <v>128329070</v>
      </c>
      <c r="K348" s="48">
        <f t="shared" si="100"/>
        <v>1.5058771407602201</v>
      </c>
      <c r="L348" s="48">
        <f t="shared" si="93"/>
        <v>1.5058771407602201</v>
      </c>
      <c r="M348" s="49">
        <v>187900</v>
      </c>
      <c r="N348" s="49">
        <v>183700</v>
      </c>
      <c r="O348" s="49">
        <v>15956260</v>
      </c>
      <c r="P348" s="49">
        <f t="shared" si="101"/>
        <v>21.218260535034901</v>
      </c>
      <c r="Q348" s="49">
        <f t="shared" si="94"/>
        <v>21.218260535034901</v>
      </c>
      <c r="R348" s="48">
        <v>10075</v>
      </c>
      <c r="S348" s="48">
        <v>10185</v>
      </c>
      <c r="T348" s="48">
        <v>62100000</v>
      </c>
      <c r="U348" s="48">
        <f t="shared" si="95"/>
        <v>183.902664785984</v>
      </c>
      <c r="V348" s="48">
        <f t="shared" si="96"/>
        <v>183.902664785984</v>
      </c>
      <c r="W348" s="49">
        <v>0</v>
      </c>
      <c r="X348" s="49">
        <v>0</v>
      </c>
      <c r="Y348" s="49">
        <v>0</v>
      </c>
      <c r="Z348" s="49">
        <f t="shared" si="102"/>
        <v>0</v>
      </c>
      <c r="AA348" s="49">
        <v>0</v>
      </c>
      <c r="AB348" s="82">
        <f t="shared" si="107"/>
        <v>0</v>
      </c>
      <c r="AC348" s="82">
        <f t="shared" si="108"/>
        <v>256662526236600.03</v>
      </c>
      <c r="AD348" s="81">
        <f t="shared" si="109"/>
        <v>261729816882821.34</v>
      </c>
      <c r="AE348" s="80">
        <f t="shared" si="97"/>
        <v>1019.7430093146911</v>
      </c>
      <c r="AF348" s="52">
        <f t="shared" si="103"/>
        <v>2.9282837580082285E-3</v>
      </c>
      <c r="AG348" s="48">
        <f t="shared" si="98"/>
        <v>1.7942583732057416E-2</v>
      </c>
      <c r="AH348" s="48">
        <f t="shared" si="104"/>
        <v>2.6954177897574125E-3</v>
      </c>
      <c r="AI348" s="48">
        <f t="shared" si="105"/>
        <v>-2.2352315061202766E-2</v>
      </c>
      <c r="AJ348" s="48" t="e">
        <f t="shared" si="106"/>
        <v>#DIV/0!</v>
      </c>
    </row>
    <row r="349" spans="1:36" x14ac:dyDescent="0.3">
      <c r="A349" s="48">
        <v>20190531</v>
      </c>
      <c r="B349" s="48" t="s">
        <v>88</v>
      </c>
      <c r="C349" s="49">
        <v>42550</v>
      </c>
      <c r="D349" s="49">
        <v>42500</v>
      </c>
      <c r="E349" s="49">
        <v>5969782550</v>
      </c>
      <c r="F349" s="49">
        <f t="shared" si="99"/>
        <v>0.18611232124486701</v>
      </c>
      <c r="G349" s="49">
        <f t="shared" si="92"/>
        <v>0.18611232124486701</v>
      </c>
      <c r="H349" s="48">
        <v>186000</v>
      </c>
      <c r="I349" s="48">
        <v>190000</v>
      </c>
      <c r="J349" s="51">
        <v>128329070</v>
      </c>
      <c r="K349" s="48">
        <f t="shared" si="100"/>
        <v>1.5058771407602201</v>
      </c>
      <c r="L349" s="48">
        <f t="shared" si="93"/>
        <v>1.5058771407602201</v>
      </c>
      <c r="M349" s="49">
        <v>183700</v>
      </c>
      <c r="N349" s="49">
        <v>194800</v>
      </c>
      <c r="O349" s="49">
        <v>15956260</v>
      </c>
      <c r="P349" s="49">
        <f t="shared" si="101"/>
        <v>21.218260535034901</v>
      </c>
      <c r="Q349" s="49">
        <f t="shared" si="94"/>
        <v>21.218260535034901</v>
      </c>
      <c r="R349" s="48">
        <v>10185</v>
      </c>
      <c r="S349" s="48">
        <v>10245</v>
      </c>
      <c r="T349" s="48">
        <v>62100000</v>
      </c>
      <c r="U349" s="48">
        <f t="shared" si="95"/>
        <v>183.902664785984</v>
      </c>
      <c r="V349" s="48">
        <f t="shared" si="96"/>
        <v>183.902664785984</v>
      </c>
      <c r="W349" s="49">
        <v>0</v>
      </c>
      <c r="X349" s="49">
        <v>0</v>
      </c>
      <c r="Y349" s="49">
        <v>0</v>
      </c>
      <c r="Z349" s="49">
        <f t="shared" si="102"/>
        <v>0</v>
      </c>
      <c r="AA349" s="49">
        <v>0</v>
      </c>
      <c r="AB349" s="82">
        <f t="shared" si="107"/>
        <v>0</v>
      </c>
      <c r="AC349" s="82">
        <f t="shared" si="108"/>
        <v>256662526236600.03</v>
      </c>
      <c r="AD349" s="81">
        <f t="shared" si="109"/>
        <v>266890538267937.37</v>
      </c>
      <c r="AE349" s="80">
        <f t="shared" si="97"/>
        <v>1039.8500403674389</v>
      </c>
      <c r="AF349" s="52">
        <f t="shared" si="103"/>
        <v>1.9717743459953196E-2</v>
      </c>
      <c r="AG349" s="48">
        <f t="shared" si="98"/>
        <v>-1.1750881316098707E-3</v>
      </c>
      <c r="AH349" s="48">
        <f t="shared" si="104"/>
        <v>2.1505376344086023E-2</v>
      </c>
      <c r="AI349" s="48">
        <f t="shared" si="105"/>
        <v>6.0424605334784977E-2</v>
      </c>
      <c r="AJ349" s="48" t="e">
        <f t="shared" si="106"/>
        <v>#DIV/0!</v>
      </c>
    </row>
    <row r="350" spans="1:36" x14ac:dyDescent="0.3">
      <c r="A350" s="48">
        <v>20190603</v>
      </c>
      <c r="B350" s="48" t="s">
        <v>88</v>
      </c>
      <c r="C350" s="49">
        <v>42500</v>
      </c>
      <c r="D350" s="49">
        <v>43800</v>
      </c>
      <c r="E350" s="49">
        <v>5969782550</v>
      </c>
      <c r="F350" s="49">
        <f t="shared" si="99"/>
        <v>0.18611232124486701</v>
      </c>
      <c r="G350" s="49">
        <f t="shared" si="92"/>
        <v>0.18611232124486701</v>
      </c>
      <c r="H350" s="48">
        <v>190000</v>
      </c>
      <c r="I350" s="48">
        <v>193000</v>
      </c>
      <c r="J350" s="51">
        <v>128329070</v>
      </c>
      <c r="K350" s="48">
        <f t="shared" si="100"/>
        <v>1.5058771407602201</v>
      </c>
      <c r="L350" s="48">
        <f t="shared" si="93"/>
        <v>1.5058771407602201</v>
      </c>
      <c r="M350" s="49">
        <v>194800</v>
      </c>
      <c r="N350" s="49">
        <v>190200</v>
      </c>
      <c r="O350" s="49">
        <v>15956260</v>
      </c>
      <c r="P350" s="49">
        <f t="shared" si="101"/>
        <v>21.218260535034901</v>
      </c>
      <c r="Q350" s="49">
        <f t="shared" si="94"/>
        <v>21.218260535034901</v>
      </c>
      <c r="R350" s="48">
        <v>10245</v>
      </c>
      <c r="S350" s="48">
        <v>10410</v>
      </c>
      <c r="T350" s="48">
        <v>62100000</v>
      </c>
      <c r="U350" s="48">
        <f t="shared" si="95"/>
        <v>183.902664785984</v>
      </c>
      <c r="V350" s="48">
        <f t="shared" si="96"/>
        <v>183.902664785984</v>
      </c>
      <c r="W350" s="49">
        <v>0</v>
      </c>
      <c r="X350" s="49">
        <v>0</v>
      </c>
      <c r="Y350" s="49">
        <v>0</v>
      </c>
      <c r="Z350" s="49">
        <f t="shared" si="102"/>
        <v>0</v>
      </c>
      <c r="AA350" s="49">
        <v>0</v>
      </c>
      <c r="AB350" s="82">
        <f t="shared" si="107"/>
        <v>0</v>
      </c>
      <c r="AC350" s="82">
        <f t="shared" si="108"/>
        <v>256662526236600.03</v>
      </c>
      <c r="AD350" s="81">
        <f t="shared" si="109"/>
        <v>269241610699225.03</v>
      </c>
      <c r="AE350" s="80">
        <f t="shared" si="97"/>
        <v>1049.010210594706</v>
      </c>
      <c r="AF350" s="52">
        <f t="shared" si="103"/>
        <v>8.8091261928790517E-3</v>
      </c>
      <c r="AG350" s="48">
        <f t="shared" si="98"/>
        <v>3.0588235294117649E-2</v>
      </c>
      <c r="AH350" s="48">
        <f t="shared" si="104"/>
        <v>1.5789473684210527E-2</v>
      </c>
      <c r="AI350" s="48">
        <f t="shared" si="105"/>
        <v>-2.3613963039014373E-2</v>
      </c>
      <c r="AJ350" s="48" t="e">
        <f t="shared" si="106"/>
        <v>#DIV/0!</v>
      </c>
    </row>
    <row r="351" spans="1:36" x14ac:dyDescent="0.3">
      <c r="A351" s="48">
        <v>20190604</v>
      </c>
      <c r="B351" s="48" t="s">
        <v>88</v>
      </c>
      <c r="C351" s="49">
        <v>43800</v>
      </c>
      <c r="D351" s="49">
        <v>43450</v>
      </c>
      <c r="E351" s="49">
        <v>5969782550</v>
      </c>
      <c r="F351" s="49">
        <f t="shared" si="99"/>
        <v>0.18611232124486701</v>
      </c>
      <c r="G351" s="49">
        <f t="shared" si="92"/>
        <v>0.18611232124486701</v>
      </c>
      <c r="H351" s="48">
        <v>193000</v>
      </c>
      <c r="I351" s="48">
        <v>195500</v>
      </c>
      <c r="J351" s="51">
        <v>128329070</v>
      </c>
      <c r="K351" s="48">
        <f t="shared" si="100"/>
        <v>1.5058771407602201</v>
      </c>
      <c r="L351" s="48">
        <f t="shared" si="93"/>
        <v>1.5058771407602201</v>
      </c>
      <c r="M351" s="49">
        <v>190200</v>
      </c>
      <c r="N351" s="49">
        <v>187100</v>
      </c>
      <c r="O351" s="49">
        <v>15956260</v>
      </c>
      <c r="P351" s="49">
        <f t="shared" si="101"/>
        <v>21.218260535034901</v>
      </c>
      <c r="Q351" s="49">
        <f t="shared" si="94"/>
        <v>21.218260535034901</v>
      </c>
      <c r="R351" s="48">
        <v>10410</v>
      </c>
      <c r="S351" s="48">
        <v>10380</v>
      </c>
      <c r="T351" s="48">
        <v>62100000</v>
      </c>
      <c r="U351" s="48">
        <f t="shared" si="95"/>
        <v>183.902664785984</v>
      </c>
      <c r="V351" s="48">
        <f t="shared" si="96"/>
        <v>183.902664785984</v>
      </c>
      <c r="W351" s="49">
        <v>0</v>
      </c>
      <c r="X351" s="49">
        <v>0</v>
      </c>
      <c r="Y351" s="49">
        <v>0</v>
      </c>
      <c r="Z351" s="49">
        <f t="shared" si="102"/>
        <v>0</v>
      </c>
      <c r="AA351" s="49">
        <v>0</v>
      </c>
      <c r="AB351" s="82">
        <f t="shared" si="107"/>
        <v>0</v>
      </c>
      <c r="AC351" s="82">
        <f t="shared" si="108"/>
        <v>256662526236600.03</v>
      </c>
      <c r="AD351" s="81">
        <f t="shared" si="109"/>
        <v>267943703382832.41</v>
      </c>
      <c r="AE351" s="80">
        <f t="shared" si="97"/>
        <v>1043.9533472675048</v>
      </c>
      <c r="AF351" s="52">
        <f t="shared" si="103"/>
        <v>-4.820604486141614E-3</v>
      </c>
      <c r="AG351" s="48">
        <f t="shared" si="98"/>
        <v>-7.9908675799086754E-3</v>
      </c>
      <c r="AH351" s="48">
        <f t="shared" si="104"/>
        <v>1.2953367875647668E-2</v>
      </c>
      <c r="AI351" s="48">
        <f t="shared" si="105"/>
        <v>-1.6298633017875919E-2</v>
      </c>
      <c r="AJ351" s="48" t="e">
        <f t="shared" si="106"/>
        <v>#DIV/0!</v>
      </c>
    </row>
    <row r="352" spans="1:36" x14ac:dyDescent="0.3">
      <c r="A352" s="48">
        <v>20190605</v>
      </c>
      <c r="B352" s="48" t="s">
        <v>88</v>
      </c>
      <c r="C352" s="49">
        <v>43450</v>
      </c>
      <c r="D352" s="49">
        <v>43900</v>
      </c>
      <c r="E352" s="49">
        <v>5969782550</v>
      </c>
      <c r="F352" s="49">
        <f t="shared" si="99"/>
        <v>0.18611232124486701</v>
      </c>
      <c r="G352" s="49">
        <f t="shared" si="92"/>
        <v>0.18611232124486701</v>
      </c>
      <c r="H352" s="48">
        <v>195500</v>
      </c>
      <c r="I352" s="48">
        <v>196000</v>
      </c>
      <c r="J352" s="51">
        <v>128329070</v>
      </c>
      <c r="K352" s="48">
        <f t="shared" si="100"/>
        <v>1.5058771407602201</v>
      </c>
      <c r="L352" s="48">
        <f t="shared" si="93"/>
        <v>1.5058771407602201</v>
      </c>
      <c r="M352" s="49">
        <v>187100</v>
      </c>
      <c r="N352" s="49">
        <v>187900</v>
      </c>
      <c r="O352" s="49">
        <v>15956260</v>
      </c>
      <c r="P352" s="49">
        <f t="shared" si="101"/>
        <v>21.218260535034901</v>
      </c>
      <c r="Q352" s="49">
        <f t="shared" si="94"/>
        <v>21.218260535034901</v>
      </c>
      <c r="R352" s="48">
        <v>10380</v>
      </c>
      <c r="S352" s="48">
        <v>10380</v>
      </c>
      <c r="T352" s="48">
        <v>62100000</v>
      </c>
      <c r="U352" s="48">
        <f t="shared" si="95"/>
        <v>183.902664785984</v>
      </c>
      <c r="V352" s="48">
        <f t="shared" si="96"/>
        <v>183.902664785984</v>
      </c>
      <c r="W352" s="49">
        <v>0</v>
      </c>
      <c r="X352" s="49">
        <v>0</v>
      </c>
      <c r="Y352" s="49">
        <v>0</v>
      </c>
      <c r="Z352" s="49">
        <f t="shared" si="102"/>
        <v>0</v>
      </c>
      <c r="AA352" s="49">
        <v>0</v>
      </c>
      <c r="AB352" s="82">
        <f t="shared" si="107"/>
        <v>0</v>
      </c>
      <c r="AC352" s="82">
        <f t="shared" si="108"/>
        <v>256662526236600.03</v>
      </c>
      <c r="AD352" s="81">
        <f t="shared" si="109"/>
        <v>268811151094280.62</v>
      </c>
      <c r="AE352" s="80">
        <f t="shared" si="97"/>
        <v>1047.3330681958676</v>
      </c>
      <c r="AF352" s="52">
        <f t="shared" si="103"/>
        <v>3.2374252520086335E-3</v>
      </c>
      <c r="AG352" s="48">
        <f t="shared" si="98"/>
        <v>1.0356731875719217E-2</v>
      </c>
      <c r="AH352" s="48">
        <f t="shared" si="104"/>
        <v>2.5575447570332483E-3</v>
      </c>
      <c r="AI352" s="48">
        <f t="shared" si="105"/>
        <v>4.27578834847675E-3</v>
      </c>
      <c r="AJ352" s="48" t="e">
        <f t="shared" si="106"/>
        <v>#DIV/0!</v>
      </c>
    </row>
    <row r="353" spans="1:36" x14ac:dyDescent="0.3">
      <c r="A353" s="48">
        <v>20190607</v>
      </c>
      <c r="B353" s="48" t="s">
        <v>88</v>
      </c>
      <c r="C353" s="49">
        <v>43900</v>
      </c>
      <c r="D353" s="49">
        <v>44200</v>
      </c>
      <c r="E353" s="49">
        <v>5969782550</v>
      </c>
      <c r="F353" s="49">
        <f t="shared" si="99"/>
        <v>0.18611232124486701</v>
      </c>
      <c r="G353" s="49">
        <f t="shared" si="92"/>
        <v>0.18611232124486701</v>
      </c>
      <c r="H353" s="48">
        <v>196000</v>
      </c>
      <c r="I353" s="48">
        <v>196500</v>
      </c>
      <c r="J353" s="51">
        <v>128329070</v>
      </c>
      <c r="K353" s="48">
        <f t="shared" si="100"/>
        <v>1.5058771407602201</v>
      </c>
      <c r="L353" s="48">
        <f t="shared" si="93"/>
        <v>1.5058771407602201</v>
      </c>
      <c r="M353" s="49">
        <v>187900</v>
      </c>
      <c r="N353" s="49">
        <v>190700</v>
      </c>
      <c r="O353" s="49">
        <v>15956260</v>
      </c>
      <c r="P353" s="49">
        <f t="shared" si="101"/>
        <v>21.218260535034901</v>
      </c>
      <c r="Q353" s="49">
        <f t="shared" si="94"/>
        <v>21.218260535034901</v>
      </c>
      <c r="R353" s="48">
        <v>10380</v>
      </c>
      <c r="S353" s="48">
        <v>10405</v>
      </c>
      <c r="T353" s="48">
        <v>62100000</v>
      </c>
      <c r="U353" s="48">
        <f t="shared" si="95"/>
        <v>183.902664785984</v>
      </c>
      <c r="V353" s="48">
        <f t="shared" si="96"/>
        <v>183.902664785984</v>
      </c>
      <c r="W353" s="49">
        <v>0</v>
      </c>
      <c r="X353" s="49">
        <v>0</v>
      </c>
      <c r="Y353" s="49">
        <v>0</v>
      </c>
      <c r="Z353" s="49">
        <f t="shared" si="102"/>
        <v>0</v>
      </c>
      <c r="AA353" s="49">
        <v>0</v>
      </c>
      <c r="AB353" s="82">
        <f t="shared" si="107"/>
        <v>0</v>
      </c>
      <c r="AC353" s="82">
        <f t="shared" si="108"/>
        <v>256662526236600.03</v>
      </c>
      <c r="AD353" s="81">
        <f t="shared" si="109"/>
        <v>270474578343342.44</v>
      </c>
      <c r="AE353" s="80">
        <f t="shared" si="97"/>
        <v>1053.814058130208</v>
      </c>
      <c r="AF353" s="52">
        <f t="shared" si="103"/>
        <v>6.1880887094537609E-3</v>
      </c>
      <c r="AG353" s="48">
        <f t="shared" si="98"/>
        <v>6.8337129840546698E-3</v>
      </c>
      <c r="AH353" s="48">
        <f t="shared" si="104"/>
        <v>2.5510204081632651E-3</v>
      </c>
      <c r="AI353" s="48">
        <f t="shared" si="105"/>
        <v>1.4901543374135177E-2</v>
      </c>
      <c r="AJ353" s="48" t="e">
        <f t="shared" si="106"/>
        <v>#DIV/0!</v>
      </c>
    </row>
    <row r="354" spans="1:36" s="47" customFormat="1" x14ac:dyDescent="0.3">
      <c r="A354" s="48">
        <v>20190610</v>
      </c>
      <c r="B354" s="48" t="s">
        <v>88</v>
      </c>
      <c r="C354" s="49">
        <v>44200</v>
      </c>
      <c r="D354" s="49">
        <v>44800</v>
      </c>
      <c r="E354" s="49">
        <v>5969782550</v>
      </c>
      <c r="F354" s="49">
        <f t="shared" si="99"/>
        <v>0.18611232124486701</v>
      </c>
      <c r="G354" s="49">
        <f t="shared" si="92"/>
        <v>0.18611232124486701</v>
      </c>
      <c r="H354" s="48">
        <v>196500</v>
      </c>
      <c r="I354" s="48">
        <v>198500</v>
      </c>
      <c r="J354" s="51">
        <v>128329070</v>
      </c>
      <c r="K354" s="48">
        <f t="shared" si="100"/>
        <v>1.5058771407602201</v>
      </c>
      <c r="L354" s="48">
        <f t="shared" si="93"/>
        <v>1.5058771407602201</v>
      </c>
      <c r="M354" s="49">
        <v>190700</v>
      </c>
      <c r="N354" s="49">
        <v>191000</v>
      </c>
      <c r="O354" s="49">
        <v>15956260</v>
      </c>
      <c r="P354" s="49">
        <f t="shared" si="101"/>
        <v>21.218260535034901</v>
      </c>
      <c r="Q354" s="49">
        <f t="shared" si="94"/>
        <v>21.218260535034901</v>
      </c>
      <c r="R354" s="48">
        <v>10405</v>
      </c>
      <c r="S354" s="48">
        <v>10525</v>
      </c>
      <c r="T354" s="48">
        <v>62100000</v>
      </c>
      <c r="U354" s="48">
        <f t="shared" si="95"/>
        <v>183.902664785984</v>
      </c>
      <c r="V354" s="48">
        <f t="shared" si="96"/>
        <v>183.902664785984</v>
      </c>
      <c r="W354" s="49">
        <v>0</v>
      </c>
      <c r="X354" s="49">
        <v>0</v>
      </c>
      <c r="Y354" s="49">
        <v>0</v>
      </c>
      <c r="Z354" s="49">
        <f t="shared" si="102"/>
        <v>0</v>
      </c>
      <c r="AA354" s="49">
        <v>0</v>
      </c>
      <c r="AB354" s="82">
        <f t="shared" si="107"/>
        <v>0</v>
      </c>
      <c r="AC354" s="82">
        <f t="shared" si="108"/>
        <v>256662526236600.03</v>
      </c>
      <c r="AD354" s="81">
        <f t="shared" si="109"/>
        <v>272999715904521.62</v>
      </c>
      <c r="AE354" s="80">
        <f t="shared" si="97"/>
        <v>1063.652415128422</v>
      </c>
      <c r="AF354" s="52">
        <f t="shared" si="103"/>
        <v>9.335951558352101E-3</v>
      </c>
      <c r="AG354" s="48">
        <f t="shared" si="98"/>
        <v>1.3574660633484163E-2</v>
      </c>
      <c r="AH354" s="48">
        <f t="shared" si="104"/>
        <v>1.0178117048346057E-2</v>
      </c>
      <c r="AI354" s="48">
        <f t="shared" si="105"/>
        <v>1.5731515469323545E-3</v>
      </c>
      <c r="AJ354" s="48" t="e">
        <f t="shared" si="106"/>
        <v>#DIV/0!</v>
      </c>
    </row>
    <row r="355" spans="1:36" x14ac:dyDescent="0.3">
      <c r="A355" s="48">
        <v>20190611</v>
      </c>
      <c r="B355" s="48" t="s">
        <v>88</v>
      </c>
      <c r="C355" s="49">
        <v>44800</v>
      </c>
      <c r="D355" s="49">
        <v>44850</v>
      </c>
      <c r="E355" s="49">
        <v>5969782550</v>
      </c>
      <c r="F355" s="49">
        <f t="shared" si="99"/>
        <v>0.18611232124486701</v>
      </c>
      <c r="G355" s="49">
        <f t="shared" si="92"/>
        <v>0.18611232124486701</v>
      </c>
      <c r="H355" s="48">
        <v>198500</v>
      </c>
      <c r="I355" s="48">
        <v>202000</v>
      </c>
      <c r="J355" s="51">
        <v>128329070</v>
      </c>
      <c r="K355" s="48">
        <f t="shared" si="100"/>
        <v>1.5058771407602201</v>
      </c>
      <c r="L355" s="48">
        <f t="shared" si="93"/>
        <v>1.5058771407602201</v>
      </c>
      <c r="M355" s="49">
        <v>191000</v>
      </c>
      <c r="N355" s="49">
        <v>197400</v>
      </c>
      <c r="O355" s="49">
        <v>15956260</v>
      </c>
      <c r="P355" s="49">
        <f t="shared" si="101"/>
        <v>21.218260535034901</v>
      </c>
      <c r="Q355" s="49">
        <f t="shared" si="94"/>
        <v>21.218260535034901</v>
      </c>
      <c r="R355" s="48">
        <v>10525</v>
      </c>
      <c r="S355" s="48">
        <v>10570</v>
      </c>
      <c r="T355" s="48">
        <v>62100000</v>
      </c>
      <c r="U355" s="48">
        <f t="shared" si="95"/>
        <v>183.902664785984</v>
      </c>
      <c r="V355" s="48">
        <f t="shared" si="96"/>
        <v>183.902664785984</v>
      </c>
      <c r="W355" s="49">
        <v>0</v>
      </c>
      <c r="X355" s="49">
        <v>0</v>
      </c>
      <c r="Y355" s="49">
        <v>0</v>
      </c>
      <c r="Z355" s="49">
        <f t="shared" si="102"/>
        <v>0</v>
      </c>
      <c r="AA355" s="49">
        <v>0</v>
      </c>
      <c r="AB355" s="82">
        <f t="shared" si="107"/>
        <v>0</v>
      </c>
      <c r="AC355" s="82">
        <f t="shared" si="108"/>
        <v>256662526236600.03</v>
      </c>
      <c r="AD355" s="81">
        <f t="shared" si="109"/>
        <v>276412361874986</v>
      </c>
      <c r="AE355" s="80">
        <f t="shared" si="97"/>
        <v>1076.9486528788389</v>
      </c>
      <c r="AF355" s="52">
        <f t="shared" si="103"/>
        <v>1.2500547698950579E-2</v>
      </c>
      <c r="AG355" s="48">
        <f t="shared" si="98"/>
        <v>1.1160714285714285E-3</v>
      </c>
      <c r="AH355" s="48">
        <f t="shared" si="104"/>
        <v>1.7632241813602016E-2</v>
      </c>
      <c r="AI355" s="48">
        <f t="shared" si="105"/>
        <v>3.3507853403141365E-2</v>
      </c>
      <c r="AJ355" s="48" t="e">
        <f t="shared" si="106"/>
        <v>#DIV/0!</v>
      </c>
    </row>
    <row r="356" spans="1:36" x14ac:dyDescent="0.3">
      <c r="A356" s="48">
        <v>20190612</v>
      </c>
      <c r="B356" s="48" t="s">
        <v>88</v>
      </c>
      <c r="C356" s="49">
        <v>44850</v>
      </c>
      <c r="D356" s="49">
        <v>44600</v>
      </c>
      <c r="E356" s="49">
        <v>5969782550</v>
      </c>
      <c r="F356" s="49">
        <f t="shared" si="99"/>
        <v>0.18611232124486701</v>
      </c>
      <c r="G356" s="49">
        <f t="shared" si="92"/>
        <v>0.18611232124486701</v>
      </c>
      <c r="H356" s="48">
        <v>202000</v>
      </c>
      <c r="I356" s="48">
        <v>204000</v>
      </c>
      <c r="J356" s="51">
        <v>128329070</v>
      </c>
      <c r="K356" s="48">
        <f t="shared" si="100"/>
        <v>1.5058771407602201</v>
      </c>
      <c r="L356" s="48">
        <f t="shared" si="93"/>
        <v>1.5058771407602201</v>
      </c>
      <c r="M356" s="49">
        <v>197400</v>
      </c>
      <c r="N356" s="49">
        <v>192000</v>
      </c>
      <c r="O356" s="49">
        <v>15956260</v>
      </c>
      <c r="P356" s="49">
        <f t="shared" si="101"/>
        <v>21.218260535034901</v>
      </c>
      <c r="Q356" s="49">
        <f t="shared" si="94"/>
        <v>21.218260535034901</v>
      </c>
      <c r="R356" s="48">
        <v>10570</v>
      </c>
      <c r="S356" s="48">
        <v>10530</v>
      </c>
      <c r="T356" s="48">
        <v>62100000</v>
      </c>
      <c r="U356" s="48">
        <f t="shared" si="95"/>
        <v>183.902664785984</v>
      </c>
      <c r="V356" s="48">
        <f t="shared" si="96"/>
        <v>183.902664785984</v>
      </c>
      <c r="W356" s="49">
        <v>0</v>
      </c>
      <c r="X356" s="49">
        <v>0</v>
      </c>
      <c r="Y356" s="49">
        <v>0</v>
      </c>
      <c r="Z356" s="49">
        <f t="shared" si="102"/>
        <v>0</v>
      </c>
      <c r="AA356" s="49">
        <v>0</v>
      </c>
      <c r="AB356" s="82">
        <f t="shared" si="107"/>
        <v>0</v>
      </c>
      <c r="AC356" s="82">
        <f t="shared" si="108"/>
        <v>256662526236600.03</v>
      </c>
      <c r="AD356" s="81">
        <f t="shared" si="109"/>
        <v>274236034717785.03</v>
      </c>
      <c r="AE356" s="80">
        <f t="shared" si="97"/>
        <v>1068.4693193777152</v>
      </c>
      <c r="AF356" s="52">
        <f t="shared" si="103"/>
        <v>-7.8734798343979909E-3</v>
      </c>
      <c r="AG356" s="48">
        <f t="shared" si="98"/>
        <v>-5.5741360089186179E-3</v>
      </c>
      <c r="AH356" s="48">
        <f t="shared" si="104"/>
        <v>9.9009900990099011E-3</v>
      </c>
      <c r="AI356" s="48">
        <f t="shared" si="105"/>
        <v>-2.7355623100303952E-2</v>
      </c>
      <c r="AJ356" s="48" t="e">
        <f t="shared" si="106"/>
        <v>#DIV/0!</v>
      </c>
    </row>
    <row r="357" spans="1:36" x14ac:dyDescent="0.3">
      <c r="A357" s="48">
        <v>20190613</v>
      </c>
      <c r="B357" s="48" t="s">
        <v>88</v>
      </c>
      <c r="C357" s="49">
        <v>44600</v>
      </c>
      <c r="D357" s="49">
        <v>43750</v>
      </c>
      <c r="E357" s="49">
        <v>5969782550</v>
      </c>
      <c r="F357" s="49">
        <f t="shared" si="99"/>
        <v>0.18611232124486701</v>
      </c>
      <c r="G357" s="49">
        <f t="shared" si="92"/>
        <v>0.18611232124486701</v>
      </c>
      <c r="H357" s="48">
        <v>204000</v>
      </c>
      <c r="I357" s="48">
        <v>207000</v>
      </c>
      <c r="J357" s="51">
        <v>128329070</v>
      </c>
      <c r="K357" s="48">
        <f t="shared" si="100"/>
        <v>1.5058771407602201</v>
      </c>
      <c r="L357" s="48">
        <f t="shared" si="93"/>
        <v>1.5058771407602201</v>
      </c>
      <c r="M357" s="49">
        <v>192000</v>
      </c>
      <c r="N357" s="49">
        <v>190800</v>
      </c>
      <c r="O357" s="49">
        <v>15956260</v>
      </c>
      <c r="P357" s="49">
        <f t="shared" si="101"/>
        <v>21.218260535034901</v>
      </c>
      <c r="Q357" s="49">
        <f t="shared" si="94"/>
        <v>21.218260535034901</v>
      </c>
      <c r="R357" s="48">
        <v>10530</v>
      </c>
      <c r="S357" s="48">
        <v>10495</v>
      </c>
      <c r="T357" s="48">
        <v>62100000</v>
      </c>
      <c r="U357" s="48">
        <f t="shared" si="95"/>
        <v>183.902664785984</v>
      </c>
      <c r="V357" s="48">
        <f t="shared" si="96"/>
        <v>183.902664785984</v>
      </c>
      <c r="W357" s="49">
        <v>0</v>
      </c>
      <c r="X357" s="49">
        <v>0</v>
      </c>
      <c r="Y357" s="49">
        <v>0</v>
      </c>
      <c r="Z357" s="49">
        <f t="shared" si="102"/>
        <v>0</v>
      </c>
      <c r="AA357" s="49">
        <v>0</v>
      </c>
      <c r="AB357" s="82">
        <f t="shared" si="107"/>
        <v>0</v>
      </c>
      <c r="AC357" s="82">
        <f t="shared" si="108"/>
        <v>256662526236600.03</v>
      </c>
      <c r="AD357" s="81">
        <f t="shared" si="109"/>
        <v>273065396242131.56</v>
      </c>
      <c r="AE357" s="80">
        <f t="shared" si="97"/>
        <v>1063.9083166757691</v>
      </c>
      <c r="AF357" s="52">
        <f t="shared" si="103"/>
        <v>-4.268725942081773E-3</v>
      </c>
      <c r="AG357" s="48">
        <f t="shared" si="98"/>
        <v>-1.905829596412556E-2</v>
      </c>
      <c r="AH357" s="48">
        <f t="shared" si="104"/>
        <v>1.4705882352941176E-2</v>
      </c>
      <c r="AI357" s="48">
        <f t="shared" si="105"/>
        <v>-6.2500000000000003E-3</v>
      </c>
      <c r="AJ357" s="48" t="e">
        <f t="shared" si="106"/>
        <v>#DIV/0!</v>
      </c>
    </row>
    <row r="358" spans="1:36" x14ac:dyDescent="0.3">
      <c r="A358" s="48">
        <v>20190614</v>
      </c>
      <c r="B358" s="48" t="s">
        <v>88</v>
      </c>
      <c r="C358" s="49">
        <v>43750</v>
      </c>
      <c r="D358" s="49">
        <v>44000</v>
      </c>
      <c r="E358" s="49">
        <v>5969782550</v>
      </c>
      <c r="F358" s="49">
        <f t="shared" si="99"/>
        <v>0.18611232124486701</v>
      </c>
      <c r="G358" s="49">
        <f t="shared" si="92"/>
        <v>0.18611232124486701</v>
      </c>
      <c r="H358" s="48">
        <v>207000</v>
      </c>
      <c r="I358" s="48">
        <v>201000</v>
      </c>
      <c r="J358" s="51">
        <v>128329070</v>
      </c>
      <c r="K358" s="48">
        <f t="shared" si="100"/>
        <v>1.5058771407602201</v>
      </c>
      <c r="L358" s="48">
        <f t="shared" si="93"/>
        <v>1.5058771407602201</v>
      </c>
      <c r="M358" s="49">
        <v>190800</v>
      </c>
      <c r="N358" s="49">
        <v>190700</v>
      </c>
      <c r="O358" s="49">
        <v>15956260</v>
      </c>
      <c r="P358" s="49">
        <f t="shared" si="101"/>
        <v>21.218260535034901</v>
      </c>
      <c r="Q358" s="49">
        <f t="shared" si="94"/>
        <v>21.218260535034901</v>
      </c>
      <c r="R358" s="48">
        <v>10495</v>
      </c>
      <c r="S358" s="48">
        <v>10435</v>
      </c>
      <c r="T358" s="48">
        <v>62100000</v>
      </c>
      <c r="U358" s="48">
        <f t="shared" si="95"/>
        <v>183.902664785984</v>
      </c>
      <c r="V358" s="48">
        <f t="shared" si="96"/>
        <v>183.902664785984</v>
      </c>
      <c r="W358" s="49">
        <v>0</v>
      </c>
      <c r="X358" s="49">
        <v>0</v>
      </c>
      <c r="Y358" s="49">
        <v>0</v>
      </c>
      <c r="Z358" s="49">
        <f t="shared" si="102"/>
        <v>0</v>
      </c>
      <c r="AA358" s="49">
        <v>0</v>
      </c>
      <c r="AB358" s="82">
        <f t="shared" si="107"/>
        <v>0</v>
      </c>
      <c r="AC358" s="82">
        <f t="shared" si="108"/>
        <v>256662526236600.03</v>
      </c>
      <c r="AD358" s="81">
        <f t="shared" si="109"/>
        <v>271464594148833.31</v>
      </c>
      <c r="AE358" s="80">
        <f t="shared" si="97"/>
        <v>1057.671324790859</v>
      </c>
      <c r="AF358" s="52">
        <f t="shared" si="103"/>
        <v>-5.8623396275328593E-3</v>
      </c>
      <c r="AG358" s="48">
        <f t="shared" si="98"/>
        <v>5.7142857142857143E-3</v>
      </c>
      <c r="AH358" s="48">
        <f t="shared" si="104"/>
        <v>-2.8985507246376812E-2</v>
      </c>
      <c r="AI358" s="48">
        <f t="shared" si="105"/>
        <v>-5.2410901467505244E-4</v>
      </c>
      <c r="AJ358" s="48" t="e">
        <f t="shared" si="106"/>
        <v>#DIV/0!</v>
      </c>
    </row>
    <row r="359" spans="1:36" x14ac:dyDescent="0.3">
      <c r="A359" s="48">
        <v>20190617</v>
      </c>
      <c r="B359" s="48" t="s">
        <v>88</v>
      </c>
      <c r="C359" s="49">
        <v>44000</v>
      </c>
      <c r="D359" s="49">
        <v>43900</v>
      </c>
      <c r="E359" s="49">
        <v>5969782550</v>
      </c>
      <c r="F359" s="49">
        <f t="shared" si="99"/>
        <v>0.18611232124486701</v>
      </c>
      <c r="G359" s="49">
        <f t="shared" si="92"/>
        <v>0.18611232124486701</v>
      </c>
      <c r="H359" s="48">
        <v>201000</v>
      </c>
      <c r="I359" s="48">
        <v>205000</v>
      </c>
      <c r="J359" s="51">
        <v>128329070</v>
      </c>
      <c r="K359" s="48">
        <f t="shared" si="100"/>
        <v>1.5058771407602201</v>
      </c>
      <c r="L359" s="48">
        <f t="shared" si="93"/>
        <v>1.5058771407602201</v>
      </c>
      <c r="M359" s="49">
        <v>190700</v>
      </c>
      <c r="N359" s="49">
        <v>190300</v>
      </c>
      <c r="O359" s="49">
        <v>15956260</v>
      </c>
      <c r="P359" s="49">
        <f t="shared" si="101"/>
        <v>21.218260535034901</v>
      </c>
      <c r="Q359" s="49">
        <f t="shared" si="94"/>
        <v>21.218260535034901</v>
      </c>
      <c r="R359" s="48">
        <v>10435</v>
      </c>
      <c r="S359" s="48">
        <v>10415</v>
      </c>
      <c r="T359" s="48">
        <v>62100000</v>
      </c>
      <c r="U359" s="48">
        <f t="shared" si="95"/>
        <v>183.902664785984</v>
      </c>
      <c r="V359" s="48">
        <f t="shared" si="96"/>
        <v>183.902664785984</v>
      </c>
      <c r="W359" s="49">
        <v>0</v>
      </c>
      <c r="X359" s="49">
        <v>0</v>
      </c>
      <c r="Y359" s="49">
        <v>0</v>
      </c>
      <c r="Z359" s="49">
        <f t="shared" si="102"/>
        <v>0</v>
      </c>
      <c r="AA359" s="49">
        <v>0</v>
      </c>
      <c r="AB359" s="82">
        <f t="shared" si="107"/>
        <v>0</v>
      </c>
      <c r="AC359" s="82">
        <f t="shared" si="108"/>
        <v>256662526236600.03</v>
      </c>
      <c r="AD359" s="81">
        <f t="shared" si="109"/>
        <v>271762647649692.56</v>
      </c>
      <c r="AE359" s="80">
        <f t="shared" si="97"/>
        <v>1058.8325909298217</v>
      </c>
      <c r="AF359" s="52">
        <f t="shared" si="103"/>
        <v>1.0979461310367843E-3</v>
      </c>
      <c r="AG359" s="48">
        <f t="shared" si="98"/>
        <v>-2.2727272727272726E-3</v>
      </c>
      <c r="AH359" s="48">
        <f t="shared" si="104"/>
        <v>1.9900497512437811E-2</v>
      </c>
      <c r="AI359" s="48">
        <f t="shared" si="105"/>
        <v>-2.097535395909806E-3</v>
      </c>
      <c r="AJ359" s="48" t="e">
        <f t="shared" si="106"/>
        <v>#DIV/0!</v>
      </c>
    </row>
    <row r="360" spans="1:36" x14ac:dyDescent="0.3">
      <c r="A360" s="48">
        <v>20190618</v>
      </c>
      <c r="B360" s="48" t="s">
        <v>88</v>
      </c>
      <c r="C360" s="49">
        <v>43900</v>
      </c>
      <c r="D360" s="49">
        <v>44350</v>
      </c>
      <c r="E360" s="49">
        <v>5969782550</v>
      </c>
      <c r="F360" s="49">
        <f t="shared" si="99"/>
        <v>0.18611232124486701</v>
      </c>
      <c r="G360" s="49">
        <f t="shared" si="92"/>
        <v>0.18611232124486701</v>
      </c>
      <c r="H360" s="48">
        <v>205000</v>
      </c>
      <c r="I360" s="48">
        <v>208000</v>
      </c>
      <c r="J360" s="51">
        <v>128329070</v>
      </c>
      <c r="K360" s="48">
        <f t="shared" si="100"/>
        <v>1.5058771407602201</v>
      </c>
      <c r="L360" s="48">
        <f t="shared" si="93"/>
        <v>1.5058771407602201</v>
      </c>
      <c r="M360" s="49">
        <v>190300</v>
      </c>
      <c r="N360" s="49">
        <v>185300</v>
      </c>
      <c r="O360" s="49">
        <v>15956260</v>
      </c>
      <c r="P360" s="49">
        <f t="shared" si="101"/>
        <v>21.218260535034901</v>
      </c>
      <c r="Q360" s="49">
        <f t="shared" si="94"/>
        <v>21.218260535034901</v>
      </c>
      <c r="R360" s="48">
        <v>10415</v>
      </c>
      <c r="S360" s="48">
        <v>10455</v>
      </c>
      <c r="T360" s="48">
        <v>62100000</v>
      </c>
      <c r="U360" s="48">
        <f t="shared" si="95"/>
        <v>183.902664785984</v>
      </c>
      <c r="V360" s="48">
        <f t="shared" si="96"/>
        <v>183.902664785984</v>
      </c>
      <c r="W360" s="49">
        <v>0</v>
      </c>
      <c r="X360" s="49">
        <v>0</v>
      </c>
      <c r="Y360" s="49">
        <v>0</v>
      </c>
      <c r="Z360" s="49">
        <f t="shared" si="102"/>
        <v>0</v>
      </c>
      <c r="AA360" s="49">
        <v>0</v>
      </c>
      <c r="AB360" s="82">
        <f t="shared" si="107"/>
        <v>0</v>
      </c>
      <c r="AC360" s="82">
        <f t="shared" si="108"/>
        <v>256662526236600.03</v>
      </c>
      <c r="AD360" s="81">
        <f t="shared" si="109"/>
        <v>271606357438289.62</v>
      </c>
      <c r="AE360" s="80">
        <f t="shared" si="97"/>
        <v>1058.2236582052258</v>
      </c>
      <c r="AF360" s="52">
        <f t="shared" si="103"/>
        <v>-5.750982070368175E-4</v>
      </c>
      <c r="AG360" s="48">
        <f t="shared" si="98"/>
        <v>1.0250569476082005E-2</v>
      </c>
      <c r="AH360" s="48">
        <f t="shared" si="104"/>
        <v>1.4634146341463415E-2</v>
      </c>
      <c r="AI360" s="48">
        <f t="shared" si="105"/>
        <v>-2.6274303730951128E-2</v>
      </c>
      <c r="AJ360" s="48" t="e">
        <f t="shared" si="106"/>
        <v>#DIV/0!</v>
      </c>
    </row>
    <row r="361" spans="1:36" x14ac:dyDescent="0.3">
      <c r="A361" s="48">
        <v>20190619</v>
      </c>
      <c r="B361" s="48" t="s">
        <v>88</v>
      </c>
      <c r="C361" s="49">
        <v>44350</v>
      </c>
      <c r="D361" s="49">
        <v>45350</v>
      </c>
      <c r="E361" s="49">
        <v>5969782550</v>
      </c>
      <c r="F361" s="49">
        <f t="shared" si="99"/>
        <v>0.18611232124486701</v>
      </c>
      <c r="G361" s="49">
        <f t="shared" si="92"/>
        <v>0.18611232124486701</v>
      </c>
      <c r="H361" s="48">
        <v>208000</v>
      </c>
      <c r="I361" s="48">
        <v>211500</v>
      </c>
      <c r="J361" s="51">
        <v>128329070</v>
      </c>
      <c r="K361" s="48">
        <f t="shared" si="100"/>
        <v>1.5058771407602201</v>
      </c>
      <c r="L361" s="48">
        <f t="shared" si="93"/>
        <v>1.5058771407602201</v>
      </c>
      <c r="M361" s="49">
        <v>185300</v>
      </c>
      <c r="N361" s="49">
        <v>191500</v>
      </c>
      <c r="O361" s="49">
        <v>15956260</v>
      </c>
      <c r="P361" s="49">
        <f t="shared" si="101"/>
        <v>21.218260535034901</v>
      </c>
      <c r="Q361" s="49">
        <f t="shared" si="94"/>
        <v>21.218260535034901</v>
      </c>
      <c r="R361" s="48">
        <v>10455</v>
      </c>
      <c r="S361" s="48">
        <v>10620</v>
      </c>
      <c r="T361" s="48">
        <v>62100000</v>
      </c>
      <c r="U361" s="48">
        <f t="shared" si="95"/>
        <v>183.902664785984</v>
      </c>
      <c r="V361" s="48">
        <f t="shared" si="96"/>
        <v>183.902664785984</v>
      </c>
      <c r="W361" s="49">
        <v>0</v>
      </c>
      <c r="X361" s="49">
        <v>0</v>
      </c>
      <c r="Y361" s="49">
        <v>0</v>
      </c>
      <c r="Z361" s="49">
        <f t="shared" si="102"/>
        <v>0</v>
      </c>
      <c r="AA361" s="49">
        <v>0</v>
      </c>
      <c r="AB361" s="82">
        <f t="shared" si="107"/>
        <v>0</v>
      </c>
      <c r="AC361" s="82">
        <f t="shared" si="108"/>
        <v>256662526236600.03</v>
      </c>
      <c r="AD361" s="81">
        <f t="shared" si="109"/>
        <v>277377230833692.37</v>
      </c>
      <c r="AE361" s="80">
        <f t="shared" si="97"/>
        <v>1080.7079432312485</v>
      </c>
      <c r="AF361" s="52">
        <f t="shared" si="103"/>
        <v>2.1247195573151908E-2</v>
      </c>
      <c r="AG361" s="48">
        <f t="shared" si="98"/>
        <v>2.2547914317925591E-2</v>
      </c>
      <c r="AH361" s="48">
        <f t="shared" si="104"/>
        <v>1.6826923076923076E-2</v>
      </c>
      <c r="AI361" s="48">
        <f t="shared" si="105"/>
        <v>3.3459255261737722E-2</v>
      </c>
      <c r="AJ361" s="48" t="e">
        <f t="shared" si="106"/>
        <v>#DIV/0!</v>
      </c>
    </row>
    <row r="362" spans="1:36" x14ac:dyDescent="0.3">
      <c r="A362" s="48">
        <v>20190620</v>
      </c>
      <c r="B362" s="48" t="s">
        <v>88</v>
      </c>
      <c r="C362" s="49">
        <v>45350</v>
      </c>
      <c r="D362" s="49">
        <v>45500</v>
      </c>
      <c r="E362" s="49">
        <v>5969782550</v>
      </c>
      <c r="F362" s="49">
        <f t="shared" si="99"/>
        <v>0.18611232124486701</v>
      </c>
      <c r="G362" s="49">
        <f t="shared" si="92"/>
        <v>0.18611232124486701</v>
      </c>
      <c r="H362" s="48">
        <v>211500</v>
      </c>
      <c r="I362" s="48">
        <v>214000</v>
      </c>
      <c r="J362" s="51">
        <v>128329070</v>
      </c>
      <c r="K362" s="48">
        <f t="shared" si="100"/>
        <v>1.5058771407602201</v>
      </c>
      <c r="L362" s="48">
        <f t="shared" si="93"/>
        <v>1.5058771407602201</v>
      </c>
      <c r="M362" s="49">
        <v>191500</v>
      </c>
      <c r="N362" s="49">
        <v>195300</v>
      </c>
      <c r="O362" s="49">
        <v>15956260</v>
      </c>
      <c r="P362" s="49">
        <f t="shared" si="101"/>
        <v>21.218260535034901</v>
      </c>
      <c r="Q362" s="49">
        <f t="shared" si="94"/>
        <v>21.218260535034901</v>
      </c>
      <c r="R362" s="48">
        <v>10620</v>
      </c>
      <c r="S362" s="48">
        <v>10640</v>
      </c>
      <c r="T362" s="48">
        <v>62100000</v>
      </c>
      <c r="U362" s="48">
        <f t="shared" si="95"/>
        <v>183.902664785984</v>
      </c>
      <c r="V362" s="48">
        <f t="shared" si="96"/>
        <v>183.902664785984</v>
      </c>
      <c r="W362" s="49">
        <v>0</v>
      </c>
      <c r="X362" s="49">
        <v>0</v>
      </c>
      <c r="Y362" s="49">
        <v>0</v>
      </c>
      <c r="Z362" s="49">
        <f t="shared" si="102"/>
        <v>0</v>
      </c>
      <c r="AA362" s="49">
        <v>0</v>
      </c>
      <c r="AB362" s="82">
        <f t="shared" si="107"/>
        <v>0</v>
      </c>
      <c r="AC362" s="82">
        <f t="shared" si="108"/>
        <v>256662526236600.03</v>
      </c>
      <c r="AD362" s="81">
        <f t="shared" si="109"/>
        <v>279541958500042.81</v>
      </c>
      <c r="AE362" s="80">
        <f t="shared" si="97"/>
        <v>1089.1420831818346</v>
      </c>
      <c r="AF362" s="52">
        <f t="shared" si="103"/>
        <v>7.8042731187563412E-3</v>
      </c>
      <c r="AG362" s="48">
        <f t="shared" si="98"/>
        <v>3.3076074972436605E-3</v>
      </c>
      <c r="AH362" s="48">
        <f t="shared" si="104"/>
        <v>1.1820330969267139E-2</v>
      </c>
      <c r="AI362" s="48">
        <f t="shared" si="105"/>
        <v>1.9843342036553524E-2</v>
      </c>
      <c r="AJ362" s="48" t="e">
        <f t="shared" si="106"/>
        <v>#DIV/0!</v>
      </c>
    </row>
    <row r="363" spans="1:36" x14ac:dyDescent="0.3">
      <c r="A363" s="48">
        <v>20190621</v>
      </c>
      <c r="B363" s="48" t="s">
        <v>88</v>
      </c>
      <c r="C363" s="49">
        <v>45500</v>
      </c>
      <c r="D363" s="49">
        <v>45700</v>
      </c>
      <c r="E363" s="49">
        <v>5969782550</v>
      </c>
      <c r="F363" s="49">
        <f t="shared" si="99"/>
        <v>0.18611232124486701</v>
      </c>
      <c r="G363" s="49">
        <f t="shared" si="92"/>
        <v>0.18611232124486701</v>
      </c>
      <c r="H363" s="48">
        <v>214000</v>
      </c>
      <c r="I363" s="48">
        <v>212500</v>
      </c>
      <c r="J363" s="51">
        <v>128329070</v>
      </c>
      <c r="K363" s="48">
        <f t="shared" si="100"/>
        <v>1.5058771407602201</v>
      </c>
      <c r="L363" s="48">
        <f t="shared" si="93"/>
        <v>1.5058771407602201</v>
      </c>
      <c r="M363" s="49">
        <v>195300</v>
      </c>
      <c r="N363" s="49">
        <v>191800</v>
      </c>
      <c r="O363" s="49">
        <v>15956260</v>
      </c>
      <c r="P363" s="49">
        <f t="shared" si="101"/>
        <v>21.218260535034901</v>
      </c>
      <c r="Q363" s="49">
        <f t="shared" si="94"/>
        <v>21.218260535034901</v>
      </c>
      <c r="R363" s="48">
        <v>10640</v>
      </c>
      <c r="S363" s="48">
        <v>10650</v>
      </c>
      <c r="T363" s="48">
        <v>62100000</v>
      </c>
      <c r="U363" s="48">
        <f t="shared" si="95"/>
        <v>183.902664785984</v>
      </c>
      <c r="V363" s="48">
        <f t="shared" si="96"/>
        <v>183.902664785984</v>
      </c>
      <c r="W363" s="49">
        <v>0</v>
      </c>
      <c r="X363" s="49">
        <v>0</v>
      </c>
      <c r="Y363" s="49">
        <v>0</v>
      </c>
      <c r="Z363" s="49">
        <f t="shared" si="102"/>
        <v>0</v>
      </c>
      <c r="AA363" s="49">
        <v>0</v>
      </c>
      <c r="AB363" s="82">
        <f t="shared" si="107"/>
        <v>0</v>
      </c>
      <c r="AC363" s="82">
        <f t="shared" si="108"/>
        <v>256662526236600.03</v>
      </c>
      <c r="AD363" s="81">
        <f t="shared" si="109"/>
        <v>278403526066447.75</v>
      </c>
      <c r="AE363" s="80">
        <f t="shared" si="97"/>
        <v>1084.7065605900184</v>
      </c>
      <c r="AF363" s="52">
        <f t="shared" si="103"/>
        <v>-4.0724921571831619E-3</v>
      </c>
      <c r="AG363" s="48">
        <f t="shared" si="98"/>
        <v>4.3956043956043956E-3</v>
      </c>
      <c r="AH363" s="48">
        <f t="shared" si="104"/>
        <v>-7.0093457943925233E-3</v>
      </c>
      <c r="AI363" s="48">
        <f t="shared" si="105"/>
        <v>-1.7921146953405017E-2</v>
      </c>
      <c r="AJ363" s="48" t="e">
        <f t="shared" si="106"/>
        <v>#DIV/0!</v>
      </c>
    </row>
    <row r="364" spans="1:36" x14ac:dyDescent="0.3">
      <c r="A364" s="48">
        <v>20190624</v>
      </c>
      <c r="B364" s="48" t="s">
        <v>88</v>
      </c>
      <c r="C364" s="49">
        <v>45700</v>
      </c>
      <c r="D364" s="49">
        <v>45500</v>
      </c>
      <c r="E364" s="49">
        <v>5969782550</v>
      </c>
      <c r="F364" s="49">
        <f t="shared" si="99"/>
        <v>0.18611232124486701</v>
      </c>
      <c r="G364" s="49">
        <f t="shared" si="92"/>
        <v>0.18611232124486701</v>
      </c>
      <c r="H364" s="48">
        <v>212500</v>
      </c>
      <c r="I364" s="48">
        <v>208500</v>
      </c>
      <c r="J364" s="51">
        <v>128329070</v>
      </c>
      <c r="K364" s="48">
        <f t="shared" si="100"/>
        <v>1.5058771407602201</v>
      </c>
      <c r="L364" s="48">
        <f t="shared" si="93"/>
        <v>1.5058771407602201</v>
      </c>
      <c r="M364" s="49">
        <v>191800</v>
      </c>
      <c r="N364" s="49">
        <v>193900</v>
      </c>
      <c r="O364" s="49">
        <v>15956260</v>
      </c>
      <c r="P364" s="49">
        <f t="shared" si="101"/>
        <v>21.218260535034901</v>
      </c>
      <c r="Q364" s="49">
        <f t="shared" si="94"/>
        <v>21.218260535034901</v>
      </c>
      <c r="R364" s="48">
        <v>10650</v>
      </c>
      <c r="S364" s="48">
        <v>10650</v>
      </c>
      <c r="T364" s="48">
        <v>62100000</v>
      </c>
      <c r="U364" s="48">
        <f t="shared" si="95"/>
        <v>183.902664785984</v>
      </c>
      <c r="V364" s="48">
        <f t="shared" si="96"/>
        <v>183.902664785984</v>
      </c>
      <c r="W364" s="49">
        <v>0</v>
      </c>
      <c r="X364" s="49">
        <v>0</v>
      </c>
      <c r="Y364" s="49">
        <v>0</v>
      </c>
      <c r="Z364" s="49">
        <f t="shared" si="102"/>
        <v>0</v>
      </c>
      <c r="AA364" s="49">
        <v>0</v>
      </c>
      <c r="AB364" s="82">
        <f t="shared" si="107"/>
        <v>0</v>
      </c>
      <c r="AC364" s="82">
        <f t="shared" si="108"/>
        <v>256662526236600.03</v>
      </c>
      <c r="AD364" s="81">
        <f t="shared" si="109"/>
        <v>278119309368748.12</v>
      </c>
      <c r="AE364" s="80">
        <f t="shared" si="97"/>
        <v>1083.5992049434146</v>
      </c>
      <c r="AF364" s="52">
        <f t="shared" si="103"/>
        <v>-1.0208803807745259E-3</v>
      </c>
      <c r="AG364" s="48">
        <f t="shared" si="98"/>
        <v>-4.3763676148796497E-3</v>
      </c>
      <c r="AH364" s="48">
        <f t="shared" si="104"/>
        <v>-1.8823529411764704E-2</v>
      </c>
      <c r="AI364" s="48">
        <f t="shared" si="105"/>
        <v>1.0948905109489052E-2</v>
      </c>
      <c r="AJ364" s="48" t="e">
        <f t="shared" si="106"/>
        <v>#DIV/0!</v>
      </c>
    </row>
    <row r="365" spans="1:36" x14ac:dyDescent="0.3">
      <c r="A365" s="48">
        <v>20190625</v>
      </c>
      <c r="B365" s="48" t="s">
        <v>88</v>
      </c>
      <c r="C365" s="49">
        <v>45500</v>
      </c>
      <c r="D365" s="49">
        <v>45600</v>
      </c>
      <c r="E365" s="49">
        <v>5969782550</v>
      </c>
      <c r="F365" s="49">
        <f t="shared" si="99"/>
        <v>0.18611232124486701</v>
      </c>
      <c r="G365" s="49">
        <f t="shared" si="92"/>
        <v>0.18611232124486701</v>
      </c>
      <c r="H365" s="48">
        <v>208500</v>
      </c>
      <c r="I365" s="48">
        <v>208000</v>
      </c>
      <c r="J365" s="51">
        <v>128329070</v>
      </c>
      <c r="K365" s="48">
        <f t="shared" si="100"/>
        <v>1.5058771407602201</v>
      </c>
      <c r="L365" s="48">
        <f t="shared" si="93"/>
        <v>1.5058771407602201</v>
      </c>
      <c r="M365" s="49">
        <v>193900</v>
      </c>
      <c r="N365" s="49">
        <v>195000</v>
      </c>
      <c r="O365" s="49">
        <v>15956260</v>
      </c>
      <c r="P365" s="49">
        <f t="shared" si="101"/>
        <v>21.218260535034901</v>
      </c>
      <c r="Q365" s="49">
        <f t="shared" si="94"/>
        <v>21.218260535034901</v>
      </c>
      <c r="R365" s="48">
        <v>10650</v>
      </c>
      <c r="S365" s="48">
        <v>10650</v>
      </c>
      <c r="T365" s="48">
        <v>62100000</v>
      </c>
      <c r="U365" s="48">
        <f t="shared" si="95"/>
        <v>183.902664785984</v>
      </c>
      <c r="V365" s="48">
        <f t="shared" si="96"/>
        <v>183.902664785984</v>
      </c>
      <c r="W365" s="49">
        <v>0</v>
      </c>
      <c r="X365" s="49">
        <v>0</v>
      </c>
      <c r="Y365" s="49">
        <v>0</v>
      </c>
      <c r="Z365" s="49">
        <f t="shared" si="102"/>
        <v>0</v>
      </c>
      <c r="AA365" s="49">
        <v>0</v>
      </c>
      <c r="AB365" s="82">
        <f t="shared" si="107"/>
        <v>0</v>
      </c>
      <c r="AC365" s="82">
        <f t="shared" si="108"/>
        <v>256662526236600.03</v>
      </c>
      <c r="AD365" s="81">
        <f t="shared" si="109"/>
        <v>278506210961044.12</v>
      </c>
      <c r="AE365" s="80">
        <f t="shared" si="97"/>
        <v>1085.1066380617942</v>
      </c>
      <c r="AF365" s="52">
        <f t="shared" si="103"/>
        <v>1.391135312302405E-3</v>
      </c>
      <c r="AG365" s="48">
        <f t="shared" si="98"/>
        <v>2.1978021978021978E-3</v>
      </c>
      <c r="AH365" s="48">
        <f t="shared" si="104"/>
        <v>-2.3980815347721821E-3</v>
      </c>
      <c r="AI365" s="48">
        <f t="shared" si="105"/>
        <v>5.6730273336771534E-3</v>
      </c>
      <c r="AJ365" s="48" t="e">
        <f t="shared" si="106"/>
        <v>#DIV/0!</v>
      </c>
    </row>
    <row r="366" spans="1:36" x14ac:dyDescent="0.3">
      <c r="A366" s="48">
        <v>20190626</v>
      </c>
      <c r="B366" s="48" t="s">
        <v>88</v>
      </c>
      <c r="C366" s="49">
        <v>45600</v>
      </c>
      <c r="D366" s="49">
        <v>45700</v>
      </c>
      <c r="E366" s="49">
        <v>5969782550</v>
      </c>
      <c r="F366" s="49">
        <f t="shared" si="99"/>
        <v>0.18611232124486701</v>
      </c>
      <c r="G366" s="49">
        <f t="shared" si="92"/>
        <v>0.18611232124486701</v>
      </c>
      <c r="H366" s="48">
        <v>208000</v>
      </c>
      <c r="I366" s="48">
        <v>210500</v>
      </c>
      <c r="J366" s="51">
        <v>128329070</v>
      </c>
      <c r="K366" s="48">
        <f t="shared" si="100"/>
        <v>1.5058771407602201</v>
      </c>
      <c r="L366" s="48">
        <f t="shared" si="93"/>
        <v>1.5058771407602201</v>
      </c>
      <c r="M366" s="49">
        <v>195000</v>
      </c>
      <c r="N366" s="49">
        <v>203400</v>
      </c>
      <c r="O366" s="49">
        <v>15956260</v>
      </c>
      <c r="P366" s="49">
        <f t="shared" si="101"/>
        <v>21.218260535034901</v>
      </c>
      <c r="Q366" s="49">
        <f t="shared" si="94"/>
        <v>21.218260535034901</v>
      </c>
      <c r="R366" s="48">
        <v>10650</v>
      </c>
      <c r="S366" s="48">
        <v>10655</v>
      </c>
      <c r="T366" s="48">
        <v>62100000</v>
      </c>
      <c r="U366" s="48">
        <f t="shared" si="95"/>
        <v>183.902664785984</v>
      </c>
      <c r="V366" s="48">
        <f t="shared" si="96"/>
        <v>183.902664785984</v>
      </c>
      <c r="W366" s="49">
        <v>0</v>
      </c>
      <c r="X366" s="49">
        <v>0</v>
      </c>
      <c r="Y366" s="49">
        <v>0</v>
      </c>
      <c r="Z366" s="49">
        <f t="shared" si="102"/>
        <v>0</v>
      </c>
      <c r="AA366" s="49">
        <v>0</v>
      </c>
      <c r="AB366" s="82">
        <f t="shared" si="107"/>
        <v>0</v>
      </c>
      <c r="AC366" s="82">
        <f t="shared" si="108"/>
        <v>256662526236600.03</v>
      </c>
      <c r="AD366" s="81">
        <f t="shared" si="109"/>
        <v>282001475567246.94</v>
      </c>
      <c r="AE366" s="80">
        <f t="shared" si="97"/>
        <v>1098.7247717934818</v>
      </c>
      <c r="AF366" s="52">
        <f t="shared" si="103"/>
        <v>1.2550041861334555E-2</v>
      </c>
      <c r="AG366" s="48">
        <f t="shared" si="98"/>
        <v>2.1929824561403508E-3</v>
      </c>
      <c r="AH366" s="48">
        <f t="shared" si="104"/>
        <v>1.201923076923077E-2</v>
      </c>
      <c r="AI366" s="48">
        <f t="shared" si="105"/>
        <v>4.3076923076923075E-2</v>
      </c>
      <c r="AJ366" s="48" t="e">
        <f t="shared" si="106"/>
        <v>#DIV/0!</v>
      </c>
    </row>
    <row r="367" spans="1:36" x14ac:dyDescent="0.3">
      <c r="A367" s="48">
        <v>20190627</v>
      </c>
      <c r="B367" s="48" t="s">
        <v>88</v>
      </c>
      <c r="C367" s="49">
        <v>45700</v>
      </c>
      <c r="D367" s="49">
        <v>46500</v>
      </c>
      <c r="E367" s="49">
        <v>5969782550</v>
      </c>
      <c r="F367" s="49">
        <f t="shared" si="99"/>
        <v>0.18611232124486701</v>
      </c>
      <c r="G367" s="49">
        <f t="shared" si="92"/>
        <v>0.18611232124486701</v>
      </c>
      <c r="H367" s="48">
        <v>210500</v>
      </c>
      <c r="I367" s="48">
        <v>204000</v>
      </c>
      <c r="J367" s="51">
        <v>128329070</v>
      </c>
      <c r="K367" s="48">
        <f t="shared" si="100"/>
        <v>1.5058771407602201</v>
      </c>
      <c r="L367" s="48">
        <f t="shared" si="93"/>
        <v>1.5058771407602201</v>
      </c>
      <c r="M367" s="49">
        <v>203400</v>
      </c>
      <c r="N367" s="49">
        <v>193200</v>
      </c>
      <c r="O367" s="49">
        <v>15956260</v>
      </c>
      <c r="P367" s="49">
        <f t="shared" si="101"/>
        <v>21.218260535034901</v>
      </c>
      <c r="Q367" s="49">
        <f t="shared" si="94"/>
        <v>21.218260535034901</v>
      </c>
      <c r="R367" s="48">
        <v>10655</v>
      </c>
      <c r="S367" s="48">
        <v>10775</v>
      </c>
      <c r="T367" s="48">
        <v>62100000</v>
      </c>
      <c r="U367" s="48">
        <f t="shared" si="95"/>
        <v>183.902664785984</v>
      </c>
      <c r="V367" s="48">
        <f t="shared" si="96"/>
        <v>183.902664785984</v>
      </c>
      <c r="W367" s="49">
        <v>0</v>
      </c>
      <c r="X367" s="49">
        <v>0</v>
      </c>
      <c r="Y367" s="49">
        <v>0</v>
      </c>
      <c r="Z367" s="49">
        <f t="shared" si="102"/>
        <v>0</v>
      </c>
      <c r="AA367" s="49">
        <v>0</v>
      </c>
      <c r="AB367" s="82">
        <f t="shared" si="107"/>
        <v>0</v>
      </c>
      <c r="AC367" s="82">
        <f t="shared" si="108"/>
        <v>256662526236600.03</v>
      </c>
      <c r="AD367" s="81">
        <f t="shared" si="109"/>
        <v>279551293876029.5</v>
      </c>
      <c r="AE367" s="80">
        <f t="shared" si="97"/>
        <v>1089.1784553633272</v>
      </c>
      <c r="AF367" s="52">
        <f t="shared" si="103"/>
        <v>-8.6885420946428704E-3</v>
      </c>
      <c r="AG367" s="48">
        <f t="shared" si="98"/>
        <v>1.7505470459518599E-2</v>
      </c>
      <c r="AH367" s="48">
        <f t="shared" si="104"/>
        <v>-3.0878859857482184E-2</v>
      </c>
      <c r="AI367" s="48">
        <f t="shared" si="105"/>
        <v>-5.0147492625368731E-2</v>
      </c>
      <c r="AJ367" s="48" t="e">
        <f t="shared" si="106"/>
        <v>#DIV/0!</v>
      </c>
    </row>
    <row r="368" spans="1:36" s="73" customFormat="1" x14ac:dyDescent="0.3">
      <c r="A368" s="48">
        <v>20190628</v>
      </c>
      <c r="B368" s="48" t="s">
        <v>88</v>
      </c>
      <c r="C368" s="49">
        <v>46500</v>
      </c>
      <c r="D368" s="49">
        <v>47000</v>
      </c>
      <c r="E368" s="49">
        <v>5969782550</v>
      </c>
      <c r="F368" s="49">
        <f t="shared" si="99"/>
        <v>0.18611232124486701</v>
      </c>
      <c r="G368" s="49">
        <f t="shared" si="92"/>
        <v>0.20469827469118801</v>
      </c>
      <c r="H368" s="48">
        <v>204000</v>
      </c>
      <c r="I368" s="48">
        <v>205500</v>
      </c>
      <c r="J368" s="51">
        <v>128329070</v>
      </c>
      <c r="K368" s="48">
        <f t="shared" si="100"/>
        <v>1.5058771407602201</v>
      </c>
      <c r="L368" s="48">
        <f t="shared" si="93"/>
        <v>1.6562603192990799</v>
      </c>
      <c r="M368" s="49">
        <v>189600</v>
      </c>
      <c r="N368" s="49">
        <v>168600</v>
      </c>
      <c r="O368" s="49">
        <v>15956260</v>
      </c>
      <c r="P368" s="49">
        <f t="shared" si="101"/>
        <v>21.218260535034901</v>
      </c>
      <c r="Q368" s="49">
        <f t="shared" si="94"/>
        <v>23.780316101633002</v>
      </c>
      <c r="R368" s="48">
        <v>10775</v>
      </c>
      <c r="S368" s="48">
        <v>10805</v>
      </c>
      <c r="T368" s="48">
        <v>62100000</v>
      </c>
      <c r="U368" s="48">
        <f t="shared" si="95"/>
        <v>183.902664785984</v>
      </c>
      <c r="V368" s="48">
        <f t="shared" si="96"/>
        <v>202.267952712674</v>
      </c>
      <c r="W368" s="49">
        <v>0</v>
      </c>
      <c r="X368" s="49">
        <v>0</v>
      </c>
      <c r="Y368" s="49">
        <v>0</v>
      </c>
      <c r="Z368" s="49">
        <f t="shared" si="102"/>
        <v>0</v>
      </c>
      <c r="AA368" s="49">
        <v>0</v>
      </c>
      <c r="AB368" s="82">
        <f t="shared" si="107"/>
        <v>1</v>
      </c>
      <c r="AC368" s="82">
        <f t="shared" si="108"/>
        <v>282293917711065</v>
      </c>
      <c r="AD368" s="81">
        <f t="shared" si="109"/>
        <v>300806757022120.62</v>
      </c>
      <c r="AE368" s="80">
        <f t="shared" si="97"/>
        <v>1065.5800148340566</v>
      </c>
      <c r="AF368" s="52">
        <f t="shared" si="103"/>
        <v>-2.1666275542880344E-2</v>
      </c>
      <c r="AG368" s="48">
        <f t="shared" si="98"/>
        <v>1.0752688172043012E-2</v>
      </c>
      <c r="AH368" s="48">
        <f t="shared" si="104"/>
        <v>7.3529411764705881E-3</v>
      </c>
      <c r="AI368" s="48">
        <f t="shared" si="105"/>
        <v>-0.11075949367088607</v>
      </c>
      <c r="AJ368" s="48" t="e">
        <f t="shared" si="106"/>
        <v>#DIV/0!</v>
      </c>
    </row>
    <row r="369" spans="1:36" s="70" customFormat="1" x14ac:dyDescent="0.3">
      <c r="A369" s="71">
        <v>20190701</v>
      </c>
      <c r="B369" s="71" t="s">
        <v>89</v>
      </c>
      <c r="C369" s="53">
        <v>47000</v>
      </c>
      <c r="D369" s="53">
        <v>46600</v>
      </c>
      <c r="E369" s="53">
        <v>5969782550</v>
      </c>
      <c r="F369" s="53">
        <f t="shared" si="99"/>
        <v>0.20469827469118801</v>
      </c>
      <c r="G369" s="49">
        <f t="shared" si="92"/>
        <v>0.165928896677941</v>
      </c>
      <c r="H369" s="71">
        <v>205500</v>
      </c>
      <c r="I369" s="71">
        <v>208000</v>
      </c>
      <c r="J369" s="75">
        <v>128329070</v>
      </c>
      <c r="K369" s="71">
        <f t="shared" si="100"/>
        <v>1.6562603192990799</v>
      </c>
      <c r="L369" s="48">
        <f t="shared" si="93"/>
        <v>1.76539349657307</v>
      </c>
      <c r="M369" s="53">
        <v>168600</v>
      </c>
      <c r="N369" s="53">
        <v>181000</v>
      </c>
      <c r="O369" s="53">
        <v>15956260</v>
      </c>
      <c r="P369" s="53">
        <f t="shared" si="101"/>
        <v>23.780316101633002</v>
      </c>
      <c r="Q369" s="49">
        <f t="shared" si="94"/>
        <v>34.611443842321897</v>
      </c>
      <c r="R369" s="71">
        <v>10805</v>
      </c>
      <c r="S369" s="71">
        <v>10805</v>
      </c>
      <c r="T369" s="71">
        <v>67900000</v>
      </c>
      <c r="U369" s="71">
        <f t="shared" si="95"/>
        <v>202.267952712674</v>
      </c>
      <c r="V369" s="48">
        <f t="shared" si="96"/>
        <v>169.22034740693701</v>
      </c>
      <c r="W369" s="53">
        <v>0</v>
      </c>
      <c r="X369" s="53">
        <v>0</v>
      </c>
      <c r="Y369" s="53">
        <v>0</v>
      </c>
      <c r="Z369" s="53">
        <f t="shared" si="102"/>
        <v>0</v>
      </c>
      <c r="AA369" s="53">
        <v>0</v>
      </c>
      <c r="AB369" s="83">
        <f t="shared" si="107"/>
        <v>1</v>
      </c>
      <c r="AC369" s="83">
        <f t="shared" si="108"/>
        <v>291273564021688.81</v>
      </c>
      <c r="AD369" s="83">
        <f t="shared" si="109"/>
        <v>317393581204077.69</v>
      </c>
      <c r="AE369" s="84">
        <f t="shared" si="97"/>
        <v>1089.6752071205608</v>
      </c>
      <c r="AF369" s="85">
        <f t="shared" si="103"/>
        <v>2.2612278713069336E-2</v>
      </c>
      <c r="AG369" s="71">
        <f t="shared" si="98"/>
        <v>-8.5106382978723406E-3</v>
      </c>
      <c r="AH369" s="71">
        <f t="shared" si="104"/>
        <v>1.2165450121654502E-2</v>
      </c>
      <c r="AI369" s="71">
        <f t="shared" si="105"/>
        <v>7.354685646500593E-2</v>
      </c>
      <c r="AJ369" s="71" t="e">
        <f t="shared" si="106"/>
        <v>#DIV/0!</v>
      </c>
    </row>
    <row r="370" spans="1:36" x14ac:dyDescent="0.3">
      <c r="A370" s="48">
        <v>20190702</v>
      </c>
      <c r="B370" s="48" t="s">
        <v>88</v>
      </c>
      <c r="C370" s="49">
        <v>46600</v>
      </c>
      <c r="D370" s="49">
        <v>46250</v>
      </c>
      <c r="E370" s="49">
        <v>5969782550</v>
      </c>
      <c r="F370" s="49">
        <f t="shared" si="99"/>
        <v>0.165928896677941</v>
      </c>
      <c r="G370" s="49">
        <f t="shared" si="92"/>
        <v>0.165928896677941</v>
      </c>
      <c r="H370" s="48">
        <v>208000</v>
      </c>
      <c r="I370" s="48">
        <v>205000</v>
      </c>
      <c r="J370" s="51">
        <v>128329070</v>
      </c>
      <c r="K370" s="48">
        <f t="shared" si="100"/>
        <v>1.76539349657307</v>
      </c>
      <c r="L370" s="48">
        <f t="shared" si="93"/>
        <v>1.76539349657307</v>
      </c>
      <c r="M370" s="49">
        <v>181000</v>
      </c>
      <c r="N370" s="49">
        <v>178300</v>
      </c>
      <c r="O370" s="49">
        <v>15956260</v>
      </c>
      <c r="P370" s="49">
        <f t="shared" si="101"/>
        <v>34.611443842321897</v>
      </c>
      <c r="Q370" s="49">
        <f t="shared" si="94"/>
        <v>34.611443842321897</v>
      </c>
      <c r="R370" s="48">
        <v>10805</v>
      </c>
      <c r="S370" s="48">
        <v>10740</v>
      </c>
      <c r="T370" s="48">
        <v>67900000</v>
      </c>
      <c r="U370" s="48">
        <f t="shared" si="95"/>
        <v>169.22034740693701</v>
      </c>
      <c r="V370" s="48">
        <f t="shared" si="96"/>
        <v>169.22034740693701</v>
      </c>
      <c r="W370" s="49">
        <v>0</v>
      </c>
      <c r="X370" s="49">
        <v>0</v>
      </c>
      <c r="Y370" s="49">
        <v>0</v>
      </c>
      <c r="Z370" s="49">
        <f t="shared" si="102"/>
        <v>0</v>
      </c>
      <c r="AA370" s="49">
        <v>0</v>
      </c>
      <c r="AB370" s="82">
        <f t="shared" si="107"/>
        <v>0</v>
      </c>
      <c r="AC370" s="82">
        <f t="shared" si="108"/>
        <v>291273564021688.81</v>
      </c>
      <c r="AD370" s="81">
        <f t="shared" si="109"/>
        <v>314129250651130.87</v>
      </c>
      <c r="AE370" s="80">
        <f t="shared" si="97"/>
        <v>1078.4681119490135</v>
      </c>
      <c r="AF370" s="52">
        <f t="shared" si="103"/>
        <v>-1.0284803304979055E-2</v>
      </c>
      <c r="AG370" s="48">
        <f t="shared" si="98"/>
        <v>-7.5107296137339056E-3</v>
      </c>
      <c r="AH370" s="48">
        <f t="shared" si="104"/>
        <v>-1.4423076923076924E-2</v>
      </c>
      <c r="AI370" s="48">
        <f t="shared" si="105"/>
        <v>-1.4917127071823204E-2</v>
      </c>
      <c r="AJ370" s="48" t="e">
        <f t="shared" si="106"/>
        <v>#DIV/0!</v>
      </c>
    </row>
    <row r="371" spans="1:36" x14ac:dyDescent="0.3">
      <c r="A371" s="48">
        <v>20190703</v>
      </c>
      <c r="B371" s="48" t="s">
        <v>88</v>
      </c>
      <c r="C371" s="49">
        <v>46250</v>
      </c>
      <c r="D371" s="49">
        <v>45400</v>
      </c>
      <c r="E371" s="49">
        <v>5969782550</v>
      </c>
      <c r="F371" s="49">
        <f t="shared" si="99"/>
        <v>0.165928896677941</v>
      </c>
      <c r="G371" s="49">
        <f t="shared" si="92"/>
        <v>0.165928896677941</v>
      </c>
      <c r="H371" s="48">
        <v>205000</v>
      </c>
      <c r="I371" s="48">
        <v>206000</v>
      </c>
      <c r="J371" s="51">
        <v>128329070</v>
      </c>
      <c r="K371" s="48">
        <f t="shared" si="100"/>
        <v>1.76539349657307</v>
      </c>
      <c r="L371" s="48">
        <f t="shared" si="93"/>
        <v>1.76539349657307</v>
      </c>
      <c r="M371" s="49">
        <v>178300</v>
      </c>
      <c r="N371" s="49">
        <v>184900</v>
      </c>
      <c r="O371" s="49">
        <v>15956260</v>
      </c>
      <c r="P371" s="49">
        <f t="shared" si="101"/>
        <v>34.611443842321897</v>
      </c>
      <c r="Q371" s="49">
        <f t="shared" si="94"/>
        <v>34.611443842321897</v>
      </c>
      <c r="R371" s="48">
        <v>10740</v>
      </c>
      <c r="S371" s="48">
        <v>10625</v>
      </c>
      <c r="T371" s="48">
        <v>67900000</v>
      </c>
      <c r="U371" s="48">
        <f t="shared" si="95"/>
        <v>169.22034740693701</v>
      </c>
      <c r="V371" s="48">
        <f t="shared" si="96"/>
        <v>169.22034740693701</v>
      </c>
      <c r="W371" s="49">
        <v>0</v>
      </c>
      <c r="X371" s="49">
        <v>0</v>
      </c>
      <c r="Y371" s="49">
        <v>0</v>
      </c>
      <c r="Z371" s="49">
        <f t="shared" si="102"/>
        <v>0</v>
      </c>
      <c r="AA371" s="49">
        <v>0</v>
      </c>
      <c r="AB371" s="82">
        <f t="shared" si="107"/>
        <v>0</v>
      </c>
      <c r="AC371" s="82">
        <f t="shared" si="108"/>
        <v>291273564021688.81</v>
      </c>
      <c r="AD371" s="81">
        <f t="shared" si="109"/>
        <v>315837446056558.69</v>
      </c>
      <c r="AE371" s="80">
        <f t="shared" si="97"/>
        <v>1084.3326860691031</v>
      </c>
      <c r="AF371" s="52">
        <f t="shared" si="103"/>
        <v>5.4378743841495113E-3</v>
      </c>
      <c r="AG371" s="48">
        <f t="shared" si="98"/>
        <v>-1.8378378378378378E-2</v>
      </c>
      <c r="AH371" s="48">
        <f t="shared" si="104"/>
        <v>4.8780487804878049E-3</v>
      </c>
      <c r="AI371" s="48">
        <f t="shared" si="105"/>
        <v>3.7016264722378012E-2</v>
      </c>
      <c r="AJ371" s="48" t="e">
        <f t="shared" si="106"/>
        <v>#DIV/0!</v>
      </c>
    </row>
    <row r="372" spans="1:36" x14ac:dyDescent="0.3">
      <c r="A372" s="48">
        <v>20190704</v>
      </c>
      <c r="B372" s="48" t="s">
        <v>88</v>
      </c>
      <c r="C372" s="49">
        <v>45400</v>
      </c>
      <c r="D372" s="49">
        <v>46000</v>
      </c>
      <c r="E372" s="49">
        <v>5969782550</v>
      </c>
      <c r="F372" s="49">
        <f t="shared" si="99"/>
        <v>0.165928896677941</v>
      </c>
      <c r="G372" s="49">
        <f t="shared" si="92"/>
        <v>0.165928896677941</v>
      </c>
      <c r="H372" s="48">
        <v>206000</v>
      </c>
      <c r="I372" s="48">
        <v>203500</v>
      </c>
      <c r="J372" s="51">
        <v>128329070</v>
      </c>
      <c r="K372" s="48">
        <f t="shared" si="100"/>
        <v>1.76539349657307</v>
      </c>
      <c r="L372" s="48">
        <f t="shared" si="93"/>
        <v>1.76539349657307</v>
      </c>
      <c r="M372" s="49">
        <v>184900</v>
      </c>
      <c r="N372" s="49">
        <v>182600</v>
      </c>
      <c r="O372" s="49">
        <v>15956260</v>
      </c>
      <c r="P372" s="49">
        <f t="shared" si="101"/>
        <v>34.611443842321897</v>
      </c>
      <c r="Q372" s="49">
        <f t="shared" si="94"/>
        <v>34.611443842321897</v>
      </c>
      <c r="R372" s="48">
        <v>10625</v>
      </c>
      <c r="S372" s="48">
        <v>10625</v>
      </c>
      <c r="T372" s="48">
        <v>67900000</v>
      </c>
      <c r="U372" s="48">
        <f t="shared" si="95"/>
        <v>169.22034740693701</v>
      </c>
      <c r="V372" s="48">
        <f t="shared" si="96"/>
        <v>169.22034740693701</v>
      </c>
      <c r="W372" s="49">
        <v>0</v>
      </c>
      <c r="X372" s="49">
        <v>0</v>
      </c>
      <c r="Y372" s="49">
        <v>0</v>
      </c>
      <c r="Z372" s="49">
        <f t="shared" si="102"/>
        <v>0</v>
      </c>
      <c r="AA372" s="49">
        <v>0</v>
      </c>
      <c r="AB372" s="82">
        <f t="shared" si="107"/>
        <v>0</v>
      </c>
      <c r="AC372" s="82">
        <f t="shared" si="108"/>
        <v>291273564021688.81</v>
      </c>
      <c r="AD372" s="81">
        <f t="shared" si="109"/>
        <v>314595184298793.75</v>
      </c>
      <c r="AE372" s="80">
        <f t="shared" si="97"/>
        <v>1080.0677547083139</v>
      </c>
      <c r="AF372" s="52">
        <f t="shared" si="103"/>
        <v>-3.9332313925261554E-3</v>
      </c>
      <c r="AG372" s="48">
        <f t="shared" si="98"/>
        <v>1.3215859030837005E-2</v>
      </c>
      <c r="AH372" s="48">
        <f t="shared" si="104"/>
        <v>-1.2135922330097087E-2</v>
      </c>
      <c r="AI372" s="48">
        <f t="shared" si="105"/>
        <v>-1.2439156300703082E-2</v>
      </c>
      <c r="AJ372" s="48" t="e">
        <f t="shared" si="106"/>
        <v>#DIV/0!</v>
      </c>
    </row>
    <row r="373" spans="1:36" x14ac:dyDescent="0.3">
      <c r="A373" s="48">
        <v>20190705</v>
      </c>
      <c r="B373" s="48" t="s">
        <v>88</v>
      </c>
      <c r="C373" s="49">
        <v>46000</v>
      </c>
      <c r="D373" s="49">
        <v>45650</v>
      </c>
      <c r="E373" s="49">
        <v>5969782550</v>
      </c>
      <c r="F373" s="49">
        <f t="shared" si="99"/>
        <v>0.165928896677941</v>
      </c>
      <c r="G373" s="49">
        <f t="shared" si="92"/>
        <v>0.165928896677941</v>
      </c>
      <c r="H373" s="48">
        <v>203500</v>
      </c>
      <c r="I373" s="48">
        <v>208000</v>
      </c>
      <c r="J373" s="51">
        <v>128329070</v>
      </c>
      <c r="K373" s="48">
        <f t="shared" si="100"/>
        <v>1.76539349657307</v>
      </c>
      <c r="L373" s="48">
        <f t="shared" si="93"/>
        <v>1.76539349657307</v>
      </c>
      <c r="M373" s="49">
        <v>182600</v>
      </c>
      <c r="N373" s="49">
        <v>186500</v>
      </c>
      <c r="O373" s="49">
        <v>15956260</v>
      </c>
      <c r="P373" s="49">
        <f t="shared" si="101"/>
        <v>34.611443842321897</v>
      </c>
      <c r="Q373" s="49">
        <f t="shared" si="94"/>
        <v>34.611443842321897</v>
      </c>
      <c r="R373" s="48">
        <v>10625</v>
      </c>
      <c r="S373" s="48">
        <v>10615</v>
      </c>
      <c r="T373" s="48">
        <v>67900000</v>
      </c>
      <c r="U373" s="48">
        <f t="shared" si="95"/>
        <v>169.22034740693701</v>
      </c>
      <c r="V373" s="48">
        <f t="shared" si="96"/>
        <v>169.22034740693701</v>
      </c>
      <c r="W373" s="49">
        <v>0</v>
      </c>
      <c r="X373" s="49">
        <v>0</v>
      </c>
      <c r="Y373" s="49">
        <v>0</v>
      </c>
      <c r="Z373" s="49">
        <f t="shared" si="102"/>
        <v>0</v>
      </c>
      <c r="AA373" s="49">
        <v>0</v>
      </c>
      <c r="AB373" s="82">
        <f t="shared" si="107"/>
        <v>0</v>
      </c>
      <c r="AC373" s="82">
        <f t="shared" si="108"/>
        <v>291273564021688.81</v>
      </c>
      <c r="AD373" s="81">
        <f t="shared" si="109"/>
        <v>317306918624927.69</v>
      </c>
      <c r="AE373" s="80">
        <f t="shared" si="97"/>
        <v>1089.3776772728347</v>
      </c>
      <c r="AF373" s="52">
        <f t="shared" si="103"/>
        <v>8.6197579030910312E-3</v>
      </c>
      <c r="AG373" s="48">
        <f t="shared" si="98"/>
        <v>-7.6086956521739134E-3</v>
      </c>
      <c r="AH373" s="48">
        <f t="shared" si="104"/>
        <v>2.2113022113022112E-2</v>
      </c>
      <c r="AI373" s="48">
        <f t="shared" si="105"/>
        <v>2.135815991237678E-2</v>
      </c>
      <c r="AJ373" s="48" t="e">
        <f t="shared" si="106"/>
        <v>#DIV/0!</v>
      </c>
    </row>
    <row r="374" spans="1:36" x14ac:dyDescent="0.3">
      <c r="A374" s="48">
        <v>20190708</v>
      </c>
      <c r="B374" s="48" t="s">
        <v>88</v>
      </c>
      <c r="C374" s="49">
        <v>45650</v>
      </c>
      <c r="D374" s="49">
        <v>44400</v>
      </c>
      <c r="E374" s="49">
        <v>5969782550</v>
      </c>
      <c r="F374" s="49">
        <f t="shared" si="99"/>
        <v>0.165928896677941</v>
      </c>
      <c r="G374" s="49">
        <f t="shared" si="92"/>
        <v>0.165928896677941</v>
      </c>
      <c r="H374" s="48">
        <v>208000</v>
      </c>
      <c r="I374" s="48">
        <v>206000</v>
      </c>
      <c r="J374" s="51">
        <v>128329070</v>
      </c>
      <c r="K374" s="48">
        <f t="shared" si="100"/>
        <v>1.76539349657307</v>
      </c>
      <c r="L374" s="48">
        <f t="shared" si="93"/>
        <v>1.76539349657307</v>
      </c>
      <c r="M374" s="49">
        <v>186500</v>
      </c>
      <c r="N374" s="49">
        <v>178300</v>
      </c>
      <c r="O374" s="49">
        <v>15956260</v>
      </c>
      <c r="P374" s="49">
        <f t="shared" si="101"/>
        <v>34.611443842321897</v>
      </c>
      <c r="Q374" s="49">
        <f t="shared" si="94"/>
        <v>34.611443842321897</v>
      </c>
      <c r="R374" s="48">
        <v>10615</v>
      </c>
      <c r="S374" s="48">
        <v>10445</v>
      </c>
      <c r="T374" s="48">
        <v>67900000</v>
      </c>
      <c r="U374" s="48">
        <f t="shared" si="95"/>
        <v>169.22034740693701</v>
      </c>
      <c r="V374" s="48">
        <f t="shared" si="96"/>
        <v>169.22034740693701</v>
      </c>
      <c r="W374" s="49">
        <v>0</v>
      </c>
      <c r="X374" s="49">
        <v>0</v>
      </c>
      <c r="Y374" s="49">
        <v>0</v>
      </c>
      <c r="Z374" s="49">
        <f t="shared" si="102"/>
        <v>0</v>
      </c>
      <c r="AA374" s="49">
        <v>0</v>
      </c>
      <c r="AB374" s="82">
        <f t="shared" si="107"/>
        <v>0</v>
      </c>
      <c r="AC374" s="82">
        <f t="shared" si="108"/>
        <v>291273564021688.81</v>
      </c>
      <c r="AD374" s="81">
        <f t="shared" si="109"/>
        <v>309133698838927.37</v>
      </c>
      <c r="AE374" s="80">
        <f t="shared" si="97"/>
        <v>1061.3173903276324</v>
      </c>
      <c r="AF374" s="52">
        <f t="shared" si="103"/>
        <v>-2.575808879749477E-2</v>
      </c>
      <c r="AG374" s="48">
        <f t="shared" si="98"/>
        <v>-2.7382256297918947E-2</v>
      </c>
      <c r="AH374" s="48">
        <f t="shared" si="104"/>
        <v>-9.6153846153846159E-3</v>
      </c>
      <c r="AI374" s="48">
        <f t="shared" si="105"/>
        <v>-4.3967828418230562E-2</v>
      </c>
      <c r="AJ374" s="48" t="e">
        <f t="shared" si="106"/>
        <v>#DIV/0!</v>
      </c>
    </row>
    <row r="375" spans="1:36" x14ac:dyDescent="0.3">
      <c r="A375" s="48">
        <v>20190709</v>
      </c>
      <c r="B375" s="48" t="s">
        <v>88</v>
      </c>
      <c r="C375" s="49">
        <v>44400</v>
      </c>
      <c r="D375" s="49">
        <v>45100</v>
      </c>
      <c r="E375" s="49">
        <v>5969782550</v>
      </c>
      <c r="F375" s="49">
        <f t="shared" si="99"/>
        <v>0.165928896677941</v>
      </c>
      <c r="G375" s="49">
        <f t="shared" si="92"/>
        <v>0.165928896677941</v>
      </c>
      <c r="H375" s="48">
        <v>206000</v>
      </c>
      <c r="I375" s="48">
        <v>192500</v>
      </c>
      <c r="J375" s="51">
        <v>128329070</v>
      </c>
      <c r="K375" s="48">
        <f t="shared" si="100"/>
        <v>1.76539349657307</v>
      </c>
      <c r="L375" s="48">
        <f t="shared" si="93"/>
        <v>1.76539349657307</v>
      </c>
      <c r="M375" s="49">
        <v>178300</v>
      </c>
      <c r="N375" s="49">
        <v>172000</v>
      </c>
      <c r="O375" s="49">
        <v>15956260</v>
      </c>
      <c r="P375" s="49">
        <f t="shared" si="101"/>
        <v>34.611443842321897</v>
      </c>
      <c r="Q375" s="49">
        <f t="shared" si="94"/>
        <v>34.611443842321897</v>
      </c>
      <c r="R375" s="48">
        <v>10445</v>
      </c>
      <c r="S375" s="48">
        <v>10420</v>
      </c>
      <c r="T375" s="48">
        <v>67900000</v>
      </c>
      <c r="U375" s="48">
        <f t="shared" si="95"/>
        <v>169.22034740693701</v>
      </c>
      <c r="V375" s="48">
        <f t="shared" si="96"/>
        <v>169.22034740693701</v>
      </c>
      <c r="W375" s="49">
        <v>0</v>
      </c>
      <c r="X375" s="49">
        <v>0</v>
      </c>
      <c r="Y375" s="49">
        <v>0</v>
      </c>
      <c r="Z375" s="49">
        <f t="shared" si="102"/>
        <v>0</v>
      </c>
      <c r="AA375" s="49">
        <v>0</v>
      </c>
      <c r="AB375" s="82">
        <f t="shared" si="107"/>
        <v>0</v>
      </c>
      <c r="AC375" s="82">
        <f t="shared" si="108"/>
        <v>291273564021688.81</v>
      </c>
      <c r="AD375" s="81">
        <f t="shared" si="109"/>
        <v>303002100335346.06</v>
      </c>
      <c r="AE375" s="80">
        <f t="shared" si="97"/>
        <v>1040.2663947655199</v>
      </c>
      <c r="AF375" s="52">
        <f t="shared" si="103"/>
        <v>-1.9834778694820084E-2</v>
      </c>
      <c r="AG375" s="48">
        <f t="shared" si="98"/>
        <v>1.5765765765765764E-2</v>
      </c>
      <c r="AH375" s="48">
        <f t="shared" si="104"/>
        <v>-6.553398058252427E-2</v>
      </c>
      <c r="AI375" s="48">
        <f t="shared" si="105"/>
        <v>-3.5333707234997194E-2</v>
      </c>
      <c r="AJ375" s="48" t="e">
        <f t="shared" si="106"/>
        <v>#DIV/0!</v>
      </c>
    </row>
    <row r="376" spans="1:36" x14ac:dyDescent="0.3">
      <c r="A376" s="48">
        <v>20190710</v>
      </c>
      <c r="B376" s="48" t="s">
        <v>88</v>
      </c>
      <c r="C376" s="49">
        <v>45100</v>
      </c>
      <c r="D376" s="49">
        <v>45550</v>
      </c>
      <c r="E376" s="49">
        <v>5969782550</v>
      </c>
      <c r="F376" s="49">
        <f t="shared" si="99"/>
        <v>0.165928896677941</v>
      </c>
      <c r="G376" s="49">
        <f t="shared" si="92"/>
        <v>0.165928896677941</v>
      </c>
      <c r="H376" s="48">
        <v>192500</v>
      </c>
      <c r="I376" s="48">
        <v>189000</v>
      </c>
      <c r="J376" s="51">
        <v>128329070</v>
      </c>
      <c r="K376" s="48">
        <f t="shared" si="100"/>
        <v>1.76539349657307</v>
      </c>
      <c r="L376" s="48">
        <f t="shared" si="93"/>
        <v>1.76539349657307</v>
      </c>
      <c r="M376" s="49">
        <v>172000</v>
      </c>
      <c r="N376" s="49">
        <v>173700</v>
      </c>
      <c r="O376" s="49">
        <v>15956260</v>
      </c>
      <c r="P376" s="49">
        <f t="shared" si="101"/>
        <v>34.611443842321897</v>
      </c>
      <c r="Q376" s="49">
        <f t="shared" si="94"/>
        <v>34.611443842321897</v>
      </c>
      <c r="R376" s="48">
        <v>10420</v>
      </c>
      <c r="S376" s="48">
        <v>10460</v>
      </c>
      <c r="T376" s="48">
        <v>67900000</v>
      </c>
      <c r="U376" s="48">
        <f t="shared" si="95"/>
        <v>169.22034740693701</v>
      </c>
      <c r="V376" s="48">
        <f t="shared" si="96"/>
        <v>169.22034740693701</v>
      </c>
      <c r="W376" s="49">
        <v>0</v>
      </c>
      <c r="X376" s="49">
        <v>0</v>
      </c>
      <c r="Y376" s="49">
        <v>0</v>
      </c>
      <c r="Z376" s="49">
        <f t="shared" si="102"/>
        <v>0</v>
      </c>
      <c r="AA376" s="49">
        <v>0</v>
      </c>
      <c r="AB376" s="82">
        <f t="shared" ref="AB376:AB381" si="110">IF(AD375&lt;&gt;(C376*E376*F376+H376*J376*K376+M376*O376*P376+R376*T376*U376),1,0)</f>
        <v>0</v>
      </c>
      <c r="AC376" s="82">
        <f t="shared" ref="AC376:AC381" si="111">IF(AND(AB376=0,B376="N"),AC375,AC375*(C376*E376*G376+H376*J376*L376+M376*O376*Q376+R376*T376*V376)/AD375)</f>
        <v>291273564021688.81</v>
      </c>
      <c r="AD376" s="81">
        <f t="shared" ref="AD376:AD381" si="112">D376*E376*G376+I376*J376*L376+N376*O376*Q376+S376*T376*V376</f>
        <v>304053382608443.75</v>
      </c>
      <c r="AE376" s="80">
        <f t="shared" si="97"/>
        <v>1043.8756556218173</v>
      </c>
      <c r="AF376" s="52">
        <f t="shared" si="103"/>
        <v>3.4695544088117333E-3</v>
      </c>
      <c r="AG376" s="48">
        <f t="shared" si="98"/>
        <v>9.9778270509977823E-3</v>
      </c>
      <c r="AH376" s="48">
        <f t="shared" si="104"/>
        <v>-1.8181818181818181E-2</v>
      </c>
      <c r="AI376" s="48">
        <f t="shared" si="105"/>
        <v>9.883720930232558E-3</v>
      </c>
      <c r="AJ376" s="48" t="e">
        <f t="shared" si="106"/>
        <v>#DIV/0!</v>
      </c>
    </row>
    <row r="377" spans="1:36" x14ac:dyDescent="0.3">
      <c r="A377" s="48">
        <v>20190711</v>
      </c>
      <c r="B377" s="48" t="s">
        <v>88</v>
      </c>
      <c r="C377" s="49">
        <v>45550</v>
      </c>
      <c r="D377" s="49">
        <v>46200</v>
      </c>
      <c r="E377" s="49">
        <v>5969782550</v>
      </c>
      <c r="F377" s="49">
        <f t="shared" si="99"/>
        <v>0.165928896677941</v>
      </c>
      <c r="G377" s="49">
        <f t="shared" ref="G377:G381" si="113">IF(B377="Y",ROUND(0.15*(C377*E377+H377*J377+M377*O377+R377*T377)/(C377*E377),17),IF(AB377=0,F377,ROUND(D376*E376*G376/AD376*(C377*E377+H377*J377+M377*O377+R377*T377)/(C377*E377),17)))</f>
        <v>0.165928896677941</v>
      </c>
      <c r="H377" s="48">
        <v>189000</v>
      </c>
      <c r="I377" s="48">
        <v>191500</v>
      </c>
      <c r="J377" s="51">
        <v>128329070</v>
      </c>
      <c r="K377" s="48">
        <f t="shared" si="100"/>
        <v>1.76539349657307</v>
      </c>
      <c r="L377" s="48">
        <f t="shared" ref="L377:L381" si="114">IF(B377="Y",ROUND(0.15*(C377*E377+H377*J377+M377*O377+R377*T377)/(H377*J377),17),IF(AB377=0,K377,ROUND(I376*J376*L376/AD376*(C377*E377+H377*J377+M377*O377+R377*T377)/(H377*J377),17)))</f>
        <v>1.76539349657307</v>
      </c>
      <c r="M377" s="49">
        <v>173700</v>
      </c>
      <c r="N377" s="49">
        <v>172700</v>
      </c>
      <c r="O377" s="49">
        <v>15956260</v>
      </c>
      <c r="P377" s="49">
        <f t="shared" si="101"/>
        <v>34.611443842321897</v>
      </c>
      <c r="Q377" s="49">
        <f t="shared" ref="Q377:Q381" si="115">IF(B377="Y",ROUND(0.3*(C377*E377+H377*J377+M377*O377+R377*T377)/(M377*O377),17),IF(AB377=0,P377,ROUND(N376*O376*Q376/AD376*(C377*E377+H377*J377+M377*O377+R377*T377)/(M377*O377),17)))</f>
        <v>34.611443842321897</v>
      </c>
      <c r="R377" s="48">
        <v>10460</v>
      </c>
      <c r="S377" s="48">
        <v>10565</v>
      </c>
      <c r="T377" s="48">
        <v>67900000</v>
      </c>
      <c r="U377" s="48">
        <f t="shared" si="95"/>
        <v>169.22034740693701</v>
      </c>
      <c r="V377" s="48">
        <f t="shared" si="96"/>
        <v>169.22034740693701</v>
      </c>
      <c r="W377" s="49">
        <v>0</v>
      </c>
      <c r="X377" s="49">
        <v>0</v>
      </c>
      <c r="Y377" s="49">
        <v>0</v>
      </c>
      <c r="Z377" s="49">
        <f t="shared" si="102"/>
        <v>0</v>
      </c>
      <c r="AA377" s="49">
        <v>0</v>
      </c>
      <c r="AB377" s="82">
        <f t="shared" si="110"/>
        <v>0</v>
      </c>
      <c r="AC377" s="82">
        <f t="shared" si="111"/>
        <v>291273564021688.81</v>
      </c>
      <c r="AD377" s="81">
        <f t="shared" si="112"/>
        <v>305917811773109.87</v>
      </c>
      <c r="AE377" s="80">
        <f t="shared" si="97"/>
        <v>1050.2766112695715</v>
      </c>
      <c r="AF377" s="52">
        <f t="shared" si="103"/>
        <v>6.1319139049576888E-3</v>
      </c>
      <c r="AG377" s="48">
        <f t="shared" si="98"/>
        <v>1.4270032930845226E-2</v>
      </c>
      <c r="AH377" s="48">
        <f t="shared" si="104"/>
        <v>1.3227513227513227E-2</v>
      </c>
      <c r="AI377" s="48">
        <f t="shared" si="105"/>
        <v>-5.7570523891767415E-3</v>
      </c>
      <c r="AJ377" s="48" t="e">
        <f t="shared" si="106"/>
        <v>#DIV/0!</v>
      </c>
    </row>
    <row r="378" spans="1:36" x14ac:dyDescent="0.3">
      <c r="A378" s="48">
        <v>20190712</v>
      </c>
      <c r="B378" s="48" t="s">
        <v>88</v>
      </c>
      <c r="C378" s="49">
        <v>46200</v>
      </c>
      <c r="D378" s="49">
        <v>46300</v>
      </c>
      <c r="E378" s="49">
        <v>5969782550</v>
      </c>
      <c r="F378" s="49">
        <f t="shared" si="99"/>
        <v>0.165928896677941</v>
      </c>
      <c r="G378" s="49">
        <f t="shared" si="113"/>
        <v>0.165928896677941</v>
      </c>
      <c r="H378" s="48">
        <v>191500</v>
      </c>
      <c r="I378" s="48">
        <v>188500</v>
      </c>
      <c r="J378" s="51">
        <v>128329070</v>
      </c>
      <c r="K378" s="48">
        <f t="shared" si="100"/>
        <v>1.76539349657307</v>
      </c>
      <c r="L378" s="48">
        <f t="shared" si="114"/>
        <v>1.76539349657307</v>
      </c>
      <c r="M378" s="49">
        <v>172700</v>
      </c>
      <c r="N378" s="49">
        <v>169800</v>
      </c>
      <c r="O378" s="49">
        <v>15956260</v>
      </c>
      <c r="P378" s="49">
        <f t="shared" si="101"/>
        <v>34.611443842321897</v>
      </c>
      <c r="Q378" s="49">
        <f t="shared" si="115"/>
        <v>34.611443842321897</v>
      </c>
      <c r="R378" s="48">
        <v>10565</v>
      </c>
      <c r="S378" s="48">
        <v>10580</v>
      </c>
      <c r="T378" s="48">
        <v>67900000</v>
      </c>
      <c r="U378" s="48">
        <f t="shared" ref="U378:U381" si="116">V377</f>
        <v>169.22034740693701</v>
      </c>
      <c r="V378" s="48">
        <f t="shared" ref="V378:V381" si="117">IF(B378="Y",ROUND(0.4*(C378*E378+H378*J378+M378*O378+R378*T378)/(R378*T378),17),IF(AB378=0,U378,ROUND(S377*T377*V377/AD377*(C378*E378+H378*J378+M378*O378+R378*T378)/(R378*T378),17)))</f>
        <v>169.22034740693701</v>
      </c>
      <c r="W378" s="49">
        <v>0</v>
      </c>
      <c r="X378" s="49">
        <v>0</v>
      </c>
      <c r="Y378" s="49">
        <v>0</v>
      </c>
      <c r="Z378" s="49">
        <f t="shared" si="102"/>
        <v>0</v>
      </c>
      <c r="AA378" s="49">
        <v>0</v>
      </c>
      <c r="AB378" s="82">
        <f t="shared" si="110"/>
        <v>0</v>
      </c>
      <c r="AC378" s="82">
        <f t="shared" si="111"/>
        <v>291273564021688.81</v>
      </c>
      <c r="AD378" s="81">
        <f t="shared" si="112"/>
        <v>303907984052260.75</v>
      </c>
      <c r="AE378" s="80">
        <f t="shared" si="97"/>
        <v>1043.3764734984022</v>
      </c>
      <c r="AF378" s="52">
        <f t="shared" si="103"/>
        <v>-6.5698290308763676E-3</v>
      </c>
      <c r="AG378" s="48">
        <f t="shared" si="98"/>
        <v>2.1645021645021645E-3</v>
      </c>
      <c r="AH378" s="48">
        <f t="shared" si="104"/>
        <v>-1.5665796344647518E-2</v>
      </c>
      <c r="AI378" s="48">
        <f t="shared" si="105"/>
        <v>-1.679212507237985E-2</v>
      </c>
      <c r="AJ378" s="48" t="e">
        <f t="shared" si="106"/>
        <v>#DIV/0!</v>
      </c>
    </row>
    <row r="379" spans="1:36" x14ac:dyDescent="0.3">
      <c r="A379" s="48">
        <v>20190715</v>
      </c>
      <c r="B379" s="48" t="s">
        <v>88</v>
      </c>
      <c r="C379" s="49">
        <v>46300</v>
      </c>
      <c r="D379" s="49">
        <v>46450</v>
      </c>
      <c r="E379" s="49">
        <v>5969782550</v>
      </c>
      <c r="F379" s="49">
        <f t="shared" si="99"/>
        <v>0.165928896677941</v>
      </c>
      <c r="G379" s="49">
        <f t="shared" si="113"/>
        <v>0.165928896677941</v>
      </c>
      <c r="H379" s="48">
        <v>188500</v>
      </c>
      <c r="I379" s="48">
        <v>183500</v>
      </c>
      <c r="J379" s="51">
        <v>128329070</v>
      </c>
      <c r="K379" s="48">
        <f t="shared" si="100"/>
        <v>1.76539349657307</v>
      </c>
      <c r="L379" s="48">
        <f t="shared" si="114"/>
        <v>1.76539349657307</v>
      </c>
      <c r="M379" s="49">
        <v>169800</v>
      </c>
      <c r="N379" s="49">
        <v>171600</v>
      </c>
      <c r="O379" s="49">
        <v>15956260</v>
      </c>
      <c r="P379" s="49">
        <f t="shared" si="101"/>
        <v>34.611443842321897</v>
      </c>
      <c r="Q379" s="49">
        <f t="shared" si="115"/>
        <v>34.611443842321897</v>
      </c>
      <c r="R379" s="48">
        <v>10580</v>
      </c>
      <c r="S379" s="48">
        <v>10590</v>
      </c>
      <c r="T379" s="48">
        <v>67900000</v>
      </c>
      <c r="U379" s="48">
        <f t="shared" si="116"/>
        <v>169.22034740693701</v>
      </c>
      <c r="V379" s="48">
        <f t="shared" si="117"/>
        <v>169.22034740693701</v>
      </c>
      <c r="W379" s="49">
        <v>0</v>
      </c>
      <c r="X379" s="49">
        <v>0</v>
      </c>
      <c r="Y379" s="49">
        <v>0</v>
      </c>
      <c r="Z379" s="49">
        <f t="shared" si="102"/>
        <v>0</v>
      </c>
      <c r="AA379" s="49">
        <v>0</v>
      </c>
      <c r="AB379" s="82">
        <f t="shared" si="110"/>
        <v>0</v>
      </c>
      <c r="AC379" s="82">
        <f t="shared" si="111"/>
        <v>291273564021688.81</v>
      </c>
      <c r="AD379" s="81">
        <f t="shared" si="112"/>
        <v>304032796609405.31</v>
      </c>
      <c r="AE379" s="80">
        <f t="shared" si="97"/>
        <v>1043.8049797981887</v>
      </c>
      <c r="AF379" s="52">
        <f t="shared" si="103"/>
        <v>4.1069193207865946E-4</v>
      </c>
      <c r="AG379" s="48">
        <f t="shared" si="98"/>
        <v>3.2397408207343412E-3</v>
      </c>
      <c r="AH379" s="48">
        <f t="shared" si="104"/>
        <v>-2.6525198938992044E-2</v>
      </c>
      <c r="AI379" s="48">
        <f t="shared" si="105"/>
        <v>1.0600706713780919E-2</v>
      </c>
      <c r="AJ379" s="48" t="e">
        <f t="shared" si="106"/>
        <v>#DIV/0!</v>
      </c>
    </row>
    <row r="380" spans="1:36" x14ac:dyDescent="0.3">
      <c r="A380" s="48">
        <v>20190716</v>
      </c>
      <c r="B380" s="48" t="s">
        <v>88</v>
      </c>
      <c r="C380" s="49">
        <v>46450</v>
      </c>
      <c r="D380" s="49">
        <v>46850</v>
      </c>
      <c r="E380" s="49">
        <v>5969782550</v>
      </c>
      <c r="F380" s="49">
        <f t="shared" si="99"/>
        <v>0.165928896677941</v>
      </c>
      <c r="G380" s="49">
        <f t="shared" si="113"/>
        <v>0.165928896677941</v>
      </c>
      <c r="H380" s="48">
        <v>183500</v>
      </c>
      <c r="I380" s="48">
        <v>188500</v>
      </c>
      <c r="J380" s="51">
        <v>128329070</v>
      </c>
      <c r="K380" s="48">
        <f t="shared" si="100"/>
        <v>1.76539349657307</v>
      </c>
      <c r="L380" s="48">
        <f t="shared" si="114"/>
        <v>1.76539349657307</v>
      </c>
      <c r="M380" s="49">
        <v>171600</v>
      </c>
      <c r="N380" s="49">
        <v>176000</v>
      </c>
      <c r="O380" s="49">
        <v>15956260</v>
      </c>
      <c r="P380" s="49">
        <f t="shared" si="101"/>
        <v>34.611443842321897</v>
      </c>
      <c r="Q380" s="49">
        <f t="shared" si="115"/>
        <v>34.611443842321897</v>
      </c>
      <c r="R380" s="48">
        <v>10590</v>
      </c>
      <c r="S380" s="48">
        <v>10635</v>
      </c>
      <c r="T380" s="48">
        <v>67900000</v>
      </c>
      <c r="U380" s="48">
        <f t="shared" si="116"/>
        <v>169.22034740693701</v>
      </c>
      <c r="V380" s="48">
        <f t="shared" si="117"/>
        <v>169.22034740693701</v>
      </c>
      <c r="W380" s="49">
        <v>0</v>
      </c>
      <c r="X380" s="49">
        <v>0</v>
      </c>
      <c r="Y380" s="49">
        <v>0</v>
      </c>
      <c r="Z380" s="49">
        <f t="shared" si="102"/>
        <v>0</v>
      </c>
      <c r="AA380" s="49">
        <v>0</v>
      </c>
      <c r="AB380" s="82">
        <f t="shared" si="110"/>
        <v>0</v>
      </c>
      <c r="AC380" s="82">
        <f t="shared" si="111"/>
        <v>291273564021688.81</v>
      </c>
      <c r="AD380" s="81">
        <f t="shared" si="112"/>
        <v>308508814148138.37</v>
      </c>
      <c r="AE380" s="80">
        <f t="shared" si="97"/>
        <v>1059.1720370653554</v>
      </c>
      <c r="AF380" s="52">
        <f t="shared" si="103"/>
        <v>1.4722153625036188E-2</v>
      </c>
      <c r="AG380" s="48">
        <f t="shared" si="98"/>
        <v>8.6114101184068884E-3</v>
      </c>
      <c r="AH380" s="48">
        <f t="shared" si="104"/>
        <v>2.7247956403269755E-2</v>
      </c>
      <c r="AI380" s="48">
        <f t="shared" si="105"/>
        <v>2.564102564102564E-2</v>
      </c>
      <c r="AJ380" s="48" t="e">
        <f t="shared" si="106"/>
        <v>#DIV/0!</v>
      </c>
    </row>
    <row r="381" spans="1:36" x14ac:dyDescent="0.3">
      <c r="A381" s="48">
        <v>20190717</v>
      </c>
      <c r="B381" s="48" t="s">
        <v>88</v>
      </c>
      <c r="C381" s="49">
        <v>46850</v>
      </c>
      <c r="D381" s="49">
        <v>46050</v>
      </c>
      <c r="E381" s="49">
        <v>5969782550</v>
      </c>
      <c r="F381" s="49">
        <f t="shared" si="99"/>
        <v>0.165928896677941</v>
      </c>
      <c r="G381" s="49">
        <f t="shared" si="113"/>
        <v>0.165928896677941</v>
      </c>
      <c r="H381" s="48">
        <v>188500</v>
      </c>
      <c r="I381" s="48">
        <v>184500</v>
      </c>
      <c r="J381" s="51">
        <v>128329070</v>
      </c>
      <c r="K381" s="48">
        <f t="shared" si="100"/>
        <v>1.76539349657307</v>
      </c>
      <c r="L381" s="48">
        <f t="shared" si="114"/>
        <v>1.76539349657307</v>
      </c>
      <c r="M381" s="49">
        <v>176000</v>
      </c>
      <c r="N381" s="49">
        <v>178400</v>
      </c>
      <c r="O381" s="49">
        <v>15956260</v>
      </c>
      <c r="P381" s="49">
        <f t="shared" si="101"/>
        <v>34.611443842321897</v>
      </c>
      <c r="Q381" s="49">
        <f t="shared" si="115"/>
        <v>34.611443842321897</v>
      </c>
      <c r="R381" s="48">
        <v>10635</v>
      </c>
      <c r="S381" s="48">
        <v>10575</v>
      </c>
      <c r="T381" s="48">
        <v>67900000</v>
      </c>
      <c r="U381" s="48">
        <f t="shared" si="116"/>
        <v>169.22034740693701</v>
      </c>
      <c r="V381" s="48">
        <f t="shared" si="117"/>
        <v>169.22034740693701</v>
      </c>
      <c r="W381" s="49">
        <v>0</v>
      </c>
      <c r="X381" s="49">
        <v>0</v>
      </c>
      <c r="Y381" s="49">
        <v>0</v>
      </c>
      <c r="Z381" s="49">
        <f t="shared" si="102"/>
        <v>0</v>
      </c>
      <c r="AA381" s="49">
        <v>0</v>
      </c>
      <c r="AB381" s="82">
        <f t="shared" si="110"/>
        <v>0</v>
      </c>
      <c r="AC381" s="82">
        <f t="shared" si="111"/>
        <v>291273564021688.81</v>
      </c>
      <c r="AD381" s="81">
        <f t="shared" si="112"/>
        <v>307446203757478.81</v>
      </c>
      <c r="AE381" s="80">
        <f t="shared" si="97"/>
        <v>1055.5238845314013</v>
      </c>
      <c r="AF381" s="52">
        <f t="shared" si="103"/>
        <v>-3.4443437008231581E-3</v>
      </c>
      <c r="AG381" s="48">
        <f t="shared" si="98"/>
        <v>-1.7075773745997867E-2</v>
      </c>
      <c r="AH381" s="48">
        <f t="shared" si="104"/>
        <v>-2.1220159151193633E-2</v>
      </c>
      <c r="AI381" s="48">
        <f t="shared" si="105"/>
        <v>1.3636363636363636E-2</v>
      </c>
      <c r="AJ381" s="48" t="e">
        <f t="shared" si="106"/>
        <v>#DIV/0!</v>
      </c>
    </row>
    <row r="382" spans="1:36" ht="16.5" x14ac:dyDescent="0.3">
      <c r="R382" s="8"/>
      <c r="S382" s="8"/>
      <c r="T382" s="8"/>
      <c r="W382" s="8"/>
      <c r="X382" s="8"/>
      <c r="Y382" s="8"/>
    </row>
    <row r="383" spans="1:36" ht="16.5" x14ac:dyDescent="0.3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6"/>
  <sheetViews>
    <sheetView topLeftCell="A7" workbookViewId="0">
      <selection activeCell="A7" sqref="A1:XFD1048576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4" s="34" customFormat="1" ht="20.25" x14ac:dyDescent="0.3">
      <c r="A1" s="33" t="s">
        <v>137</v>
      </c>
      <c r="B1" s="33" t="s">
        <v>146</v>
      </c>
    </row>
    <row r="2" spans="1:4" x14ac:dyDescent="0.3">
      <c r="A2" s="55"/>
    </row>
    <row r="3" spans="1:4" x14ac:dyDescent="0.3">
      <c r="A3" s="24" t="s">
        <v>97</v>
      </c>
    </row>
    <row r="4" spans="1:4" x14ac:dyDescent="0.3">
      <c r="A4" s="25" t="s">
        <v>49</v>
      </c>
      <c r="B4" s="20">
        <v>2018</v>
      </c>
      <c r="C4" s="20"/>
    </row>
    <row r="5" spans="1:4" x14ac:dyDescent="0.3">
      <c r="A5" s="25" t="s">
        <v>50</v>
      </c>
      <c r="B5" s="20" t="s">
        <v>51</v>
      </c>
      <c r="C5" s="20" t="s">
        <v>52</v>
      </c>
    </row>
    <row r="8" spans="1:4" s="36" customFormat="1" ht="19.5" x14ac:dyDescent="0.3">
      <c r="A8" s="35" t="s">
        <v>64</v>
      </c>
      <c r="B8" s="35" t="s">
        <v>65</v>
      </c>
    </row>
    <row r="9" spans="1:4" s="30" customFormat="1" x14ac:dyDescent="0.3">
      <c r="A9" s="29"/>
      <c r="B9" s="29"/>
    </row>
    <row r="10" spans="1:4" x14ac:dyDescent="0.3">
      <c r="B10" s="27" t="s">
        <v>1</v>
      </c>
      <c r="C10" s="27" t="s">
        <v>55</v>
      </c>
      <c r="D10" s="27" t="s">
        <v>56</v>
      </c>
    </row>
    <row r="11" spans="1:4" x14ac:dyDescent="0.3">
      <c r="A11" s="15"/>
      <c r="B11" s="21" t="s">
        <v>5</v>
      </c>
      <c r="C11" s="20" t="s">
        <v>54</v>
      </c>
      <c r="D11" s="26">
        <v>0.3</v>
      </c>
    </row>
    <row r="12" spans="1:4" x14ac:dyDescent="0.3">
      <c r="A12" s="15"/>
      <c r="B12" s="21" t="s">
        <v>57</v>
      </c>
      <c r="C12" s="20" t="s">
        <v>58</v>
      </c>
      <c r="D12" s="26">
        <v>0.3</v>
      </c>
    </row>
    <row r="13" spans="1:4" x14ac:dyDescent="0.3">
      <c r="A13" s="15"/>
      <c r="B13" s="21" t="s">
        <v>59</v>
      </c>
      <c r="C13" s="20" t="s">
        <v>60</v>
      </c>
      <c r="D13" s="26">
        <v>0.4</v>
      </c>
    </row>
    <row r="14" spans="1:4" x14ac:dyDescent="0.3">
      <c r="B14" s="20" t="s">
        <v>63</v>
      </c>
      <c r="C14" s="20"/>
      <c r="D14" s="26">
        <f>SUM(D11:D13)</f>
        <v>1</v>
      </c>
    </row>
    <row r="15" spans="1:4" x14ac:dyDescent="0.3">
      <c r="B15" s="31"/>
      <c r="C15" s="31"/>
      <c r="D15" s="32"/>
    </row>
    <row r="17" spans="1:9" s="36" customFormat="1" ht="19.5" x14ac:dyDescent="0.3">
      <c r="A17" s="35" t="s">
        <v>66</v>
      </c>
      <c r="B17" s="35" t="s">
        <v>67</v>
      </c>
    </row>
    <row r="18" spans="1:9" x14ac:dyDescent="0.3">
      <c r="A18" s="24"/>
      <c r="B18" s="24"/>
    </row>
    <row r="19" spans="1:9" ht="17.25" thickBot="1" x14ac:dyDescent="0.35">
      <c r="A19" s="24" t="s">
        <v>96</v>
      </c>
    </row>
    <row r="20" spans="1:9" ht="32.25" customHeight="1" x14ac:dyDescent="0.3">
      <c r="A20" s="157" t="s">
        <v>119</v>
      </c>
      <c r="B20" s="158"/>
      <c r="C20" s="159"/>
    </row>
    <row r="21" spans="1:9" ht="10.5" customHeight="1" thickBot="1" x14ac:dyDescent="0.35">
      <c r="A21" s="160"/>
      <c r="B21" s="161"/>
      <c r="C21" s="162"/>
    </row>
    <row r="23" spans="1:9" x14ac:dyDescent="0.3">
      <c r="A23" s="25" t="s">
        <v>68</v>
      </c>
      <c r="B23" s="25" t="s">
        <v>1</v>
      </c>
      <c r="C23" s="25" t="s">
        <v>70</v>
      </c>
      <c r="D23" s="25" t="s">
        <v>56</v>
      </c>
      <c r="E23" s="25" t="s">
        <v>138</v>
      </c>
      <c r="F23" s="93" t="s">
        <v>120</v>
      </c>
      <c r="G23" s="93" t="s">
        <v>71</v>
      </c>
      <c r="H23" s="93" t="s">
        <v>121</v>
      </c>
      <c r="I23" s="93" t="s">
        <v>72</v>
      </c>
    </row>
    <row r="24" spans="1:9" x14ac:dyDescent="0.3">
      <c r="A24" s="56" t="s">
        <v>77</v>
      </c>
      <c r="B24" s="57" t="s">
        <v>5</v>
      </c>
      <c r="C24" s="56" t="s">
        <v>54</v>
      </c>
      <c r="D24" s="56">
        <v>0.3</v>
      </c>
      <c r="E24" s="56"/>
      <c r="F24" s="94">
        <v>2548000</v>
      </c>
      <c r="G24" s="94">
        <v>129098494</v>
      </c>
      <c r="H24" s="95">
        <f>F24*G24</f>
        <v>328942962712000</v>
      </c>
      <c r="I24" s="94">
        <f>D24*SUM($H$24:$H$26)/H24</f>
        <v>0.32711157280214603</v>
      </c>
    </row>
    <row r="25" spans="1:9" x14ac:dyDescent="0.3">
      <c r="A25" s="56" t="s">
        <v>77</v>
      </c>
      <c r="B25" s="57" t="s">
        <v>57</v>
      </c>
      <c r="C25" s="56" t="s">
        <v>58</v>
      </c>
      <c r="D25" s="56">
        <v>0.3</v>
      </c>
      <c r="E25" s="56"/>
      <c r="F25" s="94">
        <v>221100</v>
      </c>
      <c r="G25" s="95">
        <v>122666424</v>
      </c>
      <c r="H25" s="95">
        <f t="shared" ref="H25:H38" si="0">F25*G25</f>
        <v>27121546346400</v>
      </c>
      <c r="I25" s="94">
        <f>D25*SUM($H$24:$H$26)/H25</f>
        <v>3.9673641215226105</v>
      </c>
    </row>
    <row r="26" spans="1:9" x14ac:dyDescent="0.3">
      <c r="A26" s="56" t="s">
        <v>77</v>
      </c>
      <c r="B26" s="57" t="s">
        <v>59</v>
      </c>
      <c r="C26" s="56" t="s">
        <v>60</v>
      </c>
      <c r="D26" s="56">
        <v>0.4</v>
      </c>
      <c r="E26" s="56"/>
      <c r="F26" s="94">
        <v>163300</v>
      </c>
      <c r="G26" s="94">
        <v>15956260</v>
      </c>
      <c r="H26" s="95">
        <f t="shared" si="0"/>
        <v>2605657258000</v>
      </c>
      <c r="I26" s="96">
        <f>D26*SUM($H$24:$H$26)/H26</f>
        <v>55.060221787066673</v>
      </c>
    </row>
    <row r="27" spans="1:9" ht="3" customHeight="1" x14ac:dyDescent="0.3">
      <c r="A27" s="62"/>
      <c r="B27" s="62"/>
      <c r="C27" s="62"/>
      <c r="D27" s="62"/>
      <c r="E27" s="62"/>
      <c r="F27" s="97"/>
      <c r="G27" s="97"/>
      <c r="H27" s="98"/>
      <c r="I27" s="97"/>
    </row>
    <row r="28" spans="1:9" x14ac:dyDescent="0.3">
      <c r="A28" s="56" t="s">
        <v>78</v>
      </c>
      <c r="B28" s="57" t="s">
        <v>5</v>
      </c>
      <c r="C28" s="56" t="s">
        <v>54</v>
      </c>
      <c r="D28" s="56">
        <v>0.2</v>
      </c>
      <c r="E28" s="56"/>
      <c r="F28" s="94">
        <v>46650</v>
      </c>
      <c r="G28" s="94">
        <v>6419324700</v>
      </c>
      <c r="H28" s="95">
        <f t="shared" si="0"/>
        <v>299461497255000</v>
      </c>
      <c r="I28" s="94">
        <f>D28*SUM($H$28:$H$30)/H28</f>
        <v>0.22792809880389509</v>
      </c>
    </row>
    <row r="29" spans="1:9" x14ac:dyDescent="0.3">
      <c r="A29" s="56" t="s">
        <v>78</v>
      </c>
      <c r="B29" s="57" t="s">
        <v>57</v>
      </c>
      <c r="C29" s="56" t="s">
        <v>58</v>
      </c>
      <c r="D29" s="56">
        <v>0.3</v>
      </c>
      <c r="E29" s="56"/>
      <c r="F29" s="94">
        <v>303500</v>
      </c>
      <c r="G29" s="95">
        <v>125395903</v>
      </c>
      <c r="H29" s="95">
        <f t="shared" si="0"/>
        <v>38057656560500</v>
      </c>
      <c r="I29" s="94">
        <f>D29*SUM($H$28:$H$30)/H29</f>
        <v>2.6902217281479639</v>
      </c>
    </row>
    <row r="30" spans="1:9" x14ac:dyDescent="0.3">
      <c r="A30" s="56" t="s">
        <v>78</v>
      </c>
      <c r="B30" s="57" t="s">
        <v>59</v>
      </c>
      <c r="C30" s="56" t="s">
        <v>60</v>
      </c>
      <c r="D30" s="56">
        <v>0.5</v>
      </c>
      <c r="E30" s="56"/>
      <c r="F30" s="94">
        <v>235600</v>
      </c>
      <c r="G30" s="94">
        <v>15956260</v>
      </c>
      <c r="H30" s="95">
        <f t="shared" si="0"/>
        <v>3759294856000</v>
      </c>
      <c r="I30" s="94">
        <f>D30*SUM($H$28:$H$30)/H30</f>
        <v>45.39128503405427</v>
      </c>
    </row>
    <row r="31" spans="1:9" ht="3" customHeight="1" x14ac:dyDescent="0.3">
      <c r="A31" s="62"/>
      <c r="B31" s="62"/>
      <c r="C31" s="62"/>
      <c r="D31" s="62"/>
      <c r="E31" s="62"/>
      <c r="F31" s="97"/>
      <c r="G31" s="97"/>
      <c r="H31" s="98"/>
      <c r="I31" s="97"/>
    </row>
    <row r="32" spans="1:9" x14ac:dyDescent="0.3">
      <c r="A32" s="56" t="s">
        <v>82</v>
      </c>
      <c r="B32" s="57" t="s">
        <v>5</v>
      </c>
      <c r="C32" s="56" t="s">
        <v>54</v>
      </c>
      <c r="D32" s="56">
        <v>0.25</v>
      </c>
      <c r="E32" s="56"/>
      <c r="F32" s="94">
        <v>38700</v>
      </c>
      <c r="G32" s="94">
        <v>5969782550</v>
      </c>
      <c r="H32" s="95">
        <f t="shared" si="0"/>
        <v>231030584685000</v>
      </c>
      <c r="I32" s="94">
        <f>D32*SUM($H$32:$H$34)/H32</f>
        <v>0.28459161010660711</v>
      </c>
    </row>
    <row r="33" spans="1:9" x14ac:dyDescent="0.3">
      <c r="A33" s="56" t="s">
        <v>82</v>
      </c>
      <c r="B33" s="57" t="s">
        <v>57</v>
      </c>
      <c r="C33" s="56" t="s">
        <v>58</v>
      </c>
      <c r="D33" s="56">
        <v>0.25</v>
      </c>
      <c r="E33" s="56"/>
      <c r="F33" s="94">
        <v>222500</v>
      </c>
      <c r="G33" s="95">
        <v>125456133</v>
      </c>
      <c r="H33" s="95">
        <f t="shared" si="0"/>
        <v>27913989592500</v>
      </c>
      <c r="I33" s="94">
        <f>D33*SUM($H$32:$H$34)/H33</f>
        <v>2.3554270471262448</v>
      </c>
    </row>
    <row r="34" spans="1:9" x14ac:dyDescent="0.3">
      <c r="A34" s="56" t="s">
        <v>82</v>
      </c>
      <c r="B34" s="57" t="s">
        <v>59</v>
      </c>
      <c r="C34" s="56" t="s">
        <v>60</v>
      </c>
      <c r="D34" s="56">
        <v>0.5</v>
      </c>
      <c r="E34" s="56"/>
      <c r="F34" s="94">
        <v>254000</v>
      </c>
      <c r="G34" s="94">
        <v>15956260</v>
      </c>
      <c r="H34" s="95">
        <f t="shared" si="0"/>
        <v>4052890040000</v>
      </c>
      <c r="I34" s="94">
        <f>D34*SUM($H$32:$H$34)/H34</f>
        <v>32.445669845696088</v>
      </c>
    </row>
    <row r="35" spans="1:9" ht="3" customHeight="1" x14ac:dyDescent="0.3">
      <c r="A35" s="62"/>
      <c r="B35" s="62"/>
      <c r="C35" s="62"/>
      <c r="D35" s="62"/>
      <c r="E35" s="62"/>
      <c r="F35" s="97"/>
      <c r="G35" s="97"/>
      <c r="H35" s="98"/>
      <c r="I35" s="97"/>
    </row>
    <row r="36" spans="1:9" x14ac:dyDescent="0.3">
      <c r="A36" s="56" t="s">
        <v>83</v>
      </c>
      <c r="B36" s="57" t="s">
        <v>5</v>
      </c>
      <c r="C36" s="56" t="s">
        <v>54</v>
      </c>
      <c r="D36" s="56">
        <v>0.4</v>
      </c>
      <c r="E36" s="56"/>
      <c r="F36" s="94">
        <v>47000</v>
      </c>
      <c r="G36" s="94">
        <v>5969782550</v>
      </c>
      <c r="H36" s="95">
        <f t="shared" si="0"/>
        <v>280579779850000</v>
      </c>
      <c r="I36" s="94">
        <f>D36*SUM($H$36:$H$38)/H36</f>
        <v>0.44143113853255811</v>
      </c>
    </row>
    <row r="37" spans="1:9" x14ac:dyDescent="0.3">
      <c r="A37" s="56" t="s">
        <v>83</v>
      </c>
      <c r="B37" s="57" t="s">
        <v>57</v>
      </c>
      <c r="C37" s="56" t="s">
        <v>58</v>
      </c>
      <c r="D37" s="56">
        <v>0.2</v>
      </c>
      <c r="E37" s="56"/>
      <c r="F37" s="94">
        <v>205500</v>
      </c>
      <c r="G37" s="95">
        <v>128329070</v>
      </c>
      <c r="H37" s="95">
        <f t="shared" si="0"/>
        <v>26371623885000</v>
      </c>
      <c r="I37" s="94">
        <f>D37*SUM($H$36:$H$38)/H37</f>
        <v>2.3482939884268714</v>
      </c>
    </row>
    <row r="38" spans="1:9" x14ac:dyDescent="0.3">
      <c r="A38" s="56" t="s">
        <v>83</v>
      </c>
      <c r="B38" s="57" t="s">
        <v>59</v>
      </c>
      <c r="C38" s="56" t="s">
        <v>60</v>
      </c>
      <c r="D38" s="56">
        <v>0.4</v>
      </c>
      <c r="E38" s="56"/>
      <c r="F38" s="94">
        <v>168600</v>
      </c>
      <c r="G38" s="94">
        <v>15956260</v>
      </c>
      <c r="H38" s="95">
        <f t="shared" si="0"/>
        <v>2690225436000</v>
      </c>
      <c r="I38" s="94">
        <f>D38*SUM($H$36:$H$38)/H38</f>
        <v>46.039506582228299</v>
      </c>
    </row>
    <row r="40" spans="1:9" s="37" customFormat="1" ht="19.5" x14ac:dyDescent="0.3">
      <c r="A40" s="37" t="s">
        <v>84</v>
      </c>
      <c r="B40" s="38" t="s">
        <v>98</v>
      </c>
    </row>
    <row r="41" spans="1:9" x14ac:dyDescent="0.3">
      <c r="B41" s="28"/>
    </row>
    <row r="42" spans="1:9" ht="16.5" customHeight="1" x14ac:dyDescent="0.3">
      <c r="A42" s="163" t="s">
        <v>188</v>
      </c>
      <c r="B42" s="164"/>
      <c r="C42" s="164"/>
      <c r="D42" s="164"/>
      <c r="E42" s="164"/>
      <c r="F42" s="164"/>
      <c r="G42" s="88"/>
    </row>
    <row r="43" spans="1:9" x14ac:dyDescent="0.3">
      <c r="A43" s="164"/>
      <c r="B43" s="164"/>
      <c r="C43" s="164"/>
      <c r="D43" s="164"/>
      <c r="E43" s="164"/>
      <c r="F43" s="164"/>
      <c r="G43" s="88"/>
    </row>
    <row r="44" spans="1:9" x14ac:dyDescent="0.3">
      <c r="A44" s="164"/>
      <c r="B44" s="164"/>
      <c r="C44" s="164"/>
      <c r="D44" s="164"/>
      <c r="E44" s="164"/>
      <c r="F44" s="164"/>
      <c r="G44" s="88"/>
    </row>
    <row r="45" spans="1:9" x14ac:dyDescent="0.3">
      <c r="A45" s="164"/>
      <c r="B45" s="164"/>
      <c r="C45" s="164"/>
      <c r="D45" s="164"/>
      <c r="E45" s="164"/>
      <c r="F45" s="164"/>
      <c r="G45" s="88"/>
    </row>
    <row r="46" spans="1:9" x14ac:dyDescent="0.3">
      <c r="A46" s="164"/>
      <c r="B46" s="164"/>
      <c r="C46" s="164"/>
      <c r="D46" s="164"/>
      <c r="E46" s="164"/>
      <c r="F46" s="164"/>
      <c r="G46" s="88"/>
    </row>
    <row r="47" spans="1:9" x14ac:dyDescent="0.3">
      <c r="A47" s="164"/>
      <c r="B47" s="164"/>
      <c r="C47" s="164"/>
      <c r="D47" s="164"/>
      <c r="E47" s="164"/>
      <c r="F47" s="164"/>
      <c r="G47" s="88"/>
    </row>
    <row r="48" spans="1:9" x14ac:dyDescent="0.3">
      <c r="A48" s="164"/>
      <c r="B48" s="164"/>
      <c r="C48" s="164"/>
      <c r="D48" s="164"/>
      <c r="E48" s="164"/>
      <c r="F48" s="164"/>
      <c r="G48" s="88"/>
    </row>
    <row r="49" spans="1:7" x14ac:dyDescent="0.3">
      <c r="A49" s="164"/>
      <c r="B49" s="164"/>
      <c r="C49" s="164"/>
      <c r="D49" s="164"/>
      <c r="E49" s="164"/>
      <c r="F49" s="164"/>
      <c r="G49" s="88"/>
    </row>
    <row r="50" spans="1:7" x14ac:dyDescent="0.3">
      <c r="A50" s="164"/>
      <c r="B50" s="164"/>
      <c r="C50" s="164"/>
      <c r="D50" s="164"/>
      <c r="E50" s="164"/>
      <c r="F50" s="164"/>
      <c r="G50" s="88"/>
    </row>
    <row r="51" spans="1:7" x14ac:dyDescent="0.3">
      <c r="A51" s="164"/>
      <c r="B51" s="164"/>
      <c r="C51" s="164"/>
      <c r="D51" s="164"/>
      <c r="E51" s="164"/>
      <c r="F51" s="164"/>
      <c r="G51" s="88"/>
    </row>
    <row r="52" spans="1:7" x14ac:dyDescent="0.3">
      <c r="A52" s="164"/>
      <c r="B52" s="164"/>
      <c r="C52" s="164"/>
      <c r="D52" s="164"/>
      <c r="E52" s="164"/>
      <c r="F52" s="164"/>
      <c r="G52" s="88"/>
    </row>
    <row r="53" spans="1:7" x14ac:dyDescent="0.3">
      <c r="A53" s="164"/>
      <c r="B53" s="164"/>
      <c r="C53" s="164"/>
      <c r="D53" s="164"/>
      <c r="E53" s="164"/>
      <c r="F53" s="164"/>
      <c r="G53" s="88"/>
    </row>
    <row r="54" spans="1:7" x14ac:dyDescent="0.3">
      <c r="A54" s="164"/>
      <c r="B54" s="164"/>
      <c r="C54" s="164"/>
      <c r="D54" s="164"/>
      <c r="E54" s="164"/>
      <c r="F54" s="164"/>
      <c r="G54" s="88"/>
    </row>
    <row r="55" spans="1:7" x14ac:dyDescent="0.3">
      <c r="A55" s="164"/>
      <c r="B55" s="164"/>
      <c r="C55" s="164"/>
      <c r="D55" s="164"/>
      <c r="E55" s="164"/>
      <c r="F55" s="164"/>
      <c r="G55" s="88"/>
    </row>
    <row r="56" spans="1:7" x14ac:dyDescent="0.3">
      <c r="A56" s="164"/>
      <c r="B56" s="164"/>
      <c r="C56" s="164"/>
      <c r="D56" s="164"/>
      <c r="E56" s="164"/>
      <c r="F56" s="164"/>
      <c r="G56" s="88"/>
    </row>
  </sheetData>
  <mergeCells count="2">
    <mergeCell ref="A20:C21"/>
    <mergeCell ref="A42:F5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80"/>
  <sheetViews>
    <sheetView zoomScale="85" zoomScaleNormal="85" workbookViewId="0">
      <selection activeCell="Q1" sqref="Q1:W1"/>
    </sheetView>
  </sheetViews>
  <sheetFormatPr defaultColWidth="8.875" defaultRowHeight="13.5" x14ac:dyDescent="0.3"/>
  <cols>
    <col min="1" max="1" width="9" style="16" bestFit="1" customWidth="1"/>
    <col min="2" max="4" width="8.875" style="16"/>
    <col min="5" max="6" width="9" style="16" bestFit="1" customWidth="1"/>
    <col min="7" max="7" width="11.125" style="16" bestFit="1" customWidth="1"/>
    <col min="8" max="8" width="13.125" style="16" bestFit="1" customWidth="1"/>
    <col min="9" max="9" width="13" style="16" customWidth="1"/>
    <col min="10" max="10" width="8.25" style="16" bestFit="1" customWidth="1"/>
    <col min="11" max="11" width="8.25" style="16" customWidth="1"/>
    <col min="12" max="13" width="9" style="16" bestFit="1" customWidth="1"/>
    <col min="14" max="14" width="11.125" style="16" bestFit="1" customWidth="1"/>
    <col min="15" max="15" width="13.125" style="16" bestFit="1" customWidth="1"/>
    <col min="16" max="16" width="13" style="16" customWidth="1"/>
    <col min="17" max="18" width="8.75" style="16" customWidth="1"/>
    <col min="19" max="20" width="9" style="16" bestFit="1" customWidth="1"/>
    <col min="21" max="21" width="11.125" style="16" bestFit="1" customWidth="1"/>
    <col min="22" max="23" width="13.75" style="16" bestFit="1" customWidth="1"/>
    <col min="24" max="24" width="14" style="45" customWidth="1"/>
    <col min="25" max="25" width="23.5" style="45" customWidth="1"/>
    <col min="26" max="26" width="16.125" style="45" bestFit="1" customWidth="1"/>
    <col min="27" max="27" width="15" style="45" customWidth="1"/>
    <col min="28" max="28" width="9.375" style="45" bestFit="1" customWidth="1"/>
    <col min="29" max="31" width="9" style="54" bestFit="1" customWidth="1"/>
    <col min="32" max="32" width="12.375" style="54" customWidth="1"/>
    <col min="33" max="16384" width="8.875" style="16"/>
  </cols>
  <sheetData>
    <row r="1" spans="1:32" ht="16.5" customHeight="1" x14ac:dyDescent="0.3">
      <c r="A1" s="48"/>
      <c r="B1" s="48"/>
      <c r="C1" s="166" t="s">
        <v>140</v>
      </c>
      <c r="D1" s="167"/>
      <c r="E1" s="167"/>
      <c r="F1" s="167"/>
      <c r="G1" s="167"/>
      <c r="H1" s="167"/>
      <c r="I1" s="168"/>
      <c r="J1" s="169" t="s">
        <v>141</v>
      </c>
      <c r="K1" s="170"/>
      <c r="L1" s="170"/>
      <c r="M1" s="170"/>
      <c r="N1" s="170"/>
      <c r="O1" s="170"/>
      <c r="P1" s="171"/>
      <c r="Q1" s="166" t="s">
        <v>142</v>
      </c>
      <c r="R1" s="167"/>
      <c r="S1" s="167"/>
      <c r="T1" s="167"/>
      <c r="U1" s="167"/>
      <c r="V1" s="167"/>
      <c r="W1" s="168"/>
      <c r="X1" s="172" t="s">
        <v>92</v>
      </c>
      <c r="Y1" s="172"/>
      <c r="Z1" s="172"/>
      <c r="AA1" s="172"/>
      <c r="AB1" s="172"/>
      <c r="AC1" s="165" t="s">
        <v>113</v>
      </c>
      <c r="AD1" s="165"/>
      <c r="AE1" s="165"/>
      <c r="AF1" s="165"/>
    </row>
    <row r="2" spans="1:32" x14ac:dyDescent="0.3">
      <c r="A2" s="48" t="s">
        <v>68</v>
      </c>
      <c r="B2" s="48" t="s">
        <v>87</v>
      </c>
      <c r="C2" s="49" t="s">
        <v>139</v>
      </c>
      <c r="D2" s="49" t="s">
        <v>144</v>
      </c>
      <c r="E2" s="49" t="s">
        <v>101</v>
      </c>
      <c r="F2" s="49" t="s">
        <v>2</v>
      </c>
      <c r="G2" s="49" t="s">
        <v>17</v>
      </c>
      <c r="H2" s="77" t="s">
        <v>125</v>
      </c>
      <c r="I2" s="78" t="s">
        <v>123</v>
      </c>
      <c r="J2" s="48" t="s">
        <v>139</v>
      </c>
      <c r="K2" s="48" t="s">
        <v>145</v>
      </c>
      <c r="L2" s="48" t="s">
        <v>14</v>
      </c>
      <c r="M2" s="48" t="s">
        <v>2</v>
      </c>
      <c r="N2" s="48" t="s">
        <v>17</v>
      </c>
      <c r="O2" s="68" t="s">
        <v>124</v>
      </c>
      <c r="P2" s="69" t="s">
        <v>123</v>
      </c>
      <c r="Q2" s="79" t="s">
        <v>143</v>
      </c>
      <c r="R2" s="79" t="s">
        <v>145</v>
      </c>
      <c r="S2" s="49" t="s">
        <v>101</v>
      </c>
      <c r="T2" s="49" t="s">
        <v>110</v>
      </c>
      <c r="U2" s="49" t="s">
        <v>17</v>
      </c>
      <c r="V2" s="77" t="s">
        <v>133</v>
      </c>
      <c r="W2" s="78" t="s">
        <v>123</v>
      </c>
      <c r="X2" s="50" t="s">
        <v>112</v>
      </c>
      <c r="Y2" s="50" t="s">
        <v>90</v>
      </c>
      <c r="Z2" s="50" t="s">
        <v>91</v>
      </c>
      <c r="AA2" s="80" t="s">
        <v>92</v>
      </c>
      <c r="AB2" s="50" t="s">
        <v>93</v>
      </c>
      <c r="AC2" s="48" t="s">
        <v>114</v>
      </c>
      <c r="AD2" s="48" t="s">
        <v>94</v>
      </c>
      <c r="AE2" s="48" t="s">
        <v>95</v>
      </c>
      <c r="AF2" s="48" t="s">
        <v>106</v>
      </c>
    </row>
    <row r="3" spans="1:32" s="17" customFormat="1" x14ac:dyDescent="0.3">
      <c r="A3" s="65">
        <v>20180102</v>
      </c>
      <c r="B3" s="65" t="s">
        <v>89</v>
      </c>
      <c r="C3" s="79">
        <v>0.3</v>
      </c>
      <c r="D3" s="79">
        <f>F3*G3*I3/Z3</f>
        <v>0.29999999999999988</v>
      </c>
      <c r="E3" s="49">
        <v>2548000</v>
      </c>
      <c r="F3" s="49">
        <v>2551000</v>
      </c>
      <c r="G3" s="49">
        <v>129098494</v>
      </c>
      <c r="H3" s="49">
        <f>ROUND(C3*(F3*G3+M3*N3+T3*U3)/(F3*G3),17)</f>
        <v>0.32765965513109302</v>
      </c>
      <c r="I3" s="49">
        <f>ROUND(C3*(F3*G3+M3*N3+T3*U3)/(F3*G3),17)</f>
        <v>0.32765965513109302</v>
      </c>
      <c r="J3" s="48">
        <v>0.3</v>
      </c>
      <c r="K3" s="48">
        <f>M3*N3*P3/Z3</f>
        <v>0.29999999999999993</v>
      </c>
      <c r="L3" s="48">
        <v>221100</v>
      </c>
      <c r="M3" s="48">
        <v>225900</v>
      </c>
      <c r="N3" s="51">
        <v>122666424</v>
      </c>
      <c r="O3" s="48">
        <f>ROUND(J3*(F3*G3+M3*N3+T3*U3)/(M3*N3),17)</f>
        <v>3.8941499327021099</v>
      </c>
      <c r="P3" s="48">
        <f>ROUND(J3*(F3*G3+M3*N3+T3*U3)/(M3*N3),17)</f>
        <v>3.8941499327021099</v>
      </c>
      <c r="Q3" s="49">
        <v>0.4</v>
      </c>
      <c r="R3" s="49">
        <f>T3*U3*W3/Z3</f>
        <v>0.40000000000000019</v>
      </c>
      <c r="S3" s="49">
        <v>163300</v>
      </c>
      <c r="T3" s="49">
        <v>166300</v>
      </c>
      <c r="U3" s="49">
        <v>15956260</v>
      </c>
      <c r="V3" s="49">
        <f>ROUND(Q3*(F3*G3+M3*N3+T3*U3)/(T3*U3),17)</f>
        <v>54.221307688347601</v>
      </c>
      <c r="W3" s="49">
        <f>ROUND(Q3*(F3*G3+M3*N3+T3*U3)/(T3*U3),17)</f>
        <v>54.221307688347601</v>
      </c>
      <c r="X3" s="82" t="e">
        <f>IF(#REF!&lt;&gt;(E3*G3*H3+L3*N3*O3+S3*U3*V3+#REF!*#REF!*#REF!),1,0)</f>
        <v>#REF!</v>
      </c>
      <c r="Y3" s="82">
        <f>F3*G3*I3+M3*N3*P3+T3*U3*W3</f>
        <v>359694129413599.69</v>
      </c>
      <c r="Z3" s="81">
        <f>F3*G3*I3+M3*N3*P3+T3*U3*W3</f>
        <v>359694129413599.69</v>
      </c>
      <c r="AA3" s="80">
        <f t="shared" ref="AA3:AA66" si="0">Z3/Y3*1000</f>
        <v>1000</v>
      </c>
      <c r="AB3" s="52" t="e">
        <f>(AA3-#REF!)/#REF!</f>
        <v>#REF!</v>
      </c>
      <c r="AC3" s="48">
        <f t="shared" ref="AC3:AC66" si="1">(F3-E3)/E3</f>
        <v>1.1773940345368916E-3</v>
      </c>
      <c r="AD3" s="48">
        <f t="shared" ref="AD3:AD66" si="2">(M3-L3)/L3</f>
        <v>2.1709633649932156E-2</v>
      </c>
      <c r="AE3" s="48">
        <f t="shared" ref="AE3:AE66" si="3">(T3-S3)/S3</f>
        <v>1.8371096142069811E-2</v>
      </c>
      <c r="AF3" s="48" t="e">
        <f>(#REF!-#REF!)/#REF!</f>
        <v>#REF!</v>
      </c>
    </row>
    <row r="4" spans="1:32" x14ac:dyDescent="0.3">
      <c r="A4" s="48">
        <v>20180103</v>
      </c>
      <c r="B4" s="48" t="s">
        <v>88</v>
      </c>
      <c r="C4" s="79">
        <v>0.3</v>
      </c>
      <c r="D4" s="79">
        <f t="shared" ref="D4:D67" si="4">F4*G4*I4/Z4</f>
        <v>0.29580752352194922</v>
      </c>
      <c r="E4" s="49">
        <v>2551000</v>
      </c>
      <c r="F4" s="49">
        <v>2581000</v>
      </c>
      <c r="G4" s="49">
        <v>129098494</v>
      </c>
      <c r="H4" s="49">
        <f t="shared" ref="H4:H67" si="5">I3</f>
        <v>0.32765965513109302</v>
      </c>
      <c r="I4" s="49">
        <f>IF(B4="Y",ROUND(C4*(E4*G4+L4*N4+S4*U4)/(E4*G4),17),IF(X4=0,H4,ROUND(F3*G3*I3/Z3*(E4*G4+L4*N4+S4*U4)/(E4*G4),17)))</f>
        <v>0.32765965513109302</v>
      </c>
      <c r="J4" s="48">
        <v>0.3</v>
      </c>
      <c r="K4" s="48">
        <f t="shared" ref="K4:K67" si="6">M4*N4*P4/Z4</f>
        <v>0.31928946429763028</v>
      </c>
      <c r="L4" s="48">
        <v>225900</v>
      </c>
      <c r="M4" s="48">
        <v>246700</v>
      </c>
      <c r="N4" s="51">
        <v>122666424</v>
      </c>
      <c r="O4" s="48">
        <f t="shared" ref="O4:O67" si="7">P3</f>
        <v>3.8941499327021099</v>
      </c>
      <c r="P4" s="48">
        <f>IF(B4="Y",ROUND(J4*(E4*G4+L4*N4+S4*U4)/(L4*N4),17),IF(X4=0,O4,ROUND(M3*N3*P3/Z3*(E4*G4+L4*N4+S4*U4)/(L4*N4),17)))</f>
        <v>3.8941499327021099</v>
      </c>
      <c r="Q4" s="49">
        <v>0.4</v>
      </c>
      <c r="R4" s="49">
        <f t="shared" ref="R4:R67" si="8">T4*U4*W4/Z4</f>
        <v>0.38490301218042045</v>
      </c>
      <c r="S4" s="49">
        <v>166300</v>
      </c>
      <c r="T4" s="49">
        <v>164200</v>
      </c>
      <c r="U4" s="49">
        <v>15956260</v>
      </c>
      <c r="V4" s="49">
        <f t="shared" ref="V4:V67" si="9">W3</f>
        <v>54.221307688347601</v>
      </c>
      <c r="W4" s="49">
        <f>IF(B4="Y",ROUND(Q4*(E4*G4+L4*N4+S4*U4)/(S4*U4),17),IF(X4=0,V4,ROUND(T3*U3*W3/Z3*(E4*G4+L4*N4+S4*U4)/(S4*U4),17)))</f>
        <v>54.221307688347601</v>
      </c>
      <c r="X4" s="82">
        <f t="shared" ref="X4:X67" si="10">IF(Z3&lt;&gt;(E4*G4*H4+L4*N4*O4+S4*U4*V4),1,0)</f>
        <v>0</v>
      </c>
      <c r="Y4" s="82">
        <f t="shared" ref="Y4:Y67" si="11">IF(AND(X4=0,B4="N"),Y3,Y3*(E4*G4*I4+L4*N4*P4+S4*U4*W4)/Z3)</f>
        <v>359694129413599.69</v>
      </c>
      <c r="Z4" s="81">
        <f>F4*G4*I4+M4*N4*P4+T4*U4*W4</f>
        <v>369082059052626.81</v>
      </c>
      <c r="AA4" s="80">
        <f t="shared" si="0"/>
        <v>1026.0997577423129</v>
      </c>
      <c r="AB4" s="52">
        <f t="shared" ref="AB4:AB67" si="12">(AA4-AA3)/AA3</f>
        <v>2.6099757742312931E-2</v>
      </c>
      <c r="AC4" s="48">
        <f t="shared" si="1"/>
        <v>1.1760094080752646E-2</v>
      </c>
      <c r="AD4" s="48">
        <f t="shared" si="2"/>
        <v>9.2076139884904831E-2</v>
      </c>
      <c r="AE4" s="48">
        <f t="shared" si="3"/>
        <v>-1.2627781118460614E-2</v>
      </c>
      <c r="AF4" s="48" t="e">
        <f>(#REF!-#REF!)/#REF!</f>
        <v>#REF!</v>
      </c>
    </row>
    <row r="5" spans="1:32" x14ac:dyDescent="0.3">
      <c r="A5" s="48">
        <v>20180104</v>
      </c>
      <c r="B5" s="48" t="s">
        <v>88</v>
      </c>
      <c r="C5" s="79">
        <v>0.3</v>
      </c>
      <c r="D5" s="79">
        <f t="shared" si="4"/>
        <v>0.2922322356926777</v>
      </c>
      <c r="E5" s="49">
        <v>2581000</v>
      </c>
      <c r="F5" s="49">
        <v>2554000</v>
      </c>
      <c r="G5" s="49">
        <v>129098494</v>
      </c>
      <c r="H5" s="49">
        <f t="shared" si="5"/>
        <v>0.32765965513109302</v>
      </c>
      <c r="I5" s="49">
        <f t="shared" ref="I5:I68" si="13">IF(B5="Y",ROUND(C5*(E5*G5+L5*N5+S5*U5)/(E5*G5),17),IF(X5=0,H5,ROUND(F4*G4*I4/Z4*(E5*G5+L5*N5+S5*U5)/(E5*G5),17)))</f>
        <v>0.32765965513109302</v>
      </c>
      <c r="J5" s="48">
        <v>0.3</v>
      </c>
      <c r="K5" s="48">
        <f t="shared" si="6"/>
        <v>0.3230289636078591</v>
      </c>
      <c r="L5" s="48">
        <v>246700</v>
      </c>
      <c r="M5" s="48">
        <v>250000</v>
      </c>
      <c r="N5" s="51">
        <v>122666424</v>
      </c>
      <c r="O5" s="48">
        <f t="shared" si="7"/>
        <v>3.8941499327021099</v>
      </c>
      <c r="P5" s="48">
        <f t="shared" ref="P5:P68" si="14">IF(B5="Y",ROUND(J5*(E5*G5+L5*N5+S5*U5)/(L5*N5),17),IF(X5=0,O5,ROUND(M4*N4*P4/Z4*(E5*G5+L5*N5+S5*U5)/(L5*N5),17)))</f>
        <v>3.8941499327021099</v>
      </c>
      <c r="Q5" s="49">
        <v>0.4</v>
      </c>
      <c r="R5" s="49">
        <f t="shared" si="8"/>
        <v>0.3847388006994632</v>
      </c>
      <c r="S5" s="49">
        <v>164200</v>
      </c>
      <c r="T5" s="49">
        <v>164400</v>
      </c>
      <c r="U5" s="49">
        <v>15956260</v>
      </c>
      <c r="V5" s="49">
        <f t="shared" si="9"/>
        <v>54.221307688347601</v>
      </c>
      <c r="W5" s="49">
        <f t="shared" ref="W5:W68" si="15">IF(B5="Y",ROUND(Q5*(E5*G5+L5*N5+S5*U5)/(S5*U5),17),IF(X5=0,V5,ROUND(T4*U4*W4/Z4*(E5*G5+L5*N5+S5*U5)/(S5*U5),17)))</f>
        <v>54.221307688347601</v>
      </c>
      <c r="X5" s="82">
        <f t="shared" si="10"/>
        <v>0</v>
      </c>
      <c r="Y5" s="82">
        <f t="shared" si="11"/>
        <v>359694129413599.69</v>
      </c>
      <c r="Z5" s="81">
        <f t="shared" ref="Z5:Z68" si="16">F5*G5*I5+M5*N5*P5+T5*U5*W5</f>
        <v>369689331746958.87</v>
      </c>
      <c r="AA5" s="80">
        <f t="shared" si="0"/>
        <v>1027.788060788354</v>
      </c>
      <c r="AB5" s="52">
        <f t="shared" si="12"/>
        <v>1.6453595601228239E-3</v>
      </c>
      <c r="AC5" s="48">
        <f t="shared" si="1"/>
        <v>-1.0461061604029445E-2</v>
      </c>
      <c r="AD5" s="48">
        <f t="shared" si="2"/>
        <v>1.3376570733684636E-2</v>
      </c>
      <c r="AE5" s="48">
        <f t="shared" si="3"/>
        <v>1.2180267965895249E-3</v>
      </c>
      <c r="AF5" s="48" t="e">
        <f>(#REF!-#REF!)/#REF!</f>
        <v>#REF!</v>
      </c>
    </row>
    <row r="6" spans="1:32" x14ac:dyDescent="0.3">
      <c r="A6" s="48">
        <v>20180105</v>
      </c>
      <c r="B6" s="48" t="s">
        <v>88</v>
      </c>
      <c r="C6" s="79">
        <v>0.3</v>
      </c>
      <c r="D6" s="79">
        <f t="shared" si="4"/>
        <v>0.28614619296759697</v>
      </c>
      <c r="E6" s="49">
        <v>2554000</v>
      </c>
      <c r="F6" s="49">
        <v>2606000</v>
      </c>
      <c r="G6" s="49">
        <v>129098494</v>
      </c>
      <c r="H6" s="49">
        <f t="shared" si="5"/>
        <v>0.32765965513109302</v>
      </c>
      <c r="I6" s="49">
        <f t="shared" si="13"/>
        <v>0.32765965513109302</v>
      </c>
      <c r="J6" s="48">
        <v>0.3</v>
      </c>
      <c r="K6" s="48">
        <f t="shared" si="6"/>
        <v>0.33094541017593265</v>
      </c>
      <c r="L6" s="48">
        <v>250000</v>
      </c>
      <c r="M6" s="48">
        <v>266900</v>
      </c>
      <c r="N6" s="51">
        <v>122666424</v>
      </c>
      <c r="O6" s="48">
        <f t="shared" si="7"/>
        <v>3.8941499327021099</v>
      </c>
      <c r="P6" s="48">
        <f t="shared" si="14"/>
        <v>3.8941499327021099</v>
      </c>
      <c r="Q6" s="49">
        <v>0.4</v>
      </c>
      <c r="R6" s="49">
        <f t="shared" si="8"/>
        <v>0.38290839685647049</v>
      </c>
      <c r="S6" s="49">
        <v>164400</v>
      </c>
      <c r="T6" s="49">
        <v>170500</v>
      </c>
      <c r="U6" s="49">
        <v>15956260</v>
      </c>
      <c r="V6" s="49">
        <f t="shared" si="9"/>
        <v>54.221307688347601</v>
      </c>
      <c r="W6" s="49">
        <f t="shared" si="15"/>
        <v>54.221307688347601</v>
      </c>
      <c r="X6" s="82">
        <f t="shared" si="10"/>
        <v>0</v>
      </c>
      <c r="Y6" s="82">
        <f t="shared" si="11"/>
        <v>359694129413599.69</v>
      </c>
      <c r="Z6" s="81">
        <f t="shared" si="16"/>
        <v>385239299960813.62</v>
      </c>
      <c r="AA6" s="80">
        <f t="shared" si="0"/>
        <v>1071.0191478211214</v>
      </c>
      <c r="AB6" s="52">
        <f t="shared" si="12"/>
        <v>4.2062258438386062E-2</v>
      </c>
      <c r="AC6" s="48">
        <f t="shared" si="1"/>
        <v>2.0360219263899765E-2</v>
      </c>
      <c r="AD6" s="48">
        <f t="shared" si="2"/>
        <v>6.7599999999999993E-2</v>
      </c>
      <c r="AE6" s="48">
        <f t="shared" si="3"/>
        <v>3.7104622871046232E-2</v>
      </c>
      <c r="AF6" s="48" t="e">
        <f>(#REF!-#REF!)/#REF!</f>
        <v>#REF!</v>
      </c>
    </row>
    <row r="7" spans="1:32" x14ac:dyDescent="0.3">
      <c r="A7" s="48">
        <v>20180108</v>
      </c>
      <c r="B7" s="48" t="s">
        <v>88</v>
      </c>
      <c r="C7" s="79">
        <v>0.3</v>
      </c>
      <c r="D7" s="79">
        <f t="shared" si="4"/>
        <v>0.27384384630432379</v>
      </c>
      <c r="E7" s="49">
        <v>2606000</v>
      </c>
      <c r="F7" s="49">
        <v>2601000</v>
      </c>
      <c r="G7" s="49">
        <v>129098494</v>
      </c>
      <c r="H7" s="49">
        <f t="shared" si="5"/>
        <v>0.32765965513109302</v>
      </c>
      <c r="I7" s="49">
        <f t="shared" si="13"/>
        <v>0.32765965513109302</v>
      </c>
      <c r="J7" s="48">
        <v>0.3</v>
      </c>
      <c r="K7" s="48">
        <f t="shared" si="6"/>
        <v>0.35965180196213709</v>
      </c>
      <c r="L7" s="48">
        <v>266900</v>
      </c>
      <c r="M7" s="48">
        <v>302500</v>
      </c>
      <c r="N7" s="51">
        <v>122666424</v>
      </c>
      <c r="O7" s="48">
        <f t="shared" si="7"/>
        <v>3.8941499327021099</v>
      </c>
      <c r="P7" s="48">
        <f t="shared" si="14"/>
        <v>3.8941499327021099</v>
      </c>
      <c r="Q7" s="49">
        <v>0.4</v>
      </c>
      <c r="R7" s="49">
        <f t="shared" si="8"/>
        <v>0.36650435173353901</v>
      </c>
      <c r="S7" s="49">
        <v>170500</v>
      </c>
      <c r="T7" s="49">
        <v>170200</v>
      </c>
      <c r="U7" s="49">
        <v>15956260</v>
      </c>
      <c r="V7" s="49">
        <f t="shared" si="9"/>
        <v>54.221307688347601</v>
      </c>
      <c r="W7" s="49">
        <f t="shared" si="15"/>
        <v>54.221307688347601</v>
      </c>
      <c r="X7" s="82">
        <f t="shared" si="10"/>
        <v>0</v>
      </c>
      <c r="Y7" s="82">
        <f t="shared" si="11"/>
        <v>359694129413599.69</v>
      </c>
      <c r="Z7" s="81">
        <f t="shared" si="16"/>
        <v>401773706840612.12</v>
      </c>
      <c r="AA7" s="80">
        <f t="shared" si="0"/>
        <v>1116.9871120655032</v>
      </c>
      <c r="AB7" s="52">
        <f t="shared" si="12"/>
        <v>4.2919834195213932E-2</v>
      </c>
      <c r="AC7" s="48">
        <f t="shared" si="1"/>
        <v>-1.918649270913277E-3</v>
      </c>
      <c r="AD7" s="48">
        <f t="shared" si="2"/>
        <v>0.13338328962158111</v>
      </c>
      <c r="AE7" s="48">
        <f t="shared" si="3"/>
        <v>-1.7595307917888563E-3</v>
      </c>
      <c r="AF7" s="48" t="e">
        <f>(#REF!-#REF!)/#REF!</f>
        <v>#REF!</v>
      </c>
    </row>
    <row r="8" spans="1:32" x14ac:dyDescent="0.3">
      <c r="A8" s="48">
        <v>20180109</v>
      </c>
      <c r="B8" s="48" t="s">
        <v>88</v>
      </c>
      <c r="C8" s="79">
        <v>0.3</v>
      </c>
      <c r="D8" s="79">
        <f t="shared" si="4"/>
        <v>0.27458819943359986</v>
      </c>
      <c r="E8" s="49">
        <v>2601000</v>
      </c>
      <c r="F8" s="49">
        <v>2520000</v>
      </c>
      <c r="G8" s="49">
        <v>129098494</v>
      </c>
      <c r="H8" s="49">
        <f t="shared" si="5"/>
        <v>0.32765965513109302</v>
      </c>
      <c r="I8" s="49">
        <f t="shared" si="13"/>
        <v>0.32765965513109302</v>
      </c>
      <c r="J8" s="48">
        <v>0.3</v>
      </c>
      <c r="K8" s="48">
        <f t="shared" si="6"/>
        <v>0.35991622627808106</v>
      </c>
      <c r="L8" s="48">
        <v>302500</v>
      </c>
      <c r="M8" s="48">
        <v>292500</v>
      </c>
      <c r="N8" s="51">
        <v>122666424</v>
      </c>
      <c r="O8" s="48">
        <f t="shared" si="7"/>
        <v>3.8941499327021099</v>
      </c>
      <c r="P8" s="48">
        <f t="shared" si="14"/>
        <v>3.8941499327021099</v>
      </c>
      <c r="Q8" s="49">
        <v>0.4</v>
      </c>
      <c r="R8" s="49">
        <f t="shared" si="8"/>
        <v>0.36549557428831897</v>
      </c>
      <c r="S8" s="49">
        <v>170200</v>
      </c>
      <c r="T8" s="49">
        <v>164000</v>
      </c>
      <c r="U8" s="49">
        <v>15956260</v>
      </c>
      <c r="V8" s="49">
        <f t="shared" si="9"/>
        <v>54.221307688347601</v>
      </c>
      <c r="W8" s="49">
        <f t="shared" si="15"/>
        <v>54.221307688347601</v>
      </c>
      <c r="X8" s="82">
        <f t="shared" si="10"/>
        <v>0</v>
      </c>
      <c r="Y8" s="82">
        <f t="shared" si="11"/>
        <v>359694129413599.69</v>
      </c>
      <c r="Z8" s="81">
        <f t="shared" si="16"/>
        <v>388206513008492.69</v>
      </c>
      <c r="AA8" s="80">
        <f t="shared" si="0"/>
        <v>1079.2684151987023</v>
      </c>
      <c r="AB8" s="52">
        <f t="shared" si="12"/>
        <v>-3.3768247152872209E-2</v>
      </c>
      <c r="AC8" s="48">
        <f t="shared" si="1"/>
        <v>-3.1141868512110725E-2</v>
      </c>
      <c r="AD8" s="48">
        <f t="shared" si="2"/>
        <v>-3.3057851239669422E-2</v>
      </c>
      <c r="AE8" s="48">
        <f t="shared" si="3"/>
        <v>-3.6427732079905996E-2</v>
      </c>
      <c r="AF8" s="48" t="e">
        <f>(#REF!-#REF!)/#REF!</f>
        <v>#REF!</v>
      </c>
    </row>
    <row r="9" spans="1:32" x14ac:dyDescent="0.3">
      <c r="A9" s="48">
        <v>20180110</v>
      </c>
      <c r="B9" s="48" t="s">
        <v>88</v>
      </c>
      <c r="C9" s="79">
        <v>0.3</v>
      </c>
      <c r="D9" s="79">
        <f t="shared" si="4"/>
        <v>0.2672093075289978</v>
      </c>
      <c r="E9" s="49">
        <v>2520000</v>
      </c>
      <c r="F9" s="49">
        <v>2442000</v>
      </c>
      <c r="G9" s="49">
        <v>129098494</v>
      </c>
      <c r="H9" s="49">
        <f t="shared" si="5"/>
        <v>0.32765965513109302</v>
      </c>
      <c r="I9" s="49">
        <f t="shared" si="13"/>
        <v>0.32765965513109302</v>
      </c>
      <c r="J9" s="48">
        <v>0.3</v>
      </c>
      <c r="K9" s="48">
        <f t="shared" si="6"/>
        <v>0.36575633815256064</v>
      </c>
      <c r="L9" s="48">
        <v>292500</v>
      </c>
      <c r="M9" s="48">
        <v>296000</v>
      </c>
      <c r="N9" s="51">
        <v>122666424</v>
      </c>
      <c r="O9" s="48">
        <f t="shared" si="7"/>
        <v>3.8941499327021099</v>
      </c>
      <c r="P9" s="48">
        <f t="shared" si="14"/>
        <v>3.8941499327021099</v>
      </c>
      <c r="Q9" s="49">
        <v>0.4</v>
      </c>
      <c r="R9" s="49">
        <f t="shared" si="8"/>
        <v>0.36703435431844156</v>
      </c>
      <c r="S9" s="49">
        <v>164000</v>
      </c>
      <c r="T9" s="49">
        <v>164000</v>
      </c>
      <c r="U9" s="49">
        <v>15956260</v>
      </c>
      <c r="V9" s="49">
        <f t="shared" si="9"/>
        <v>54.221307688347601</v>
      </c>
      <c r="W9" s="49">
        <f t="shared" si="15"/>
        <v>54.221307688347601</v>
      </c>
      <c r="X9" s="82">
        <f t="shared" si="10"/>
        <v>0</v>
      </c>
      <c r="Y9" s="82">
        <f t="shared" si="11"/>
        <v>359694129413599.69</v>
      </c>
      <c r="Z9" s="81">
        <f t="shared" si="16"/>
        <v>386578969366453.37</v>
      </c>
      <c r="AA9" s="80">
        <f t="shared" si="0"/>
        <v>1074.743616184905</v>
      </c>
      <c r="AB9" s="52">
        <f t="shared" si="12"/>
        <v>-4.192468666809117E-3</v>
      </c>
      <c r="AC9" s="48">
        <f t="shared" si="1"/>
        <v>-3.0952380952380953E-2</v>
      </c>
      <c r="AD9" s="48">
        <f t="shared" si="2"/>
        <v>1.1965811965811967E-2</v>
      </c>
      <c r="AE9" s="48">
        <f t="shared" si="3"/>
        <v>0</v>
      </c>
      <c r="AF9" s="48" t="e">
        <f>(#REF!-#REF!)/#REF!</f>
        <v>#REF!</v>
      </c>
    </row>
    <row r="10" spans="1:32" x14ac:dyDescent="0.3">
      <c r="A10" s="48">
        <v>20180111</v>
      </c>
      <c r="B10" s="48" t="s">
        <v>88</v>
      </c>
      <c r="C10" s="79">
        <v>0.3</v>
      </c>
      <c r="D10" s="79">
        <f t="shared" si="4"/>
        <v>0.25837172374129891</v>
      </c>
      <c r="E10" s="49">
        <v>2442000</v>
      </c>
      <c r="F10" s="49">
        <v>2412000</v>
      </c>
      <c r="G10" s="49">
        <v>129098494</v>
      </c>
      <c r="H10" s="49">
        <f t="shared" si="5"/>
        <v>0.32765965513109302</v>
      </c>
      <c r="I10" s="49">
        <f t="shared" si="13"/>
        <v>0.32765965513109302</v>
      </c>
      <c r="J10" s="48">
        <v>0.3</v>
      </c>
      <c r="K10" s="48">
        <f t="shared" si="6"/>
        <v>0.37136441161843226</v>
      </c>
      <c r="L10" s="48">
        <v>296000</v>
      </c>
      <c r="M10" s="48">
        <v>307000</v>
      </c>
      <c r="N10" s="51">
        <v>122666424</v>
      </c>
      <c r="O10" s="48">
        <f t="shared" si="7"/>
        <v>3.8941499327021099</v>
      </c>
      <c r="P10" s="48">
        <f t="shared" si="14"/>
        <v>3.8941499327021099</v>
      </c>
      <c r="Q10" s="49">
        <v>0.4</v>
      </c>
      <c r="R10" s="49">
        <f t="shared" si="8"/>
        <v>0.37026386464026884</v>
      </c>
      <c r="S10" s="49">
        <v>164000</v>
      </c>
      <c r="T10" s="49">
        <v>169000</v>
      </c>
      <c r="U10" s="49">
        <v>15956260</v>
      </c>
      <c r="V10" s="49">
        <f t="shared" si="9"/>
        <v>54.221307688347601</v>
      </c>
      <c r="W10" s="49">
        <f t="shared" si="15"/>
        <v>54.221307688347601</v>
      </c>
      <c r="X10" s="82">
        <f t="shared" si="10"/>
        <v>0</v>
      </c>
      <c r="Y10" s="82">
        <f t="shared" si="11"/>
        <v>359694129413599.69</v>
      </c>
      <c r="Z10" s="81">
        <f t="shared" si="16"/>
        <v>394890300655278.75</v>
      </c>
      <c r="AA10" s="80">
        <f t="shared" si="0"/>
        <v>1097.8502799004768</v>
      </c>
      <c r="AB10" s="52">
        <f t="shared" si="12"/>
        <v>2.1499698502602142E-2</v>
      </c>
      <c r="AC10" s="48">
        <f t="shared" si="1"/>
        <v>-1.2285012285012284E-2</v>
      </c>
      <c r="AD10" s="48">
        <f t="shared" si="2"/>
        <v>3.7162162162162164E-2</v>
      </c>
      <c r="AE10" s="48">
        <f t="shared" si="3"/>
        <v>3.048780487804878E-2</v>
      </c>
      <c r="AF10" s="48" t="e">
        <f>(#REF!-#REF!)/#REF!</f>
        <v>#REF!</v>
      </c>
    </row>
    <row r="11" spans="1:32" x14ac:dyDescent="0.3">
      <c r="A11" s="48">
        <v>20180112</v>
      </c>
      <c r="B11" s="48" t="s">
        <v>88</v>
      </c>
      <c r="C11" s="79">
        <v>0.3</v>
      </c>
      <c r="D11" s="79">
        <f t="shared" si="4"/>
        <v>0.24351225986414574</v>
      </c>
      <c r="E11" s="49">
        <v>2412000</v>
      </c>
      <c r="F11" s="49">
        <v>2410000</v>
      </c>
      <c r="G11" s="49">
        <v>129098494</v>
      </c>
      <c r="H11" s="49">
        <f t="shared" si="5"/>
        <v>0.32765965513109302</v>
      </c>
      <c r="I11" s="49">
        <f t="shared" si="13"/>
        <v>0.32765965513109302</v>
      </c>
      <c r="J11" s="48">
        <v>0.3</v>
      </c>
      <c r="K11" s="48">
        <f t="shared" si="6"/>
        <v>0.3896626001901814</v>
      </c>
      <c r="L11" s="48">
        <v>307000</v>
      </c>
      <c r="M11" s="48">
        <v>341500</v>
      </c>
      <c r="N11" s="51">
        <v>122666424</v>
      </c>
      <c r="O11" s="48">
        <f t="shared" si="7"/>
        <v>3.8941499327021099</v>
      </c>
      <c r="P11" s="48">
        <f t="shared" si="14"/>
        <v>3.8941499327021099</v>
      </c>
      <c r="Q11" s="49">
        <v>0.4</v>
      </c>
      <c r="R11" s="49">
        <f t="shared" si="8"/>
        <v>0.36682513994567284</v>
      </c>
      <c r="S11" s="49">
        <v>169000</v>
      </c>
      <c r="T11" s="49">
        <v>177500</v>
      </c>
      <c r="U11" s="49">
        <v>15956260</v>
      </c>
      <c r="V11" s="49">
        <f t="shared" si="9"/>
        <v>54.221307688347601</v>
      </c>
      <c r="W11" s="49">
        <f t="shared" si="15"/>
        <v>54.221307688347601</v>
      </c>
      <c r="X11" s="82">
        <f t="shared" si="10"/>
        <v>0</v>
      </c>
      <c r="Y11" s="82">
        <f t="shared" si="11"/>
        <v>359694129413599.69</v>
      </c>
      <c r="Z11" s="81">
        <f t="shared" si="16"/>
        <v>418639648738236.69</v>
      </c>
      <c r="AA11" s="80">
        <f t="shared" si="0"/>
        <v>1163.8767900402888</v>
      </c>
      <c r="AB11" s="52">
        <f t="shared" si="12"/>
        <v>6.0141634381873525E-2</v>
      </c>
      <c r="AC11" s="48">
        <f t="shared" si="1"/>
        <v>-8.2918739635157548E-4</v>
      </c>
      <c r="AD11" s="48">
        <f t="shared" si="2"/>
        <v>0.11237785016286644</v>
      </c>
      <c r="AE11" s="48">
        <f t="shared" si="3"/>
        <v>5.0295857988165681E-2</v>
      </c>
      <c r="AF11" s="48" t="e">
        <f>(#REF!-#REF!)/#REF!</f>
        <v>#REF!</v>
      </c>
    </row>
    <row r="12" spans="1:32" x14ac:dyDescent="0.3">
      <c r="A12" s="48">
        <v>20180115</v>
      </c>
      <c r="B12" s="48" t="s">
        <v>88</v>
      </c>
      <c r="C12" s="79">
        <v>0.3</v>
      </c>
      <c r="D12" s="79">
        <f t="shared" si="4"/>
        <v>0.21868965028208262</v>
      </c>
      <c r="E12" s="49">
        <v>2410000</v>
      </c>
      <c r="F12" s="49">
        <v>2427000</v>
      </c>
      <c r="G12" s="49">
        <v>129098494</v>
      </c>
      <c r="H12" s="49">
        <f t="shared" si="5"/>
        <v>0.32765965513109302</v>
      </c>
      <c r="I12" s="49">
        <f t="shared" si="13"/>
        <v>0.32765965513109302</v>
      </c>
      <c r="J12" s="48">
        <v>0.3</v>
      </c>
      <c r="K12" s="48">
        <f t="shared" si="6"/>
        <v>0.35613997656648505</v>
      </c>
      <c r="L12" s="48">
        <v>341500</v>
      </c>
      <c r="M12" s="48">
        <v>350000</v>
      </c>
      <c r="N12" s="51">
        <v>122666424</v>
      </c>
      <c r="O12" s="48">
        <f t="shared" si="7"/>
        <v>3.8941499327021099</v>
      </c>
      <c r="P12" s="48">
        <f t="shared" si="14"/>
        <v>3.8941499327021099</v>
      </c>
      <c r="Q12" s="49">
        <v>0.4</v>
      </c>
      <c r="R12" s="49">
        <f t="shared" si="8"/>
        <v>0.4251703731514323</v>
      </c>
      <c r="S12" s="49">
        <v>177500</v>
      </c>
      <c r="T12" s="49">
        <v>230700</v>
      </c>
      <c r="U12" s="49">
        <v>15956260</v>
      </c>
      <c r="V12" s="49">
        <f t="shared" si="9"/>
        <v>54.221307688347601</v>
      </c>
      <c r="W12" s="49">
        <f t="shared" si="15"/>
        <v>54.221307688347601</v>
      </c>
      <c r="X12" s="82">
        <f t="shared" si="10"/>
        <v>0</v>
      </c>
      <c r="Y12" s="82">
        <f t="shared" si="11"/>
        <v>359694129413599.69</v>
      </c>
      <c r="Z12" s="81">
        <f t="shared" si="16"/>
        <v>469446053148520.44</v>
      </c>
      <c r="AA12" s="80">
        <f t="shared" si="0"/>
        <v>1305.125701978641</v>
      </c>
      <c r="AB12" s="52">
        <f t="shared" si="12"/>
        <v>0.1213607085793529</v>
      </c>
      <c r="AC12" s="48">
        <f t="shared" si="1"/>
        <v>7.053941908713693E-3</v>
      </c>
      <c r="AD12" s="48">
        <f t="shared" si="2"/>
        <v>2.4890190336749635E-2</v>
      </c>
      <c r="AE12" s="48">
        <f t="shared" si="3"/>
        <v>0.29971830985915493</v>
      </c>
      <c r="AF12" s="48" t="e">
        <f>(#REF!-#REF!)/#REF!</f>
        <v>#REF!</v>
      </c>
    </row>
    <row r="13" spans="1:32" x14ac:dyDescent="0.3">
      <c r="A13" s="48">
        <v>20180116</v>
      </c>
      <c r="B13" s="48" t="s">
        <v>88</v>
      </c>
      <c r="C13" s="79">
        <v>0.3</v>
      </c>
      <c r="D13" s="79">
        <f t="shared" si="4"/>
        <v>0.22479780338768038</v>
      </c>
      <c r="E13" s="49">
        <v>2427000</v>
      </c>
      <c r="F13" s="49">
        <v>2500000</v>
      </c>
      <c r="G13" s="49">
        <v>129098494</v>
      </c>
      <c r="H13" s="49">
        <f t="shared" si="5"/>
        <v>0.32765965513109302</v>
      </c>
      <c r="I13" s="49">
        <f t="shared" si="13"/>
        <v>0.32765965513109302</v>
      </c>
      <c r="J13" s="48">
        <v>0.3</v>
      </c>
      <c r="K13" s="48">
        <f t="shared" si="6"/>
        <v>0.35275737024159598</v>
      </c>
      <c r="L13" s="48">
        <v>350000</v>
      </c>
      <c r="M13" s="48">
        <v>347400</v>
      </c>
      <c r="N13" s="51">
        <v>122666424</v>
      </c>
      <c r="O13" s="48">
        <f t="shared" si="7"/>
        <v>3.8941499327021099</v>
      </c>
      <c r="P13" s="48">
        <f t="shared" si="14"/>
        <v>3.8941499327021099</v>
      </c>
      <c r="Q13" s="49">
        <v>0.4</v>
      </c>
      <c r="R13" s="49">
        <f t="shared" si="8"/>
        <v>0.42244482637072361</v>
      </c>
      <c r="S13" s="49">
        <v>230700</v>
      </c>
      <c r="T13" s="49">
        <v>229700</v>
      </c>
      <c r="U13" s="49">
        <v>15956260</v>
      </c>
      <c r="V13" s="49">
        <f t="shared" si="9"/>
        <v>54.221307688347601</v>
      </c>
      <c r="W13" s="49">
        <f t="shared" si="15"/>
        <v>54.221307688347601</v>
      </c>
      <c r="X13" s="82">
        <f t="shared" si="10"/>
        <v>0</v>
      </c>
      <c r="Y13" s="82">
        <f t="shared" si="11"/>
        <v>359694129413599.69</v>
      </c>
      <c r="Z13" s="81">
        <f t="shared" si="16"/>
        <v>470426838969522.5</v>
      </c>
      <c r="AA13" s="80">
        <f t="shared" si="0"/>
        <v>1307.8524237702948</v>
      </c>
      <c r="AB13" s="52">
        <f t="shared" si="12"/>
        <v>2.0892407432631871E-3</v>
      </c>
      <c r="AC13" s="48">
        <f t="shared" si="1"/>
        <v>3.0078285949732178E-2</v>
      </c>
      <c r="AD13" s="48">
        <f t="shared" si="2"/>
        <v>-7.4285714285714285E-3</v>
      </c>
      <c r="AE13" s="48">
        <f t="shared" si="3"/>
        <v>-4.3346337234503683E-3</v>
      </c>
      <c r="AF13" s="48" t="e">
        <f>(#REF!-#REF!)/#REF!</f>
        <v>#REF!</v>
      </c>
    </row>
    <row r="14" spans="1:32" x14ac:dyDescent="0.3">
      <c r="A14" s="48">
        <v>20180117</v>
      </c>
      <c r="B14" s="48" t="s">
        <v>88</v>
      </c>
      <c r="C14" s="79">
        <v>0.3</v>
      </c>
      <c r="D14" s="79">
        <f t="shared" si="4"/>
        <v>0.22314925442943581</v>
      </c>
      <c r="E14" s="49">
        <v>2500000</v>
      </c>
      <c r="F14" s="49">
        <v>2481000</v>
      </c>
      <c r="G14" s="49">
        <v>129098494</v>
      </c>
      <c r="H14" s="49">
        <f t="shared" si="5"/>
        <v>0.32765965513109302</v>
      </c>
      <c r="I14" s="49">
        <f t="shared" si="13"/>
        <v>0.32765965513109302</v>
      </c>
      <c r="J14" s="48">
        <v>0.3</v>
      </c>
      <c r="K14" s="48">
        <f t="shared" si="6"/>
        <v>0.31842008117561621</v>
      </c>
      <c r="L14" s="48">
        <v>347400</v>
      </c>
      <c r="M14" s="48">
        <v>313500</v>
      </c>
      <c r="N14" s="51">
        <v>122666424</v>
      </c>
      <c r="O14" s="48">
        <f t="shared" si="7"/>
        <v>3.8941499327021099</v>
      </c>
      <c r="P14" s="48">
        <f t="shared" si="14"/>
        <v>3.8941499327021099</v>
      </c>
      <c r="Q14" s="49">
        <v>0.4</v>
      </c>
      <c r="R14" s="49">
        <f t="shared" si="8"/>
        <v>0.45843066439494812</v>
      </c>
      <c r="S14" s="49">
        <v>229700</v>
      </c>
      <c r="T14" s="49">
        <v>249200</v>
      </c>
      <c r="U14" s="49">
        <v>15956260</v>
      </c>
      <c r="V14" s="49">
        <f t="shared" si="9"/>
        <v>54.221307688347601</v>
      </c>
      <c r="W14" s="49">
        <f t="shared" si="15"/>
        <v>54.221307688347601</v>
      </c>
      <c r="X14" s="82">
        <f t="shared" si="10"/>
        <v>0</v>
      </c>
      <c r="Y14" s="82">
        <f t="shared" si="11"/>
        <v>359694129413599.69</v>
      </c>
      <c r="Z14" s="81">
        <f t="shared" si="16"/>
        <v>470300531950589.12</v>
      </c>
      <c r="AA14" s="80">
        <f t="shared" si="0"/>
        <v>1307.5012725876518</v>
      </c>
      <c r="AB14" s="52">
        <f t="shared" si="12"/>
        <v>-2.6849450003745543E-4</v>
      </c>
      <c r="AC14" s="48">
        <f t="shared" si="1"/>
        <v>-7.6E-3</v>
      </c>
      <c r="AD14" s="48">
        <f t="shared" si="2"/>
        <v>-9.7582037996545773E-2</v>
      </c>
      <c r="AE14" s="48">
        <f t="shared" si="3"/>
        <v>8.4893339138006091E-2</v>
      </c>
      <c r="AF14" s="48" t="e">
        <f>(#REF!-#REF!)/#REF!</f>
        <v>#REF!</v>
      </c>
    </row>
    <row r="15" spans="1:32" x14ac:dyDescent="0.3">
      <c r="A15" s="48">
        <v>20180118</v>
      </c>
      <c r="B15" s="48" t="s">
        <v>88</v>
      </c>
      <c r="C15" s="79">
        <v>0.3</v>
      </c>
      <c r="D15" s="79">
        <f t="shared" si="4"/>
        <v>0.22168152528220947</v>
      </c>
      <c r="E15" s="49">
        <v>2481000</v>
      </c>
      <c r="F15" s="49">
        <v>2495000</v>
      </c>
      <c r="G15" s="49">
        <v>129098494</v>
      </c>
      <c r="H15" s="49">
        <f t="shared" si="5"/>
        <v>0.32765965513109302</v>
      </c>
      <c r="I15" s="49">
        <f t="shared" si="13"/>
        <v>0.32765965513109302</v>
      </c>
      <c r="J15" s="48">
        <v>0.3</v>
      </c>
      <c r="K15" s="48">
        <f t="shared" si="6"/>
        <v>0.32037018883925766</v>
      </c>
      <c r="L15" s="48">
        <v>313500</v>
      </c>
      <c r="M15" s="48">
        <v>319300</v>
      </c>
      <c r="N15" s="51">
        <v>122666424</v>
      </c>
      <c r="O15" s="48">
        <f t="shared" si="7"/>
        <v>3.8941499327021099</v>
      </c>
      <c r="P15" s="48">
        <f t="shared" si="14"/>
        <v>3.8941499327021099</v>
      </c>
      <c r="Q15" s="49">
        <v>0.4</v>
      </c>
      <c r="R15" s="49">
        <f t="shared" si="8"/>
        <v>0.45794828587853298</v>
      </c>
      <c r="S15" s="49">
        <v>249200</v>
      </c>
      <c r="T15" s="49">
        <v>252000</v>
      </c>
      <c r="U15" s="49">
        <v>15956260</v>
      </c>
      <c r="V15" s="49">
        <f t="shared" si="9"/>
        <v>54.221307688347601</v>
      </c>
      <c r="W15" s="49">
        <f t="shared" si="15"/>
        <v>54.221307688347601</v>
      </c>
      <c r="X15" s="82">
        <f t="shared" si="10"/>
        <v>0</v>
      </c>
      <c r="Y15" s="82">
        <f t="shared" si="11"/>
        <v>359694129413599.69</v>
      </c>
      <c r="Z15" s="81">
        <f t="shared" si="16"/>
        <v>476085763486573.25</v>
      </c>
      <c r="AA15" s="80">
        <f t="shared" si="0"/>
        <v>1323.5850255958414</v>
      </c>
      <c r="AB15" s="52">
        <f t="shared" si="12"/>
        <v>1.2301137555574687E-2</v>
      </c>
      <c r="AC15" s="48">
        <f t="shared" si="1"/>
        <v>5.642885933091495E-3</v>
      </c>
      <c r="AD15" s="48">
        <f t="shared" si="2"/>
        <v>1.8500797448165868E-2</v>
      </c>
      <c r="AE15" s="48">
        <f t="shared" si="3"/>
        <v>1.1235955056179775E-2</v>
      </c>
      <c r="AF15" s="48" t="e">
        <f>(#REF!-#REF!)/#REF!</f>
        <v>#REF!</v>
      </c>
    </row>
    <row r="16" spans="1:32" x14ac:dyDescent="0.3">
      <c r="A16" s="48">
        <v>20180119</v>
      </c>
      <c r="B16" s="48" t="s">
        <v>88</v>
      </c>
      <c r="C16" s="79">
        <v>0.3</v>
      </c>
      <c r="D16" s="79">
        <f t="shared" si="4"/>
        <v>0.23390105357307839</v>
      </c>
      <c r="E16" s="49">
        <v>2495000</v>
      </c>
      <c r="F16" s="49">
        <v>2466000</v>
      </c>
      <c r="G16" s="49">
        <v>129098494</v>
      </c>
      <c r="H16" s="49">
        <f t="shared" si="5"/>
        <v>0.32765965513109302</v>
      </c>
      <c r="I16" s="49">
        <f t="shared" si="13"/>
        <v>0.32765965513109302</v>
      </c>
      <c r="J16" s="48">
        <v>0.3</v>
      </c>
      <c r="K16" s="48">
        <f t="shared" si="6"/>
        <v>0.30826493239435671</v>
      </c>
      <c r="L16" s="48">
        <v>319300</v>
      </c>
      <c r="M16" s="48">
        <v>287800</v>
      </c>
      <c r="N16" s="51">
        <v>122666424</v>
      </c>
      <c r="O16" s="48">
        <f t="shared" si="7"/>
        <v>3.8941499327021099</v>
      </c>
      <c r="P16" s="48">
        <f t="shared" si="14"/>
        <v>3.8941499327021099</v>
      </c>
      <c r="Q16" s="49">
        <v>0.4</v>
      </c>
      <c r="R16" s="49">
        <f t="shared" si="8"/>
        <v>0.45783401403256496</v>
      </c>
      <c r="S16" s="49">
        <v>252000</v>
      </c>
      <c r="T16" s="49">
        <v>236000</v>
      </c>
      <c r="U16" s="49">
        <v>15956260</v>
      </c>
      <c r="V16" s="49">
        <f t="shared" si="9"/>
        <v>54.221307688347601</v>
      </c>
      <c r="W16" s="49">
        <f t="shared" si="15"/>
        <v>54.221307688347601</v>
      </c>
      <c r="X16" s="82">
        <f t="shared" si="10"/>
        <v>0</v>
      </c>
      <c r="Y16" s="82">
        <f t="shared" si="11"/>
        <v>359694129413599.69</v>
      </c>
      <c r="Z16" s="81">
        <f t="shared" si="16"/>
        <v>445969378712612.5</v>
      </c>
      <c r="AA16" s="80">
        <f t="shared" si="0"/>
        <v>1239.8572627239294</v>
      </c>
      <c r="AB16" s="52">
        <f t="shared" si="12"/>
        <v>-6.3258318319384249E-2</v>
      </c>
      <c r="AC16" s="48">
        <f t="shared" si="1"/>
        <v>-1.1623246492985972E-2</v>
      </c>
      <c r="AD16" s="48">
        <f t="shared" si="2"/>
        <v>-9.8653304102724715E-2</v>
      </c>
      <c r="AE16" s="48">
        <f t="shared" si="3"/>
        <v>-6.3492063492063489E-2</v>
      </c>
      <c r="AF16" s="48" t="e">
        <f>(#REF!-#REF!)/#REF!</f>
        <v>#REF!</v>
      </c>
    </row>
    <row r="17" spans="1:32" x14ac:dyDescent="0.3">
      <c r="A17" s="48">
        <v>20180122</v>
      </c>
      <c r="B17" s="48" t="s">
        <v>88</v>
      </c>
      <c r="C17" s="79">
        <v>0.3</v>
      </c>
      <c r="D17" s="79">
        <f t="shared" si="4"/>
        <v>0.23225550329736044</v>
      </c>
      <c r="E17" s="49">
        <v>2466000</v>
      </c>
      <c r="F17" s="49">
        <v>2412000</v>
      </c>
      <c r="G17" s="49">
        <v>129098494</v>
      </c>
      <c r="H17" s="49">
        <f t="shared" si="5"/>
        <v>0.32765965513109302</v>
      </c>
      <c r="I17" s="49">
        <f t="shared" si="13"/>
        <v>0.32765965513109302</v>
      </c>
      <c r="J17" s="48">
        <v>0.3</v>
      </c>
      <c r="K17" s="48">
        <f t="shared" si="6"/>
        <v>0.3051199498460655</v>
      </c>
      <c r="L17" s="48">
        <v>287800</v>
      </c>
      <c r="M17" s="48">
        <v>280600</v>
      </c>
      <c r="N17" s="51">
        <v>122666424</v>
      </c>
      <c r="O17" s="48">
        <f t="shared" si="7"/>
        <v>3.8941499327021099</v>
      </c>
      <c r="P17" s="48">
        <f t="shared" si="14"/>
        <v>3.8941499327021099</v>
      </c>
      <c r="Q17" s="49">
        <v>0.4</v>
      </c>
      <c r="R17" s="49">
        <f t="shared" si="8"/>
        <v>0.462624546856574</v>
      </c>
      <c r="S17" s="49">
        <v>236000</v>
      </c>
      <c r="T17" s="49">
        <v>234900</v>
      </c>
      <c r="U17" s="49">
        <v>15956260</v>
      </c>
      <c r="V17" s="49">
        <f t="shared" si="9"/>
        <v>54.221307688347601</v>
      </c>
      <c r="W17" s="49">
        <f t="shared" si="15"/>
        <v>54.221307688347601</v>
      </c>
      <c r="X17" s="82">
        <f t="shared" si="10"/>
        <v>0</v>
      </c>
      <c r="Y17" s="82">
        <f t="shared" si="11"/>
        <v>359694129413599.69</v>
      </c>
      <c r="Z17" s="81">
        <f t="shared" si="16"/>
        <v>439294166211404.87</v>
      </c>
      <c r="AA17" s="80">
        <f t="shared" si="0"/>
        <v>1221.2992381265024</v>
      </c>
      <c r="AB17" s="52">
        <f t="shared" si="12"/>
        <v>-1.4967871831194154E-2</v>
      </c>
      <c r="AC17" s="48">
        <f t="shared" si="1"/>
        <v>-2.1897810218978103E-2</v>
      </c>
      <c r="AD17" s="48">
        <f t="shared" si="2"/>
        <v>-2.5017373175816541E-2</v>
      </c>
      <c r="AE17" s="48">
        <f t="shared" si="3"/>
        <v>-4.6610169491525426E-3</v>
      </c>
      <c r="AF17" s="48" t="e">
        <f>(#REF!-#REF!)/#REF!</f>
        <v>#REF!</v>
      </c>
    </row>
    <row r="18" spans="1:32" x14ac:dyDescent="0.3">
      <c r="A18" s="48">
        <v>20180123</v>
      </c>
      <c r="B18" s="48" t="s">
        <v>88</v>
      </c>
      <c r="C18" s="79">
        <v>0.3</v>
      </c>
      <c r="D18" s="79">
        <f t="shared" si="4"/>
        <v>0.227582537451855</v>
      </c>
      <c r="E18" s="49">
        <v>2412000</v>
      </c>
      <c r="F18" s="49">
        <v>2458000</v>
      </c>
      <c r="G18" s="49">
        <v>129098494</v>
      </c>
      <c r="H18" s="49">
        <f t="shared" si="5"/>
        <v>0.32765965513109302</v>
      </c>
      <c r="I18" s="49">
        <f t="shared" si="13"/>
        <v>0.32765965513109302</v>
      </c>
      <c r="J18" s="48">
        <v>0.3</v>
      </c>
      <c r="K18" s="48">
        <f t="shared" si="6"/>
        <v>0.31262411318268191</v>
      </c>
      <c r="L18" s="48">
        <v>280600</v>
      </c>
      <c r="M18" s="48">
        <v>299000</v>
      </c>
      <c r="N18" s="51">
        <v>122666424</v>
      </c>
      <c r="O18" s="48">
        <f t="shared" si="7"/>
        <v>3.8941499327021099</v>
      </c>
      <c r="P18" s="48">
        <f t="shared" si="14"/>
        <v>3.8941499327021099</v>
      </c>
      <c r="Q18" s="49">
        <v>0.4</v>
      </c>
      <c r="R18" s="49">
        <f t="shared" si="8"/>
        <v>0.45979334936546307</v>
      </c>
      <c r="S18" s="49">
        <v>234900</v>
      </c>
      <c r="T18" s="49">
        <v>242800</v>
      </c>
      <c r="U18" s="49">
        <v>15956260</v>
      </c>
      <c r="V18" s="49">
        <f t="shared" si="9"/>
        <v>54.221307688347601</v>
      </c>
      <c r="W18" s="49">
        <f t="shared" si="15"/>
        <v>54.221307688347601</v>
      </c>
      <c r="X18" s="82">
        <f t="shared" si="10"/>
        <v>0</v>
      </c>
      <c r="Y18" s="82">
        <f t="shared" si="11"/>
        <v>359694129413599.69</v>
      </c>
      <c r="Z18" s="81">
        <f t="shared" si="16"/>
        <v>456864159096701.87</v>
      </c>
      <c r="AA18" s="80">
        <f t="shared" si="0"/>
        <v>1270.1462763418353</v>
      </c>
      <c r="AB18" s="52">
        <f t="shared" si="12"/>
        <v>3.9995962242853213E-2</v>
      </c>
      <c r="AC18" s="48">
        <f t="shared" si="1"/>
        <v>1.9071310116086235E-2</v>
      </c>
      <c r="AD18" s="48">
        <f t="shared" si="2"/>
        <v>6.5573770491803282E-2</v>
      </c>
      <c r="AE18" s="48">
        <f t="shared" si="3"/>
        <v>3.3631332481907195E-2</v>
      </c>
      <c r="AF18" s="48" t="e">
        <f>(#REF!-#REF!)/#REF!</f>
        <v>#REF!</v>
      </c>
    </row>
    <row r="19" spans="1:32" x14ac:dyDescent="0.3">
      <c r="A19" s="48">
        <v>20180124</v>
      </c>
      <c r="B19" s="48" t="s">
        <v>88</v>
      </c>
      <c r="C19" s="79">
        <v>0.3</v>
      </c>
      <c r="D19" s="79">
        <f t="shared" si="4"/>
        <v>0.21421623880863869</v>
      </c>
      <c r="E19" s="49">
        <v>2458000</v>
      </c>
      <c r="F19" s="49">
        <v>2467000</v>
      </c>
      <c r="G19" s="49">
        <v>129098494</v>
      </c>
      <c r="H19" s="49">
        <f t="shared" si="5"/>
        <v>0.32765965513109302</v>
      </c>
      <c r="I19" s="49">
        <f t="shared" si="13"/>
        <v>0.32765965513109302</v>
      </c>
      <c r="J19" s="48">
        <v>0.3</v>
      </c>
      <c r="K19" s="48">
        <f t="shared" si="6"/>
        <v>0.28779654340606453</v>
      </c>
      <c r="L19" s="48">
        <v>299000</v>
      </c>
      <c r="M19" s="48">
        <v>293500</v>
      </c>
      <c r="N19" s="51">
        <v>122666424</v>
      </c>
      <c r="O19" s="48">
        <f t="shared" si="7"/>
        <v>3.8941499327021099</v>
      </c>
      <c r="P19" s="48">
        <f t="shared" si="14"/>
        <v>3.8941499327021099</v>
      </c>
      <c r="Q19" s="49">
        <v>0.4</v>
      </c>
      <c r="R19" s="49">
        <f t="shared" si="8"/>
        <v>0.49798721778529681</v>
      </c>
      <c r="S19" s="49">
        <v>242800</v>
      </c>
      <c r="T19" s="49">
        <v>280400</v>
      </c>
      <c r="U19" s="49">
        <v>15956260</v>
      </c>
      <c r="V19" s="49">
        <f t="shared" si="9"/>
        <v>54.221307688347601</v>
      </c>
      <c r="W19" s="49">
        <f t="shared" si="15"/>
        <v>54.221307688347601</v>
      </c>
      <c r="X19" s="82">
        <f t="shared" si="10"/>
        <v>0</v>
      </c>
      <c r="Y19" s="82">
        <f t="shared" si="11"/>
        <v>359694129413599.69</v>
      </c>
      <c r="Z19" s="81">
        <f t="shared" si="16"/>
        <v>487147979493069.75</v>
      </c>
      <c r="AA19" s="80">
        <f t="shared" si="0"/>
        <v>1354.3395336678275</v>
      </c>
      <c r="AB19" s="52">
        <f t="shared" si="12"/>
        <v>6.6286268671729862E-2</v>
      </c>
      <c r="AC19" s="48">
        <f t="shared" si="1"/>
        <v>3.6615134255492269E-3</v>
      </c>
      <c r="AD19" s="48">
        <f t="shared" si="2"/>
        <v>-1.839464882943144E-2</v>
      </c>
      <c r="AE19" s="48">
        <f t="shared" si="3"/>
        <v>0.15485996705107083</v>
      </c>
      <c r="AF19" s="48" t="e">
        <f>(#REF!-#REF!)/#REF!</f>
        <v>#REF!</v>
      </c>
    </row>
    <row r="20" spans="1:32" x14ac:dyDescent="0.3">
      <c r="A20" s="48">
        <v>20180125</v>
      </c>
      <c r="B20" s="48" t="s">
        <v>88</v>
      </c>
      <c r="C20" s="79">
        <v>0.3</v>
      </c>
      <c r="D20" s="79">
        <f t="shared" si="4"/>
        <v>0.21990907648654626</v>
      </c>
      <c r="E20" s="49">
        <v>2467000</v>
      </c>
      <c r="F20" s="49">
        <v>2513000</v>
      </c>
      <c r="G20" s="49">
        <v>129098494</v>
      </c>
      <c r="H20" s="49">
        <f t="shared" si="5"/>
        <v>0.32765965513109302</v>
      </c>
      <c r="I20" s="49">
        <f t="shared" si="13"/>
        <v>0.32765965513109302</v>
      </c>
      <c r="J20" s="48">
        <v>0.3</v>
      </c>
      <c r="K20" s="48">
        <f t="shared" si="6"/>
        <v>0.28628156917846925</v>
      </c>
      <c r="L20" s="48">
        <v>293500</v>
      </c>
      <c r="M20" s="48">
        <v>289700</v>
      </c>
      <c r="N20" s="51">
        <v>122666424</v>
      </c>
      <c r="O20" s="48">
        <f t="shared" si="7"/>
        <v>3.8941499327021099</v>
      </c>
      <c r="P20" s="48">
        <f t="shared" si="14"/>
        <v>3.8941499327021099</v>
      </c>
      <c r="Q20" s="49">
        <v>0.4</v>
      </c>
      <c r="R20" s="49">
        <f t="shared" si="8"/>
        <v>0.49380935433498457</v>
      </c>
      <c r="S20" s="49">
        <v>280400</v>
      </c>
      <c r="T20" s="49">
        <v>275900</v>
      </c>
      <c r="U20" s="49">
        <v>15956260</v>
      </c>
      <c r="V20" s="49">
        <f t="shared" si="9"/>
        <v>54.221307688347601</v>
      </c>
      <c r="W20" s="49">
        <f t="shared" si="15"/>
        <v>54.221307688347601</v>
      </c>
      <c r="X20" s="82">
        <f t="shared" si="10"/>
        <v>0</v>
      </c>
      <c r="Y20" s="82">
        <f t="shared" si="11"/>
        <v>359694129413599.69</v>
      </c>
      <c r="Z20" s="81">
        <f t="shared" si="16"/>
        <v>483385345150807.5</v>
      </c>
      <c r="AA20" s="80">
        <f t="shared" si="0"/>
        <v>1343.8788838140297</v>
      </c>
      <c r="AB20" s="52">
        <f t="shared" si="12"/>
        <v>-7.7238015975714981E-3</v>
      </c>
      <c r="AC20" s="48">
        <f t="shared" si="1"/>
        <v>1.8646128901499796E-2</v>
      </c>
      <c r="AD20" s="48">
        <f t="shared" si="2"/>
        <v>-1.2947189097103918E-2</v>
      </c>
      <c r="AE20" s="48">
        <f t="shared" si="3"/>
        <v>-1.6048502139800285E-2</v>
      </c>
      <c r="AF20" s="48" t="e">
        <f>(#REF!-#REF!)/#REF!</f>
        <v>#REF!</v>
      </c>
    </row>
    <row r="21" spans="1:32" x14ac:dyDescent="0.3">
      <c r="A21" s="48">
        <v>20180126</v>
      </c>
      <c r="B21" s="48" t="s">
        <v>88</v>
      </c>
      <c r="C21" s="79">
        <v>0.3</v>
      </c>
      <c r="D21" s="79">
        <f t="shared" si="4"/>
        <v>0.22003478757014458</v>
      </c>
      <c r="E21" s="49">
        <v>2513000</v>
      </c>
      <c r="F21" s="49">
        <v>2539000</v>
      </c>
      <c r="G21" s="49">
        <v>129098494</v>
      </c>
      <c r="H21" s="49">
        <f t="shared" si="5"/>
        <v>0.32765965513109302</v>
      </c>
      <c r="I21" s="49">
        <f t="shared" si="13"/>
        <v>0.32765965513109302</v>
      </c>
      <c r="J21" s="48">
        <v>0.3</v>
      </c>
      <c r="K21" s="48">
        <f t="shared" si="6"/>
        <v>0.29359194080521234</v>
      </c>
      <c r="L21" s="48">
        <v>289700</v>
      </c>
      <c r="M21" s="48">
        <v>300000</v>
      </c>
      <c r="N21" s="51">
        <v>122666424</v>
      </c>
      <c r="O21" s="48">
        <f t="shared" si="7"/>
        <v>3.8941499327021099</v>
      </c>
      <c r="P21" s="48">
        <f t="shared" si="14"/>
        <v>3.8941499327021099</v>
      </c>
      <c r="Q21" s="49">
        <v>0.4</v>
      </c>
      <c r="R21" s="49">
        <f t="shared" si="8"/>
        <v>0.48637327162464306</v>
      </c>
      <c r="S21" s="49">
        <v>275900</v>
      </c>
      <c r="T21" s="49">
        <v>274400</v>
      </c>
      <c r="U21" s="49">
        <v>15956260</v>
      </c>
      <c r="V21" s="49">
        <f t="shared" si="9"/>
        <v>54.221307688347601</v>
      </c>
      <c r="W21" s="49">
        <f t="shared" si="15"/>
        <v>54.221307688347601</v>
      </c>
      <c r="X21" s="82">
        <f t="shared" si="10"/>
        <v>0</v>
      </c>
      <c r="Y21" s="82">
        <f t="shared" si="11"/>
        <v>359694129413599.69</v>
      </c>
      <c r="Z21" s="81">
        <f t="shared" si="16"/>
        <v>488107519696529.62</v>
      </c>
      <c r="AA21" s="80">
        <f t="shared" si="0"/>
        <v>1357.0071896705101</v>
      </c>
      <c r="AB21" s="52">
        <f t="shared" si="12"/>
        <v>9.7689650567477585E-3</v>
      </c>
      <c r="AC21" s="48">
        <f t="shared" si="1"/>
        <v>1.0346199761241544E-2</v>
      </c>
      <c r="AD21" s="48">
        <f t="shared" si="2"/>
        <v>3.5554021401449774E-2</v>
      </c>
      <c r="AE21" s="48">
        <f t="shared" si="3"/>
        <v>-5.4367524465386008E-3</v>
      </c>
      <c r="AF21" s="48" t="e">
        <f>(#REF!-#REF!)/#REF!</f>
        <v>#REF!</v>
      </c>
    </row>
    <row r="22" spans="1:32" x14ac:dyDescent="0.3">
      <c r="A22" s="48">
        <v>20180129</v>
      </c>
      <c r="B22" s="48" t="s">
        <v>88</v>
      </c>
      <c r="C22" s="79">
        <v>0.3</v>
      </c>
      <c r="D22" s="79">
        <f t="shared" si="4"/>
        <v>0.20992264412834752</v>
      </c>
      <c r="E22" s="49">
        <v>2539000</v>
      </c>
      <c r="F22" s="49">
        <v>2561000</v>
      </c>
      <c r="G22" s="49">
        <v>129098494</v>
      </c>
      <c r="H22" s="49">
        <f t="shared" si="5"/>
        <v>0.32765965513109302</v>
      </c>
      <c r="I22" s="49">
        <f t="shared" si="13"/>
        <v>0.32765965513109302</v>
      </c>
      <c r="J22" s="48">
        <v>0.3</v>
      </c>
      <c r="K22" s="48">
        <f t="shared" si="6"/>
        <v>0.30388888798275665</v>
      </c>
      <c r="L22" s="48">
        <v>300000</v>
      </c>
      <c r="M22" s="48">
        <v>328300</v>
      </c>
      <c r="N22" s="51">
        <v>122666424</v>
      </c>
      <c r="O22" s="48">
        <f t="shared" si="7"/>
        <v>3.8941499327021099</v>
      </c>
      <c r="P22" s="48">
        <f t="shared" si="14"/>
        <v>3.8941499327021099</v>
      </c>
      <c r="Q22" s="49">
        <v>0.4</v>
      </c>
      <c r="R22" s="49">
        <f t="shared" si="8"/>
        <v>0.48618846788889586</v>
      </c>
      <c r="S22" s="49">
        <v>274400</v>
      </c>
      <c r="T22" s="49">
        <v>290000</v>
      </c>
      <c r="U22" s="49">
        <v>15956260</v>
      </c>
      <c r="V22" s="49">
        <f t="shared" si="9"/>
        <v>54.221307688347601</v>
      </c>
      <c r="W22" s="49">
        <f t="shared" si="15"/>
        <v>54.221307688347601</v>
      </c>
      <c r="X22" s="82">
        <f t="shared" si="10"/>
        <v>0</v>
      </c>
      <c r="Y22" s="82">
        <f t="shared" si="11"/>
        <v>359694129413599.69</v>
      </c>
      <c r="Z22" s="81">
        <f t="shared" si="16"/>
        <v>516053153551484.25</v>
      </c>
      <c r="AA22" s="80">
        <f t="shared" si="0"/>
        <v>1434.6999613054368</v>
      </c>
      <c r="AB22" s="52">
        <f t="shared" si="12"/>
        <v>5.7253028743194025E-2</v>
      </c>
      <c r="AC22" s="48">
        <f t="shared" si="1"/>
        <v>8.6648286727057898E-3</v>
      </c>
      <c r="AD22" s="48">
        <f t="shared" si="2"/>
        <v>9.4333333333333338E-2</v>
      </c>
      <c r="AE22" s="48">
        <f t="shared" si="3"/>
        <v>5.6851311953352766E-2</v>
      </c>
      <c r="AF22" s="48" t="e">
        <f>(#REF!-#REF!)/#REF!</f>
        <v>#REF!</v>
      </c>
    </row>
    <row r="23" spans="1:32" x14ac:dyDescent="0.3">
      <c r="A23" s="48">
        <v>20180130</v>
      </c>
      <c r="B23" s="48" t="s">
        <v>88</v>
      </c>
      <c r="C23" s="79">
        <v>0.3</v>
      </c>
      <c r="D23" s="79">
        <f t="shared" si="4"/>
        <v>0.20551896042435433</v>
      </c>
      <c r="E23" s="49">
        <v>2561000</v>
      </c>
      <c r="F23" s="49">
        <v>2490000</v>
      </c>
      <c r="G23" s="49">
        <v>129098494</v>
      </c>
      <c r="H23" s="49">
        <f t="shared" si="5"/>
        <v>0.32765965513109302</v>
      </c>
      <c r="I23" s="49">
        <f t="shared" si="13"/>
        <v>0.32765965513109302</v>
      </c>
      <c r="J23" s="48">
        <v>0.3</v>
      </c>
      <c r="K23" s="48">
        <f t="shared" si="6"/>
        <v>0.30441283203231628</v>
      </c>
      <c r="L23" s="48">
        <v>328300</v>
      </c>
      <c r="M23" s="48">
        <v>326600</v>
      </c>
      <c r="N23" s="51">
        <v>122666424</v>
      </c>
      <c r="O23" s="48">
        <f t="shared" si="7"/>
        <v>3.8941499327021099</v>
      </c>
      <c r="P23" s="48">
        <f t="shared" si="14"/>
        <v>3.8941499327021099</v>
      </c>
      <c r="Q23" s="49">
        <v>0.4</v>
      </c>
      <c r="R23" s="49">
        <f t="shared" si="8"/>
        <v>0.49006820754332941</v>
      </c>
      <c r="S23" s="49">
        <v>290000</v>
      </c>
      <c r="T23" s="49">
        <v>290300</v>
      </c>
      <c r="U23" s="49">
        <v>15956260</v>
      </c>
      <c r="V23" s="49">
        <f t="shared" si="9"/>
        <v>54.221307688347601</v>
      </c>
      <c r="W23" s="49">
        <f t="shared" si="15"/>
        <v>54.221307688347601</v>
      </c>
      <c r="X23" s="82">
        <f t="shared" si="10"/>
        <v>0</v>
      </c>
      <c r="Y23" s="82">
        <f t="shared" si="11"/>
        <v>359694129413599.69</v>
      </c>
      <c r="Z23" s="81">
        <f t="shared" si="16"/>
        <v>512497319747328.5</v>
      </c>
      <c r="AA23" s="80">
        <f t="shared" si="0"/>
        <v>1424.814245878408</v>
      </c>
      <c r="AB23" s="52">
        <f t="shared" si="12"/>
        <v>-6.8904409936930396E-3</v>
      </c>
      <c r="AC23" s="48">
        <f t="shared" si="1"/>
        <v>-2.7723545490042953E-2</v>
      </c>
      <c r="AD23" s="48">
        <f t="shared" si="2"/>
        <v>-5.1781906792567776E-3</v>
      </c>
      <c r="AE23" s="48">
        <f t="shared" si="3"/>
        <v>1.0344827586206897E-3</v>
      </c>
      <c r="AF23" s="48" t="e">
        <f>(#REF!-#REF!)/#REF!</f>
        <v>#REF!</v>
      </c>
    </row>
    <row r="24" spans="1:32" x14ac:dyDescent="0.3">
      <c r="A24" s="48">
        <v>20180131</v>
      </c>
      <c r="B24" s="48" t="s">
        <v>88</v>
      </c>
      <c r="C24" s="79">
        <v>0.3</v>
      </c>
      <c r="D24" s="79">
        <f t="shared" si="4"/>
        <v>0.21656056936014373</v>
      </c>
      <c r="E24" s="49">
        <v>2490000</v>
      </c>
      <c r="F24" s="49">
        <v>2495000</v>
      </c>
      <c r="G24" s="49">
        <v>129098494</v>
      </c>
      <c r="H24" s="49">
        <f t="shared" si="5"/>
        <v>0.32765965513109302</v>
      </c>
      <c r="I24" s="49">
        <f t="shared" si="13"/>
        <v>0.32765965513109302</v>
      </c>
      <c r="J24" s="48">
        <v>0.3</v>
      </c>
      <c r="K24" s="48">
        <f t="shared" si="6"/>
        <v>0.30944084916462467</v>
      </c>
      <c r="L24" s="48">
        <v>326600</v>
      </c>
      <c r="M24" s="48">
        <v>315700</v>
      </c>
      <c r="N24" s="51">
        <v>122666424</v>
      </c>
      <c r="O24" s="48">
        <f t="shared" si="7"/>
        <v>3.8941499327021099</v>
      </c>
      <c r="P24" s="48">
        <f t="shared" si="14"/>
        <v>3.8941499327021099</v>
      </c>
      <c r="Q24" s="49">
        <v>0.4</v>
      </c>
      <c r="R24" s="49">
        <f t="shared" si="8"/>
        <v>0.47399858147523161</v>
      </c>
      <c r="S24" s="49">
        <v>290300</v>
      </c>
      <c r="T24" s="49">
        <v>267000</v>
      </c>
      <c r="U24" s="49">
        <v>15956260</v>
      </c>
      <c r="V24" s="49">
        <f t="shared" si="9"/>
        <v>54.221307688347601</v>
      </c>
      <c r="W24" s="49">
        <f t="shared" si="15"/>
        <v>54.221307688347601</v>
      </c>
      <c r="X24" s="82">
        <f t="shared" si="10"/>
        <v>0</v>
      </c>
      <c r="Y24" s="82">
        <f t="shared" si="11"/>
        <v>359694129413599.69</v>
      </c>
      <c r="Z24" s="81">
        <f t="shared" si="16"/>
        <v>487343649523450.5</v>
      </c>
      <c r="AA24" s="80">
        <f t="shared" si="0"/>
        <v>1354.8835237259909</v>
      </c>
      <c r="AB24" s="52">
        <f t="shared" si="12"/>
        <v>-4.9080588823916672E-2</v>
      </c>
      <c r="AC24" s="48">
        <f t="shared" si="1"/>
        <v>2.008032128514056E-3</v>
      </c>
      <c r="AD24" s="48">
        <f t="shared" si="2"/>
        <v>-3.3374157991426824E-2</v>
      </c>
      <c r="AE24" s="48">
        <f t="shared" si="3"/>
        <v>-8.0261798139855317E-2</v>
      </c>
      <c r="AF24" s="48" t="e">
        <f>(#REF!-#REF!)/#REF!</f>
        <v>#REF!</v>
      </c>
    </row>
    <row r="25" spans="1:32" x14ac:dyDescent="0.3">
      <c r="A25" s="48">
        <v>20180201</v>
      </c>
      <c r="B25" s="48" t="s">
        <v>88</v>
      </c>
      <c r="C25" s="79">
        <v>0.3</v>
      </c>
      <c r="D25" s="79">
        <f t="shared" si="4"/>
        <v>0.22862253036865848</v>
      </c>
      <c r="E25" s="49">
        <v>2495000</v>
      </c>
      <c r="F25" s="49">
        <v>2491000</v>
      </c>
      <c r="G25" s="49">
        <v>129098494</v>
      </c>
      <c r="H25" s="49">
        <f t="shared" si="5"/>
        <v>0.32765965513109302</v>
      </c>
      <c r="I25" s="49">
        <f t="shared" si="13"/>
        <v>0.32765965513109302</v>
      </c>
      <c r="J25" s="48">
        <v>0.3</v>
      </c>
      <c r="K25" s="48">
        <f t="shared" si="6"/>
        <v>0.31072139343271943</v>
      </c>
      <c r="L25" s="48">
        <v>315700</v>
      </c>
      <c r="M25" s="48">
        <v>299800</v>
      </c>
      <c r="N25" s="51">
        <v>122666424</v>
      </c>
      <c r="O25" s="48">
        <f t="shared" si="7"/>
        <v>3.8941499327021099</v>
      </c>
      <c r="P25" s="48">
        <f t="shared" si="14"/>
        <v>3.8941499327021099</v>
      </c>
      <c r="Q25" s="49">
        <v>0.4</v>
      </c>
      <c r="R25" s="49">
        <f t="shared" si="8"/>
        <v>0.46065607619862214</v>
      </c>
      <c r="S25" s="49">
        <v>267000</v>
      </c>
      <c r="T25" s="49">
        <v>245400</v>
      </c>
      <c r="U25" s="49">
        <v>15956260</v>
      </c>
      <c r="V25" s="49">
        <f t="shared" si="9"/>
        <v>54.221307688347601</v>
      </c>
      <c r="W25" s="49">
        <f t="shared" si="15"/>
        <v>54.221307688347601</v>
      </c>
      <c r="X25" s="82">
        <f t="shared" si="10"/>
        <v>0</v>
      </c>
      <c r="Y25" s="82">
        <f t="shared" si="11"/>
        <v>359694129413599.69</v>
      </c>
      <c r="Z25" s="81">
        <f t="shared" si="16"/>
        <v>460891656534678.56</v>
      </c>
      <c r="AA25" s="80">
        <f t="shared" si="0"/>
        <v>1281.3432826553458</v>
      </c>
      <c r="AB25" s="52">
        <f t="shared" si="12"/>
        <v>-5.4277906390363478E-2</v>
      </c>
      <c r="AC25" s="48">
        <f t="shared" si="1"/>
        <v>-1.6032064128256513E-3</v>
      </c>
      <c r="AD25" s="48">
        <f t="shared" si="2"/>
        <v>-5.0364269876465001E-2</v>
      </c>
      <c r="AE25" s="48">
        <f t="shared" si="3"/>
        <v>-8.0898876404494377E-2</v>
      </c>
      <c r="AF25" s="48" t="e">
        <f>(#REF!-#REF!)/#REF!</f>
        <v>#REF!</v>
      </c>
    </row>
    <row r="26" spans="1:32" x14ac:dyDescent="0.3">
      <c r="A26" s="48">
        <v>20180202</v>
      </c>
      <c r="B26" s="48" t="s">
        <v>88</v>
      </c>
      <c r="C26" s="79">
        <v>0.3</v>
      </c>
      <c r="D26" s="79">
        <f t="shared" si="4"/>
        <v>0.21742428379899162</v>
      </c>
      <c r="E26" s="49">
        <v>2491000</v>
      </c>
      <c r="F26" s="49">
        <v>2385000</v>
      </c>
      <c r="G26" s="49">
        <v>129098494</v>
      </c>
      <c r="H26" s="49">
        <f t="shared" si="5"/>
        <v>0.32765965513109302</v>
      </c>
      <c r="I26" s="49">
        <f t="shared" si="13"/>
        <v>0.32765965513109302</v>
      </c>
      <c r="J26" s="48">
        <v>0.3</v>
      </c>
      <c r="K26" s="48">
        <f t="shared" si="6"/>
        <v>0.31028239889921427</v>
      </c>
      <c r="L26" s="48">
        <v>299800</v>
      </c>
      <c r="M26" s="48">
        <v>301400</v>
      </c>
      <c r="N26" s="51">
        <v>122666424</v>
      </c>
      <c r="O26" s="48">
        <f t="shared" si="7"/>
        <v>3.8941499327021099</v>
      </c>
      <c r="P26" s="48">
        <f t="shared" si="14"/>
        <v>3.8941499327021099</v>
      </c>
      <c r="Q26" s="49">
        <v>0.4</v>
      </c>
      <c r="R26" s="49">
        <f t="shared" si="8"/>
        <v>0.47229331730179419</v>
      </c>
      <c r="S26" s="49">
        <v>245400</v>
      </c>
      <c r="T26" s="49">
        <v>253300</v>
      </c>
      <c r="U26" s="49">
        <v>15956260</v>
      </c>
      <c r="V26" s="49">
        <f t="shared" si="9"/>
        <v>54.221307688347601</v>
      </c>
      <c r="W26" s="49">
        <f t="shared" si="15"/>
        <v>54.221307688347601</v>
      </c>
      <c r="X26" s="82">
        <f t="shared" si="10"/>
        <v>0</v>
      </c>
      <c r="Y26" s="82">
        <f t="shared" si="11"/>
        <v>359694129413599.69</v>
      </c>
      <c r="Z26" s="81">
        <f t="shared" si="16"/>
        <v>464006945174992</v>
      </c>
      <c r="AA26" s="80">
        <f t="shared" si="0"/>
        <v>1290.0042208958232</v>
      </c>
      <c r="AB26" s="52">
        <f t="shared" si="12"/>
        <v>6.7592645606486109E-3</v>
      </c>
      <c r="AC26" s="48">
        <f t="shared" si="1"/>
        <v>-4.2553191489361701E-2</v>
      </c>
      <c r="AD26" s="48">
        <f t="shared" si="2"/>
        <v>5.3368912608405599E-3</v>
      </c>
      <c r="AE26" s="48">
        <f t="shared" si="3"/>
        <v>3.2192339038304811E-2</v>
      </c>
      <c r="AF26" s="48" t="e">
        <f>(#REF!-#REF!)/#REF!</f>
        <v>#REF!</v>
      </c>
    </row>
    <row r="27" spans="1:32" x14ac:dyDescent="0.3">
      <c r="A27" s="48">
        <v>20180205</v>
      </c>
      <c r="B27" s="48" t="s">
        <v>88</v>
      </c>
      <c r="C27" s="79">
        <v>0.3</v>
      </c>
      <c r="D27" s="79">
        <f t="shared" si="4"/>
        <v>0.23856147116777177</v>
      </c>
      <c r="E27" s="49">
        <v>2385000</v>
      </c>
      <c r="F27" s="49">
        <v>2396000</v>
      </c>
      <c r="G27" s="49">
        <v>129098494</v>
      </c>
      <c r="H27" s="49">
        <f t="shared" si="5"/>
        <v>0.32765965513109302</v>
      </c>
      <c r="I27" s="49">
        <f t="shared" si="13"/>
        <v>0.32765965513109302</v>
      </c>
      <c r="J27" s="48">
        <v>0.3</v>
      </c>
      <c r="K27" s="48">
        <f t="shared" si="6"/>
        <v>0.32156868630728425</v>
      </c>
      <c r="L27" s="48">
        <v>301400</v>
      </c>
      <c r="M27" s="48">
        <v>286000</v>
      </c>
      <c r="N27" s="51">
        <v>122666424</v>
      </c>
      <c r="O27" s="48">
        <f t="shared" si="7"/>
        <v>3.8941499327021099</v>
      </c>
      <c r="P27" s="48">
        <f t="shared" si="14"/>
        <v>3.8941499327021099</v>
      </c>
      <c r="Q27" s="49">
        <v>0.4</v>
      </c>
      <c r="R27" s="49">
        <f t="shared" si="8"/>
        <v>0.43986984252494404</v>
      </c>
      <c r="S27" s="49">
        <v>253300</v>
      </c>
      <c r="T27" s="49">
        <v>216000</v>
      </c>
      <c r="U27" s="49">
        <v>15956260</v>
      </c>
      <c r="V27" s="49">
        <f t="shared" si="9"/>
        <v>54.221307688347601</v>
      </c>
      <c r="W27" s="49">
        <f t="shared" si="15"/>
        <v>54.221307688347601</v>
      </c>
      <c r="X27" s="82">
        <f t="shared" si="10"/>
        <v>0</v>
      </c>
      <c r="Y27" s="82">
        <f t="shared" si="11"/>
        <v>359694129413599.69</v>
      </c>
      <c r="Z27" s="81">
        <f t="shared" si="16"/>
        <v>424845140686592.25</v>
      </c>
      <c r="AA27" s="80">
        <f t="shared" si="0"/>
        <v>1181.1289257881597</v>
      </c>
      <c r="AB27" s="52">
        <f t="shared" si="12"/>
        <v>-8.439917741668844E-2</v>
      </c>
      <c r="AC27" s="48">
        <f t="shared" si="1"/>
        <v>4.6121593291404616E-3</v>
      </c>
      <c r="AD27" s="48">
        <f t="shared" si="2"/>
        <v>-5.1094890510948905E-2</v>
      </c>
      <c r="AE27" s="48">
        <f t="shared" si="3"/>
        <v>-0.14725621792341098</v>
      </c>
      <c r="AF27" s="48" t="e">
        <f>(#REF!-#REF!)/#REF!</f>
        <v>#REF!</v>
      </c>
    </row>
    <row r="28" spans="1:32" x14ac:dyDescent="0.3">
      <c r="A28" s="48">
        <v>20180206</v>
      </c>
      <c r="B28" s="48" t="s">
        <v>88</v>
      </c>
      <c r="C28" s="79">
        <v>0.3</v>
      </c>
      <c r="D28" s="79">
        <f t="shared" si="4"/>
        <v>0.22999116132254543</v>
      </c>
      <c r="E28" s="49">
        <v>2396000</v>
      </c>
      <c r="F28" s="49">
        <v>2371000</v>
      </c>
      <c r="G28" s="49">
        <v>129098494</v>
      </c>
      <c r="H28" s="49">
        <f t="shared" si="5"/>
        <v>0.32765965513109302</v>
      </c>
      <c r="I28" s="49">
        <f t="shared" si="13"/>
        <v>0.32765965513109302</v>
      </c>
      <c r="J28" s="48">
        <v>0.3</v>
      </c>
      <c r="K28" s="48">
        <f t="shared" si="6"/>
        <v>0.31131345653537457</v>
      </c>
      <c r="L28" s="48">
        <v>286000</v>
      </c>
      <c r="M28" s="48">
        <v>284200</v>
      </c>
      <c r="N28" s="51">
        <v>122666424</v>
      </c>
      <c r="O28" s="48">
        <f t="shared" si="7"/>
        <v>3.8941499327021099</v>
      </c>
      <c r="P28" s="48">
        <f t="shared" si="14"/>
        <v>3.8941499327021099</v>
      </c>
      <c r="Q28" s="49">
        <v>0.4</v>
      </c>
      <c r="R28" s="49">
        <f t="shared" si="8"/>
        <v>0.45869538214208005</v>
      </c>
      <c r="S28" s="49">
        <v>216000</v>
      </c>
      <c r="T28" s="49">
        <v>231200</v>
      </c>
      <c r="U28" s="49">
        <v>15956260</v>
      </c>
      <c r="V28" s="49">
        <f t="shared" si="9"/>
        <v>54.221307688347601</v>
      </c>
      <c r="W28" s="49">
        <f t="shared" si="15"/>
        <v>54.221307688347601</v>
      </c>
      <c r="X28" s="82">
        <f t="shared" si="10"/>
        <v>0</v>
      </c>
      <c r="Y28" s="82">
        <f t="shared" si="11"/>
        <v>359694129413599.69</v>
      </c>
      <c r="Z28" s="81">
        <f t="shared" si="16"/>
        <v>436078377983698.87</v>
      </c>
      <c r="AA28" s="80">
        <f t="shared" si="0"/>
        <v>1212.3588969734549</v>
      </c>
      <c r="AB28" s="52">
        <f t="shared" si="12"/>
        <v>2.6440780937149296E-2</v>
      </c>
      <c r="AC28" s="48">
        <f t="shared" si="1"/>
        <v>-1.0434056761268781E-2</v>
      </c>
      <c r="AD28" s="48">
        <f t="shared" si="2"/>
        <v>-6.2937062937062941E-3</v>
      </c>
      <c r="AE28" s="48">
        <f t="shared" si="3"/>
        <v>7.0370370370370375E-2</v>
      </c>
      <c r="AF28" s="48" t="e">
        <f>(#REF!-#REF!)/#REF!</f>
        <v>#REF!</v>
      </c>
    </row>
    <row r="29" spans="1:32" x14ac:dyDescent="0.3">
      <c r="A29" s="48">
        <v>20180207</v>
      </c>
      <c r="B29" s="48" t="s">
        <v>88</v>
      </c>
      <c r="C29" s="79">
        <v>0.3</v>
      </c>
      <c r="D29" s="79">
        <f t="shared" si="4"/>
        <v>0.2416622113909746</v>
      </c>
      <c r="E29" s="49">
        <v>2371000</v>
      </c>
      <c r="F29" s="49">
        <v>2290000</v>
      </c>
      <c r="G29" s="49">
        <v>129098494</v>
      </c>
      <c r="H29" s="49">
        <f t="shared" si="5"/>
        <v>0.32765965513109302</v>
      </c>
      <c r="I29" s="49">
        <f t="shared" si="13"/>
        <v>0.32765965513109302</v>
      </c>
      <c r="J29" s="48">
        <v>0.3</v>
      </c>
      <c r="K29" s="48">
        <f t="shared" si="6"/>
        <v>0.30507558726210021</v>
      </c>
      <c r="L29" s="48">
        <v>284200</v>
      </c>
      <c r="M29" s="48">
        <v>256000</v>
      </c>
      <c r="N29" s="51">
        <v>122666424</v>
      </c>
      <c r="O29" s="48">
        <f t="shared" si="7"/>
        <v>3.8941499327021099</v>
      </c>
      <c r="P29" s="48">
        <f t="shared" si="14"/>
        <v>3.8941499327021099</v>
      </c>
      <c r="Q29" s="49">
        <v>0.4</v>
      </c>
      <c r="R29" s="49">
        <f t="shared" si="8"/>
        <v>0.45326220134692519</v>
      </c>
      <c r="S29" s="49">
        <v>231200</v>
      </c>
      <c r="T29" s="49">
        <v>210000</v>
      </c>
      <c r="U29" s="49">
        <v>15956260</v>
      </c>
      <c r="V29" s="49">
        <f t="shared" si="9"/>
        <v>54.221307688347601</v>
      </c>
      <c r="W29" s="49">
        <f t="shared" si="15"/>
        <v>54.221307688347601</v>
      </c>
      <c r="X29" s="82">
        <f t="shared" si="10"/>
        <v>0</v>
      </c>
      <c r="Y29" s="82">
        <f t="shared" si="11"/>
        <v>359694129413599.69</v>
      </c>
      <c r="Z29" s="81">
        <f t="shared" si="16"/>
        <v>400839842575238.12</v>
      </c>
      <c r="AA29" s="80">
        <f t="shared" si="0"/>
        <v>1114.3908387626932</v>
      </c>
      <c r="AB29" s="52">
        <f t="shared" si="12"/>
        <v>-8.0807802421651004E-2</v>
      </c>
      <c r="AC29" s="48">
        <f t="shared" si="1"/>
        <v>-3.4162800506115566E-2</v>
      </c>
      <c r="AD29" s="48">
        <f t="shared" si="2"/>
        <v>-9.9225897255453901E-2</v>
      </c>
      <c r="AE29" s="48">
        <f t="shared" si="3"/>
        <v>-9.1695501730103809E-2</v>
      </c>
      <c r="AF29" s="48" t="e">
        <f>(#REF!-#REF!)/#REF!</f>
        <v>#REF!</v>
      </c>
    </row>
    <row r="30" spans="1:32" s="64" customFormat="1" x14ac:dyDescent="0.3">
      <c r="A30" s="65">
        <v>20180208</v>
      </c>
      <c r="B30" s="48" t="s">
        <v>88</v>
      </c>
      <c r="C30" s="79">
        <v>0.3</v>
      </c>
      <c r="D30" s="79">
        <f t="shared" si="4"/>
        <v>0.23277384293567302</v>
      </c>
      <c r="E30" s="49">
        <v>2290000</v>
      </c>
      <c r="F30" s="49">
        <v>2300000</v>
      </c>
      <c r="G30" s="49">
        <v>128386494</v>
      </c>
      <c r="H30" s="49">
        <f t="shared" si="5"/>
        <v>0.32765965513109302</v>
      </c>
      <c r="I30" s="49">
        <f t="shared" si="13"/>
        <v>0.27022834491970299</v>
      </c>
      <c r="J30" s="48">
        <v>0.3</v>
      </c>
      <c r="K30" s="48">
        <f t="shared" si="6"/>
        <v>0.31017758589114841</v>
      </c>
      <c r="L30" s="48">
        <v>256000</v>
      </c>
      <c r="M30" s="48">
        <v>271400</v>
      </c>
      <c r="N30" s="51">
        <v>122666424</v>
      </c>
      <c r="O30" s="48">
        <f t="shared" si="7"/>
        <v>3.8941499327021099</v>
      </c>
      <c r="P30" s="48">
        <f t="shared" si="14"/>
        <v>3.1938812395917999</v>
      </c>
      <c r="Q30" s="49">
        <v>0.4</v>
      </c>
      <c r="R30" s="49">
        <f t="shared" si="8"/>
        <v>0.45704857117317849</v>
      </c>
      <c r="S30" s="49">
        <v>210000</v>
      </c>
      <c r="T30" s="49">
        <v>220800</v>
      </c>
      <c r="U30" s="49">
        <v>15956260</v>
      </c>
      <c r="V30" s="49">
        <f t="shared" si="9"/>
        <v>54.221307688347601</v>
      </c>
      <c r="W30" s="49">
        <f t="shared" si="15"/>
        <v>44.470916735294502</v>
      </c>
      <c r="X30" s="82">
        <f t="shared" si="10"/>
        <v>1</v>
      </c>
      <c r="Y30" s="82">
        <f t="shared" si="11"/>
        <v>295011838727084.5</v>
      </c>
      <c r="Z30" s="81">
        <f t="shared" si="16"/>
        <v>342802436459655</v>
      </c>
      <c r="AA30" s="80">
        <f t="shared" si="0"/>
        <v>1161.995525124609</v>
      </c>
      <c r="AB30" s="52">
        <f t="shared" si="12"/>
        <v>4.2718124293601729E-2</v>
      </c>
      <c r="AC30" s="48">
        <f t="shared" si="1"/>
        <v>4.3668122270742356E-3</v>
      </c>
      <c r="AD30" s="48">
        <f t="shared" si="2"/>
        <v>6.0156250000000001E-2</v>
      </c>
      <c r="AE30" s="48">
        <f t="shared" si="3"/>
        <v>5.1428571428571428E-2</v>
      </c>
      <c r="AF30" s="48" t="e">
        <f>(#REF!-#REF!)/#REF!</f>
        <v>#REF!</v>
      </c>
    </row>
    <row r="31" spans="1:32" s="47" customFormat="1" x14ac:dyDescent="0.3">
      <c r="A31" s="48">
        <v>20180209</v>
      </c>
      <c r="B31" s="48" t="s">
        <v>88</v>
      </c>
      <c r="C31" s="79">
        <v>0.3</v>
      </c>
      <c r="D31" s="79">
        <f t="shared" si="4"/>
        <v>0.23145177975666004</v>
      </c>
      <c r="E31" s="49">
        <v>2300000</v>
      </c>
      <c r="F31" s="49">
        <v>2235000</v>
      </c>
      <c r="G31" s="49">
        <v>128386494</v>
      </c>
      <c r="H31" s="49">
        <f t="shared" si="5"/>
        <v>0.27022834491970299</v>
      </c>
      <c r="I31" s="49">
        <f t="shared" si="13"/>
        <v>0.26180432470833498</v>
      </c>
      <c r="J31" s="48">
        <v>0.3</v>
      </c>
      <c r="K31" s="48">
        <f t="shared" si="6"/>
        <v>0.33667411100715755</v>
      </c>
      <c r="L31" s="74">
        <v>271500</v>
      </c>
      <c r="M31" s="74">
        <v>288000</v>
      </c>
      <c r="N31" s="67">
        <v>122666424</v>
      </c>
      <c r="O31" s="48">
        <f t="shared" si="7"/>
        <v>3.1938812395917999</v>
      </c>
      <c r="P31" s="48">
        <f t="shared" si="14"/>
        <v>3.0931763989707699</v>
      </c>
      <c r="Q31" s="49">
        <v>0.4</v>
      </c>
      <c r="R31" s="49">
        <f t="shared" si="8"/>
        <v>0.43187410923618236</v>
      </c>
      <c r="S31" s="49">
        <v>220800</v>
      </c>
      <c r="T31" s="49">
        <v>203900</v>
      </c>
      <c r="U31" s="49">
        <v>15956260</v>
      </c>
      <c r="V31" s="49">
        <f t="shared" si="9"/>
        <v>44.470916735294502</v>
      </c>
      <c r="W31" s="49">
        <f t="shared" si="15"/>
        <v>43.084593248365302</v>
      </c>
      <c r="X31" s="82">
        <f t="shared" si="10"/>
        <v>1</v>
      </c>
      <c r="Y31" s="82">
        <f t="shared" si="11"/>
        <v>285815225052940.5</v>
      </c>
      <c r="Z31" s="81">
        <f t="shared" si="16"/>
        <v>324573574487300.06</v>
      </c>
      <c r="AA31" s="80">
        <f t="shared" si="0"/>
        <v>1135.6063149791285</v>
      </c>
      <c r="AB31" s="52">
        <f t="shared" si="12"/>
        <v>-2.2710251093824692E-2</v>
      </c>
      <c r="AC31" s="48">
        <f t="shared" si="1"/>
        <v>-2.8260869565217391E-2</v>
      </c>
      <c r="AD31" s="48">
        <f t="shared" si="2"/>
        <v>6.0773480662983423E-2</v>
      </c>
      <c r="AE31" s="48">
        <f t="shared" si="3"/>
        <v>-7.6539855072463775E-2</v>
      </c>
      <c r="AF31" s="48" t="e">
        <f>(#REF!-#REF!)/#REF!</f>
        <v>#REF!</v>
      </c>
    </row>
    <row r="32" spans="1:32" x14ac:dyDescent="0.3">
      <c r="A32" s="48">
        <v>20180212</v>
      </c>
      <c r="B32" s="48" t="s">
        <v>88</v>
      </c>
      <c r="C32" s="79">
        <v>0.3</v>
      </c>
      <c r="D32" s="79">
        <f t="shared" si="4"/>
        <v>0.2256924206836653</v>
      </c>
      <c r="E32" s="49">
        <v>2235000</v>
      </c>
      <c r="F32" s="49">
        <v>2286000</v>
      </c>
      <c r="G32" s="49">
        <v>128386494</v>
      </c>
      <c r="H32" s="49">
        <f t="shared" si="5"/>
        <v>0.26180432470833498</v>
      </c>
      <c r="I32" s="49">
        <f t="shared" si="13"/>
        <v>0.26180432470833498</v>
      </c>
      <c r="J32" s="48">
        <v>0.3</v>
      </c>
      <c r="K32" s="48">
        <f t="shared" si="6"/>
        <v>0.33713230093745244</v>
      </c>
      <c r="L32" s="48">
        <v>288000</v>
      </c>
      <c r="M32" s="48">
        <v>302500</v>
      </c>
      <c r="N32" s="51">
        <v>122666424</v>
      </c>
      <c r="O32" s="48">
        <f t="shared" si="7"/>
        <v>3.0931763989707699</v>
      </c>
      <c r="P32" s="48">
        <f t="shared" si="14"/>
        <v>3.0931763989707699</v>
      </c>
      <c r="Q32" s="49">
        <v>0.4</v>
      </c>
      <c r="R32" s="49">
        <f t="shared" si="8"/>
        <v>0.43717527837888226</v>
      </c>
      <c r="S32" s="49">
        <v>203900</v>
      </c>
      <c r="T32" s="49">
        <v>216500</v>
      </c>
      <c r="U32" s="49">
        <v>15956260</v>
      </c>
      <c r="V32" s="49">
        <f t="shared" si="9"/>
        <v>43.084593248365302</v>
      </c>
      <c r="W32" s="49">
        <f t="shared" si="15"/>
        <v>43.084593248365302</v>
      </c>
      <c r="X32" s="82">
        <f t="shared" si="10"/>
        <v>0</v>
      </c>
      <c r="Y32" s="82">
        <f t="shared" si="11"/>
        <v>285815225052940.5</v>
      </c>
      <c r="Z32" s="81">
        <f t="shared" si="16"/>
        <v>340451621511444.12</v>
      </c>
      <c r="AA32" s="80">
        <f t="shared" si="0"/>
        <v>1191.159853182711</v>
      </c>
      <c r="AB32" s="52">
        <f t="shared" si="12"/>
        <v>4.8919715812432388E-2</v>
      </c>
      <c r="AC32" s="48">
        <f t="shared" si="1"/>
        <v>2.2818791946308724E-2</v>
      </c>
      <c r="AD32" s="48">
        <f t="shared" si="2"/>
        <v>5.0347222222222224E-2</v>
      </c>
      <c r="AE32" s="48">
        <f t="shared" si="3"/>
        <v>6.1794997547817559E-2</v>
      </c>
      <c r="AF32" s="48" t="e">
        <f>(#REF!-#REF!)/#REF!</f>
        <v>#REF!</v>
      </c>
    </row>
    <row r="33" spans="1:32" x14ac:dyDescent="0.3">
      <c r="A33" s="48">
        <v>20180213</v>
      </c>
      <c r="B33" s="48" t="s">
        <v>88</v>
      </c>
      <c r="C33" s="79">
        <v>0.3</v>
      </c>
      <c r="D33" s="79">
        <f t="shared" si="4"/>
        <v>0.2427865324524677</v>
      </c>
      <c r="E33" s="49">
        <v>2286000</v>
      </c>
      <c r="F33" s="49">
        <v>2377000</v>
      </c>
      <c r="G33" s="49">
        <v>128386494</v>
      </c>
      <c r="H33" s="49">
        <f t="shared" si="5"/>
        <v>0.26180432470833498</v>
      </c>
      <c r="I33" s="49">
        <f t="shared" si="13"/>
        <v>0.26180432470833498</v>
      </c>
      <c r="J33" s="48">
        <v>0.3</v>
      </c>
      <c r="K33" s="48">
        <f t="shared" si="6"/>
        <v>0.33898226577411811</v>
      </c>
      <c r="L33" s="48">
        <v>302500</v>
      </c>
      <c r="M33" s="48">
        <v>294000</v>
      </c>
      <c r="N33" s="51">
        <v>122666424</v>
      </c>
      <c r="O33" s="48">
        <f t="shared" si="7"/>
        <v>3.0931763989707699</v>
      </c>
      <c r="P33" s="48">
        <f t="shared" si="14"/>
        <v>3.0931763989707699</v>
      </c>
      <c r="Q33" s="49">
        <v>0.4</v>
      </c>
      <c r="R33" s="49">
        <f t="shared" si="8"/>
        <v>0.41823120177341416</v>
      </c>
      <c r="S33" s="49">
        <v>216500</v>
      </c>
      <c r="T33" s="49">
        <v>200200</v>
      </c>
      <c r="U33" s="49">
        <v>15956260</v>
      </c>
      <c r="V33" s="49">
        <f t="shared" si="9"/>
        <v>43.084593248365302</v>
      </c>
      <c r="W33" s="49">
        <f t="shared" si="15"/>
        <v>43.084593248365302</v>
      </c>
      <c r="X33" s="82">
        <f t="shared" si="10"/>
        <v>0</v>
      </c>
      <c r="Y33" s="82">
        <f t="shared" si="11"/>
        <v>285815225052940.5</v>
      </c>
      <c r="Z33" s="81">
        <f t="shared" si="16"/>
        <v>329079436406971</v>
      </c>
      <c r="AA33" s="80">
        <f t="shared" si="0"/>
        <v>1151.3712621362868</v>
      </c>
      <c r="AB33" s="52">
        <f t="shared" si="12"/>
        <v>-3.3403233781017221E-2</v>
      </c>
      <c r="AC33" s="48">
        <f t="shared" si="1"/>
        <v>3.9807524059492561E-2</v>
      </c>
      <c r="AD33" s="48">
        <f t="shared" si="2"/>
        <v>-2.809917355371901E-2</v>
      </c>
      <c r="AE33" s="48">
        <f t="shared" si="3"/>
        <v>-7.5288683602771356E-2</v>
      </c>
      <c r="AF33" s="48" t="e">
        <f>(#REF!-#REF!)/#REF!</f>
        <v>#REF!</v>
      </c>
    </row>
    <row r="34" spans="1:32" x14ac:dyDescent="0.3">
      <c r="A34" s="48">
        <v>20180214</v>
      </c>
      <c r="B34" s="48" t="s">
        <v>88</v>
      </c>
      <c r="C34" s="79">
        <v>0.3</v>
      </c>
      <c r="D34" s="79">
        <f t="shared" si="4"/>
        <v>0.24060236377864042</v>
      </c>
      <c r="E34" s="49">
        <v>2377000</v>
      </c>
      <c r="F34" s="49">
        <v>2450000</v>
      </c>
      <c r="G34" s="49">
        <v>128386494</v>
      </c>
      <c r="H34" s="49">
        <f t="shared" si="5"/>
        <v>0.26180432470833498</v>
      </c>
      <c r="I34" s="49">
        <f t="shared" si="13"/>
        <v>0.26180432470833498</v>
      </c>
      <c r="J34" s="48">
        <v>0.3</v>
      </c>
      <c r="K34" s="48">
        <f t="shared" si="6"/>
        <v>0.34643205029032387</v>
      </c>
      <c r="L34" s="48">
        <v>294000</v>
      </c>
      <c r="M34" s="48">
        <v>312500</v>
      </c>
      <c r="N34" s="51">
        <v>122666424</v>
      </c>
      <c r="O34" s="48">
        <f t="shared" si="7"/>
        <v>3.0931763989707699</v>
      </c>
      <c r="P34" s="48">
        <f t="shared" si="14"/>
        <v>3.0931763989707699</v>
      </c>
      <c r="Q34" s="49">
        <v>0.4</v>
      </c>
      <c r="R34" s="49">
        <f t="shared" si="8"/>
        <v>0.41296558593103572</v>
      </c>
      <c r="S34" s="49">
        <v>200200</v>
      </c>
      <c r="T34" s="49">
        <v>205600</v>
      </c>
      <c r="U34" s="49">
        <v>15956260</v>
      </c>
      <c r="V34" s="49">
        <f t="shared" si="9"/>
        <v>43.084593248365302</v>
      </c>
      <c r="W34" s="49">
        <f t="shared" si="15"/>
        <v>43.084593248365302</v>
      </c>
      <c r="X34" s="82">
        <f t="shared" si="10"/>
        <v>0</v>
      </c>
      <c r="Y34" s="82">
        <f t="shared" si="11"/>
        <v>285815225052940.5</v>
      </c>
      <c r="Z34" s="81">
        <f t="shared" si="16"/>
        <v>342264889450331.12</v>
      </c>
      <c r="AA34" s="80">
        <f t="shared" si="0"/>
        <v>1197.5040496423333</v>
      </c>
      <c r="AB34" s="52">
        <f t="shared" si="12"/>
        <v>4.0067690607850003E-2</v>
      </c>
      <c r="AC34" s="48">
        <f t="shared" si="1"/>
        <v>3.0710980227177113E-2</v>
      </c>
      <c r="AD34" s="48">
        <f t="shared" si="2"/>
        <v>6.2925170068027211E-2</v>
      </c>
      <c r="AE34" s="48">
        <f t="shared" si="3"/>
        <v>2.6973026973026972E-2</v>
      </c>
      <c r="AF34" s="48" t="e">
        <f>(#REF!-#REF!)/#REF!</f>
        <v>#REF!</v>
      </c>
    </row>
    <row r="35" spans="1:32" x14ac:dyDescent="0.3">
      <c r="A35" s="48">
        <v>20180219</v>
      </c>
      <c r="B35" s="48" t="s">
        <v>88</v>
      </c>
      <c r="C35" s="79">
        <v>0.3</v>
      </c>
      <c r="D35" s="79">
        <f t="shared" si="4"/>
        <v>0.23079359931777443</v>
      </c>
      <c r="E35" s="49">
        <v>2450000</v>
      </c>
      <c r="F35" s="49">
        <v>2419000</v>
      </c>
      <c r="G35" s="49">
        <v>128386494</v>
      </c>
      <c r="H35" s="49">
        <f t="shared" si="5"/>
        <v>0.26180432470833498</v>
      </c>
      <c r="I35" s="49">
        <f t="shared" si="13"/>
        <v>0.26180432470833498</v>
      </c>
      <c r="J35" s="48">
        <v>0.3</v>
      </c>
      <c r="K35" s="48">
        <f t="shared" si="6"/>
        <v>0.34087554340989573</v>
      </c>
      <c r="L35" s="48">
        <v>312500</v>
      </c>
      <c r="M35" s="48">
        <v>316500</v>
      </c>
      <c r="N35" s="51">
        <v>122666424</v>
      </c>
      <c r="O35" s="48">
        <f t="shared" si="7"/>
        <v>3.0931763989707699</v>
      </c>
      <c r="P35" s="48">
        <f t="shared" si="14"/>
        <v>3.0931763989707699</v>
      </c>
      <c r="Q35" s="49">
        <v>0.4</v>
      </c>
      <c r="R35" s="49">
        <f t="shared" si="8"/>
        <v>0.42833085727232972</v>
      </c>
      <c r="S35" s="49">
        <v>205600</v>
      </c>
      <c r="T35" s="49">
        <v>219500</v>
      </c>
      <c r="U35" s="49">
        <v>15956260</v>
      </c>
      <c r="V35" s="49">
        <f t="shared" si="9"/>
        <v>43.084593248365302</v>
      </c>
      <c r="W35" s="49">
        <f t="shared" si="15"/>
        <v>43.084593248365302</v>
      </c>
      <c r="X35" s="82">
        <f t="shared" si="10"/>
        <v>0</v>
      </c>
      <c r="Y35" s="82">
        <f t="shared" si="11"/>
        <v>285815225052940.5</v>
      </c>
      <c r="Z35" s="81">
        <f t="shared" si="16"/>
        <v>352296447389645.12</v>
      </c>
      <c r="AA35" s="80">
        <f t="shared" si="0"/>
        <v>1232.6021027200022</v>
      </c>
      <c r="AB35" s="52">
        <f t="shared" si="12"/>
        <v>2.9309339778977733E-2</v>
      </c>
      <c r="AC35" s="48">
        <f t="shared" si="1"/>
        <v>-1.2653061224489797E-2</v>
      </c>
      <c r="AD35" s="48">
        <f t="shared" si="2"/>
        <v>1.2800000000000001E-2</v>
      </c>
      <c r="AE35" s="48">
        <f t="shared" si="3"/>
        <v>6.7607003891050579E-2</v>
      </c>
      <c r="AF35" s="48" t="e">
        <f>(#REF!-#REF!)/#REF!</f>
        <v>#REF!</v>
      </c>
    </row>
    <row r="36" spans="1:32" x14ac:dyDescent="0.3">
      <c r="A36" s="48">
        <v>20180220</v>
      </c>
      <c r="B36" s="48" t="s">
        <v>88</v>
      </c>
      <c r="C36" s="79">
        <v>0.3</v>
      </c>
      <c r="D36" s="79">
        <f t="shared" si="4"/>
        <v>0.23237384429680552</v>
      </c>
      <c r="E36" s="49">
        <v>2419000</v>
      </c>
      <c r="F36" s="49">
        <v>2370000</v>
      </c>
      <c r="G36" s="49">
        <v>128386494</v>
      </c>
      <c r="H36" s="49">
        <f t="shared" si="5"/>
        <v>0.26180432470833498</v>
      </c>
      <c r="I36" s="49">
        <f t="shared" si="13"/>
        <v>0.26180432470833498</v>
      </c>
      <c r="J36" s="48">
        <v>0.3</v>
      </c>
      <c r="K36" s="48">
        <f t="shared" si="6"/>
        <v>0.3364702861665933</v>
      </c>
      <c r="L36" s="48">
        <v>316500</v>
      </c>
      <c r="M36" s="48">
        <v>304000</v>
      </c>
      <c r="N36" s="51">
        <v>122666424</v>
      </c>
      <c r="O36" s="48">
        <f t="shared" si="7"/>
        <v>3.0931763989707699</v>
      </c>
      <c r="P36" s="48">
        <f t="shared" si="14"/>
        <v>3.0931763989707699</v>
      </c>
      <c r="Q36" s="49">
        <v>0.4</v>
      </c>
      <c r="R36" s="49">
        <f t="shared" si="8"/>
        <v>0.43115586953660118</v>
      </c>
      <c r="S36" s="49">
        <v>219500</v>
      </c>
      <c r="T36" s="49">
        <v>215000</v>
      </c>
      <c r="U36" s="49">
        <v>15956260</v>
      </c>
      <c r="V36" s="49">
        <f t="shared" si="9"/>
        <v>43.084593248365302</v>
      </c>
      <c r="W36" s="49">
        <f t="shared" si="15"/>
        <v>43.084593248365302</v>
      </c>
      <c r="X36" s="82">
        <f t="shared" si="10"/>
        <v>0</v>
      </c>
      <c r="Y36" s="82">
        <f t="shared" si="11"/>
        <v>285815225052940.5</v>
      </c>
      <c r="Z36" s="81">
        <f t="shared" si="16"/>
        <v>342812981091661.37</v>
      </c>
      <c r="AA36" s="80">
        <f t="shared" si="0"/>
        <v>1199.421692907239</v>
      </c>
      <c r="AB36" s="52">
        <f t="shared" si="12"/>
        <v>-2.6918994977814369E-2</v>
      </c>
      <c r="AC36" s="48">
        <f t="shared" si="1"/>
        <v>-2.0256304257957835E-2</v>
      </c>
      <c r="AD36" s="48">
        <f t="shared" si="2"/>
        <v>-3.9494470774091628E-2</v>
      </c>
      <c r="AE36" s="48">
        <f t="shared" si="3"/>
        <v>-2.0501138952164009E-2</v>
      </c>
      <c r="AF36" s="48" t="e">
        <f>(#REF!-#REF!)/#REF!</f>
        <v>#REF!</v>
      </c>
    </row>
    <row r="37" spans="1:32" x14ac:dyDescent="0.3">
      <c r="A37" s="48">
        <v>20180221</v>
      </c>
      <c r="B37" s="48" t="s">
        <v>88</v>
      </c>
      <c r="C37" s="79">
        <v>0.3</v>
      </c>
      <c r="D37" s="79">
        <f t="shared" si="4"/>
        <v>0.22819853090373923</v>
      </c>
      <c r="E37" s="49">
        <v>2370000</v>
      </c>
      <c r="F37" s="49">
        <v>2364000</v>
      </c>
      <c r="G37" s="49">
        <v>128386494</v>
      </c>
      <c r="H37" s="49">
        <f t="shared" si="5"/>
        <v>0.26180432470833498</v>
      </c>
      <c r="I37" s="49">
        <f t="shared" si="13"/>
        <v>0.26180432470833498</v>
      </c>
      <c r="J37" s="48">
        <v>0.3</v>
      </c>
      <c r="K37" s="48">
        <f t="shared" si="6"/>
        <v>0.3350770854129046</v>
      </c>
      <c r="L37" s="48">
        <v>304000</v>
      </c>
      <c r="M37" s="48">
        <v>307500</v>
      </c>
      <c r="N37" s="51">
        <v>122666424</v>
      </c>
      <c r="O37" s="48">
        <f t="shared" si="7"/>
        <v>3.0931763989707699</v>
      </c>
      <c r="P37" s="48">
        <f t="shared" si="14"/>
        <v>3.0931763989707699</v>
      </c>
      <c r="Q37" s="49">
        <v>0.4</v>
      </c>
      <c r="R37" s="49">
        <f t="shared" si="8"/>
        <v>0.43672438368335625</v>
      </c>
      <c r="S37" s="49">
        <v>215000</v>
      </c>
      <c r="T37" s="49">
        <v>221200</v>
      </c>
      <c r="U37" s="49">
        <v>15956260</v>
      </c>
      <c r="V37" s="49">
        <f t="shared" si="9"/>
        <v>43.084593248365302</v>
      </c>
      <c r="W37" s="49">
        <f t="shared" si="15"/>
        <v>43.084593248365302</v>
      </c>
      <c r="X37" s="82">
        <f t="shared" si="10"/>
        <v>0</v>
      </c>
      <c r="Y37" s="82">
        <f t="shared" si="11"/>
        <v>285815225052940.5</v>
      </c>
      <c r="Z37" s="81">
        <f t="shared" si="16"/>
        <v>348201616987865.62</v>
      </c>
      <c r="AA37" s="80">
        <f t="shared" si="0"/>
        <v>1218.2752578116492</v>
      </c>
      <c r="AB37" s="52">
        <f t="shared" si="12"/>
        <v>1.5718879369866687E-2</v>
      </c>
      <c r="AC37" s="48">
        <f t="shared" si="1"/>
        <v>-2.5316455696202532E-3</v>
      </c>
      <c r="AD37" s="48">
        <f t="shared" si="2"/>
        <v>1.1513157894736841E-2</v>
      </c>
      <c r="AE37" s="48">
        <f t="shared" si="3"/>
        <v>2.883720930232558E-2</v>
      </c>
      <c r="AF37" s="48" t="e">
        <f>(#REF!-#REF!)/#REF!</f>
        <v>#REF!</v>
      </c>
    </row>
    <row r="38" spans="1:32" x14ac:dyDescent="0.3">
      <c r="A38" s="48">
        <v>20180222</v>
      </c>
      <c r="B38" s="48" t="s">
        <v>88</v>
      </c>
      <c r="C38" s="79">
        <v>0.3</v>
      </c>
      <c r="D38" s="79">
        <f t="shared" si="4"/>
        <v>0.22711068383956176</v>
      </c>
      <c r="E38" s="49">
        <v>2364000</v>
      </c>
      <c r="F38" s="49">
        <v>2338000</v>
      </c>
      <c r="G38" s="49">
        <v>128386494</v>
      </c>
      <c r="H38" s="49">
        <f t="shared" si="5"/>
        <v>0.26180432470833498</v>
      </c>
      <c r="I38" s="49">
        <f t="shared" si="13"/>
        <v>0.26180432470833498</v>
      </c>
      <c r="J38" s="48">
        <v>0.3</v>
      </c>
      <c r="K38" s="48">
        <f t="shared" si="6"/>
        <v>0.33718823679247811</v>
      </c>
      <c r="L38" s="48">
        <v>307500</v>
      </c>
      <c r="M38" s="48">
        <v>307500</v>
      </c>
      <c r="N38" s="51">
        <v>122666424</v>
      </c>
      <c r="O38" s="48">
        <f t="shared" si="7"/>
        <v>3.0931763989707699</v>
      </c>
      <c r="P38" s="48">
        <f t="shared" si="14"/>
        <v>3.0931763989707699</v>
      </c>
      <c r="Q38" s="49">
        <v>0.4</v>
      </c>
      <c r="R38" s="49">
        <f t="shared" si="8"/>
        <v>0.4357010793679601</v>
      </c>
      <c r="S38" s="49">
        <v>221200</v>
      </c>
      <c r="T38" s="49">
        <v>219300</v>
      </c>
      <c r="U38" s="49">
        <v>15956260</v>
      </c>
      <c r="V38" s="49">
        <f t="shared" si="9"/>
        <v>43.084593248365302</v>
      </c>
      <c r="W38" s="49">
        <f t="shared" si="15"/>
        <v>43.084593248365302</v>
      </c>
      <c r="X38" s="82">
        <f t="shared" si="10"/>
        <v>0</v>
      </c>
      <c r="Y38" s="82">
        <f t="shared" si="11"/>
        <v>285815225052940.5</v>
      </c>
      <c r="Z38" s="81">
        <f t="shared" si="16"/>
        <v>346021510317875</v>
      </c>
      <c r="AA38" s="80">
        <f t="shared" si="0"/>
        <v>1210.6475792315916</v>
      </c>
      <c r="AB38" s="52">
        <f t="shared" si="12"/>
        <v>-6.261046944151979E-3</v>
      </c>
      <c r="AC38" s="48">
        <f t="shared" si="1"/>
        <v>-1.0998307952622674E-2</v>
      </c>
      <c r="AD38" s="48">
        <f t="shared" si="2"/>
        <v>0</v>
      </c>
      <c r="AE38" s="48">
        <f t="shared" si="3"/>
        <v>-8.5895117540687165E-3</v>
      </c>
      <c r="AF38" s="48" t="e">
        <f>(#REF!-#REF!)/#REF!</f>
        <v>#REF!</v>
      </c>
    </row>
    <row r="39" spans="1:32" x14ac:dyDescent="0.3">
      <c r="A39" s="48">
        <v>20180223</v>
      </c>
      <c r="B39" s="48" t="s">
        <v>88</v>
      </c>
      <c r="C39" s="79">
        <v>0.3</v>
      </c>
      <c r="D39" s="79">
        <f t="shared" si="4"/>
        <v>0.2247370945531027</v>
      </c>
      <c r="E39" s="49">
        <v>2338000</v>
      </c>
      <c r="F39" s="49">
        <v>2361000</v>
      </c>
      <c r="G39" s="49">
        <v>128386494</v>
      </c>
      <c r="H39" s="49">
        <f t="shared" si="5"/>
        <v>0.26180432470833498</v>
      </c>
      <c r="I39" s="49">
        <f t="shared" si="13"/>
        <v>0.26180432470833498</v>
      </c>
      <c r="J39" s="48">
        <v>0.3</v>
      </c>
      <c r="K39" s="48">
        <f t="shared" si="6"/>
        <v>0.34169618652211703</v>
      </c>
      <c r="L39" s="48">
        <v>307500</v>
      </c>
      <c r="M39" s="48">
        <v>318000</v>
      </c>
      <c r="N39" s="51">
        <v>122666424</v>
      </c>
      <c r="O39" s="48">
        <f t="shared" si="7"/>
        <v>3.0931763989707699</v>
      </c>
      <c r="P39" s="48">
        <f t="shared" si="14"/>
        <v>3.0931763989707699</v>
      </c>
      <c r="Q39" s="49">
        <v>0.4</v>
      </c>
      <c r="R39" s="49">
        <f t="shared" si="8"/>
        <v>0.43356671892478027</v>
      </c>
      <c r="S39" s="49">
        <v>219300</v>
      </c>
      <c r="T39" s="49">
        <v>222700</v>
      </c>
      <c r="U39" s="49">
        <v>15956260</v>
      </c>
      <c r="V39" s="49">
        <f t="shared" si="9"/>
        <v>43.084593248365302</v>
      </c>
      <c r="W39" s="49">
        <f t="shared" si="15"/>
        <v>43.084593248365302</v>
      </c>
      <c r="X39" s="82">
        <f t="shared" si="10"/>
        <v>0</v>
      </c>
      <c r="Y39" s="82">
        <f t="shared" si="11"/>
        <v>285815225052940.5</v>
      </c>
      <c r="Z39" s="81">
        <f t="shared" si="16"/>
        <v>353115987348034.25</v>
      </c>
      <c r="AA39" s="80">
        <f t="shared" si="0"/>
        <v>1235.4694795654354</v>
      </c>
      <c r="AB39" s="52">
        <f t="shared" si="12"/>
        <v>2.0502994231895697E-2</v>
      </c>
      <c r="AC39" s="48">
        <f t="shared" si="1"/>
        <v>9.8374679213002574E-3</v>
      </c>
      <c r="AD39" s="48">
        <f t="shared" si="2"/>
        <v>3.4146341463414637E-2</v>
      </c>
      <c r="AE39" s="48">
        <f t="shared" si="3"/>
        <v>1.5503875968992248E-2</v>
      </c>
      <c r="AF39" s="48" t="e">
        <f>(#REF!-#REF!)/#REF!</f>
        <v>#REF!</v>
      </c>
    </row>
    <row r="40" spans="1:32" x14ac:dyDescent="0.3">
      <c r="A40" s="48">
        <v>20180226</v>
      </c>
      <c r="B40" s="48" t="s">
        <v>88</v>
      </c>
      <c r="C40" s="79">
        <v>0.3</v>
      </c>
      <c r="D40" s="79">
        <f t="shared" si="4"/>
        <v>0.22260256219559763</v>
      </c>
      <c r="E40" s="49">
        <v>2361000</v>
      </c>
      <c r="F40" s="49">
        <v>2369000</v>
      </c>
      <c r="G40" s="49">
        <v>128386494</v>
      </c>
      <c r="H40" s="49">
        <f t="shared" si="5"/>
        <v>0.26180432470833498</v>
      </c>
      <c r="I40" s="49">
        <f t="shared" si="13"/>
        <v>0.26180432470833498</v>
      </c>
      <c r="J40" s="48">
        <v>0.3</v>
      </c>
      <c r="K40" s="48">
        <f t="shared" si="6"/>
        <v>0.34632394571774033</v>
      </c>
      <c r="L40" s="48">
        <v>318000</v>
      </c>
      <c r="M40" s="48">
        <v>326500</v>
      </c>
      <c r="N40" s="51">
        <v>122666424</v>
      </c>
      <c r="O40" s="48">
        <f t="shared" si="7"/>
        <v>3.0931763989707699</v>
      </c>
      <c r="P40" s="48">
        <f t="shared" si="14"/>
        <v>3.0931763989707699</v>
      </c>
      <c r="Q40" s="49">
        <v>0.4</v>
      </c>
      <c r="R40" s="49">
        <f t="shared" si="8"/>
        <v>0.43107349208666207</v>
      </c>
      <c r="S40" s="49">
        <v>222700</v>
      </c>
      <c r="T40" s="49">
        <v>224300</v>
      </c>
      <c r="U40" s="49">
        <v>15956260</v>
      </c>
      <c r="V40" s="49">
        <f t="shared" si="9"/>
        <v>43.084593248365302</v>
      </c>
      <c r="W40" s="49">
        <f t="shared" si="15"/>
        <v>43.084593248365302</v>
      </c>
      <c r="X40" s="82">
        <f t="shared" si="10"/>
        <v>0</v>
      </c>
      <c r="Y40" s="82">
        <f t="shared" si="11"/>
        <v>285815225052940.5</v>
      </c>
      <c r="Z40" s="81">
        <f t="shared" si="16"/>
        <v>357709980363060.25</v>
      </c>
      <c r="AA40" s="80">
        <f t="shared" si="0"/>
        <v>1251.5427766201151</v>
      </c>
      <c r="AB40" s="52">
        <f t="shared" si="12"/>
        <v>1.3009869786773908E-2</v>
      </c>
      <c r="AC40" s="48">
        <f t="shared" si="1"/>
        <v>3.3883947479881405E-3</v>
      </c>
      <c r="AD40" s="48">
        <f t="shared" si="2"/>
        <v>2.6729559748427674E-2</v>
      </c>
      <c r="AE40" s="48">
        <f t="shared" si="3"/>
        <v>7.1845532105972157E-3</v>
      </c>
      <c r="AF40" s="48" t="e">
        <f>(#REF!-#REF!)/#REF!</f>
        <v>#REF!</v>
      </c>
    </row>
    <row r="41" spans="1:32" x14ac:dyDescent="0.3">
      <c r="A41" s="48">
        <v>20180227</v>
      </c>
      <c r="B41" s="48" t="s">
        <v>88</v>
      </c>
      <c r="C41" s="79">
        <v>0.3</v>
      </c>
      <c r="D41" s="79">
        <f t="shared" si="4"/>
        <v>0.21659903685902701</v>
      </c>
      <c r="E41" s="49">
        <v>2369000</v>
      </c>
      <c r="F41" s="49">
        <v>2369000</v>
      </c>
      <c r="G41" s="49">
        <v>128386494</v>
      </c>
      <c r="H41" s="49">
        <f t="shared" si="5"/>
        <v>0.26180432470833498</v>
      </c>
      <c r="I41" s="49">
        <f t="shared" si="13"/>
        <v>0.26180432470833498</v>
      </c>
      <c r="J41" s="48">
        <v>0.3</v>
      </c>
      <c r="K41" s="48">
        <f t="shared" si="6"/>
        <v>0.36227036942782831</v>
      </c>
      <c r="L41" s="48">
        <v>326500</v>
      </c>
      <c r="M41" s="48">
        <v>351000</v>
      </c>
      <c r="N41" s="51">
        <v>122666424</v>
      </c>
      <c r="O41" s="48">
        <f t="shared" si="7"/>
        <v>3.0931763989707699</v>
      </c>
      <c r="P41" s="48">
        <f t="shared" si="14"/>
        <v>3.0931763989707699</v>
      </c>
      <c r="Q41" s="49">
        <v>0.4</v>
      </c>
      <c r="R41" s="49">
        <f t="shared" si="8"/>
        <v>0.42113059371314465</v>
      </c>
      <c r="S41" s="49">
        <v>224300</v>
      </c>
      <c r="T41" s="49">
        <v>225200</v>
      </c>
      <c r="U41" s="49">
        <v>15956260</v>
      </c>
      <c r="V41" s="49">
        <f t="shared" si="9"/>
        <v>43.084593248365302</v>
      </c>
      <c r="W41" s="49">
        <f t="shared" si="15"/>
        <v>43.084593248365302</v>
      </c>
      <c r="X41" s="82">
        <f t="shared" si="10"/>
        <v>0</v>
      </c>
      <c r="Y41" s="82">
        <f t="shared" si="11"/>
        <v>285815225052940.5</v>
      </c>
      <c r="Z41" s="81">
        <f t="shared" si="16"/>
        <v>367624710185481</v>
      </c>
      <c r="AA41" s="80">
        <f t="shared" si="0"/>
        <v>1286.2320756964127</v>
      </c>
      <c r="AB41" s="52">
        <f t="shared" si="12"/>
        <v>2.7717230065422677E-2</v>
      </c>
      <c r="AC41" s="48">
        <f t="shared" si="1"/>
        <v>0</v>
      </c>
      <c r="AD41" s="48">
        <f t="shared" si="2"/>
        <v>7.5038284839203676E-2</v>
      </c>
      <c r="AE41" s="48">
        <f t="shared" si="3"/>
        <v>4.012483281319661E-3</v>
      </c>
      <c r="AF41" s="48" t="e">
        <f>(#REF!-#REF!)/#REF!</f>
        <v>#REF!</v>
      </c>
    </row>
    <row r="42" spans="1:32" x14ac:dyDescent="0.3">
      <c r="A42" s="48">
        <v>20180228</v>
      </c>
      <c r="B42" s="48" t="s">
        <v>88</v>
      </c>
      <c r="C42" s="79">
        <v>0.3</v>
      </c>
      <c r="D42" s="79">
        <f t="shared" si="4"/>
        <v>0.21152799051441112</v>
      </c>
      <c r="E42" s="49">
        <v>2369000</v>
      </c>
      <c r="F42" s="49">
        <v>2353000</v>
      </c>
      <c r="G42" s="49">
        <v>128386494</v>
      </c>
      <c r="H42" s="49">
        <f t="shared" si="5"/>
        <v>0.26180432470833498</v>
      </c>
      <c r="I42" s="49">
        <f t="shared" si="13"/>
        <v>0.26180432470833498</v>
      </c>
      <c r="J42" s="48">
        <v>0.3</v>
      </c>
      <c r="K42" s="48">
        <f t="shared" si="6"/>
        <v>0.35822414845914319</v>
      </c>
      <c r="L42" s="48">
        <v>351000</v>
      </c>
      <c r="M42" s="48">
        <v>353000</v>
      </c>
      <c r="N42" s="51">
        <v>122666424</v>
      </c>
      <c r="O42" s="48">
        <f t="shared" si="7"/>
        <v>3.0931763989707699</v>
      </c>
      <c r="P42" s="48">
        <f t="shared" si="14"/>
        <v>3.0931763989707699</v>
      </c>
      <c r="Q42" s="49">
        <v>0.4</v>
      </c>
      <c r="R42" s="49">
        <f t="shared" si="8"/>
        <v>0.43024786102644569</v>
      </c>
      <c r="S42" s="49">
        <v>225200</v>
      </c>
      <c r="T42" s="49">
        <v>234000</v>
      </c>
      <c r="U42" s="49">
        <v>15956260</v>
      </c>
      <c r="V42" s="49">
        <f t="shared" si="9"/>
        <v>43.084593248365302</v>
      </c>
      <c r="W42" s="49">
        <f t="shared" si="15"/>
        <v>43.084593248365302</v>
      </c>
      <c r="X42" s="82">
        <f t="shared" si="10"/>
        <v>0</v>
      </c>
      <c r="Y42" s="82">
        <f t="shared" si="11"/>
        <v>285815225052940.5</v>
      </c>
      <c r="Z42" s="81">
        <f t="shared" si="16"/>
        <v>373895500683406.81</v>
      </c>
      <c r="AA42" s="80">
        <f t="shared" si="0"/>
        <v>1308.1720913018246</v>
      </c>
      <c r="AB42" s="52">
        <f t="shared" si="12"/>
        <v>1.7057587056000568E-2</v>
      </c>
      <c r="AC42" s="48">
        <f t="shared" si="1"/>
        <v>-6.7539046010975093E-3</v>
      </c>
      <c r="AD42" s="48">
        <f t="shared" si="2"/>
        <v>5.6980056980056983E-3</v>
      </c>
      <c r="AE42" s="48">
        <f t="shared" si="3"/>
        <v>3.9076376554174071E-2</v>
      </c>
      <c r="AF42" s="48" t="e">
        <f>(#REF!-#REF!)/#REF!</f>
        <v>#REF!</v>
      </c>
    </row>
    <row r="43" spans="1:32" x14ac:dyDescent="0.3">
      <c r="A43" s="48">
        <v>20180302</v>
      </c>
      <c r="B43" s="48" t="s">
        <v>88</v>
      </c>
      <c r="C43" s="79">
        <v>0.3</v>
      </c>
      <c r="D43" s="79">
        <f t="shared" si="4"/>
        <v>0.20204470213520445</v>
      </c>
      <c r="E43" s="49">
        <v>2353000</v>
      </c>
      <c r="F43" s="49">
        <v>2301000</v>
      </c>
      <c r="G43" s="49">
        <v>128386494</v>
      </c>
      <c r="H43" s="49">
        <f t="shared" si="5"/>
        <v>0.26180432470833498</v>
      </c>
      <c r="I43" s="49">
        <f t="shared" si="13"/>
        <v>0.26180432470833498</v>
      </c>
      <c r="J43" s="48">
        <v>0.3</v>
      </c>
      <c r="K43" s="48">
        <f t="shared" si="6"/>
        <v>0.36872961971232693</v>
      </c>
      <c r="L43" s="48">
        <v>353000</v>
      </c>
      <c r="M43" s="48">
        <v>372000</v>
      </c>
      <c r="N43" s="51">
        <v>122666424</v>
      </c>
      <c r="O43" s="48">
        <f t="shared" si="7"/>
        <v>3.0931763989707699</v>
      </c>
      <c r="P43" s="48">
        <f t="shared" si="14"/>
        <v>3.0931763989707699</v>
      </c>
      <c r="Q43" s="49">
        <v>0.4</v>
      </c>
      <c r="R43" s="49">
        <f t="shared" si="8"/>
        <v>0.42922567815246859</v>
      </c>
      <c r="S43" s="49">
        <v>234000</v>
      </c>
      <c r="T43" s="49">
        <v>239000</v>
      </c>
      <c r="U43" s="49">
        <v>15956260</v>
      </c>
      <c r="V43" s="49">
        <f t="shared" si="9"/>
        <v>43.084593248365302</v>
      </c>
      <c r="W43" s="49">
        <f t="shared" si="15"/>
        <v>43.084593248365302</v>
      </c>
      <c r="X43" s="82">
        <f t="shared" si="10"/>
        <v>0</v>
      </c>
      <c r="Y43" s="82">
        <f t="shared" si="11"/>
        <v>285815225052940.5</v>
      </c>
      <c r="Z43" s="81">
        <f t="shared" si="16"/>
        <v>382794163161434.81</v>
      </c>
      <c r="AA43" s="80">
        <f t="shared" si="0"/>
        <v>1339.3064106033235</v>
      </c>
      <c r="AB43" s="52">
        <f t="shared" si="12"/>
        <v>2.3799865100711338E-2</v>
      </c>
      <c r="AC43" s="48">
        <f t="shared" si="1"/>
        <v>-2.2099447513812154E-2</v>
      </c>
      <c r="AD43" s="48">
        <f t="shared" si="2"/>
        <v>5.3824362606232294E-2</v>
      </c>
      <c r="AE43" s="48">
        <f t="shared" si="3"/>
        <v>2.1367521367521368E-2</v>
      </c>
      <c r="AF43" s="48" t="e">
        <f>(#REF!-#REF!)/#REF!</f>
        <v>#REF!</v>
      </c>
    </row>
    <row r="44" spans="1:32" x14ac:dyDescent="0.3">
      <c r="A44" s="48">
        <v>20180305</v>
      </c>
      <c r="B44" s="48" t="s">
        <v>88</v>
      </c>
      <c r="C44" s="79">
        <v>0.3</v>
      </c>
      <c r="D44" s="79">
        <f t="shared" si="4"/>
        <v>0.20254659773763967</v>
      </c>
      <c r="E44" s="49">
        <v>2301000</v>
      </c>
      <c r="F44" s="49">
        <v>2260000</v>
      </c>
      <c r="G44" s="49">
        <v>128386494</v>
      </c>
      <c r="H44" s="49">
        <f t="shared" si="5"/>
        <v>0.26180432470833498</v>
      </c>
      <c r="I44" s="49">
        <f t="shared" si="13"/>
        <v>0.26180432470833498</v>
      </c>
      <c r="J44" s="48">
        <v>0.3</v>
      </c>
      <c r="K44" s="48">
        <f t="shared" si="6"/>
        <v>0.37786908035524819</v>
      </c>
      <c r="L44" s="48">
        <v>372000</v>
      </c>
      <c r="M44" s="48">
        <v>373500</v>
      </c>
      <c r="N44" s="51">
        <v>122666424</v>
      </c>
      <c r="O44" s="48">
        <f t="shared" si="7"/>
        <v>3.0931763989707699</v>
      </c>
      <c r="P44" s="48">
        <f t="shared" si="14"/>
        <v>3.0931763989707699</v>
      </c>
      <c r="Q44" s="49">
        <v>0.4</v>
      </c>
      <c r="R44" s="49">
        <f t="shared" si="8"/>
        <v>0.41958432190711209</v>
      </c>
      <c r="S44" s="49">
        <v>239000</v>
      </c>
      <c r="T44" s="49">
        <v>228900</v>
      </c>
      <c r="U44" s="49">
        <v>15956260</v>
      </c>
      <c r="V44" s="49">
        <f t="shared" si="9"/>
        <v>43.084593248365302</v>
      </c>
      <c r="W44" s="49">
        <f t="shared" si="15"/>
        <v>43.084593248365302</v>
      </c>
      <c r="X44" s="82">
        <f t="shared" si="10"/>
        <v>0</v>
      </c>
      <c r="Y44" s="82">
        <f t="shared" si="11"/>
        <v>285815225052940.5</v>
      </c>
      <c r="Z44" s="81">
        <f t="shared" si="16"/>
        <v>375041772163194.12</v>
      </c>
      <c r="AA44" s="80">
        <f t="shared" si="0"/>
        <v>1312.1826246090513</v>
      </c>
      <c r="AB44" s="52">
        <f t="shared" si="12"/>
        <v>-2.0252113914734072E-2</v>
      </c>
      <c r="AC44" s="48">
        <f t="shared" si="1"/>
        <v>-1.7818339852238158E-2</v>
      </c>
      <c r="AD44" s="48">
        <f t="shared" si="2"/>
        <v>4.0322580645161289E-3</v>
      </c>
      <c r="AE44" s="48">
        <f t="shared" si="3"/>
        <v>-4.225941422594142E-2</v>
      </c>
      <c r="AF44" s="48" t="e">
        <f>(#REF!-#REF!)/#REF!</f>
        <v>#REF!</v>
      </c>
    </row>
    <row r="45" spans="1:32" x14ac:dyDescent="0.3">
      <c r="A45" s="48">
        <v>20180306</v>
      </c>
      <c r="B45" s="48" t="s">
        <v>88</v>
      </c>
      <c r="C45" s="79">
        <v>0.3</v>
      </c>
      <c r="D45" s="79">
        <f t="shared" si="4"/>
        <v>0.20679130335565157</v>
      </c>
      <c r="E45" s="49">
        <v>2260000</v>
      </c>
      <c r="F45" s="49">
        <v>2351000</v>
      </c>
      <c r="G45" s="49">
        <v>128386494</v>
      </c>
      <c r="H45" s="49">
        <f t="shared" si="5"/>
        <v>0.26180432470833498</v>
      </c>
      <c r="I45" s="49">
        <f t="shared" si="13"/>
        <v>0.26180432470833498</v>
      </c>
      <c r="J45" s="48">
        <v>0.3</v>
      </c>
      <c r="K45" s="48">
        <f t="shared" si="6"/>
        <v>0.36738007840587278</v>
      </c>
      <c r="L45" s="48">
        <v>373500</v>
      </c>
      <c r="M45" s="48">
        <v>370000</v>
      </c>
      <c r="N45" s="51">
        <v>122666424</v>
      </c>
      <c r="O45" s="48">
        <f t="shared" si="7"/>
        <v>3.0931763989707699</v>
      </c>
      <c r="P45" s="48">
        <f t="shared" si="14"/>
        <v>3.0931763989707699</v>
      </c>
      <c r="Q45" s="49">
        <v>0.4</v>
      </c>
      <c r="R45" s="49">
        <f t="shared" si="8"/>
        <v>0.42582861823847573</v>
      </c>
      <c r="S45" s="49">
        <v>228900</v>
      </c>
      <c r="T45" s="49">
        <v>236700</v>
      </c>
      <c r="U45" s="49">
        <v>15956260</v>
      </c>
      <c r="V45" s="49">
        <f t="shared" si="9"/>
        <v>43.084593248365302</v>
      </c>
      <c r="W45" s="49">
        <f t="shared" si="15"/>
        <v>43.084593248365302</v>
      </c>
      <c r="X45" s="82">
        <f t="shared" si="10"/>
        <v>0</v>
      </c>
      <c r="Y45" s="82">
        <f t="shared" si="11"/>
        <v>285815225052940.5</v>
      </c>
      <c r="Z45" s="81">
        <f t="shared" si="16"/>
        <v>382134733718986.06</v>
      </c>
      <c r="AA45" s="80">
        <f t="shared" si="0"/>
        <v>1336.9992226558422</v>
      </c>
      <c r="AB45" s="52">
        <f t="shared" si="12"/>
        <v>1.8912457444088385E-2</v>
      </c>
      <c r="AC45" s="48">
        <f t="shared" si="1"/>
        <v>4.026548672566372E-2</v>
      </c>
      <c r="AD45" s="48">
        <f t="shared" si="2"/>
        <v>-9.3708165997322627E-3</v>
      </c>
      <c r="AE45" s="48">
        <f t="shared" si="3"/>
        <v>3.4076015727391877E-2</v>
      </c>
      <c r="AF45" s="48" t="e">
        <f>(#REF!-#REF!)/#REF!</f>
        <v>#REF!</v>
      </c>
    </row>
    <row r="46" spans="1:32" x14ac:dyDescent="0.3">
      <c r="A46" s="48">
        <v>20180307</v>
      </c>
      <c r="B46" s="48" t="s">
        <v>88</v>
      </c>
      <c r="C46" s="79">
        <v>0.3</v>
      </c>
      <c r="D46" s="79">
        <f t="shared" si="4"/>
        <v>0.22772661055560617</v>
      </c>
      <c r="E46" s="49">
        <v>2351000</v>
      </c>
      <c r="F46" s="49">
        <v>2431000</v>
      </c>
      <c r="G46" s="49">
        <v>128386494</v>
      </c>
      <c r="H46" s="49">
        <f t="shared" si="5"/>
        <v>0.26180432470833498</v>
      </c>
      <c r="I46" s="49">
        <f t="shared" si="13"/>
        <v>0.26180432470833498</v>
      </c>
      <c r="J46" s="48">
        <v>0.3</v>
      </c>
      <c r="K46" s="48">
        <f t="shared" si="6"/>
        <v>0.34367379725208114</v>
      </c>
      <c r="L46" s="48">
        <v>370000</v>
      </c>
      <c r="M46" s="48">
        <v>325000</v>
      </c>
      <c r="N46" s="51">
        <v>122666424</v>
      </c>
      <c r="O46" s="48">
        <f t="shared" si="7"/>
        <v>3.0931763989707699</v>
      </c>
      <c r="P46" s="48">
        <f t="shared" si="14"/>
        <v>3.0931763989707699</v>
      </c>
      <c r="Q46" s="49">
        <v>0.4</v>
      </c>
      <c r="R46" s="49">
        <f t="shared" si="8"/>
        <v>0.42859959219231275</v>
      </c>
      <c r="S46" s="49">
        <v>236700</v>
      </c>
      <c r="T46" s="49">
        <v>223700</v>
      </c>
      <c r="U46" s="49">
        <v>15956260</v>
      </c>
      <c r="V46" s="49">
        <f t="shared" si="9"/>
        <v>43.084593248365302</v>
      </c>
      <c r="W46" s="49">
        <f t="shared" si="15"/>
        <v>43.084593248365302</v>
      </c>
      <c r="X46" s="82">
        <f t="shared" si="10"/>
        <v>0</v>
      </c>
      <c r="Y46" s="82">
        <f t="shared" si="11"/>
        <v>285815225052940.5</v>
      </c>
      <c r="Z46" s="81">
        <f t="shared" si="16"/>
        <v>358812308288973.87</v>
      </c>
      <c r="AA46" s="80">
        <f t="shared" si="0"/>
        <v>1255.3995618061017</v>
      </c>
      <c r="AB46" s="52">
        <f t="shared" si="12"/>
        <v>-6.1031943375142221E-2</v>
      </c>
      <c r="AC46" s="48">
        <f t="shared" si="1"/>
        <v>3.4028073160357296E-2</v>
      </c>
      <c r="AD46" s="48">
        <f t="shared" si="2"/>
        <v>-0.12162162162162163</v>
      </c>
      <c r="AE46" s="48">
        <f t="shared" si="3"/>
        <v>-5.4921841994085341E-2</v>
      </c>
      <c r="AF46" s="48" t="e">
        <f>(#REF!-#REF!)/#REF!</f>
        <v>#REF!</v>
      </c>
    </row>
    <row r="47" spans="1:32" x14ac:dyDescent="0.3">
      <c r="A47" s="48">
        <v>20180308</v>
      </c>
      <c r="B47" s="48" t="s">
        <v>88</v>
      </c>
      <c r="C47" s="79">
        <v>0.3</v>
      </c>
      <c r="D47" s="79">
        <f t="shared" si="4"/>
        <v>0.21870073155696845</v>
      </c>
      <c r="E47" s="49">
        <v>2431000</v>
      </c>
      <c r="F47" s="49">
        <v>2460000</v>
      </c>
      <c r="G47" s="49">
        <v>128386494</v>
      </c>
      <c r="H47" s="49">
        <f t="shared" si="5"/>
        <v>0.26180432470833498</v>
      </c>
      <c r="I47" s="49">
        <f t="shared" si="13"/>
        <v>0.26180432470833498</v>
      </c>
      <c r="J47" s="48">
        <v>0.3</v>
      </c>
      <c r="K47" s="48">
        <f t="shared" si="6"/>
        <v>0.35526516687946774</v>
      </c>
      <c r="L47" s="48">
        <v>325000</v>
      </c>
      <c r="M47" s="48">
        <v>354000</v>
      </c>
      <c r="N47" s="51">
        <v>122666424</v>
      </c>
      <c r="O47" s="48">
        <f t="shared" si="7"/>
        <v>3.0931763989707699</v>
      </c>
      <c r="P47" s="48">
        <f t="shared" si="14"/>
        <v>3.0931763989707699</v>
      </c>
      <c r="Q47" s="49">
        <v>0.4</v>
      </c>
      <c r="R47" s="49">
        <f t="shared" si="8"/>
        <v>0.42603410156356386</v>
      </c>
      <c r="S47" s="49">
        <v>223700</v>
      </c>
      <c r="T47" s="49">
        <v>234300</v>
      </c>
      <c r="U47" s="49">
        <v>15956260</v>
      </c>
      <c r="V47" s="49">
        <f t="shared" si="9"/>
        <v>43.084593248365302</v>
      </c>
      <c r="W47" s="49">
        <f t="shared" si="15"/>
        <v>43.084593248365302</v>
      </c>
      <c r="X47" s="82">
        <f t="shared" si="10"/>
        <v>0</v>
      </c>
      <c r="Y47" s="82">
        <f t="shared" si="11"/>
        <v>285815225052940.5</v>
      </c>
      <c r="Z47" s="81">
        <f t="shared" si="16"/>
        <v>378077669174506.75</v>
      </c>
      <c r="AA47" s="80">
        <f t="shared" si="0"/>
        <v>1322.8045115667887</v>
      </c>
      <c r="AB47" s="52">
        <f t="shared" si="12"/>
        <v>5.3692029065004428E-2</v>
      </c>
      <c r="AC47" s="48">
        <f t="shared" si="1"/>
        <v>1.192924722336487E-2</v>
      </c>
      <c r="AD47" s="48">
        <f t="shared" si="2"/>
        <v>8.9230769230769225E-2</v>
      </c>
      <c r="AE47" s="48">
        <f t="shared" si="3"/>
        <v>4.7384890478319175E-2</v>
      </c>
      <c r="AF47" s="48" t="e">
        <f>(#REF!-#REF!)/#REF!</f>
        <v>#REF!</v>
      </c>
    </row>
    <row r="48" spans="1:32" x14ac:dyDescent="0.3">
      <c r="A48" s="48">
        <v>20180309</v>
      </c>
      <c r="B48" s="48" t="s">
        <v>88</v>
      </c>
      <c r="C48" s="79">
        <v>0.3</v>
      </c>
      <c r="D48" s="79">
        <f t="shared" si="4"/>
        <v>0.22322544878746584</v>
      </c>
      <c r="E48" s="49">
        <v>2460000</v>
      </c>
      <c r="F48" s="49">
        <v>2487000</v>
      </c>
      <c r="G48" s="49">
        <v>128386494</v>
      </c>
      <c r="H48" s="49">
        <f t="shared" si="5"/>
        <v>0.26180432470833498</v>
      </c>
      <c r="I48" s="49">
        <f t="shared" si="13"/>
        <v>0.26180432470833498</v>
      </c>
      <c r="J48" s="48">
        <v>0.3</v>
      </c>
      <c r="K48" s="48">
        <f t="shared" si="6"/>
        <v>0.33030850524657551</v>
      </c>
      <c r="L48" s="48">
        <v>354000</v>
      </c>
      <c r="M48" s="48">
        <v>326000</v>
      </c>
      <c r="N48" s="51">
        <v>122666424</v>
      </c>
      <c r="O48" s="48">
        <f t="shared" si="7"/>
        <v>3.0931763989707699</v>
      </c>
      <c r="P48" s="48">
        <f t="shared" si="14"/>
        <v>3.0931763989707699</v>
      </c>
      <c r="Q48" s="49">
        <v>0.4</v>
      </c>
      <c r="R48" s="49">
        <f t="shared" si="8"/>
        <v>0.44646604596595862</v>
      </c>
      <c r="S48" s="49">
        <v>234300</v>
      </c>
      <c r="T48" s="49">
        <v>243200</v>
      </c>
      <c r="U48" s="49">
        <v>15956260</v>
      </c>
      <c r="V48" s="49">
        <f t="shared" si="9"/>
        <v>43.084593248365302</v>
      </c>
      <c r="W48" s="49">
        <f t="shared" si="15"/>
        <v>43.084593248365302</v>
      </c>
      <c r="X48" s="82">
        <f t="shared" si="10"/>
        <v>0</v>
      </c>
      <c r="Y48" s="82">
        <f t="shared" si="11"/>
        <v>285815225052940.5</v>
      </c>
      <c r="Z48" s="81">
        <f t="shared" si="16"/>
        <v>374479661932354.56</v>
      </c>
      <c r="AA48" s="80">
        <f t="shared" si="0"/>
        <v>1310.2159336088239</v>
      </c>
      <c r="AB48" s="52">
        <f t="shared" si="12"/>
        <v>-9.5165822673634291E-3</v>
      </c>
      <c r="AC48" s="48">
        <f t="shared" si="1"/>
        <v>1.097560975609756E-2</v>
      </c>
      <c r="AD48" s="48">
        <f t="shared" si="2"/>
        <v>-7.909604519774012E-2</v>
      </c>
      <c r="AE48" s="48">
        <f t="shared" si="3"/>
        <v>3.7985488689714041E-2</v>
      </c>
      <c r="AF48" s="48" t="e">
        <f>(#REF!-#REF!)/#REF!</f>
        <v>#REF!</v>
      </c>
    </row>
    <row r="49" spans="1:32" x14ac:dyDescent="0.3">
      <c r="A49" s="48">
        <v>20180312</v>
      </c>
      <c r="B49" s="48" t="s">
        <v>88</v>
      </c>
      <c r="C49" s="79">
        <v>0.3</v>
      </c>
      <c r="D49" s="79">
        <f t="shared" si="4"/>
        <v>0.21924391584192002</v>
      </c>
      <c r="E49" s="49">
        <v>2487000</v>
      </c>
      <c r="F49" s="49">
        <v>2487000</v>
      </c>
      <c r="G49" s="49">
        <v>128386494</v>
      </c>
      <c r="H49" s="49">
        <f t="shared" si="5"/>
        <v>0.26180432470833498</v>
      </c>
      <c r="I49" s="49">
        <f t="shared" si="13"/>
        <v>0.26180432470833498</v>
      </c>
      <c r="J49" s="48">
        <v>0.3</v>
      </c>
      <c r="K49" s="48">
        <f t="shared" si="6"/>
        <v>0.32043642201582712</v>
      </c>
      <c r="L49" s="48">
        <v>326000</v>
      </c>
      <c r="M49" s="48">
        <v>322000</v>
      </c>
      <c r="N49" s="51">
        <v>122666424</v>
      </c>
      <c r="O49" s="48">
        <f t="shared" si="7"/>
        <v>3.0931763989707699</v>
      </c>
      <c r="P49" s="48">
        <f t="shared" si="14"/>
        <v>3.0931763989707699</v>
      </c>
      <c r="Q49" s="49">
        <v>0.4</v>
      </c>
      <c r="R49" s="49">
        <f t="shared" si="8"/>
        <v>0.46031966214225278</v>
      </c>
      <c r="S49" s="49">
        <v>243200</v>
      </c>
      <c r="T49" s="49">
        <v>255300</v>
      </c>
      <c r="U49" s="49">
        <v>15956260</v>
      </c>
      <c r="V49" s="49">
        <f t="shared" si="9"/>
        <v>43.084593248365302</v>
      </c>
      <c r="W49" s="49">
        <f t="shared" si="15"/>
        <v>43.084593248365302</v>
      </c>
      <c r="X49" s="82">
        <f t="shared" si="10"/>
        <v>0</v>
      </c>
      <c r="Y49" s="82">
        <f t="shared" si="11"/>
        <v>285815225052940.5</v>
      </c>
      <c r="Z49" s="81">
        <f t="shared" si="16"/>
        <v>381280320941271.25</v>
      </c>
      <c r="AA49" s="80">
        <f t="shared" si="0"/>
        <v>1334.0098340480222</v>
      </c>
      <c r="AB49" s="52">
        <f t="shared" si="12"/>
        <v>1.8160289330065624E-2</v>
      </c>
      <c r="AC49" s="48">
        <f t="shared" si="1"/>
        <v>0</v>
      </c>
      <c r="AD49" s="48">
        <f t="shared" si="2"/>
        <v>-1.2269938650306749E-2</v>
      </c>
      <c r="AE49" s="48">
        <f t="shared" si="3"/>
        <v>4.9753289473684209E-2</v>
      </c>
      <c r="AF49" s="48" t="e">
        <f>(#REF!-#REF!)/#REF!</f>
        <v>#REF!</v>
      </c>
    </row>
    <row r="50" spans="1:32" x14ac:dyDescent="0.3">
      <c r="A50" s="48">
        <v>20180313</v>
      </c>
      <c r="B50" s="48" t="s">
        <v>88</v>
      </c>
      <c r="C50" s="79">
        <v>0.3</v>
      </c>
      <c r="D50" s="79">
        <f t="shared" si="4"/>
        <v>0.22798536793709348</v>
      </c>
      <c r="E50" s="49">
        <v>2487000</v>
      </c>
      <c r="F50" s="49">
        <v>2583000</v>
      </c>
      <c r="G50" s="49">
        <v>128386494</v>
      </c>
      <c r="H50" s="49">
        <f t="shared" si="5"/>
        <v>0.26180432470833498</v>
      </c>
      <c r="I50" s="49">
        <f t="shared" si="13"/>
        <v>0.26180432470833498</v>
      </c>
      <c r="J50" s="48">
        <v>0.3</v>
      </c>
      <c r="K50" s="48">
        <f t="shared" si="6"/>
        <v>0.30986833236842037</v>
      </c>
      <c r="L50" s="48">
        <v>322000</v>
      </c>
      <c r="M50" s="48">
        <v>311000</v>
      </c>
      <c r="N50" s="51">
        <v>122666424</v>
      </c>
      <c r="O50" s="48">
        <f t="shared" si="7"/>
        <v>3.0931763989707699</v>
      </c>
      <c r="P50" s="48">
        <f t="shared" si="14"/>
        <v>3.0931763989707699</v>
      </c>
      <c r="Q50" s="49">
        <v>0.4</v>
      </c>
      <c r="R50" s="49">
        <f t="shared" si="8"/>
        <v>0.46214629969448617</v>
      </c>
      <c r="S50" s="49">
        <v>255300</v>
      </c>
      <c r="T50" s="49">
        <v>256000</v>
      </c>
      <c r="U50" s="49">
        <v>15956260</v>
      </c>
      <c r="V50" s="49">
        <f t="shared" si="9"/>
        <v>43.084593248365302</v>
      </c>
      <c r="W50" s="49">
        <f t="shared" si="15"/>
        <v>43.084593248365302</v>
      </c>
      <c r="X50" s="82">
        <f t="shared" si="10"/>
        <v>0</v>
      </c>
      <c r="Y50" s="82">
        <f t="shared" si="11"/>
        <v>285815225052940.5</v>
      </c>
      <c r="Z50" s="81">
        <f t="shared" si="16"/>
        <v>380814596836165.19</v>
      </c>
      <c r="AA50" s="80">
        <f t="shared" si="0"/>
        <v>1332.3803753478435</v>
      </c>
      <c r="AB50" s="52">
        <f t="shared" si="12"/>
        <v>-1.2214742789670053E-3</v>
      </c>
      <c r="AC50" s="48">
        <f t="shared" si="1"/>
        <v>3.8600723763570564E-2</v>
      </c>
      <c r="AD50" s="48">
        <f t="shared" si="2"/>
        <v>-3.4161490683229816E-2</v>
      </c>
      <c r="AE50" s="48">
        <f t="shared" si="3"/>
        <v>2.7418723070896985E-3</v>
      </c>
      <c r="AF50" s="48" t="e">
        <f>(#REF!-#REF!)/#REF!</f>
        <v>#REF!</v>
      </c>
    </row>
    <row r="51" spans="1:32" x14ac:dyDescent="0.3">
      <c r="A51" s="48">
        <v>20180314</v>
      </c>
      <c r="B51" s="48" t="s">
        <v>88</v>
      </c>
      <c r="C51" s="79">
        <v>0.3</v>
      </c>
      <c r="D51" s="79">
        <f t="shared" si="4"/>
        <v>0.23467081827906769</v>
      </c>
      <c r="E51" s="49">
        <v>2583000</v>
      </c>
      <c r="F51" s="49">
        <v>2588000</v>
      </c>
      <c r="G51" s="49">
        <v>128386494</v>
      </c>
      <c r="H51" s="49">
        <f t="shared" si="5"/>
        <v>0.26180432470833498</v>
      </c>
      <c r="I51" s="49">
        <f t="shared" si="13"/>
        <v>0.26180432470833498</v>
      </c>
      <c r="J51" s="48">
        <v>0.3</v>
      </c>
      <c r="K51" s="48">
        <f t="shared" si="6"/>
        <v>0.31373251547193481</v>
      </c>
      <c r="L51" s="48">
        <v>311000</v>
      </c>
      <c r="M51" s="48">
        <v>306500</v>
      </c>
      <c r="N51" s="51">
        <v>122666424</v>
      </c>
      <c r="O51" s="48">
        <f t="shared" si="7"/>
        <v>3.0931763989707699</v>
      </c>
      <c r="P51" s="48">
        <f t="shared" si="14"/>
        <v>3.0931763989707699</v>
      </c>
      <c r="Q51" s="49">
        <v>0.4</v>
      </c>
      <c r="R51" s="49">
        <f t="shared" si="8"/>
        <v>0.45159666624899747</v>
      </c>
      <c r="S51" s="49">
        <v>256000</v>
      </c>
      <c r="T51" s="49">
        <v>243500</v>
      </c>
      <c r="U51" s="49">
        <v>15956260</v>
      </c>
      <c r="V51" s="49">
        <f t="shared" si="9"/>
        <v>43.084593248365302</v>
      </c>
      <c r="W51" s="49">
        <f t="shared" si="15"/>
        <v>43.084593248365302</v>
      </c>
      <c r="X51" s="82">
        <f t="shared" si="10"/>
        <v>0</v>
      </c>
      <c r="Y51" s="82">
        <f t="shared" si="11"/>
        <v>285815225052940.5</v>
      </c>
      <c r="Z51" s="81">
        <f t="shared" si="16"/>
        <v>370681865390184.12</v>
      </c>
      <c r="AA51" s="80">
        <f t="shared" si="0"/>
        <v>1296.9283400543975</v>
      </c>
      <c r="AB51" s="52">
        <f t="shared" si="12"/>
        <v>-2.6608043730898208E-2</v>
      </c>
      <c r="AC51" s="48">
        <f t="shared" si="1"/>
        <v>1.9357336430507162E-3</v>
      </c>
      <c r="AD51" s="48">
        <f t="shared" si="2"/>
        <v>-1.4469453376205787E-2</v>
      </c>
      <c r="AE51" s="48">
        <f t="shared" si="3"/>
        <v>-4.8828125E-2</v>
      </c>
      <c r="AF51" s="48" t="e">
        <f>(#REF!-#REF!)/#REF!</f>
        <v>#REF!</v>
      </c>
    </row>
    <row r="52" spans="1:32" x14ac:dyDescent="0.3">
      <c r="A52" s="48">
        <v>20180315</v>
      </c>
      <c r="B52" s="48" t="s">
        <v>88</v>
      </c>
      <c r="C52" s="79">
        <v>0.3</v>
      </c>
      <c r="D52" s="79">
        <f t="shared" si="4"/>
        <v>0.23161455722095042</v>
      </c>
      <c r="E52" s="49">
        <v>2588000</v>
      </c>
      <c r="F52" s="49">
        <v>2577000</v>
      </c>
      <c r="G52" s="49">
        <v>128386494</v>
      </c>
      <c r="H52" s="49">
        <f t="shared" si="5"/>
        <v>0.26180432470833498</v>
      </c>
      <c r="I52" s="49">
        <f t="shared" si="13"/>
        <v>0.26180432470833498</v>
      </c>
      <c r="J52" s="48">
        <v>0.3</v>
      </c>
      <c r="K52" s="48">
        <f t="shared" si="6"/>
        <v>0.32720157785571413</v>
      </c>
      <c r="L52" s="48">
        <v>306500</v>
      </c>
      <c r="M52" s="48">
        <v>322500</v>
      </c>
      <c r="N52" s="51">
        <v>122666424</v>
      </c>
      <c r="O52" s="48">
        <f t="shared" si="7"/>
        <v>3.0931763989707699</v>
      </c>
      <c r="P52" s="48">
        <f t="shared" si="14"/>
        <v>3.0931763989707699</v>
      </c>
      <c r="Q52" s="49">
        <v>0.4</v>
      </c>
      <c r="R52" s="49">
        <f t="shared" si="8"/>
        <v>0.44118386492333544</v>
      </c>
      <c r="S52" s="49">
        <v>243500</v>
      </c>
      <c r="T52" s="49">
        <v>240000</v>
      </c>
      <c r="U52" s="49">
        <v>15956260</v>
      </c>
      <c r="V52" s="49">
        <f t="shared" si="9"/>
        <v>43.084593248365302</v>
      </c>
      <c r="W52" s="49">
        <f t="shared" si="15"/>
        <v>43.084593248365302</v>
      </c>
      <c r="X52" s="82">
        <f t="shared" si="10"/>
        <v>0</v>
      </c>
      <c r="Y52" s="82">
        <f t="shared" si="11"/>
        <v>285815225052940.5</v>
      </c>
      <c r="Z52" s="81">
        <f t="shared" si="16"/>
        <v>373976852658266.37</v>
      </c>
      <c r="AA52" s="80">
        <f t="shared" si="0"/>
        <v>1308.4567226570805</v>
      </c>
      <c r="AB52" s="52">
        <f t="shared" si="12"/>
        <v>8.8889896585955218E-3</v>
      </c>
      <c r="AC52" s="48">
        <f t="shared" si="1"/>
        <v>-4.250386398763524E-3</v>
      </c>
      <c r="AD52" s="48">
        <f t="shared" si="2"/>
        <v>5.2202283849918436E-2</v>
      </c>
      <c r="AE52" s="48">
        <f t="shared" si="3"/>
        <v>-1.4373716632443531E-2</v>
      </c>
      <c r="AF52" s="48" t="e">
        <f>(#REF!-#REF!)/#REF!</f>
        <v>#REF!</v>
      </c>
    </row>
    <row r="53" spans="1:32" x14ac:dyDescent="0.3">
      <c r="A53" s="48">
        <v>20180316</v>
      </c>
      <c r="B53" s="48" t="s">
        <v>88</v>
      </c>
      <c r="C53" s="79">
        <v>0.3</v>
      </c>
      <c r="D53" s="79">
        <f t="shared" si="4"/>
        <v>0.22945845769387732</v>
      </c>
      <c r="E53" s="49">
        <v>2577000</v>
      </c>
      <c r="F53" s="49">
        <v>2557000</v>
      </c>
      <c r="G53" s="49">
        <v>128386494</v>
      </c>
      <c r="H53" s="49">
        <f t="shared" si="5"/>
        <v>0.26180432470833498</v>
      </c>
      <c r="I53" s="49">
        <f t="shared" si="13"/>
        <v>0.26180432470833498</v>
      </c>
      <c r="J53" s="48">
        <v>0.3</v>
      </c>
      <c r="K53" s="48">
        <f t="shared" si="6"/>
        <v>0.32821058968449912</v>
      </c>
      <c r="L53" s="48">
        <v>322500</v>
      </c>
      <c r="M53" s="48">
        <v>324000</v>
      </c>
      <c r="N53" s="51">
        <v>122666424</v>
      </c>
      <c r="O53" s="48">
        <f t="shared" si="7"/>
        <v>3.0931763989707699</v>
      </c>
      <c r="P53" s="48">
        <f t="shared" si="14"/>
        <v>3.0931763989707699</v>
      </c>
      <c r="Q53" s="49">
        <v>0.4</v>
      </c>
      <c r="R53" s="49">
        <f t="shared" si="8"/>
        <v>0.44233095262162359</v>
      </c>
      <c r="S53" s="49">
        <v>240000</v>
      </c>
      <c r="T53" s="49">
        <v>241000</v>
      </c>
      <c r="U53" s="49">
        <v>15956260</v>
      </c>
      <c r="V53" s="49">
        <f t="shared" si="9"/>
        <v>43.084593248365302</v>
      </c>
      <c r="W53" s="49">
        <f t="shared" si="15"/>
        <v>43.084593248365302</v>
      </c>
      <c r="X53" s="82">
        <f t="shared" si="10"/>
        <v>0</v>
      </c>
      <c r="Y53" s="82">
        <f t="shared" si="11"/>
        <v>285815225052940.5</v>
      </c>
      <c r="Z53" s="81">
        <f t="shared" si="16"/>
        <v>374561222174359.12</v>
      </c>
      <c r="AA53" s="80">
        <f t="shared" si="0"/>
        <v>1310.5012936416545</v>
      </c>
      <c r="AB53" s="52">
        <f t="shared" si="12"/>
        <v>1.5625820473619176E-3</v>
      </c>
      <c r="AC53" s="48">
        <f t="shared" si="1"/>
        <v>-7.7609623593325574E-3</v>
      </c>
      <c r="AD53" s="48">
        <f t="shared" si="2"/>
        <v>4.6511627906976744E-3</v>
      </c>
      <c r="AE53" s="48">
        <f t="shared" si="3"/>
        <v>4.1666666666666666E-3</v>
      </c>
      <c r="AF53" s="48" t="e">
        <f>(#REF!-#REF!)/#REF!</f>
        <v>#REF!</v>
      </c>
    </row>
    <row r="54" spans="1:32" x14ac:dyDescent="0.3">
      <c r="A54" s="48">
        <v>20180319</v>
      </c>
      <c r="B54" s="48" t="s">
        <v>88</v>
      </c>
      <c r="C54" s="79">
        <v>0.3</v>
      </c>
      <c r="D54" s="79">
        <f t="shared" si="4"/>
        <v>0.23267623362096779</v>
      </c>
      <c r="E54" s="49">
        <v>2557000</v>
      </c>
      <c r="F54" s="49">
        <v>2537000</v>
      </c>
      <c r="G54" s="49">
        <v>128386494</v>
      </c>
      <c r="H54" s="49">
        <f t="shared" si="5"/>
        <v>0.26180432470833498</v>
      </c>
      <c r="I54" s="49">
        <f t="shared" si="13"/>
        <v>0.26180432470833498</v>
      </c>
      <c r="J54" s="48">
        <v>0.3</v>
      </c>
      <c r="K54" s="48">
        <f t="shared" si="6"/>
        <v>0.33026038138744868</v>
      </c>
      <c r="L54" s="48">
        <v>324000</v>
      </c>
      <c r="M54" s="48">
        <v>319000</v>
      </c>
      <c r="N54" s="51">
        <v>122666424</v>
      </c>
      <c r="O54" s="48">
        <f t="shared" si="7"/>
        <v>3.0931763989707699</v>
      </c>
      <c r="P54" s="48">
        <f t="shared" si="14"/>
        <v>3.0931763989707699</v>
      </c>
      <c r="Q54" s="49">
        <v>0.4</v>
      </c>
      <c r="R54" s="49">
        <f t="shared" si="8"/>
        <v>0.43706338499158343</v>
      </c>
      <c r="S54" s="49">
        <v>241000</v>
      </c>
      <c r="T54" s="49">
        <v>233000</v>
      </c>
      <c r="U54" s="49">
        <v>15956260</v>
      </c>
      <c r="V54" s="49">
        <f t="shared" si="9"/>
        <v>43.084593248365302</v>
      </c>
      <c r="W54" s="49">
        <f t="shared" si="15"/>
        <v>43.084593248365302</v>
      </c>
      <c r="X54" s="82">
        <f t="shared" si="10"/>
        <v>0</v>
      </c>
      <c r="Y54" s="82">
        <f t="shared" si="11"/>
        <v>285815225052940.5</v>
      </c>
      <c r="Z54" s="81">
        <f t="shared" si="16"/>
        <v>366492083173856.37</v>
      </c>
      <c r="AA54" s="80">
        <f t="shared" si="0"/>
        <v>1282.2692811622346</v>
      </c>
      <c r="AB54" s="52">
        <f t="shared" si="12"/>
        <v>-2.1542910805504051E-2</v>
      </c>
      <c r="AC54" s="48">
        <f t="shared" si="1"/>
        <v>-7.8216660148611658E-3</v>
      </c>
      <c r="AD54" s="48">
        <f t="shared" si="2"/>
        <v>-1.5432098765432098E-2</v>
      </c>
      <c r="AE54" s="48">
        <f t="shared" si="3"/>
        <v>-3.3195020746887967E-2</v>
      </c>
      <c r="AF54" s="48" t="e">
        <f>(#REF!-#REF!)/#REF!</f>
        <v>#REF!</v>
      </c>
    </row>
    <row r="55" spans="1:32" x14ac:dyDescent="0.3">
      <c r="A55" s="48">
        <v>20180320</v>
      </c>
      <c r="B55" s="48" t="s">
        <v>88</v>
      </c>
      <c r="C55" s="79">
        <v>0.3</v>
      </c>
      <c r="D55" s="79">
        <f t="shared" si="4"/>
        <v>0.23018445719276645</v>
      </c>
      <c r="E55" s="49">
        <v>2537000</v>
      </c>
      <c r="F55" s="49">
        <v>2560000</v>
      </c>
      <c r="G55" s="49">
        <v>128386494</v>
      </c>
      <c r="H55" s="49">
        <f t="shared" si="5"/>
        <v>0.26180432470833498</v>
      </c>
      <c r="I55" s="49">
        <f t="shared" si="13"/>
        <v>0.26180432470833498</v>
      </c>
      <c r="J55" s="48">
        <v>0.3</v>
      </c>
      <c r="K55" s="48">
        <f t="shared" si="6"/>
        <v>0.32734068436278452</v>
      </c>
      <c r="L55" s="48">
        <v>319000</v>
      </c>
      <c r="M55" s="48">
        <v>322500</v>
      </c>
      <c r="N55" s="51">
        <v>122666424</v>
      </c>
      <c r="O55" s="48">
        <f t="shared" si="7"/>
        <v>3.0931763989707699</v>
      </c>
      <c r="P55" s="48">
        <f t="shared" si="14"/>
        <v>3.0931763989707699</v>
      </c>
      <c r="Q55" s="49">
        <v>0.4</v>
      </c>
      <c r="R55" s="49">
        <f t="shared" si="8"/>
        <v>0.442474858444449</v>
      </c>
      <c r="S55" s="49">
        <v>233000</v>
      </c>
      <c r="T55" s="49">
        <v>240600</v>
      </c>
      <c r="U55" s="49">
        <v>15956260</v>
      </c>
      <c r="V55" s="49">
        <f t="shared" si="9"/>
        <v>43.084593248365302</v>
      </c>
      <c r="W55" s="49">
        <f t="shared" si="15"/>
        <v>43.084593248365302</v>
      </c>
      <c r="X55" s="82">
        <f t="shared" si="10"/>
        <v>0</v>
      </c>
      <c r="Y55" s="82">
        <f t="shared" si="11"/>
        <v>285815225052940.5</v>
      </c>
      <c r="Z55" s="81">
        <f t="shared" si="16"/>
        <v>373817927672208.69</v>
      </c>
      <c r="AA55" s="80">
        <f t="shared" si="0"/>
        <v>1307.9006816483195</v>
      </c>
      <c r="AB55" s="52">
        <f t="shared" si="12"/>
        <v>1.9989093447557966E-2</v>
      </c>
      <c r="AC55" s="48">
        <f t="shared" si="1"/>
        <v>9.0658257784785173E-3</v>
      </c>
      <c r="AD55" s="48">
        <f t="shared" si="2"/>
        <v>1.0971786833855799E-2</v>
      </c>
      <c r="AE55" s="48">
        <f t="shared" si="3"/>
        <v>3.2618025751072963E-2</v>
      </c>
      <c r="AF55" s="48" t="e">
        <f>(#REF!-#REF!)/#REF!</f>
        <v>#REF!</v>
      </c>
    </row>
    <row r="56" spans="1:32" x14ac:dyDescent="0.3">
      <c r="A56" s="48">
        <v>20180321</v>
      </c>
      <c r="B56" s="48" t="s">
        <v>88</v>
      </c>
      <c r="C56" s="79">
        <v>0.3</v>
      </c>
      <c r="D56" s="79">
        <f t="shared" si="4"/>
        <v>0.23212206127499971</v>
      </c>
      <c r="E56" s="49">
        <v>2560000</v>
      </c>
      <c r="F56" s="49">
        <v>2553000</v>
      </c>
      <c r="G56" s="49">
        <v>128386494</v>
      </c>
      <c r="H56" s="49">
        <f t="shared" si="5"/>
        <v>0.26180432470833498</v>
      </c>
      <c r="I56" s="49">
        <f t="shared" si="13"/>
        <v>0.26180432470833498</v>
      </c>
      <c r="J56" s="48">
        <v>0.3</v>
      </c>
      <c r="K56" s="48">
        <f t="shared" si="6"/>
        <v>0.31971123033452081</v>
      </c>
      <c r="L56" s="48">
        <v>322500</v>
      </c>
      <c r="M56" s="48">
        <v>311500</v>
      </c>
      <c r="N56" s="51">
        <v>122666424</v>
      </c>
      <c r="O56" s="48">
        <f t="shared" si="7"/>
        <v>3.0931763989707699</v>
      </c>
      <c r="P56" s="48">
        <f t="shared" si="14"/>
        <v>3.0931763989707699</v>
      </c>
      <c r="Q56" s="49">
        <v>0.4</v>
      </c>
      <c r="R56" s="49">
        <f t="shared" si="8"/>
        <v>0.44816670839047951</v>
      </c>
      <c r="S56" s="49">
        <v>240600</v>
      </c>
      <c r="T56" s="49">
        <v>241000</v>
      </c>
      <c r="U56" s="49">
        <v>15956260</v>
      </c>
      <c r="V56" s="49">
        <f t="shared" si="9"/>
        <v>43.084593248365302</v>
      </c>
      <c r="W56" s="49">
        <f t="shared" si="15"/>
        <v>43.084593248365302</v>
      </c>
      <c r="X56" s="82">
        <f t="shared" si="10"/>
        <v>0</v>
      </c>
      <c r="Y56" s="82">
        <f t="shared" si="11"/>
        <v>285815225052940.5</v>
      </c>
      <c r="Z56" s="81">
        <f t="shared" si="16"/>
        <v>369683912521119</v>
      </c>
      <c r="AA56" s="80">
        <f t="shared" si="0"/>
        <v>1293.436738552482</v>
      </c>
      <c r="AB56" s="52">
        <f t="shared" si="12"/>
        <v>-1.1058900189278072E-2</v>
      </c>
      <c r="AC56" s="48">
        <f t="shared" si="1"/>
        <v>-2.7343749999999998E-3</v>
      </c>
      <c r="AD56" s="48">
        <f t="shared" si="2"/>
        <v>-3.4108527131782945E-2</v>
      </c>
      <c r="AE56" s="48">
        <f t="shared" si="3"/>
        <v>1.6625103906899418E-3</v>
      </c>
      <c r="AF56" s="48" t="e">
        <f>(#REF!-#REF!)/#REF!</f>
        <v>#REF!</v>
      </c>
    </row>
    <row r="57" spans="1:32" x14ac:dyDescent="0.3">
      <c r="A57" s="48">
        <v>20180322</v>
      </c>
      <c r="B57" s="48" t="s">
        <v>88</v>
      </c>
      <c r="C57" s="79">
        <v>0.3</v>
      </c>
      <c r="D57" s="79">
        <f t="shared" si="4"/>
        <v>0.24071850641366166</v>
      </c>
      <c r="E57" s="49">
        <v>2553000</v>
      </c>
      <c r="F57" s="49">
        <v>2589000</v>
      </c>
      <c r="G57" s="49">
        <v>128386494</v>
      </c>
      <c r="H57" s="49">
        <f t="shared" si="5"/>
        <v>0.26180432470833498</v>
      </c>
      <c r="I57" s="49">
        <f t="shared" si="13"/>
        <v>0.26180432470833498</v>
      </c>
      <c r="J57" s="48">
        <v>0.3</v>
      </c>
      <c r="K57" s="48">
        <f t="shared" si="6"/>
        <v>0.3258916786125407</v>
      </c>
      <c r="L57" s="48">
        <v>311500</v>
      </c>
      <c r="M57" s="48">
        <v>310500</v>
      </c>
      <c r="N57" s="51">
        <v>122666424</v>
      </c>
      <c r="O57" s="48">
        <f t="shared" si="7"/>
        <v>3.0931763989707699</v>
      </c>
      <c r="P57" s="48">
        <f t="shared" si="14"/>
        <v>3.0931763989707699</v>
      </c>
      <c r="Q57" s="49">
        <v>0.4</v>
      </c>
      <c r="R57" s="49">
        <f t="shared" si="8"/>
        <v>0.43338981497379758</v>
      </c>
      <c r="S57" s="49">
        <v>241000</v>
      </c>
      <c r="T57" s="49">
        <v>227900</v>
      </c>
      <c r="U57" s="49">
        <v>15956260</v>
      </c>
      <c r="V57" s="49">
        <f t="shared" si="9"/>
        <v>43.084593248365302</v>
      </c>
      <c r="W57" s="49">
        <f t="shared" si="15"/>
        <v>43.084593248365302</v>
      </c>
      <c r="X57" s="82">
        <f t="shared" si="10"/>
        <v>0</v>
      </c>
      <c r="Y57" s="82">
        <f t="shared" si="11"/>
        <v>285815225052940.5</v>
      </c>
      <c r="Z57" s="81">
        <f t="shared" si="16"/>
        <v>361508677119102.75</v>
      </c>
      <c r="AA57" s="80">
        <f t="shared" si="0"/>
        <v>1264.8335198103664</v>
      </c>
      <c r="AB57" s="52">
        <f t="shared" si="12"/>
        <v>-2.2114122700833579E-2</v>
      </c>
      <c r="AC57" s="48">
        <f t="shared" si="1"/>
        <v>1.4101057579318449E-2</v>
      </c>
      <c r="AD57" s="48">
        <f t="shared" si="2"/>
        <v>-3.2102728731942215E-3</v>
      </c>
      <c r="AE57" s="48">
        <f t="shared" si="3"/>
        <v>-5.4356846473029047E-2</v>
      </c>
      <c r="AF57" s="48" t="e">
        <f>(#REF!-#REF!)/#REF!</f>
        <v>#REF!</v>
      </c>
    </row>
    <row r="58" spans="1:32" x14ac:dyDescent="0.3">
      <c r="A58" s="48">
        <v>20180323</v>
      </c>
      <c r="B58" s="48" t="s">
        <v>88</v>
      </c>
      <c r="C58" s="79">
        <v>0.3</v>
      </c>
      <c r="D58" s="79">
        <f t="shared" si="4"/>
        <v>0.24875389866432329</v>
      </c>
      <c r="E58" s="49">
        <v>2589000</v>
      </c>
      <c r="F58" s="49">
        <v>2486000</v>
      </c>
      <c r="G58" s="49">
        <v>128386494</v>
      </c>
      <c r="H58" s="49">
        <f t="shared" si="5"/>
        <v>0.26180432470833498</v>
      </c>
      <c r="I58" s="49">
        <f t="shared" si="13"/>
        <v>0.26180432470833498</v>
      </c>
      <c r="J58" s="48">
        <v>0.3</v>
      </c>
      <c r="K58" s="48">
        <f t="shared" si="6"/>
        <v>0.33886308753305999</v>
      </c>
      <c r="L58" s="48">
        <v>310500</v>
      </c>
      <c r="M58" s="48">
        <v>300000</v>
      </c>
      <c r="N58" s="51">
        <v>122666424</v>
      </c>
      <c r="O58" s="48">
        <f t="shared" si="7"/>
        <v>3.0931763989707699</v>
      </c>
      <c r="P58" s="48">
        <f t="shared" si="14"/>
        <v>3.0931763989707699</v>
      </c>
      <c r="Q58" s="49">
        <v>0.4</v>
      </c>
      <c r="R58" s="49">
        <f t="shared" si="8"/>
        <v>0.4123830138026166</v>
      </c>
      <c r="S58" s="49">
        <v>227900</v>
      </c>
      <c r="T58" s="49">
        <v>201500</v>
      </c>
      <c r="U58" s="49">
        <v>15956260</v>
      </c>
      <c r="V58" s="49">
        <f t="shared" si="9"/>
        <v>43.084593248365302</v>
      </c>
      <c r="W58" s="49">
        <f t="shared" si="15"/>
        <v>43.084593248365302</v>
      </c>
      <c r="X58" s="82">
        <f t="shared" si="10"/>
        <v>0</v>
      </c>
      <c r="Y58" s="82">
        <f t="shared" si="11"/>
        <v>285815225052940.5</v>
      </c>
      <c r="Z58" s="81">
        <f t="shared" si="16"/>
        <v>335913442586977.5</v>
      </c>
      <c r="AA58" s="80">
        <f t="shared" si="0"/>
        <v>1175.2818364548548</v>
      </c>
      <c r="AB58" s="52">
        <f t="shared" si="12"/>
        <v>-7.0801162329203526E-2</v>
      </c>
      <c r="AC58" s="48">
        <f t="shared" si="1"/>
        <v>-3.9783700270374665E-2</v>
      </c>
      <c r="AD58" s="48">
        <f t="shared" si="2"/>
        <v>-3.3816425120772944E-2</v>
      </c>
      <c r="AE58" s="48">
        <f t="shared" si="3"/>
        <v>-0.11584028082492322</v>
      </c>
      <c r="AF58" s="48" t="e">
        <f>(#REF!-#REF!)/#REF!</f>
        <v>#REF!</v>
      </c>
    </row>
    <row r="59" spans="1:32" x14ac:dyDescent="0.3">
      <c r="A59" s="48">
        <v>20180326</v>
      </c>
      <c r="B59" s="48" t="s">
        <v>88</v>
      </c>
      <c r="C59" s="79">
        <v>0.3</v>
      </c>
      <c r="D59" s="79">
        <f t="shared" si="4"/>
        <v>0.24726986402753712</v>
      </c>
      <c r="E59" s="49">
        <v>2486000</v>
      </c>
      <c r="F59" s="49">
        <v>2514000</v>
      </c>
      <c r="G59" s="49">
        <v>128386494</v>
      </c>
      <c r="H59" s="49">
        <f t="shared" si="5"/>
        <v>0.26180432470833498</v>
      </c>
      <c r="I59" s="49">
        <f t="shared" si="13"/>
        <v>0.26180432470833498</v>
      </c>
      <c r="J59" s="48">
        <v>0.3</v>
      </c>
      <c r="K59" s="48">
        <f t="shared" si="6"/>
        <v>0.33308985730113894</v>
      </c>
      <c r="L59" s="48">
        <v>300000</v>
      </c>
      <c r="M59" s="48">
        <v>300000</v>
      </c>
      <c r="N59" s="51">
        <v>122666424</v>
      </c>
      <c r="O59" s="48">
        <f t="shared" si="7"/>
        <v>3.0931763989707699</v>
      </c>
      <c r="P59" s="48">
        <f t="shared" si="14"/>
        <v>3.0931763989707699</v>
      </c>
      <c r="Q59" s="49">
        <v>0.4</v>
      </c>
      <c r="R59" s="49">
        <f t="shared" si="8"/>
        <v>0.41964027867132403</v>
      </c>
      <c r="S59" s="49">
        <v>201500</v>
      </c>
      <c r="T59" s="49">
        <v>208600</v>
      </c>
      <c r="U59" s="49">
        <v>15956260</v>
      </c>
      <c r="V59" s="49">
        <f t="shared" si="9"/>
        <v>43.084593248365302</v>
      </c>
      <c r="W59" s="49">
        <f t="shared" si="15"/>
        <v>43.084593248365302</v>
      </c>
      <c r="X59" s="82">
        <f t="shared" si="10"/>
        <v>0</v>
      </c>
      <c r="Y59" s="82">
        <f t="shared" si="11"/>
        <v>285815225052940.5</v>
      </c>
      <c r="Z59" s="81">
        <f t="shared" si="16"/>
        <v>341735612189393.62</v>
      </c>
      <c r="AA59" s="80">
        <f t="shared" si="0"/>
        <v>1195.6522334529072</v>
      </c>
      <c r="AB59" s="52">
        <f t="shared" si="12"/>
        <v>1.7332350731717388E-2</v>
      </c>
      <c r="AC59" s="48">
        <f t="shared" si="1"/>
        <v>1.1263073209975865E-2</v>
      </c>
      <c r="AD59" s="48">
        <f t="shared" si="2"/>
        <v>0</v>
      </c>
      <c r="AE59" s="48">
        <f t="shared" si="3"/>
        <v>3.5235732009925559E-2</v>
      </c>
      <c r="AF59" s="48" t="e">
        <f>(#REF!-#REF!)/#REF!</f>
        <v>#REF!</v>
      </c>
    </row>
    <row r="60" spans="1:32" x14ac:dyDescent="0.3">
      <c r="A60" s="48">
        <v>20180327</v>
      </c>
      <c r="B60" s="48" t="s">
        <v>88</v>
      </c>
      <c r="C60" s="79">
        <v>0.3</v>
      </c>
      <c r="D60" s="79">
        <f t="shared" si="4"/>
        <v>0.24475518165147914</v>
      </c>
      <c r="E60" s="49">
        <v>2514000</v>
      </c>
      <c r="F60" s="49">
        <v>2499000</v>
      </c>
      <c r="G60" s="49">
        <v>128386494</v>
      </c>
      <c r="H60" s="49">
        <f t="shared" si="5"/>
        <v>0.26180432470833498</v>
      </c>
      <c r="I60" s="49">
        <f t="shared" si="13"/>
        <v>0.26180432470833498</v>
      </c>
      <c r="J60" s="48">
        <v>0.3</v>
      </c>
      <c r="K60" s="48">
        <f t="shared" si="6"/>
        <v>0.32836459561751341</v>
      </c>
      <c r="L60" s="48">
        <v>300000</v>
      </c>
      <c r="M60" s="48">
        <v>297000</v>
      </c>
      <c r="N60" s="51">
        <v>122666424</v>
      </c>
      <c r="O60" s="48">
        <f t="shared" si="7"/>
        <v>3.0931763989707699</v>
      </c>
      <c r="P60" s="48">
        <f t="shared" si="14"/>
        <v>3.0931763989707699</v>
      </c>
      <c r="Q60" s="49">
        <v>0.4</v>
      </c>
      <c r="R60" s="49">
        <f t="shared" si="8"/>
        <v>0.42688022273100745</v>
      </c>
      <c r="S60" s="49">
        <v>208600</v>
      </c>
      <c r="T60" s="49">
        <v>213100</v>
      </c>
      <c r="U60" s="49">
        <v>15956260</v>
      </c>
      <c r="V60" s="49">
        <f t="shared" si="9"/>
        <v>43.084593248365302</v>
      </c>
      <c r="W60" s="49">
        <f t="shared" si="15"/>
        <v>43.084593248365302</v>
      </c>
      <c r="X60" s="82">
        <f t="shared" si="10"/>
        <v>0</v>
      </c>
      <c r="Y60" s="82">
        <f t="shared" si="11"/>
        <v>285815225052940.5</v>
      </c>
      <c r="Z60" s="81">
        <f t="shared" si="16"/>
        <v>343186753809347.94</v>
      </c>
      <c r="AA60" s="80">
        <f t="shared" si="0"/>
        <v>1200.7294354098201</v>
      </c>
      <c r="AB60" s="52">
        <f t="shared" si="12"/>
        <v>4.2463868797789793E-3</v>
      </c>
      <c r="AC60" s="48">
        <f t="shared" si="1"/>
        <v>-5.9665871121718375E-3</v>
      </c>
      <c r="AD60" s="48">
        <f t="shared" si="2"/>
        <v>-0.01</v>
      </c>
      <c r="AE60" s="48">
        <f t="shared" si="3"/>
        <v>2.1572387344199424E-2</v>
      </c>
      <c r="AF60" s="48" t="e">
        <f>(#REF!-#REF!)/#REF!</f>
        <v>#REF!</v>
      </c>
    </row>
    <row r="61" spans="1:32" x14ac:dyDescent="0.3">
      <c r="A61" s="48">
        <v>20180328</v>
      </c>
      <c r="B61" s="48" t="s">
        <v>88</v>
      </c>
      <c r="C61" s="79">
        <v>0.3</v>
      </c>
      <c r="D61" s="79">
        <f t="shared" si="4"/>
        <v>0.24255304921980306</v>
      </c>
      <c r="E61" s="49">
        <v>2499000</v>
      </c>
      <c r="F61" s="49">
        <v>2435000</v>
      </c>
      <c r="G61" s="49">
        <v>128386494</v>
      </c>
      <c r="H61" s="49">
        <f t="shared" si="5"/>
        <v>0.26180432470833498</v>
      </c>
      <c r="I61" s="49">
        <f t="shared" si="13"/>
        <v>0.26180432470833498</v>
      </c>
      <c r="J61" s="48">
        <v>0.3</v>
      </c>
      <c r="K61" s="48">
        <f t="shared" si="6"/>
        <v>0.32552967024256968</v>
      </c>
      <c r="L61" s="48">
        <v>297000</v>
      </c>
      <c r="M61" s="48">
        <v>289500</v>
      </c>
      <c r="N61" s="51">
        <v>122666424</v>
      </c>
      <c r="O61" s="48">
        <f t="shared" si="7"/>
        <v>3.0931763989707699</v>
      </c>
      <c r="P61" s="48">
        <f t="shared" si="14"/>
        <v>3.0931763989707699</v>
      </c>
      <c r="Q61" s="49">
        <v>0.4</v>
      </c>
      <c r="R61" s="49">
        <f t="shared" si="8"/>
        <v>0.43191728053762729</v>
      </c>
      <c r="S61" s="49">
        <v>213100</v>
      </c>
      <c r="T61" s="49">
        <v>212000</v>
      </c>
      <c r="U61" s="49">
        <v>15956260</v>
      </c>
      <c r="V61" s="49">
        <f t="shared" si="9"/>
        <v>43.084593248365302</v>
      </c>
      <c r="W61" s="49">
        <f t="shared" si="15"/>
        <v>43.084593248365302</v>
      </c>
      <c r="X61" s="82">
        <f t="shared" si="10"/>
        <v>0</v>
      </c>
      <c r="Y61" s="82">
        <f t="shared" si="11"/>
        <v>285815225052940.5</v>
      </c>
      <c r="Z61" s="81">
        <f t="shared" si="16"/>
        <v>337433644363570.37</v>
      </c>
      <c r="AA61" s="80">
        <f t="shared" si="0"/>
        <v>1180.6006635968004</v>
      </c>
      <c r="AB61" s="52">
        <f t="shared" si="12"/>
        <v>-1.6763786427997081E-2</v>
      </c>
      <c r="AC61" s="48">
        <f t="shared" si="1"/>
        <v>-2.5610244097639057E-2</v>
      </c>
      <c r="AD61" s="48">
        <f t="shared" si="2"/>
        <v>-2.5252525252525252E-2</v>
      </c>
      <c r="AE61" s="48">
        <f t="shared" si="3"/>
        <v>-5.1618958235570157E-3</v>
      </c>
      <c r="AF61" s="48" t="e">
        <f>(#REF!-#REF!)/#REF!</f>
        <v>#REF!</v>
      </c>
    </row>
    <row r="62" spans="1:32" x14ac:dyDescent="0.3">
      <c r="A62" s="48">
        <v>20180329</v>
      </c>
      <c r="B62" s="48" t="s">
        <v>88</v>
      </c>
      <c r="C62" s="79">
        <v>0.3</v>
      </c>
      <c r="D62" s="79">
        <f t="shared" si="4"/>
        <v>0.23240493986120167</v>
      </c>
      <c r="E62" s="49">
        <v>2435000</v>
      </c>
      <c r="F62" s="49">
        <v>2452000</v>
      </c>
      <c r="G62" s="49">
        <v>128386494</v>
      </c>
      <c r="H62" s="49">
        <f t="shared" si="5"/>
        <v>0.26180432470833498</v>
      </c>
      <c r="I62" s="49">
        <f t="shared" si="13"/>
        <v>0.26180432470833498</v>
      </c>
      <c r="J62" s="48">
        <v>0.3</v>
      </c>
      <c r="K62" s="48">
        <f t="shared" si="6"/>
        <v>0.33917074736688385</v>
      </c>
      <c r="L62" s="48">
        <v>289500</v>
      </c>
      <c r="M62" s="48">
        <v>317000</v>
      </c>
      <c r="N62" s="51">
        <v>122666424</v>
      </c>
      <c r="O62" s="48">
        <f t="shared" si="7"/>
        <v>3.0931763989707699</v>
      </c>
      <c r="P62" s="48">
        <f t="shared" si="14"/>
        <v>3.0931763989707699</v>
      </c>
      <c r="Q62" s="49">
        <v>0.4</v>
      </c>
      <c r="R62" s="49">
        <f t="shared" si="8"/>
        <v>0.42842431277191462</v>
      </c>
      <c r="S62" s="49">
        <v>212000</v>
      </c>
      <c r="T62" s="49">
        <v>221000</v>
      </c>
      <c r="U62" s="49">
        <v>15956260</v>
      </c>
      <c r="V62" s="49">
        <f t="shared" si="9"/>
        <v>43.084593248365302</v>
      </c>
      <c r="W62" s="49">
        <f t="shared" si="15"/>
        <v>43.084593248365302</v>
      </c>
      <c r="X62" s="82">
        <f t="shared" si="10"/>
        <v>0</v>
      </c>
      <c r="Y62" s="82">
        <f t="shared" si="11"/>
        <v>285815225052940.5</v>
      </c>
      <c r="Z62" s="81">
        <f t="shared" si="16"/>
        <v>354626565890264.5</v>
      </c>
      <c r="AA62" s="80">
        <f t="shared" si="0"/>
        <v>1240.7546372821055</v>
      </c>
      <c r="AB62" s="52">
        <f t="shared" si="12"/>
        <v>5.0952007346871143E-2</v>
      </c>
      <c r="AC62" s="48">
        <f t="shared" si="1"/>
        <v>6.9815195071868588E-3</v>
      </c>
      <c r="AD62" s="48">
        <f t="shared" si="2"/>
        <v>9.499136442141623E-2</v>
      </c>
      <c r="AE62" s="48">
        <f t="shared" si="3"/>
        <v>4.2452830188679243E-2</v>
      </c>
      <c r="AF62" s="48" t="e">
        <f>(#REF!-#REF!)/#REF!</f>
        <v>#REF!</v>
      </c>
    </row>
    <row r="63" spans="1:32" x14ac:dyDescent="0.3">
      <c r="A63" s="48">
        <v>20180330</v>
      </c>
      <c r="B63" s="48" t="s">
        <v>88</v>
      </c>
      <c r="C63" s="79">
        <v>0.3</v>
      </c>
      <c r="D63" s="79">
        <f t="shared" si="4"/>
        <v>0.23316729236735065</v>
      </c>
      <c r="E63" s="49">
        <v>2452000</v>
      </c>
      <c r="F63" s="49">
        <v>2461000</v>
      </c>
      <c r="G63" s="49">
        <v>128386494</v>
      </c>
      <c r="H63" s="49">
        <f t="shared" si="5"/>
        <v>0.26180432470833498</v>
      </c>
      <c r="I63" s="49">
        <f t="shared" si="13"/>
        <v>0.26180432470833498</v>
      </c>
      <c r="J63" s="48">
        <v>0.3</v>
      </c>
      <c r="K63" s="48">
        <f t="shared" si="6"/>
        <v>0.33101746335075993</v>
      </c>
      <c r="L63" s="48">
        <v>317000</v>
      </c>
      <c r="M63" s="48">
        <v>309500</v>
      </c>
      <c r="N63" s="51">
        <v>122666424</v>
      </c>
      <c r="O63" s="48">
        <f t="shared" si="7"/>
        <v>3.0931763989707699</v>
      </c>
      <c r="P63" s="48">
        <f t="shared" si="14"/>
        <v>3.0931763989707699</v>
      </c>
      <c r="Q63" s="49">
        <v>0.4</v>
      </c>
      <c r="R63" s="49">
        <f t="shared" si="8"/>
        <v>0.43581524428188939</v>
      </c>
      <c r="S63" s="49">
        <v>221000</v>
      </c>
      <c r="T63" s="49">
        <v>224900</v>
      </c>
      <c r="U63" s="49">
        <v>15956260</v>
      </c>
      <c r="V63" s="49">
        <f t="shared" si="9"/>
        <v>43.084593248365302</v>
      </c>
      <c r="W63" s="49">
        <f t="shared" si="15"/>
        <v>43.084593248365302</v>
      </c>
      <c r="X63" s="82">
        <f t="shared" si="10"/>
        <v>0</v>
      </c>
      <c r="Y63" s="82">
        <f t="shared" si="11"/>
        <v>285815225052940.5</v>
      </c>
      <c r="Z63" s="81">
        <f t="shared" si="16"/>
        <v>354764487477336.69</v>
      </c>
      <c r="AA63" s="80">
        <f t="shared" si="0"/>
        <v>1241.2371923560929</v>
      </c>
      <c r="AB63" s="52">
        <f t="shared" si="12"/>
        <v>3.8892062901693989E-4</v>
      </c>
      <c r="AC63" s="48">
        <f t="shared" si="1"/>
        <v>3.67047308319739E-3</v>
      </c>
      <c r="AD63" s="48">
        <f t="shared" si="2"/>
        <v>-2.365930599369085E-2</v>
      </c>
      <c r="AE63" s="48">
        <f t="shared" si="3"/>
        <v>1.7647058823529412E-2</v>
      </c>
      <c r="AF63" s="48" t="e">
        <f>(#REF!-#REF!)/#REF!</f>
        <v>#REF!</v>
      </c>
    </row>
    <row r="64" spans="1:32" x14ac:dyDescent="0.3">
      <c r="A64" s="48">
        <v>20180402</v>
      </c>
      <c r="B64" s="48" t="s">
        <v>88</v>
      </c>
      <c r="C64" s="79">
        <v>0.3</v>
      </c>
      <c r="D64" s="79">
        <f t="shared" si="4"/>
        <v>0.23246771430628385</v>
      </c>
      <c r="E64" s="49">
        <v>2461000</v>
      </c>
      <c r="F64" s="49">
        <v>2427000</v>
      </c>
      <c r="G64" s="49">
        <v>128386494</v>
      </c>
      <c r="H64" s="49">
        <f t="shared" si="5"/>
        <v>0.26180432470833498</v>
      </c>
      <c r="I64" s="49">
        <f t="shared" si="13"/>
        <v>0.26180432470833498</v>
      </c>
      <c r="J64" s="48">
        <v>0.3</v>
      </c>
      <c r="K64" s="48">
        <f t="shared" si="6"/>
        <v>0.32870074611379607</v>
      </c>
      <c r="L64" s="48">
        <v>309500</v>
      </c>
      <c r="M64" s="48">
        <v>304000</v>
      </c>
      <c r="N64" s="51">
        <v>122666424</v>
      </c>
      <c r="O64" s="48">
        <f t="shared" si="7"/>
        <v>3.0931763989707699</v>
      </c>
      <c r="P64" s="48">
        <f t="shared" si="14"/>
        <v>3.0931763989707699</v>
      </c>
      <c r="Q64" s="49">
        <v>0.4</v>
      </c>
      <c r="R64" s="49">
        <f t="shared" si="8"/>
        <v>0.4388315395799201</v>
      </c>
      <c r="S64" s="49">
        <v>224900</v>
      </c>
      <c r="T64" s="49">
        <v>224000</v>
      </c>
      <c r="U64" s="49">
        <v>15956260</v>
      </c>
      <c r="V64" s="49">
        <f t="shared" si="9"/>
        <v>43.084593248365302</v>
      </c>
      <c r="W64" s="49">
        <f t="shared" si="15"/>
        <v>43.084593248365302</v>
      </c>
      <c r="X64" s="82">
        <f t="shared" si="10"/>
        <v>0</v>
      </c>
      <c r="Y64" s="82">
        <f t="shared" si="11"/>
        <v>285815225052940.5</v>
      </c>
      <c r="Z64" s="81">
        <f t="shared" si="16"/>
        <v>350916093782158.25</v>
      </c>
      <c r="AA64" s="80">
        <f t="shared" si="0"/>
        <v>1227.7725713077718</v>
      </c>
      <c r="AB64" s="52">
        <f t="shared" si="12"/>
        <v>-1.0847742181140084E-2</v>
      </c>
      <c r="AC64" s="48">
        <f t="shared" si="1"/>
        <v>-1.3815522145469321E-2</v>
      </c>
      <c r="AD64" s="48">
        <f t="shared" si="2"/>
        <v>-1.7770597738287562E-2</v>
      </c>
      <c r="AE64" s="48">
        <f t="shared" si="3"/>
        <v>-4.0017785682525571E-3</v>
      </c>
      <c r="AF64" s="48" t="e">
        <f>(#REF!-#REF!)/#REF!</f>
        <v>#REF!</v>
      </c>
    </row>
    <row r="65" spans="1:32" x14ac:dyDescent="0.3">
      <c r="A65" s="48">
        <v>20180403</v>
      </c>
      <c r="B65" s="48" t="s">
        <v>88</v>
      </c>
      <c r="C65" s="79">
        <v>0.3</v>
      </c>
      <c r="D65" s="79">
        <f t="shared" si="4"/>
        <v>0.22623962006742343</v>
      </c>
      <c r="E65" s="49">
        <v>2427000</v>
      </c>
      <c r="F65" s="49">
        <v>2406000</v>
      </c>
      <c r="G65" s="49">
        <v>128386494</v>
      </c>
      <c r="H65" s="49">
        <f t="shared" si="5"/>
        <v>0.26180432470833498</v>
      </c>
      <c r="I65" s="49">
        <f t="shared" si="13"/>
        <v>0.26180432470833498</v>
      </c>
      <c r="J65" s="48">
        <v>0.3</v>
      </c>
      <c r="K65" s="48">
        <f t="shared" si="6"/>
        <v>0.3173792029927151</v>
      </c>
      <c r="L65" s="48">
        <v>304000</v>
      </c>
      <c r="M65" s="48">
        <v>299000</v>
      </c>
      <c r="N65" s="51">
        <v>122666424</v>
      </c>
      <c r="O65" s="48">
        <f t="shared" si="7"/>
        <v>3.0931763989707699</v>
      </c>
      <c r="P65" s="48">
        <f t="shared" si="14"/>
        <v>3.0931763989707699</v>
      </c>
      <c r="Q65" s="49">
        <v>0.4</v>
      </c>
      <c r="R65" s="49">
        <f t="shared" si="8"/>
        <v>0.45638117693986163</v>
      </c>
      <c r="S65" s="49">
        <v>224000</v>
      </c>
      <c r="T65" s="49">
        <v>237300</v>
      </c>
      <c r="U65" s="49">
        <v>15956260</v>
      </c>
      <c r="V65" s="49">
        <f t="shared" si="9"/>
        <v>43.084593248365302</v>
      </c>
      <c r="W65" s="49">
        <f t="shared" si="15"/>
        <v>43.084593248365302</v>
      </c>
      <c r="X65" s="82">
        <f t="shared" si="10"/>
        <v>0</v>
      </c>
      <c r="Y65" s="82">
        <f t="shared" si="11"/>
        <v>285815225052940.5</v>
      </c>
      <c r="Z65" s="81">
        <f t="shared" si="16"/>
        <v>357456431743020</v>
      </c>
      <c r="AA65" s="80">
        <f t="shared" si="0"/>
        <v>1250.6556698538702</v>
      </c>
      <c r="AB65" s="52">
        <f t="shared" si="12"/>
        <v>1.8637896855542443E-2</v>
      </c>
      <c r="AC65" s="48">
        <f t="shared" si="1"/>
        <v>-8.65265760197775E-3</v>
      </c>
      <c r="AD65" s="48">
        <f t="shared" si="2"/>
        <v>-1.6447368421052631E-2</v>
      </c>
      <c r="AE65" s="48">
        <f t="shared" si="3"/>
        <v>5.9374999999999997E-2</v>
      </c>
      <c r="AF65" s="48" t="e">
        <f>(#REF!-#REF!)/#REF!</f>
        <v>#REF!</v>
      </c>
    </row>
    <row r="66" spans="1:32" x14ac:dyDescent="0.3">
      <c r="A66" s="48">
        <v>20180404</v>
      </c>
      <c r="B66" s="48" t="s">
        <v>88</v>
      </c>
      <c r="C66" s="79">
        <v>0.3</v>
      </c>
      <c r="D66" s="79">
        <f t="shared" si="4"/>
        <v>0.22119038403425331</v>
      </c>
      <c r="E66" s="49">
        <v>2406000</v>
      </c>
      <c r="F66" s="49">
        <v>2346000</v>
      </c>
      <c r="G66" s="49">
        <v>128386494</v>
      </c>
      <c r="H66" s="49">
        <f t="shared" si="5"/>
        <v>0.26180432470833498</v>
      </c>
      <c r="I66" s="49">
        <f t="shared" si="13"/>
        <v>0.26180432470833498</v>
      </c>
      <c r="J66" s="48">
        <v>0.3</v>
      </c>
      <c r="K66" s="48">
        <f t="shared" si="6"/>
        <v>0.31291025923052623</v>
      </c>
      <c r="L66" s="48">
        <v>299000</v>
      </c>
      <c r="M66" s="48">
        <v>294000</v>
      </c>
      <c r="N66" s="51">
        <v>122666424</v>
      </c>
      <c r="O66" s="48">
        <f t="shared" si="7"/>
        <v>3.0931763989707699</v>
      </c>
      <c r="P66" s="48">
        <f t="shared" si="14"/>
        <v>3.0931763989707699</v>
      </c>
      <c r="Q66" s="49">
        <v>0.4</v>
      </c>
      <c r="R66" s="49">
        <f t="shared" si="8"/>
        <v>0.46589935673522037</v>
      </c>
      <c r="S66" s="49">
        <v>237300</v>
      </c>
      <c r="T66" s="49">
        <v>241600</v>
      </c>
      <c r="U66" s="49">
        <v>15956260</v>
      </c>
      <c r="V66" s="49">
        <f t="shared" si="9"/>
        <v>43.084593248365302</v>
      </c>
      <c r="W66" s="49">
        <f t="shared" si="15"/>
        <v>43.084593248365302</v>
      </c>
      <c r="X66" s="82">
        <f t="shared" si="10"/>
        <v>0</v>
      </c>
      <c r="Y66" s="82">
        <f t="shared" si="11"/>
        <v>285815225052940.5</v>
      </c>
      <c r="Z66" s="81">
        <f t="shared" si="16"/>
        <v>356498675521925.12</v>
      </c>
      <c r="AA66" s="80">
        <f t="shared" si="0"/>
        <v>1247.3047069339718</v>
      </c>
      <c r="AB66" s="52">
        <f t="shared" si="12"/>
        <v>-2.6793649128780011E-3</v>
      </c>
      <c r="AC66" s="48">
        <f t="shared" si="1"/>
        <v>-2.4937655860349128E-2</v>
      </c>
      <c r="AD66" s="48">
        <f t="shared" si="2"/>
        <v>-1.6722408026755852E-2</v>
      </c>
      <c r="AE66" s="48">
        <f t="shared" si="3"/>
        <v>1.8120522545301308E-2</v>
      </c>
      <c r="AF66" s="48" t="e">
        <f>(#REF!-#REF!)/#REF!</f>
        <v>#REF!</v>
      </c>
    </row>
    <row r="67" spans="1:32" x14ac:dyDescent="0.3">
      <c r="A67" s="48">
        <v>20180405</v>
      </c>
      <c r="B67" s="48" t="s">
        <v>88</v>
      </c>
      <c r="C67" s="79">
        <v>0.3</v>
      </c>
      <c r="D67" s="79">
        <f t="shared" si="4"/>
        <v>0.22809824979773835</v>
      </c>
      <c r="E67" s="49">
        <v>2346000</v>
      </c>
      <c r="F67" s="49">
        <v>2437000</v>
      </c>
      <c r="G67" s="49">
        <v>128386494</v>
      </c>
      <c r="H67" s="49">
        <f t="shared" si="5"/>
        <v>0.26180432470833498</v>
      </c>
      <c r="I67" s="49">
        <f t="shared" si="13"/>
        <v>0.26180432470833498</v>
      </c>
      <c r="J67" s="48">
        <v>0.3</v>
      </c>
      <c r="K67" s="48">
        <f t="shared" si="6"/>
        <v>0.3116898621025706</v>
      </c>
      <c r="L67" s="48">
        <v>294000</v>
      </c>
      <c r="M67" s="48">
        <v>295000</v>
      </c>
      <c r="N67" s="51">
        <v>122666424</v>
      </c>
      <c r="O67" s="48">
        <f t="shared" si="7"/>
        <v>3.0931763989707699</v>
      </c>
      <c r="P67" s="48">
        <f t="shared" si="14"/>
        <v>3.0931763989707699</v>
      </c>
      <c r="Q67" s="49">
        <v>0.4</v>
      </c>
      <c r="R67" s="49">
        <f t="shared" si="8"/>
        <v>0.46021188809969094</v>
      </c>
      <c r="S67" s="49">
        <v>241600</v>
      </c>
      <c r="T67" s="49">
        <v>240400</v>
      </c>
      <c r="U67" s="49">
        <v>15956260</v>
      </c>
      <c r="V67" s="49">
        <f t="shared" si="9"/>
        <v>43.084593248365302</v>
      </c>
      <c r="W67" s="49">
        <f t="shared" si="15"/>
        <v>43.084593248365302</v>
      </c>
      <c r="X67" s="82">
        <f t="shared" si="10"/>
        <v>0</v>
      </c>
      <c r="Y67" s="82">
        <f t="shared" si="11"/>
        <v>285815225052940.5</v>
      </c>
      <c r="Z67" s="81">
        <f t="shared" si="16"/>
        <v>359111846325413.87</v>
      </c>
      <c r="AA67" s="80">
        <f t="shared" ref="AA67:AA130" si="17">Z67/Y67*1000</f>
        <v>1256.4475746835981</v>
      </c>
      <c r="AB67" s="52">
        <f t="shared" si="12"/>
        <v>7.3300996130292329E-3</v>
      </c>
      <c r="AC67" s="48">
        <f t="shared" ref="AC67:AC130" si="18">(F67-E67)/E67</f>
        <v>3.8789428815004259E-2</v>
      </c>
      <c r="AD67" s="48">
        <f t="shared" ref="AD67:AD130" si="19">(M67-L67)/L67</f>
        <v>3.4013605442176869E-3</v>
      </c>
      <c r="AE67" s="48">
        <f t="shared" ref="AE67:AE130" si="20">(T67-S67)/S67</f>
        <v>-4.9668874172185433E-3</v>
      </c>
      <c r="AF67" s="48" t="e">
        <f>(#REF!-#REF!)/#REF!</f>
        <v>#REF!</v>
      </c>
    </row>
    <row r="68" spans="1:32" x14ac:dyDescent="0.3">
      <c r="A68" s="48">
        <v>20180406</v>
      </c>
      <c r="B68" s="48" t="s">
        <v>88</v>
      </c>
      <c r="C68" s="79">
        <v>0.3</v>
      </c>
      <c r="D68" s="79">
        <f t="shared" ref="D68:D131" si="21">F68*G68*I68/Z68</f>
        <v>0.22706649947118224</v>
      </c>
      <c r="E68" s="49">
        <v>2437000</v>
      </c>
      <c r="F68" s="49">
        <v>2420000</v>
      </c>
      <c r="G68" s="49">
        <v>128386494</v>
      </c>
      <c r="H68" s="49">
        <f t="shared" ref="H68:H131" si="22">I67</f>
        <v>0.26180432470833498</v>
      </c>
      <c r="I68" s="49">
        <f t="shared" si="13"/>
        <v>0.26180432470833498</v>
      </c>
      <c r="J68" s="48">
        <v>0.3</v>
      </c>
      <c r="K68" s="48">
        <f t="shared" ref="K68:K131" si="23">M68*N68*P68/Z68</f>
        <v>0.30928210130017314</v>
      </c>
      <c r="L68" s="48">
        <v>295000</v>
      </c>
      <c r="M68" s="48">
        <v>292000</v>
      </c>
      <c r="N68" s="51">
        <v>122666424</v>
      </c>
      <c r="O68" s="48">
        <f t="shared" ref="O68:O131" si="24">P67</f>
        <v>3.0931763989707699</v>
      </c>
      <c r="P68" s="48">
        <f t="shared" si="14"/>
        <v>3.0931763989707699</v>
      </c>
      <c r="Q68" s="49">
        <v>0.4</v>
      </c>
      <c r="R68" s="49">
        <f t="shared" ref="R68:R131" si="25">T68*U68*W68/Z68</f>
        <v>0.46365139922864473</v>
      </c>
      <c r="S68" s="49">
        <v>240400</v>
      </c>
      <c r="T68" s="49">
        <v>241600</v>
      </c>
      <c r="U68" s="49">
        <v>15956260</v>
      </c>
      <c r="V68" s="49">
        <f t="shared" ref="V68:V131" si="26">W67</f>
        <v>43.084593248365302</v>
      </c>
      <c r="W68" s="49">
        <f t="shared" si="15"/>
        <v>43.084593248365302</v>
      </c>
      <c r="X68" s="82">
        <f t="shared" ref="X68:X131" si="27">IF(Z67&lt;&gt;(E68*G68*H68+L68*N68*O68+S68*U68*V68),1,0)</f>
        <v>0</v>
      </c>
      <c r="Y68" s="82">
        <f t="shared" ref="Y68:Y131" si="28">IF(AND(X68=0,B68="N"),Y67,Y67*(E68*G68*I68+L68*N68*P68+S68*U68*W68)/Z67)</f>
        <v>285815225052940.5</v>
      </c>
      <c r="Z68" s="81">
        <f t="shared" si="16"/>
        <v>358227116059486.37</v>
      </c>
      <c r="AA68" s="80">
        <f t="shared" si="17"/>
        <v>1253.3521123415776</v>
      </c>
      <c r="AB68" s="52">
        <f t="shared" ref="AB68:AB131" si="29">(AA68-AA67)/AA67</f>
        <v>-2.4636621570143825E-3</v>
      </c>
      <c r="AC68" s="48">
        <f t="shared" si="18"/>
        <v>-6.9757899056216658E-3</v>
      </c>
      <c r="AD68" s="48">
        <f t="shared" si="19"/>
        <v>-1.0169491525423728E-2</v>
      </c>
      <c r="AE68" s="48">
        <f t="shared" si="20"/>
        <v>4.9916805324459234E-3</v>
      </c>
      <c r="AF68" s="48" t="e">
        <f>(#REF!-#REF!)/#REF!</f>
        <v>#REF!</v>
      </c>
    </row>
    <row r="69" spans="1:32" x14ac:dyDescent="0.3">
      <c r="A69" s="48">
        <v>20180409</v>
      </c>
      <c r="B69" s="48" t="s">
        <v>88</v>
      </c>
      <c r="C69" s="79">
        <v>0.3</v>
      </c>
      <c r="D69" s="79">
        <f t="shared" si="21"/>
        <v>0.22098803257914387</v>
      </c>
      <c r="E69" s="49">
        <v>2420000</v>
      </c>
      <c r="F69" s="49">
        <v>2460000</v>
      </c>
      <c r="G69" s="49">
        <v>128386494</v>
      </c>
      <c r="H69" s="49">
        <f t="shared" si="22"/>
        <v>0.26180432470833498</v>
      </c>
      <c r="I69" s="49">
        <f t="shared" ref="I69:I132" si="30">IF(B69="Y",ROUND(C69*(E69*G69+L69*N69+S69*U69)/(E69*G69),17),IF(X69=0,H69,ROUND(F68*G68*I68/Z68*(E69*G69+L69*N69+S69*U69)/(E69*G69),17)))</f>
        <v>0.26180432470833498</v>
      </c>
      <c r="J69" s="48">
        <v>0.3</v>
      </c>
      <c r="K69" s="48">
        <f t="shared" si="23"/>
        <v>0.31030538471122965</v>
      </c>
      <c r="L69" s="48">
        <v>292000</v>
      </c>
      <c r="M69" s="48">
        <v>306000</v>
      </c>
      <c r="N69" s="51">
        <v>122666424</v>
      </c>
      <c r="O69" s="48">
        <f t="shared" si="24"/>
        <v>3.0931763989707699</v>
      </c>
      <c r="P69" s="48">
        <f t="shared" ref="P69:P132" si="31">IF(B69="Y",ROUND(J69*(E69*G69+L69*N69+S69*U69)/(L69*N69),17),IF(X69=0,O69,ROUND(M68*N68*P68/Z68*(E69*G69+L69*N69+S69*U69)/(L69*N69),17)))</f>
        <v>3.0931763989707699</v>
      </c>
      <c r="Q69" s="49">
        <v>0.4</v>
      </c>
      <c r="R69" s="49">
        <f t="shared" si="25"/>
        <v>0.46870658270962662</v>
      </c>
      <c r="S69" s="49">
        <v>241600</v>
      </c>
      <c r="T69" s="49">
        <v>255100</v>
      </c>
      <c r="U69" s="49">
        <v>15956260</v>
      </c>
      <c r="V69" s="49">
        <f t="shared" si="26"/>
        <v>43.084593248365302</v>
      </c>
      <c r="W69" s="49">
        <f t="shared" ref="W69:W132" si="32">IF(B69="Y",ROUND(Q69*(E69*G69+L69*N69+S69*U69)/(S69*U69),17),IF(X69=0,V69,ROUND(T68*U68*W68/Z68*(E69*G69+L69*N69+S69*U69)/(S69*U69),17)))</f>
        <v>43.084593248365302</v>
      </c>
      <c r="X69" s="82">
        <f t="shared" si="27"/>
        <v>0</v>
      </c>
      <c r="Y69" s="82">
        <f t="shared" si="28"/>
        <v>285815225052940.5</v>
      </c>
      <c r="Z69" s="81">
        <f t="shared" ref="Z69:Z132" si="33">F69*G69*I69+M69*N69*P69+T69*U69*W69</f>
        <v>374164437181480.87</v>
      </c>
      <c r="AA69" s="80">
        <f t="shared" si="17"/>
        <v>1309.1130366206901</v>
      </c>
      <c r="AB69" s="52">
        <f t="shared" si="29"/>
        <v>4.4489432562519901E-2</v>
      </c>
      <c r="AC69" s="48">
        <f t="shared" si="18"/>
        <v>1.6528925619834711E-2</v>
      </c>
      <c r="AD69" s="48">
        <f t="shared" si="19"/>
        <v>4.7945205479452052E-2</v>
      </c>
      <c r="AE69" s="48">
        <f t="shared" si="20"/>
        <v>5.587748344370861E-2</v>
      </c>
      <c r="AF69" s="48" t="e">
        <f>(#REF!-#REF!)/#REF!</f>
        <v>#REF!</v>
      </c>
    </row>
    <row r="70" spans="1:32" x14ac:dyDescent="0.3">
      <c r="A70" s="48">
        <v>20180410</v>
      </c>
      <c r="B70" s="48" t="s">
        <v>88</v>
      </c>
      <c r="C70" s="79">
        <v>0.3</v>
      </c>
      <c r="D70" s="79">
        <f t="shared" si="21"/>
        <v>0.21848213193331845</v>
      </c>
      <c r="E70" s="49">
        <v>2460000</v>
      </c>
      <c r="F70" s="49">
        <v>2444000</v>
      </c>
      <c r="G70" s="49">
        <v>128386494</v>
      </c>
      <c r="H70" s="49">
        <f t="shared" si="22"/>
        <v>0.26180432470833498</v>
      </c>
      <c r="I70" s="49">
        <f t="shared" si="30"/>
        <v>0.26180432470833498</v>
      </c>
      <c r="J70" s="48">
        <v>0.3</v>
      </c>
      <c r="K70" s="48">
        <f t="shared" si="23"/>
        <v>0.30576768768684948</v>
      </c>
      <c r="L70" s="48">
        <v>306000</v>
      </c>
      <c r="M70" s="48">
        <v>303000</v>
      </c>
      <c r="N70" s="51">
        <v>122666424</v>
      </c>
      <c r="O70" s="48">
        <f t="shared" si="24"/>
        <v>3.0931763989707699</v>
      </c>
      <c r="P70" s="48">
        <f t="shared" si="31"/>
        <v>3.0931763989707699</v>
      </c>
      <c r="Q70" s="49">
        <v>0.4</v>
      </c>
      <c r="R70" s="49">
        <f t="shared" si="25"/>
        <v>0.47575018037983197</v>
      </c>
      <c r="S70" s="49">
        <v>255100</v>
      </c>
      <c r="T70" s="49">
        <v>260200</v>
      </c>
      <c r="U70" s="49">
        <v>15956260</v>
      </c>
      <c r="V70" s="49">
        <f t="shared" si="26"/>
        <v>43.084593248365302</v>
      </c>
      <c r="W70" s="49">
        <f t="shared" si="32"/>
        <v>43.084593248365302</v>
      </c>
      <c r="X70" s="82">
        <f t="shared" si="27"/>
        <v>0</v>
      </c>
      <c r="Y70" s="82">
        <f t="shared" si="28"/>
        <v>285815225052940.5</v>
      </c>
      <c r="Z70" s="81">
        <f t="shared" si="33"/>
        <v>375994448045191</v>
      </c>
      <c r="AA70" s="80">
        <f t="shared" si="17"/>
        <v>1315.5158126217627</v>
      </c>
      <c r="AB70" s="52">
        <f t="shared" si="29"/>
        <v>4.8909267740550573E-3</v>
      </c>
      <c r="AC70" s="48">
        <f t="shared" si="18"/>
        <v>-6.5040650406504065E-3</v>
      </c>
      <c r="AD70" s="48">
        <f t="shared" si="19"/>
        <v>-9.8039215686274508E-3</v>
      </c>
      <c r="AE70" s="48">
        <f t="shared" si="20"/>
        <v>1.9992159937279499E-2</v>
      </c>
      <c r="AF70" s="48" t="e">
        <f>(#REF!-#REF!)/#REF!</f>
        <v>#REF!</v>
      </c>
    </row>
    <row r="71" spans="1:32" x14ac:dyDescent="0.3">
      <c r="A71" s="48">
        <v>20180411</v>
      </c>
      <c r="B71" s="48" t="s">
        <v>88</v>
      </c>
      <c r="C71" s="79">
        <v>0.3</v>
      </c>
      <c r="D71" s="79">
        <f t="shared" si="21"/>
        <v>0.22102294365666461</v>
      </c>
      <c r="E71" s="49">
        <v>2444000</v>
      </c>
      <c r="F71" s="49">
        <v>2443000</v>
      </c>
      <c r="G71" s="49">
        <v>128386494</v>
      </c>
      <c r="H71" s="49">
        <f t="shared" si="22"/>
        <v>0.26180432470833498</v>
      </c>
      <c r="I71" s="49">
        <f t="shared" si="30"/>
        <v>0.26180432470833498</v>
      </c>
      <c r="J71" s="48">
        <v>0.3</v>
      </c>
      <c r="K71" s="48">
        <f t="shared" si="23"/>
        <v>0.3043437537619591</v>
      </c>
      <c r="L71" s="48">
        <v>303000</v>
      </c>
      <c r="M71" s="48">
        <v>298000</v>
      </c>
      <c r="N71" s="51">
        <v>122666424</v>
      </c>
      <c r="O71" s="48">
        <f t="shared" si="24"/>
        <v>3.0931763989707699</v>
      </c>
      <c r="P71" s="48">
        <f t="shared" si="31"/>
        <v>3.0931763989707699</v>
      </c>
      <c r="Q71" s="49">
        <v>0.4</v>
      </c>
      <c r="R71" s="49">
        <f t="shared" si="25"/>
        <v>0.47463330258137632</v>
      </c>
      <c r="S71" s="49">
        <v>260200</v>
      </c>
      <c r="T71" s="49">
        <v>256500</v>
      </c>
      <c r="U71" s="49">
        <v>15956260</v>
      </c>
      <c r="V71" s="49">
        <f t="shared" si="26"/>
        <v>43.084593248365302</v>
      </c>
      <c r="W71" s="49">
        <f t="shared" si="32"/>
        <v>43.084593248365302</v>
      </c>
      <c r="X71" s="82">
        <f t="shared" si="27"/>
        <v>0</v>
      </c>
      <c r="Y71" s="82">
        <f t="shared" si="28"/>
        <v>285815225052940.5</v>
      </c>
      <c r="Z71" s="81">
        <f t="shared" si="33"/>
        <v>371520056271611.81</v>
      </c>
      <c r="AA71" s="80">
        <f t="shared" si="17"/>
        <v>1299.8609720766153</v>
      </c>
      <c r="AB71" s="52">
        <f t="shared" si="29"/>
        <v>-1.1900153836956189E-2</v>
      </c>
      <c r="AC71" s="48">
        <f t="shared" si="18"/>
        <v>-4.0916530278232408E-4</v>
      </c>
      <c r="AD71" s="48">
        <f t="shared" si="19"/>
        <v>-1.65016501650165E-2</v>
      </c>
      <c r="AE71" s="48">
        <f t="shared" si="20"/>
        <v>-1.4219830899308224E-2</v>
      </c>
      <c r="AF71" s="48" t="e">
        <f>(#REF!-#REF!)/#REF!</f>
        <v>#REF!</v>
      </c>
    </row>
    <row r="72" spans="1:32" x14ac:dyDescent="0.3">
      <c r="A72" s="48">
        <v>20180412</v>
      </c>
      <c r="B72" s="48" t="s">
        <v>88</v>
      </c>
      <c r="C72" s="79">
        <v>0.3</v>
      </c>
      <c r="D72" s="79">
        <f t="shared" si="21"/>
        <v>0.23185954047349847</v>
      </c>
      <c r="E72" s="49">
        <v>2443000</v>
      </c>
      <c r="F72" s="49">
        <v>2450000</v>
      </c>
      <c r="G72" s="49">
        <v>128386494</v>
      </c>
      <c r="H72" s="49">
        <f t="shared" si="22"/>
        <v>0.26180432470833498</v>
      </c>
      <c r="I72" s="49">
        <f t="shared" si="30"/>
        <v>0.26180432470833498</v>
      </c>
      <c r="J72" s="48">
        <v>0.3</v>
      </c>
      <c r="K72" s="48">
        <f t="shared" si="23"/>
        <v>0.31888747299274267</v>
      </c>
      <c r="L72" s="48">
        <v>298000</v>
      </c>
      <c r="M72" s="48">
        <v>298500</v>
      </c>
      <c r="N72" s="51">
        <v>122666424</v>
      </c>
      <c r="O72" s="48">
        <f t="shared" si="24"/>
        <v>3.0931763989707699</v>
      </c>
      <c r="P72" s="48">
        <f t="shared" si="31"/>
        <v>3.0931763989707699</v>
      </c>
      <c r="Q72" s="49">
        <v>0.4</v>
      </c>
      <c r="R72" s="49">
        <f t="shared" si="25"/>
        <v>0.44925298653375884</v>
      </c>
      <c r="S72" s="49">
        <v>256500</v>
      </c>
      <c r="T72" s="49">
        <v>232100</v>
      </c>
      <c r="U72" s="49">
        <v>15956260</v>
      </c>
      <c r="V72" s="49">
        <f t="shared" si="26"/>
        <v>43.084593248365302</v>
      </c>
      <c r="W72" s="49">
        <f t="shared" si="32"/>
        <v>43.084593248365302</v>
      </c>
      <c r="X72" s="82">
        <f t="shared" si="27"/>
        <v>0</v>
      </c>
      <c r="Y72" s="82">
        <f t="shared" si="28"/>
        <v>285815225052940.5</v>
      </c>
      <c r="Z72" s="81">
        <f t="shared" si="33"/>
        <v>355170812777476.75</v>
      </c>
      <c r="AA72" s="80">
        <f t="shared" si="17"/>
        <v>1242.658828659984</v>
      </c>
      <c r="AB72" s="52">
        <f t="shared" si="29"/>
        <v>-4.4006355022142903E-2</v>
      </c>
      <c r="AC72" s="48">
        <f t="shared" si="18"/>
        <v>2.8653295128939827E-3</v>
      </c>
      <c r="AD72" s="48">
        <f t="shared" si="19"/>
        <v>1.6778523489932886E-3</v>
      </c>
      <c r="AE72" s="48">
        <f t="shared" si="20"/>
        <v>-9.5126705653021448E-2</v>
      </c>
      <c r="AF72" s="48" t="e">
        <f>(#REF!-#REF!)/#REF!</f>
        <v>#REF!</v>
      </c>
    </row>
    <row r="73" spans="1:32" x14ac:dyDescent="0.3">
      <c r="A73" s="48">
        <v>20180413</v>
      </c>
      <c r="B73" s="48" t="s">
        <v>88</v>
      </c>
      <c r="C73" s="79">
        <v>0.3</v>
      </c>
      <c r="D73" s="79">
        <f t="shared" si="21"/>
        <v>0.23511510982622347</v>
      </c>
      <c r="E73" s="49">
        <v>2450000</v>
      </c>
      <c r="F73" s="49">
        <v>2490000</v>
      </c>
      <c r="G73" s="49">
        <v>128386494</v>
      </c>
      <c r="H73" s="49">
        <f t="shared" si="22"/>
        <v>0.26180432470833498</v>
      </c>
      <c r="I73" s="49">
        <f t="shared" si="30"/>
        <v>0.26180432470833498</v>
      </c>
      <c r="J73" s="48">
        <v>0.3</v>
      </c>
      <c r="K73" s="48">
        <f t="shared" si="23"/>
        <v>0.30911026548752957</v>
      </c>
      <c r="L73" s="48">
        <v>298500</v>
      </c>
      <c r="M73" s="48">
        <v>290000</v>
      </c>
      <c r="N73" s="51">
        <v>122666424</v>
      </c>
      <c r="O73" s="48">
        <f t="shared" si="24"/>
        <v>3.0931763989707699</v>
      </c>
      <c r="P73" s="48">
        <f t="shared" si="31"/>
        <v>3.0931763989707699</v>
      </c>
      <c r="Q73" s="49">
        <v>0.4</v>
      </c>
      <c r="R73" s="49">
        <f t="shared" si="25"/>
        <v>0.45577462468624697</v>
      </c>
      <c r="S73" s="49">
        <v>232100</v>
      </c>
      <c r="T73" s="49">
        <v>236000</v>
      </c>
      <c r="U73" s="49">
        <v>15956260</v>
      </c>
      <c r="V73" s="49">
        <f t="shared" si="26"/>
        <v>43.084593248365302</v>
      </c>
      <c r="W73" s="49">
        <f t="shared" si="32"/>
        <v>43.084593248365302</v>
      </c>
      <c r="X73" s="82">
        <f t="shared" si="27"/>
        <v>0</v>
      </c>
      <c r="Y73" s="82">
        <f t="shared" si="28"/>
        <v>285815225052940.5</v>
      </c>
      <c r="Z73" s="81">
        <f t="shared" si="33"/>
        <v>355971281797149.5</v>
      </c>
      <c r="AA73" s="80">
        <f t="shared" si="17"/>
        <v>1245.4594807929293</v>
      </c>
      <c r="AB73" s="52">
        <f t="shared" si="29"/>
        <v>2.2537578845879683E-3</v>
      </c>
      <c r="AC73" s="48">
        <f t="shared" si="18"/>
        <v>1.6326530612244899E-2</v>
      </c>
      <c r="AD73" s="48">
        <f t="shared" si="19"/>
        <v>-2.8475711892797319E-2</v>
      </c>
      <c r="AE73" s="48">
        <f t="shared" si="20"/>
        <v>1.6803102111158982E-2</v>
      </c>
      <c r="AF73" s="48" t="e">
        <f>(#REF!-#REF!)/#REF!</f>
        <v>#REF!</v>
      </c>
    </row>
    <row r="74" spans="1:32" x14ac:dyDescent="0.3">
      <c r="A74" s="48">
        <v>20180416</v>
      </c>
      <c r="B74" s="48" t="s">
        <v>88</v>
      </c>
      <c r="C74" s="79">
        <v>0.3</v>
      </c>
      <c r="D74" s="79">
        <f t="shared" si="21"/>
        <v>0.23967542378156403</v>
      </c>
      <c r="E74" s="49">
        <v>2490000</v>
      </c>
      <c r="F74" s="49">
        <v>2517000</v>
      </c>
      <c r="G74" s="49">
        <v>128386494</v>
      </c>
      <c r="H74" s="49">
        <f t="shared" si="22"/>
        <v>0.26180432470833498</v>
      </c>
      <c r="I74" s="49">
        <f t="shared" si="30"/>
        <v>0.26180432470833498</v>
      </c>
      <c r="J74" s="48">
        <v>0.3</v>
      </c>
      <c r="K74" s="48">
        <f t="shared" si="23"/>
        <v>0.31763767662780856</v>
      </c>
      <c r="L74" s="48">
        <v>290000</v>
      </c>
      <c r="M74" s="48">
        <v>295500</v>
      </c>
      <c r="N74" s="51">
        <v>122666424</v>
      </c>
      <c r="O74" s="48">
        <f t="shared" si="24"/>
        <v>3.0931763989707699</v>
      </c>
      <c r="P74" s="48">
        <f t="shared" si="31"/>
        <v>3.0931763989707699</v>
      </c>
      <c r="Q74" s="49">
        <v>0.4</v>
      </c>
      <c r="R74" s="49">
        <f t="shared" si="25"/>
        <v>0.44268689959062724</v>
      </c>
      <c r="S74" s="49">
        <v>236000</v>
      </c>
      <c r="T74" s="49">
        <v>227300</v>
      </c>
      <c r="U74" s="49">
        <v>15956260</v>
      </c>
      <c r="V74" s="49">
        <f t="shared" si="26"/>
        <v>43.084593248365302</v>
      </c>
      <c r="W74" s="49">
        <f t="shared" si="32"/>
        <v>43.084593248365302</v>
      </c>
      <c r="X74" s="82">
        <f t="shared" si="27"/>
        <v>0</v>
      </c>
      <c r="Y74" s="82">
        <f t="shared" si="28"/>
        <v>285815225052940.5</v>
      </c>
      <c r="Z74" s="81">
        <f t="shared" si="33"/>
        <v>352984688386879</v>
      </c>
      <c r="AA74" s="80">
        <f t="shared" si="17"/>
        <v>1235.0100954961267</v>
      </c>
      <c r="AB74" s="52">
        <f t="shared" si="29"/>
        <v>-8.3899841447671267E-3</v>
      </c>
      <c r="AC74" s="48">
        <f t="shared" si="18"/>
        <v>1.0843373493975903E-2</v>
      </c>
      <c r="AD74" s="48">
        <f t="shared" si="19"/>
        <v>1.896551724137931E-2</v>
      </c>
      <c r="AE74" s="48">
        <f t="shared" si="20"/>
        <v>-3.6864406779661019E-2</v>
      </c>
      <c r="AF74" s="48" t="e">
        <f>(#REF!-#REF!)/#REF!</f>
        <v>#REF!</v>
      </c>
    </row>
    <row r="75" spans="1:32" s="47" customFormat="1" x14ac:dyDescent="0.3">
      <c r="A75" s="48">
        <v>20180417</v>
      </c>
      <c r="B75" s="48" t="s">
        <v>88</v>
      </c>
      <c r="C75" s="79">
        <v>0.3</v>
      </c>
      <c r="D75" s="79">
        <f t="shared" si="21"/>
        <v>0.23663212154527552</v>
      </c>
      <c r="E75" s="49">
        <v>2517000</v>
      </c>
      <c r="F75" s="49">
        <v>2499000</v>
      </c>
      <c r="G75" s="49">
        <v>128386494</v>
      </c>
      <c r="H75" s="49">
        <f t="shared" si="22"/>
        <v>0.26180432470833498</v>
      </c>
      <c r="I75" s="49">
        <f t="shared" si="30"/>
        <v>0.269785253090084</v>
      </c>
      <c r="J75" s="48">
        <v>0.3</v>
      </c>
      <c r="K75" s="48">
        <f t="shared" si="23"/>
        <v>0.30998428425789148</v>
      </c>
      <c r="L75" s="48">
        <v>295500</v>
      </c>
      <c r="M75" s="48">
        <v>290000</v>
      </c>
      <c r="N75" s="51">
        <v>125108377</v>
      </c>
      <c r="O75" s="48">
        <f t="shared" si="24"/>
        <v>3.0931763989707699</v>
      </c>
      <c r="P75" s="48">
        <f t="shared" si="31"/>
        <v>3.12525452685726</v>
      </c>
      <c r="Q75" s="49">
        <v>0.4</v>
      </c>
      <c r="R75" s="49">
        <f t="shared" si="25"/>
        <v>0.45338359419683294</v>
      </c>
      <c r="S75" s="49">
        <v>227300</v>
      </c>
      <c r="T75" s="49">
        <v>234100</v>
      </c>
      <c r="U75" s="49">
        <v>15956260</v>
      </c>
      <c r="V75" s="49">
        <f t="shared" si="26"/>
        <v>43.084593248365302</v>
      </c>
      <c r="W75" s="49">
        <f t="shared" si="32"/>
        <v>44.397998034382702</v>
      </c>
      <c r="X75" s="82">
        <f t="shared" si="27"/>
        <v>1</v>
      </c>
      <c r="Y75" s="82">
        <f t="shared" si="28"/>
        <v>294528109548267.81</v>
      </c>
      <c r="Z75" s="81">
        <f t="shared" si="33"/>
        <v>365788548041682.37</v>
      </c>
      <c r="AA75" s="80">
        <f t="shared" si="17"/>
        <v>1241.9478351411356</v>
      </c>
      <c r="AB75" s="52">
        <f t="shared" si="29"/>
        <v>5.6175570307559408E-3</v>
      </c>
      <c r="AC75" s="48">
        <f t="shared" si="18"/>
        <v>-7.1513706793802142E-3</v>
      </c>
      <c r="AD75" s="48">
        <f t="shared" si="19"/>
        <v>-1.8612521150592216E-2</v>
      </c>
      <c r="AE75" s="48">
        <f t="shared" si="20"/>
        <v>2.9916410030796304E-2</v>
      </c>
      <c r="AF75" s="48" t="e">
        <f>(#REF!-#REF!)/#REF!</f>
        <v>#REF!</v>
      </c>
    </row>
    <row r="76" spans="1:32" x14ac:dyDescent="0.3">
      <c r="A76" s="48">
        <v>20180418</v>
      </c>
      <c r="B76" s="48" t="s">
        <v>88</v>
      </c>
      <c r="C76" s="79">
        <v>0.3</v>
      </c>
      <c r="D76" s="79">
        <f t="shared" si="21"/>
        <v>0.24328922109260706</v>
      </c>
      <c r="E76" s="49">
        <v>2499000</v>
      </c>
      <c r="F76" s="49">
        <v>2568000</v>
      </c>
      <c r="G76" s="49">
        <v>128386494</v>
      </c>
      <c r="H76" s="49">
        <f t="shared" si="22"/>
        <v>0.269785253090084</v>
      </c>
      <c r="I76" s="49">
        <f t="shared" si="30"/>
        <v>0.269785253090084</v>
      </c>
      <c r="J76" s="48">
        <v>0.3</v>
      </c>
      <c r="K76" s="48">
        <f t="shared" si="23"/>
        <v>0.30425964653395715</v>
      </c>
      <c r="L76" s="48">
        <v>290000</v>
      </c>
      <c r="M76" s="48">
        <v>284500</v>
      </c>
      <c r="N76" s="51">
        <v>125108377</v>
      </c>
      <c r="O76" s="48">
        <f t="shared" si="24"/>
        <v>3.12525452685726</v>
      </c>
      <c r="P76" s="48">
        <f t="shared" si="31"/>
        <v>3.12525452685726</v>
      </c>
      <c r="Q76" s="49">
        <v>0.4</v>
      </c>
      <c r="R76" s="49">
        <f t="shared" si="25"/>
        <v>0.45245113237343576</v>
      </c>
      <c r="S76" s="49">
        <v>234100</v>
      </c>
      <c r="T76" s="49">
        <v>233500</v>
      </c>
      <c r="U76" s="49">
        <v>15956260</v>
      </c>
      <c r="V76" s="49">
        <f t="shared" si="26"/>
        <v>44.397998034382702</v>
      </c>
      <c r="W76" s="49">
        <f t="shared" si="32"/>
        <v>44.397998034382702</v>
      </c>
      <c r="X76" s="82">
        <f t="shared" si="27"/>
        <v>0</v>
      </c>
      <c r="Y76" s="82">
        <f t="shared" si="28"/>
        <v>294528109548267.81</v>
      </c>
      <c r="Z76" s="81">
        <f t="shared" si="33"/>
        <v>365602955084616.69</v>
      </c>
      <c r="AA76" s="80">
        <f t="shared" si="17"/>
        <v>1241.3176984884731</v>
      </c>
      <c r="AB76" s="52">
        <f t="shared" si="29"/>
        <v>-5.0737771332471228E-4</v>
      </c>
      <c r="AC76" s="48">
        <f t="shared" si="18"/>
        <v>2.7611044417767107E-2</v>
      </c>
      <c r="AD76" s="48">
        <f t="shared" si="19"/>
        <v>-1.896551724137931E-2</v>
      </c>
      <c r="AE76" s="48">
        <f t="shared" si="20"/>
        <v>-2.5630072618539087E-3</v>
      </c>
      <c r="AF76" s="48" t="e">
        <f>(#REF!-#REF!)/#REF!</f>
        <v>#REF!</v>
      </c>
    </row>
    <row r="77" spans="1:32" x14ac:dyDescent="0.3">
      <c r="A77" s="48">
        <v>20180419</v>
      </c>
      <c r="B77" s="48" t="s">
        <v>88</v>
      </c>
      <c r="C77" s="79">
        <v>0.3</v>
      </c>
      <c r="D77" s="79">
        <f t="shared" si="21"/>
        <v>0.25840931287949093</v>
      </c>
      <c r="E77" s="49">
        <v>2568000</v>
      </c>
      <c r="F77" s="49">
        <v>2639000</v>
      </c>
      <c r="G77" s="49">
        <v>128386494</v>
      </c>
      <c r="H77" s="49">
        <f t="shared" si="22"/>
        <v>0.269785253090084</v>
      </c>
      <c r="I77" s="49">
        <f t="shared" si="30"/>
        <v>0.269785253090084</v>
      </c>
      <c r="J77" s="48">
        <v>0.3</v>
      </c>
      <c r="K77" s="48">
        <f t="shared" si="23"/>
        <v>0.2945779404658922</v>
      </c>
      <c r="L77" s="48">
        <v>284500</v>
      </c>
      <c r="M77" s="48">
        <v>266500</v>
      </c>
      <c r="N77" s="51">
        <v>125108377</v>
      </c>
      <c r="O77" s="48">
        <f t="shared" si="24"/>
        <v>3.12525452685726</v>
      </c>
      <c r="P77" s="48">
        <f t="shared" si="31"/>
        <v>3.12525452685726</v>
      </c>
      <c r="Q77" s="49">
        <v>0.4</v>
      </c>
      <c r="R77" s="49">
        <f t="shared" si="25"/>
        <v>0.44701274665461688</v>
      </c>
      <c r="S77" s="49">
        <v>233500</v>
      </c>
      <c r="T77" s="49">
        <v>223200</v>
      </c>
      <c r="U77" s="49">
        <v>15956260</v>
      </c>
      <c r="V77" s="49">
        <f t="shared" si="26"/>
        <v>44.397998034382702</v>
      </c>
      <c r="W77" s="49">
        <f t="shared" si="32"/>
        <v>44.397998034382702</v>
      </c>
      <c r="X77" s="82">
        <f t="shared" si="27"/>
        <v>0</v>
      </c>
      <c r="Y77" s="82">
        <f t="shared" si="28"/>
        <v>294528109548267.81</v>
      </c>
      <c r="Z77" s="81">
        <f t="shared" si="33"/>
        <v>353727459472391.44</v>
      </c>
      <c r="AA77" s="80">
        <f t="shared" si="17"/>
        <v>1200.9972834678515</v>
      </c>
      <c r="AB77" s="52">
        <f t="shared" si="29"/>
        <v>-3.248194645876628E-2</v>
      </c>
      <c r="AC77" s="48">
        <f t="shared" si="18"/>
        <v>2.764797507788162E-2</v>
      </c>
      <c r="AD77" s="48">
        <f t="shared" si="19"/>
        <v>-6.32688927943761E-2</v>
      </c>
      <c r="AE77" s="48">
        <f t="shared" si="20"/>
        <v>-4.411134903640257E-2</v>
      </c>
      <c r="AF77" s="48" t="e">
        <f>(#REF!-#REF!)/#REF!</f>
        <v>#REF!</v>
      </c>
    </row>
    <row r="78" spans="1:32" x14ac:dyDescent="0.3">
      <c r="A78" s="48">
        <v>20180420</v>
      </c>
      <c r="B78" s="48" t="s">
        <v>88</v>
      </c>
      <c r="C78" s="79">
        <v>0.3</v>
      </c>
      <c r="D78" s="79">
        <f t="shared" si="21"/>
        <v>0.25296098749173873</v>
      </c>
      <c r="E78" s="49">
        <v>2639000</v>
      </c>
      <c r="F78" s="49">
        <v>2581000</v>
      </c>
      <c r="G78" s="49">
        <v>128386494</v>
      </c>
      <c r="H78" s="49">
        <f t="shared" si="22"/>
        <v>0.269785253090084</v>
      </c>
      <c r="I78" s="49">
        <f t="shared" si="30"/>
        <v>0.269785253090084</v>
      </c>
      <c r="J78" s="48">
        <v>0.3</v>
      </c>
      <c r="K78" s="48">
        <f t="shared" si="23"/>
        <v>0.29761311159817633</v>
      </c>
      <c r="L78" s="48">
        <v>266500</v>
      </c>
      <c r="M78" s="48">
        <v>269000</v>
      </c>
      <c r="N78" s="51">
        <v>125108377</v>
      </c>
      <c r="O78" s="48">
        <f t="shared" si="24"/>
        <v>3.12525452685726</v>
      </c>
      <c r="P78" s="48">
        <f t="shared" si="31"/>
        <v>3.12525452685726</v>
      </c>
      <c r="Q78" s="49">
        <v>0.4</v>
      </c>
      <c r="R78" s="49">
        <f t="shared" si="25"/>
        <v>0.44942590091008494</v>
      </c>
      <c r="S78" s="49">
        <v>223200</v>
      </c>
      <c r="T78" s="49">
        <v>224200</v>
      </c>
      <c r="U78" s="49">
        <v>15956260</v>
      </c>
      <c r="V78" s="49">
        <f t="shared" si="26"/>
        <v>44.397998034382702</v>
      </c>
      <c r="W78" s="49">
        <f t="shared" si="32"/>
        <v>44.397998034382702</v>
      </c>
      <c r="X78" s="82">
        <f t="shared" si="27"/>
        <v>0</v>
      </c>
      <c r="Y78" s="82">
        <f t="shared" si="28"/>
        <v>294528109548267.81</v>
      </c>
      <c r="Z78" s="81">
        <f t="shared" si="33"/>
        <v>353404440875351</v>
      </c>
      <c r="AA78" s="80">
        <f t="shared" si="17"/>
        <v>1199.9005508078149</v>
      </c>
      <c r="AB78" s="52">
        <f t="shared" si="29"/>
        <v>-9.131849631415157E-4</v>
      </c>
      <c r="AC78" s="48">
        <f t="shared" si="18"/>
        <v>-2.197802197802198E-2</v>
      </c>
      <c r="AD78" s="48">
        <f t="shared" si="19"/>
        <v>9.3808630393996256E-3</v>
      </c>
      <c r="AE78" s="48">
        <f t="shared" si="20"/>
        <v>4.4802867383512543E-3</v>
      </c>
      <c r="AF78" s="48" t="e">
        <f>(#REF!-#REF!)/#REF!</f>
        <v>#REF!</v>
      </c>
    </row>
    <row r="79" spans="1:32" x14ac:dyDescent="0.3">
      <c r="A79" s="48">
        <v>20180423</v>
      </c>
      <c r="B79" s="48" t="s">
        <v>88</v>
      </c>
      <c r="C79" s="79">
        <v>0.3</v>
      </c>
      <c r="D79" s="79">
        <f t="shared" si="21"/>
        <v>0.26480409224913215</v>
      </c>
      <c r="E79" s="49">
        <v>2581000</v>
      </c>
      <c r="F79" s="49">
        <v>2595000</v>
      </c>
      <c r="G79" s="49">
        <v>128386494</v>
      </c>
      <c r="H79" s="49">
        <f t="shared" si="22"/>
        <v>0.269785253090084</v>
      </c>
      <c r="I79" s="49">
        <f t="shared" si="30"/>
        <v>0.269785253090084</v>
      </c>
      <c r="J79" s="48">
        <v>0.3</v>
      </c>
      <c r="K79" s="48">
        <f t="shared" si="23"/>
        <v>0.28855546072164545</v>
      </c>
      <c r="L79" s="48">
        <v>269000</v>
      </c>
      <c r="M79" s="48">
        <v>250500</v>
      </c>
      <c r="N79" s="51">
        <v>125108377</v>
      </c>
      <c r="O79" s="48">
        <f t="shared" si="24"/>
        <v>3.12525452685726</v>
      </c>
      <c r="P79" s="48">
        <f t="shared" si="31"/>
        <v>3.12525452685726</v>
      </c>
      <c r="Q79" s="49">
        <v>0.4</v>
      </c>
      <c r="R79" s="49">
        <f t="shared" si="25"/>
        <v>0.44664044702922234</v>
      </c>
      <c r="S79" s="49">
        <v>224200</v>
      </c>
      <c r="T79" s="49">
        <v>214000</v>
      </c>
      <c r="U79" s="49">
        <v>15956260</v>
      </c>
      <c r="V79" s="49">
        <f t="shared" si="26"/>
        <v>44.397998034382702</v>
      </c>
      <c r="W79" s="49">
        <f t="shared" si="32"/>
        <v>44.397998034382702</v>
      </c>
      <c r="X79" s="82">
        <f t="shared" si="27"/>
        <v>0</v>
      </c>
      <c r="Y79" s="82">
        <f t="shared" si="28"/>
        <v>294528109548267.81</v>
      </c>
      <c r="Z79" s="81">
        <f t="shared" si="33"/>
        <v>339429993484057</v>
      </c>
      <c r="AA79" s="80">
        <f t="shared" si="17"/>
        <v>1152.453645272288</v>
      </c>
      <c r="AB79" s="52">
        <f t="shared" si="29"/>
        <v>-3.9542364993152106E-2</v>
      </c>
      <c r="AC79" s="48">
        <f t="shared" si="18"/>
        <v>5.424254165052305E-3</v>
      </c>
      <c r="AD79" s="48">
        <f t="shared" si="19"/>
        <v>-6.8773234200743494E-2</v>
      </c>
      <c r="AE79" s="48">
        <f t="shared" si="20"/>
        <v>-4.5495093666369314E-2</v>
      </c>
      <c r="AF79" s="48" t="e">
        <f>(#REF!-#REF!)/#REF!</f>
        <v>#REF!</v>
      </c>
    </row>
    <row r="80" spans="1:32" x14ac:dyDescent="0.3">
      <c r="A80" s="48">
        <v>20180424</v>
      </c>
      <c r="B80" s="48" t="s">
        <v>88</v>
      </c>
      <c r="C80" s="79">
        <v>0.3</v>
      </c>
      <c r="D80" s="79">
        <f t="shared" si="21"/>
        <v>0.2627903183530288</v>
      </c>
      <c r="E80" s="49">
        <v>2595000</v>
      </c>
      <c r="F80" s="49">
        <v>2523000</v>
      </c>
      <c r="G80" s="49">
        <v>128386494</v>
      </c>
      <c r="H80" s="49">
        <f t="shared" si="22"/>
        <v>0.269785253090084</v>
      </c>
      <c r="I80" s="49">
        <f t="shared" si="30"/>
        <v>0.269785253090084</v>
      </c>
      <c r="J80" s="48">
        <v>0.3</v>
      </c>
      <c r="K80" s="48">
        <f t="shared" si="23"/>
        <v>0.29218151772019452</v>
      </c>
      <c r="L80" s="48">
        <v>250500</v>
      </c>
      <c r="M80" s="48">
        <v>248500</v>
      </c>
      <c r="N80" s="51">
        <v>125108377</v>
      </c>
      <c r="O80" s="48">
        <f t="shared" si="24"/>
        <v>3.12525452685726</v>
      </c>
      <c r="P80" s="48">
        <f t="shared" si="31"/>
        <v>3.12525452685726</v>
      </c>
      <c r="Q80" s="49">
        <v>0.4</v>
      </c>
      <c r="R80" s="49">
        <f t="shared" si="25"/>
        <v>0.44502816392677669</v>
      </c>
      <c r="S80" s="49">
        <v>214000</v>
      </c>
      <c r="T80" s="49">
        <v>208900</v>
      </c>
      <c r="U80" s="49">
        <v>15956260</v>
      </c>
      <c r="V80" s="49">
        <f t="shared" si="26"/>
        <v>44.397998034382702</v>
      </c>
      <c r="W80" s="49">
        <f t="shared" si="32"/>
        <v>44.397998034382702</v>
      </c>
      <c r="X80" s="82">
        <f t="shared" si="27"/>
        <v>0</v>
      </c>
      <c r="Y80" s="82">
        <f t="shared" si="28"/>
        <v>294528109548267.81</v>
      </c>
      <c r="Z80" s="81">
        <f t="shared" si="33"/>
        <v>332541181480376.87</v>
      </c>
      <c r="AA80" s="80">
        <f t="shared" si="17"/>
        <v>1129.0643259497763</v>
      </c>
      <c r="AB80" s="52">
        <f t="shared" si="29"/>
        <v>-2.0295236531605192E-2</v>
      </c>
      <c r="AC80" s="48">
        <f t="shared" si="18"/>
        <v>-2.7745664739884393E-2</v>
      </c>
      <c r="AD80" s="48">
        <f t="shared" si="19"/>
        <v>-7.9840319361277438E-3</v>
      </c>
      <c r="AE80" s="48">
        <f t="shared" si="20"/>
        <v>-2.3831775700934581E-2</v>
      </c>
      <c r="AF80" s="48" t="e">
        <f>(#REF!-#REF!)/#REF!</f>
        <v>#REF!</v>
      </c>
    </row>
    <row r="81" spans="1:32" x14ac:dyDescent="0.3">
      <c r="A81" s="48">
        <v>20180425</v>
      </c>
      <c r="B81" s="48" t="s">
        <v>88</v>
      </c>
      <c r="C81" s="79">
        <v>0.3</v>
      </c>
      <c r="D81" s="79">
        <f t="shared" si="21"/>
        <v>0.25844047310946078</v>
      </c>
      <c r="E81" s="49">
        <v>2523000</v>
      </c>
      <c r="F81" s="49">
        <v>2520000</v>
      </c>
      <c r="G81" s="49">
        <v>128386494</v>
      </c>
      <c r="H81" s="49">
        <f t="shared" si="22"/>
        <v>0.269785253090084</v>
      </c>
      <c r="I81" s="49">
        <f t="shared" si="30"/>
        <v>0.269785253090084</v>
      </c>
      <c r="J81" s="48">
        <v>0.3</v>
      </c>
      <c r="K81" s="48">
        <f t="shared" si="23"/>
        <v>0.29058148922678867</v>
      </c>
      <c r="L81" s="48">
        <v>248500</v>
      </c>
      <c r="M81" s="48">
        <v>251000</v>
      </c>
      <c r="N81" s="51">
        <v>125108377</v>
      </c>
      <c r="O81" s="48">
        <f t="shared" si="24"/>
        <v>3.12525452685726</v>
      </c>
      <c r="P81" s="48">
        <f t="shared" si="31"/>
        <v>3.12525452685726</v>
      </c>
      <c r="Q81" s="49">
        <v>0.4</v>
      </c>
      <c r="R81" s="49">
        <f t="shared" si="25"/>
        <v>0.45097803766375066</v>
      </c>
      <c r="S81" s="49">
        <v>208900</v>
      </c>
      <c r="T81" s="49">
        <v>215000</v>
      </c>
      <c r="U81" s="49">
        <v>15956260</v>
      </c>
      <c r="V81" s="49">
        <f t="shared" si="26"/>
        <v>44.397998034382702</v>
      </c>
      <c r="W81" s="49">
        <f t="shared" si="32"/>
        <v>44.397998034382702</v>
      </c>
      <c r="X81" s="82">
        <f t="shared" si="27"/>
        <v>0</v>
      </c>
      <c r="Y81" s="82">
        <f t="shared" si="28"/>
        <v>294528109548267.81</v>
      </c>
      <c r="Z81" s="81">
        <f t="shared" si="33"/>
        <v>337736158536671.12</v>
      </c>
      <c r="AA81" s="80">
        <f t="shared" si="17"/>
        <v>1146.7026324063725</v>
      </c>
      <c r="AB81" s="52">
        <f t="shared" si="29"/>
        <v>1.5622056291397502E-2</v>
      </c>
      <c r="AC81" s="48">
        <f t="shared" si="18"/>
        <v>-1.1890606420927466E-3</v>
      </c>
      <c r="AD81" s="48">
        <f t="shared" si="19"/>
        <v>1.0060362173038229E-2</v>
      </c>
      <c r="AE81" s="48">
        <f t="shared" si="20"/>
        <v>2.9200574437529919E-2</v>
      </c>
      <c r="AF81" s="48" t="e">
        <f>(#REF!-#REF!)/#REF!</f>
        <v>#REF!</v>
      </c>
    </row>
    <row r="82" spans="1:32" x14ac:dyDescent="0.3">
      <c r="A82" s="48">
        <v>20180426</v>
      </c>
      <c r="B82" s="48" t="s">
        <v>88</v>
      </c>
      <c r="C82" s="79">
        <v>0.3</v>
      </c>
      <c r="D82" s="79">
        <f t="shared" si="21"/>
        <v>0.26119100008417456</v>
      </c>
      <c r="E82" s="49">
        <v>2520000</v>
      </c>
      <c r="F82" s="49">
        <v>2607000</v>
      </c>
      <c r="G82" s="49">
        <v>128386494</v>
      </c>
      <c r="H82" s="49">
        <f t="shared" si="22"/>
        <v>0.269785253090084</v>
      </c>
      <c r="I82" s="49">
        <f t="shared" si="30"/>
        <v>0.269785253090084</v>
      </c>
      <c r="J82" s="48">
        <v>0.3</v>
      </c>
      <c r="K82" s="48">
        <f t="shared" si="23"/>
        <v>0.29065951030631348</v>
      </c>
      <c r="L82" s="48">
        <v>251000</v>
      </c>
      <c r="M82" s="48">
        <v>257000</v>
      </c>
      <c r="N82" s="51">
        <v>125108377</v>
      </c>
      <c r="O82" s="48">
        <f t="shared" si="24"/>
        <v>3.12525452685726</v>
      </c>
      <c r="P82" s="48">
        <f t="shared" si="31"/>
        <v>3.12525452685726</v>
      </c>
      <c r="Q82" s="49">
        <v>0.4</v>
      </c>
      <c r="R82" s="49">
        <f t="shared" si="25"/>
        <v>0.4481494896095119</v>
      </c>
      <c r="S82" s="49">
        <v>215000</v>
      </c>
      <c r="T82" s="49">
        <v>218700</v>
      </c>
      <c r="U82" s="49">
        <v>15956260</v>
      </c>
      <c r="V82" s="49">
        <f t="shared" si="26"/>
        <v>44.397998034382702</v>
      </c>
      <c r="W82" s="49">
        <f t="shared" si="32"/>
        <v>44.397998034382702</v>
      </c>
      <c r="X82" s="82">
        <f t="shared" si="27"/>
        <v>0</v>
      </c>
      <c r="Y82" s="82">
        <f t="shared" si="28"/>
        <v>294528109548267.81</v>
      </c>
      <c r="Z82" s="81">
        <f t="shared" si="33"/>
        <v>345716707968113.94</v>
      </c>
      <c r="AA82" s="80">
        <f t="shared" si="17"/>
        <v>1173.7986859670427</v>
      </c>
      <c r="AB82" s="52">
        <f t="shared" si="29"/>
        <v>2.3629538116441577E-2</v>
      </c>
      <c r="AC82" s="48">
        <f t="shared" si="18"/>
        <v>3.4523809523809526E-2</v>
      </c>
      <c r="AD82" s="48">
        <f t="shared" si="19"/>
        <v>2.3904382470119521E-2</v>
      </c>
      <c r="AE82" s="48">
        <f t="shared" si="20"/>
        <v>1.7209302325581394E-2</v>
      </c>
      <c r="AF82" s="48" t="e">
        <f>(#REF!-#REF!)/#REF!</f>
        <v>#REF!</v>
      </c>
    </row>
    <row r="83" spans="1:32" x14ac:dyDescent="0.3">
      <c r="A83" s="48">
        <v>20180427</v>
      </c>
      <c r="B83" s="48" t="s">
        <v>88</v>
      </c>
      <c r="C83" s="79">
        <v>0.3</v>
      </c>
      <c r="D83" s="79">
        <f t="shared" si="21"/>
        <v>0.25647790318252933</v>
      </c>
      <c r="E83" s="49">
        <v>2607000</v>
      </c>
      <c r="F83" s="49">
        <v>2650000</v>
      </c>
      <c r="G83" s="49">
        <v>128386494</v>
      </c>
      <c r="H83" s="49">
        <f t="shared" si="22"/>
        <v>0.269785253090084</v>
      </c>
      <c r="I83" s="49">
        <f t="shared" si="30"/>
        <v>0.269785253090084</v>
      </c>
      <c r="J83" s="48">
        <v>0.3</v>
      </c>
      <c r="K83" s="48">
        <f t="shared" si="23"/>
        <v>0.302087985645632</v>
      </c>
      <c r="L83" s="48">
        <v>257000</v>
      </c>
      <c r="M83" s="48">
        <v>276500</v>
      </c>
      <c r="N83" s="51">
        <v>125108377</v>
      </c>
      <c r="O83" s="48">
        <f t="shared" si="24"/>
        <v>3.12525452685726</v>
      </c>
      <c r="P83" s="48">
        <f t="shared" si="31"/>
        <v>3.12525452685726</v>
      </c>
      <c r="Q83" s="49">
        <v>0.4</v>
      </c>
      <c r="R83" s="49">
        <f t="shared" si="25"/>
        <v>0.44143411117183867</v>
      </c>
      <c r="S83" s="49">
        <v>218700</v>
      </c>
      <c r="T83" s="49">
        <v>223000</v>
      </c>
      <c r="U83" s="49">
        <v>15956260</v>
      </c>
      <c r="V83" s="49">
        <f t="shared" si="26"/>
        <v>44.397998034382702</v>
      </c>
      <c r="W83" s="49">
        <f t="shared" si="32"/>
        <v>44.397998034382702</v>
      </c>
      <c r="X83" s="82">
        <f t="shared" si="27"/>
        <v>0</v>
      </c>
      <c r="Y83" s="82">
        <f t="shared" si="28"/>
        <v>294528109548267.81</v>
      </c>
      <c r="Z83" s="81">
        <f t="shared" si="33"/>
        <v>357876734098586.87</v>
      </c>
      <c r="AA83" s="80">
        <f t="shared" si="17"/>
        <v>1215.0851565491657</v>
      </c>
      <c r="AB83" s="52">
        <f t="shared" si="29"/>
        <v>3.5173382860033478E-2</v>
      </c>
      <c r="AC83" s="48">
        <f t="shared" si="18"/>
        <v>1.6494054468738015E-2</v>
      </c>
      <c r="AD83" s="48">
        <f t="shared" si="19"/>
        <v>7.5875486381322951E-2</v>
      </c>
      <c r="AE83" s="48">
        <f t="shared" si="20"/>
        <v>1.9661636945587563E-2</v>
      </c>
      <c r="AF83" s="48" t="e">
        <f>(#REF!-#REF!)/#REF!</f>
        <v>#REF!</v>
      </c>
    </row>
    <row r="84" spans="1:32" x14ac:dyDescent="0.3">
      <c r="A84" s="48">
        <v>20180430</v>
      </c>
      <c r="B84" s="48" t="s">
        <v>88</v>
      </c>
      <c r="C84" s="79">
        <v>0.3</v>
      </c>
      <c r="D84" s="79">
        <f t="shared" si="21"/>
        <v>0.26141229473081823</v>
      </c>
      <c r="E84" s="49">
        <v>2650000</v>
      </c>
      <c r="F84" s="49">
        <v>2650000</v>
      </c>
      <c r="G84" s="49">
        <v>128386494</v>
      </c>
      <c r="H84" s="49">
        <f t="shared" si="22"/>
        <v>0.269785253090084</v>
      </c>
      <c r="I84" s="49">
        <f t="shared" si="30"/>
        <v>0.269785253090084</v>
      </c>
      <c r="J84" s="48">
        <v>0.3</v>
      </c>
      <c r="K84" s="48">
        <f t="shared" si="23"/>
        <v>0.30177528133176246</v>
      </c>
      <c r="L84" s="48">
        <v>276500</v>
      </c>
      <c r="M84" s="48">
        <v>271000</v>
      </c>
      <c r="N84" s="51">
        <v>125108377</v>
      </c>
      <c r="O84" s="48">
        <f t="shared" si="24"/>
        <v>3.12525452685726</v>
      </c>
      <c r="P84" s="48">
        <f t="shared" si="31"/>
        <v>3.12525452685726</v>
      </c>
      <c r="Q84" s="49">
        <v>0.4</v>
      </c>
      <c r="R84" s="49">
        <f t="shared" si="25"/>
        <v>0.43681242393741937</v>
      </c>
      <c r="S84" s="49">
        <v>223000</v>
      </c>
      <c r="T84" s="49">
        <v>216500</v>
      </c>
      <c r="U84" s="49">
        <v>15956260</v>
      </c>
      <c r="V84" s="49">
        <f t="shared" si="26"/>
        <v>44.397998034382702</v>
      </c>
      <c r="W84" s="49">
        <f t="shared" si="32"/>
        <v>44.397998034382702</v>
      </c>
      <c r="X84" s="82">
        <f t="shared" si="27"/>
        <v>0</v>
      </c>
      <c r="Y84" s="82">
        <f t="shared" si="28"/>
        <v>294528109548267.81</v>
      </c>
      <c r="Z84" s="81">
        <f t="shared" si="33"/>
        <v>351121489729213.62</v>
      </c>
      <c r="AA84" s="80">
        <f t="shared" si="17"/>
        <v>1192.149334295276</v>
      </c>
      <c r="AB84" s="52">
        <f t="shared" si="29"/>
        <v>-1.8875896993941786E-2</v>
      </c>
      <c r="AC84" s="48">
        <f t="shared" si="18"/>
        <v>0</v>
      </c>
      <c r="AD84" s="48">
        <f t="shared" si="19"/>
        <v>-1.9891500904159132E-2</v>
      </c>
      <c r="AE84" s="48">
        <f t="shared" si="20"/>
        <v>-2.914798206278027E-2</v>
      </c>
      <c r="AF84" s="48" t="e">
        <f>(#REF!-#REF!)/#REF!</f>
        <v>#REF!</v>
      </c>
    </row>
    <row r="85" spans="1:32" x14ac:dyDescent="0.3">
      <c r="A85" s="48">
        <v>20180502</v>
      </c>
      <c r="B85" s="48" t="s">
        <v>88</v>
      </c>
      <c r="C85" s="79">
        <v>0.3</v>
      </c>
      <c r="D85" s="79">
        <f t="shared" si="21"/>
        <v>0.26593165424966142</v>
      </c>
      <c r="E85" s="49">
        <v>2650000</v>
      </c>
      <c r="F85" s="49">
        <v>2650000</v>
      </c>
      <c r="G85" s="49">
        <v>128386494</v>
      </c>
      <c r="H85" s="49">
        <f t="shared" si="22"/>
        <v>0.269785253090084</v>
      </c>
      <c r="I85" s="49">
        <f t="shared" si="30"/>
        <v>0.269785253090084</v>
      </c>
      <c r="J85" s="48">
        <v>0.3</v>
      </c>
      <c r="K85" s="48">
        <f t="shared" si="23"/>
        <v>0.29339868456200846</v>
      </c>
      <c r="L85" s="48">
        <v>271000</v>
      </c>
      <c r="M85" s="48">
        <v>259000</v>
      </c>
      <c r="N85" s="51">
        <v>125108377</v>
      </c>
      <c r="O85" s="48">
        <f t="shared" si="24"/>
        <v>3.12525452685726</v>
      </c>
      <c r="P85" s="48">
        <f t="shared" si="31"/>
        <v>3.12525452685726</v>
      </c>
      <c r="Q85" s="49">
        <v>0.4</v>
      </c>
      <c r="R85" s="49">
        <f t="shared" si="25"/>
        <v>0.44066966118833012</v>
      </c>
      <c r="S85" s="49">
        <v>216500</v>
      </c>
      <c r="T85" s="49">
        <v>214700</v>
      </c>
      <c r="U85" s="49">
        <v>15956260</v>
      </c>
      <c r="V85" s="49">
        <f t="shared" si="26"/>
        <v>44.397998034382702</v>
      </c>
      <c r="W85" s="49">
        <f t="shared" si="32"/>
        <v>44.397998034382702</v>
      </c>
      <c r="X85" s="82">
        <f t="shared" si="27"/>
        <v>0</v>
      </c>
      <c r="Y85" s="82">
        <f t="shared" si="28"/>
        <v>294528109548267.81</v>
      </c>
      <c r="Z85" s="81">
        <f t="shared" si="33"/>
        <v>345154376670200.5</v>
      </c>
      <c r="AA85" s="80">
        <f t="shared" si="17"/>
        <v>1171.8894240674706</v>
      </c>
      <c r="AB85" s="52">
        <f t="shared" si="29"/>
        <v>-1.6994439911994615E-2</v>
      </c>
      <c r="AC85" s="48">
        <f t="shared" si="18"/>
        <v>0</v>
      </c>
      <c r="AD85" s="48">
        <f t="shared" si="19"/>
        <v>-4.4280442804428041E-2</v>
      </c>
      <c r="AE85" s="48">
        <f t="shared" si="20"/>
        <v>-8.3140877598152432E-3</v>
      </c>
      <c r="AF85" s="48" t="e">
        <f>(#REF!-#REF!)/#REF!</f>
        <v>#REF!</v>
      </c>
    </row>
    <row r="86" spans="1:32" x14ac:dyDescent="0.3">
      <c r="A86" s="48">
        <v>20180503</v>
      </c>
      <c r="B86" s="48" t="s">
        <v>88</v>
      </c>
      <c r="C86" s="79">
        <v>0.3</v>
      </c>
      <c r="D86" s="79">
        <f t="shared" si="21"/>
        <v>0.26888100774768331</v>
      </c>
      <c r="E86" s="49">
        <v>2650000</v>
      </c>
      <c r="F86" s="49">
        <v>2650000</v>
      </c>
      <c r="G86" s="49">
        <v>128386494</v>
      </c>
      <c r="H86" s="49">
        <f t="shared" si="22"/>
        <v>0.269785253090084</v>
      </c>
      <c r="I86" s="49">
        <f t="shared" si="30"/>
        <v>0.269785253090084</v>
      </c>
      <c r="J86" s="48">
        <v>0.3</v>
      </c>
      <c r="K86" s="48">
        <f t="shared" si="23"/>
        <v>0.30008879639122293</v>
      </c>
      <c r="L86" s="48">
        <v>259000</v>
      </c>
      <c r="M86" s="48">
        <v>262000</v>
      </c>
      <c r="N86" s="51">
        <v>125108377</v>
      </c>
      <c r="O86" s="48">
        <f t="shared" si="24"/>
        <v>3.12525452685726</v>
      </c>
      <c r="P86" s="48">
        <f t="shared" si="31"/>
        <v>3.12525452685726</v>
      </c>
      <c r="Q86" s="49">
        <v>0.4</v>
      </c>
      <c r="R86" s="49">
        <f t="shared" si="25"/>
        <v>0.43103019586109376</v>
      </c>
      <c r="S86" s="49">
        <v>214700</v>
      </c>
      <c r="T86" s="49">
        <v>207700</v>
      </c>
      <c r="U86" s="49">
        <v>15956260</v>
      </c>
      <c r="V86" s="49">
        <f t="shared" si="26"/>
        <v>44.397998034382702</v>
      </c>
      <c r="W86" s="49">
        <f t="shared" si="32"/>
        <v>44.397998034382702</v>
      </c>
      <c r="X86" s="82">
        <f t="shared" si="27"/>
        <v>0</v>
      </c>
      <c r="Y86" s="82">
        <f t="shared" si="28"/>
        <v>294528109548267.81</v>
      </c>
      <c r="Z86" s="81">
        <f t="shared" si="33"/>
        <v>341368381234088.87</v>
      </c>
      <c r="AA86" s="80">
        <f t="shared" si="17"/>
        <v>1159.0349788944161</v>
      </c>
      <c r="AB86" s="52">
        <f t="shared" si="29"/>
        <v>-1.09689915354287E-2</v>
      </c>
      <c r="AC86" s="48">
        <f t="shared" si="18"/>
        <v>0</v>
      </c>
      <c r="AD86" s="48">
        <f t="shared" si="19"/>
        <v>1.1583011583011582E-2</v>
      </c>
      <c r="AE86" s="48">
        <f t="shared" si="20"/>
        <v>-3.2603632976245925E-2</v>
      </c>
      <c r="AF86" s="48" t="e">
        <f>(#REF!-#REF!)/#REF!</f>
        <v>#REF!</v>
      </c>
    </row>
    <row r="87" spans="1:32" x14ac:dyDescent="0.3">
      <c r="A87" s="48">
        <v>20180504</v>
      </c>
      <c r="B87" s="48" t="s">
        <v>88</v>
      </c>
      <c r="C87" s="79">
        <v>0.3</v>
      </c>
      <c r="D87" s="79">
        <f t="shared" si="21"/>
        <v>0.27281896972095887</v>
      </c>
      <c r="E87" s="49">
        <v>53000</v>
      </c>
      <c r="F87" s="49">
        <v>51900</v>
      </c>
      <c r="G87" s="49">
        <v>6419324700</v>
      </c>
      <c r="H87" s="49">
        <f t="shared" si="22"/>
        <v>0.269785253090084</v>
      </c>
      <c r="I87" s="49">
        <f t="shared" si="30"/>
        <v>0.269785253090084</v>
      </c>
      <c r="J87" s="48">
        <v>0.3</v>
      </c>
      <c r="K87" s="48">
        <f t="shared" si="23"/>
        <v>0.29669583386045417</v>
      </c>
      <c r="L87" s="48">
        <v>262000</v>
      </c>
      <c r="M87" s="48">
        <v>250000</v>
      </c>
      <c r="N87" s="51">
        <v>125108377</v>
      </c>
      <c r="O87" s="48">
        <f t="shared" si="24"/>
        <v>3.12525452685726</v>
      </c>
      <c r="P87" s="48">
        <f t="shared" si="31"/>
        <v>3.12525452685726</v>
      </c>
      <c r="Q87" s="49">
        <v>0.4</v>
      </c>
      <c r="R87" s="49">
        <f t="shared" si="25"/>
        <v>0.4304851964185869</v>
      </c>
      <c r="S87" s="49">
        <v>207700</v>
      </c>
      <c r="T87" s="49">
        <v>200200</v>
      </c>
      <c r="U87" s="49">
        <v>15956260</v>
      </c>
      <c r="V87" s="49">
        <f t="shared" si="26"/>
        <v>44.397998034382702</v>
      </c>
      <c r="W87" s="49">
        <f t="shared" si="32"/>
        <v>44.397998034382702</v>
      </c>
      <c r="X87" s="82">
        <f t="shared" si="27"/>
        <v>0</v>
      </c>
      <c r="Y87" s="82">
        <f t="shared" si="28"/>
        <v>294528109548267.81</v>
      </c>
      <c r="Z87" s="81">
        <f t="shared" si="33"/>
        <v>329458216921671.31</v>
      </c>
      <c r="AA87" s="80">
        <f t="shared" si="17"/>
        <v>1118.596854565011</v>
      </c>
      <c r="AB87" s="52">
        <f t="shared" si="29"/>
        <v>-3.4889477078576502E-2</v>
      </c>
      <c r="AC87" s="48">
        <f t="shared" si="18"/>
        <v>-2.0754716981132074E-2</v>
      </c>
      <c r="AD87" s="48">
        <f t="shared" si="19"/>
        <v>-4.5801526717557252E-2</v>
      </c>
      <c r="AE87" s="48">
        <f t="shared" si="20"/>
        <v>-3.6109773712084736E-2</v>
      </c>
      <c r="AF87" s="48" t="e">
        <f>(#REF!-#REF!)/#REF!</f>
        <v>#REF!</v>
      </c>
    </row>
    <row r="88" spans="1:32" x14ac:dyDescent="0.3">
      <c r="A88" s="48">
        <v>20180508</v>
      </c>
      <c r="B88" s="48" t="s">
        <v>88</v>
      </c>
      <c r="C88" s="79">
        <v>0.3</v>
      </c>
      <c r="D88" s="79">
        <f t="shared" si="21"/>
        <v>0.28364414360468865</v>
      </c>
      <c r="E88" s="49">
        <v>51900</v>
      </c>
      <c r="F88" s="49">
        <v>52600</v>
      </c>
      <c r="G88" s="49">
        <v>6419324700</v>
      </c>
      <c r="H88" s="49">
        <f t="shared" si="22"/>
        <v>0.269785253090084</v>
      </c>
      <c r="I88" s="49">
        <f t="shared" si="30"/>
        <v>0.269785253090084</v>
      </c>
      <c r="J88" s="48">
        <v>0.3</v>
      </c>
      <c r="K88" s="48">
        <f t="shared" si="23"/>
        <v>0.28731897781676058</v>
      </c>
      <c r="L88" s="48">
        <v>250000</v>
      </c>
      <c r="M88" s="48">
        <v>236000</v>
      </c>
      <c r="N88" s="51">
        <v>125108377</v>
      </c>
      <c r="O88" s="48">
        <f t="shared" si="24"/>
        <v>3.12525452685726</v>
      </c>
      <c r="P88" s="48">
        <f t="shared" si="31"/>
        <v>3.12525452685726</v>
      </c>
      <c r="Q88" s="49">
        <v>0.4</v>
      </c>
      <c r="R88" s="49">
        <f t="shared" si="25"/>
        <v>0.42903687857855077</v>
      </c>
      <c r="S88" s="49">
        <v>200200</v>
      </c>
      <c r="T88" s="49">
        <v>194500</v>
      </c>
      <c r="U88" s="49">
        <v>15956260</v>
      </c>
      <c r="V88" s="49">
        <f t="shared" si="26"/>
        <v>44.397998034382702</v>
      </c>
      <c r="W88" s="49">
        <f t="shared" si="32"/>
        <v>44.397998034382702</v>
      </c>
      <c r="X88" s="82">
        <f t="shared" si="27"/>
        <v>0</v>
      </c>
      <c r="Y88" s="82">
        <f t="shared" si="28"/>
        <v>294528109548267.81</v>
      </c>
      <c r="Z88" s="81">
        <f t="shared" si="33"/>
        <v>321158538816271.19</v>
      </c>
      <c r="AA88" s="80">
        <f t="shared" si="17"/>
        <v>1090.4172756510332</v>
      </c>
      <c r="AB88" s="52">
        <f t="shared" si="29"/>
        <v>-2.5191898939261742E-2</v>
      </c>
      <c r="AC88" s="48">
        <f t="shared" si="18"/>
        <v>1.348747591522158E-2</v>
      </c>
      <c r="AD88" s="48">
        <f t="shared" si="19"/>
        <v>-5.6000000000000001E-2</v>
      </c>
      <c r="AE88" s="48">
        <f t="shared" si="20"/>
        <v>-2.8471528471528472E-2</v>
      </c>
      <c r="AF88" s="48" t="e">
        <f>(#REF!-#REF!)/#REF!</f>
        <v>#REF!</v>
      </c>
    </row>
    <row r="89" spans="1:32" x14ac:dyDescent="0.3">
      <c r="A89" s="48">
        <v>20180509</v>
      </c>
      <c r="B89" s="48" t="s">
        <v>88</v>
      </c>
      <c r="C89" s="79">
        <v>0.3</v>
      </c>
      <c r="D89" s="79">
        <f t="shared" si="21"/>
        <v>0.26515476575648356</v>
      </c>
      <c r="E89" s="49">
        <v>52600</v>
      </c>
      <c r="F89" s="49">
        <v>50900</v>
      </c>
      <c r="G89" s="49">
        <v>6419324700</v>
      </c>
      <c r="H89" s="49">
        <f t="shared" si="22"/>
        <v>0.269785253090084</v>
      </c>
      <c r="I89" s="49">
        <f t="shared" si="30"/>
        <v>0.269785253090084</v>
      </c>
      <c r="J89" s="48">
        <v>0.3</v>
      </c>
      <c r="K89" s="48">
        <f t="shared" si="23"/>
        <v>0.30461104870731132</v>
      </c>
      <c r="L89" s="48">
        <v>236000</v>
      </c>
      <c r="M89" s="48">
        <v>259000</v>
      </c>
      <c r="N89" s="51">
        <v>125108377</v>
      </c>
      <c r="O89" s="48">
        <f t="shared" si="24"/>
        <v>3.12525452685726</v>
      </c>
      <c r="P89" s="48">
        <f t="shared" si="31"/>
        <v>3.12525452685726</v>
      </c>
      <c r="Q89" s="49">
        <v>0.4</v>
      </c>
      <c r="R89" s="49">
        <f t="shared" si="25"/>
        <v>0.43023418553620513</v>
      </c>
      <c r="S89" s="49">
        <v>194500</v>
      </c>
      <c r="T89" s="49">
        <v>201900</v>
      </c>
      <c r="U89" s="49">
        <v>15956260</v>
      </c>
      <c r="V89" s="49">
        <f t="shared" si="26"/>
        <v>44.397998034382702</v>
      </c>
      <c r="W89" s="49">
        <f t="shared" si="32"/>
        <v>44.397998034382702</v>
      </c>
      <c r="X89" s="82">
        <f t="shared" si="27"/>
        <v>0</v>
      </c>
      <c r="Y89" s="82">
        <f t="shared" si="28"/>
        <v>294528109548267.81</v>
      </c>
      <c r="Z89" s="81">
        <f t="shared" si="33"/>
        <v>332449661677114.87</v>
      </c>
      <c r="AA89" s="80">
        <f t="shared" si="17"/>
        <v>1128.7535922700526</v>
      </c>
      <c r="AB89" s="52">
        <f t="shared" si="29"/>
        <v>3.5157473634238615E-2</v>
      </c>
      <c r="AC89" s="48">
        <f t="shared" si="18"/>
        <v>-3.2319391634980987E-2</v>
      </c>
      <c r="AD89" s="48">
        <f t="shared" si="19"/>
        <v>9.7457627118644072E-2</v>
      </c>
      <c r="AE89" s="48">
        <f t="shared" si="20"/>
        <v>3.8046272493573265E-2</v>
      </c>
      <c r="AF89" s="48" t="e">
        <f>(#REF!-#REF!)/#REF!</f>
        <v>#REF!</v>
      </c>
    </row>
    <row r="90" spans="1:32" x14ac:dyDescent="0.3">
      <c r="A90" s="48">
        <v>20180510</v>
      </c>
      <c r="B90" s="48" t="s">
        <v>88</v>
      </c>
      <c r="C90" s="79">
        <v>0.3</v>
      </c>
      <c r="D90" s="79">
        <f t="shared" si="21"/>
        <v>0.26971442129749706</v>
      </c>
      <c r="E90" s="49">
        <v>50900</v>
      </c>
      <c r="F90" s="49">
        <v>51600</v>
      </c>
      <c r="G90" s="49">
        <v>6419324700</v>
      </c>
      <c r="H90" s="49">
        <f t="shared" si="22"/>
        <v>0.269785253090084</v>
      </c>
      <c r="I90" s="49">
        <f t="shared" si="30"/>
        <v>0.269785253090084</v>
      </c>
      <c r="J90" s="48">
        <v>0.3</v>
      </c>
      <c r="K90" s="48">
        <f t="shared" si="23"/>
        <v>0.30564582189874034</v>
      </c>
      <c r="L90" s="48">
        <v>259000</v>
      </c>
      <c r="M90" s="48">
        <v>259000</v>
      </c>
      <c r="N90" s="51">
        <v>125108377</v>
      </c>
      <c r="O90" s="48">
        <f t="shared" si="24"/>
        <v>3.12525452685726</v>
      </c>
      <c r="P90" s="48">
        <f t="shared" si="31"/>
        <v>3.12525452685726</v>
      </c>
      <c r="Q90" s="49">
        <v>0.4</v>
      </c>
      <c r="R90" s="49">
        <f t="shared" si="25"/>
        <v>0.4246397568037627</v>
      </c>
      <c r="S90" s="49">
        <v>201900</v>
      </c>
      <c r="T90" s="49">
        <v>198600</v>
      </c>
      <c r="U90" s="49">
        <v>15956260</v>
      </c>
      <c r="V90" s="49">
        <f t="shared" si="26"/>
        <v>44.397998034382702</v>
      </c>
      <c r="W90" s="49">
        <f t="shared" si="32"/>
        <v>44.397998034382702</v>
      </c>
      <c r="X90" s="82">
        <f t="shared" si="27"/>
        <v>0</v>
      </c>
      <c r="Y90" s="82">
        <f t="shared" si="28"/>
        <v>294528109548267.81</v>
      </c>
      <c r="Z90" s="81">
        <f t="shared" si="33"/>
        <v>331324143273931.56</v>
      </c>
      <c r="AA90" s="80">
        <f t="shared" si="17"/>
        <v>1124.9321627809979</v>
      </c>
      <c r="AB90" s="52">
        <f t="shared" si="29"/>
        <v>-3.3855303010547908E-3</v>
      </c>
      <c r="AC90" s="48">
        <f t="shared" si="18"/>
        <v>1.37524557956778E-2</v>
      </c>
      <c r="AD90" s="48">
        <f t="shared" si="19"/>
        <v>0</v>
      </c>
      <c r="AE90" s="48">
        <f t="shared" si="20"/>
        <v>-1.6344725111441308E-2</v>
      </c>
      <c r="AF90" s="48" t="e">
        <f>(#REF!-#REF!)/#REF!</f>
        <v>#REF!</v>
      </c>
    </row>
    <row r="91" spans="1:32" x14ac:dyDescent="0.3">
      <c r="A91" s="48">
        <v>20180511</v>
      </c>
      <c r="B91" s="48" t="s">
        <v>88</v>
      </c>
      <c r="C91" s="79">
        <v>0.3</v>
      </c>
      <c r="D91" s="79">
        <f t="shared" si="21"/>
        <v>0.26819303095757258</v>
      </c>
      <c r="E91" s="49">
        <v>51600</v>
      </c>
      <c r="F91" s="49">
        <v>51300</v>
      </c>
      <c r="G91" s="49">
        <v>6419324700</v>
      </c>
      <c r="H91" s="49">
        <f t="shared" si="22"/>
        <v>0.269785253090084</v>
      </c>
      <c r="I91" s="49">
        <f t="shared" si="30"/>
        <v>0.269785253090084</v>
      </c>
      <c r="J91" s="48">
        <v>0.3</v>
      </c>
      <c r="K91" s="48">
        <f t="shared" si="23"/>
        <v>0.30687937716372032</v>
      </c>
      <c r="L91" s="48">
        <v>259000</v>
      </c>
      <c r="M91" s="48">
        <v>260000</v>
      </c>
      <c r="N91" s="51">
        <v>125108377</v>
      </c>
      <c r="O91" s="48">
        <f t="shared" si="24"/>
        <v>3.12525452685726</v>
      </c>
      <c r="P91" s="48">
        <f t="shared" si="31"/>
        <v>3.12525452685726</v>
      </c>
      <c r="Q91" s="49">
        <v>0.4</v>
      </c>
      <c r="R91" s="49">
        <f t="shared" si="25"/>
        <v>0.4249275918787071</v>
      </c>
      <c r="S91" s="49">
        <v>198600</v>
      </c>
      <c r="T91" s="49">
        <v>198700</v>
      </c>
      <c r="U91" s="49">
        <v>15956260</v>
      </c>
      <c r="V91" s="49">
        <f t="shared" si="26"/>
        <v>44.397998034382702</v>
      </c>
      <c r="W91" s="49">
        <f t="shared" si="32"/>
        <v>44.397998034382702</v>
      </c>
      <c r="X91" s="82">
        <f t="shared" si="27"/>
        <v>0</v>
      </c>
      <c r="Y91" s="82">
        <f t="shared" si="28"/>
        <v>294528109548267.81</v>
      </c>
      <c r="Z91" s="81">
        <f t="shared" si="33"/>
        <v>331266429653853.12</v>
      </c>
      <c r="AA91" s="80">
        <f t="shared" si="17"/>
        <v>1124.7362099391216</v>
      </c>
      <c r="AB91" s="52">
        <f t="shared" si="29"/>
        <v>-1.7419080755223622E-4</v>
      </c>
      <c r="AC91" s="48">
        <f t="shared" si="18"/>
        <v>-5.8139534883720929E-3</v>
      </c>
      <c r="AD91" s="48">
        <f t="shared" si="19"/>
        <v>3.8610038610038611E-3</v>
      </c>
      <c r="AE91" s="48">
        <f t="shared" si="20"/>
        <v>5.0352467270896274E-4</v>
      </c>
      <c r="AF91" s="48" t="e">
        <f>(#REF!-#REF!)/#REF!</f>
        <v>#REF!</v>
      </c>
    </row>
    <row r="92" spans="1:32" x14ac:dyDescent="0.3">
      <c r="A92" s="48">
        <v>20180514</v>
      </c>
      <c r="B92" s="48" t="s">
        <v>88</v>
      </c>
      <c r="C92" s="79">
        <v>0.3</v>
      </c>
      <c r="D92" s="79">
        <f t="shared" si="21"/>
        <v>0.27161591848928435</v>
      </c>
      <c r="E92" s="49">
        <v>51300</v>
      </c>
      <c r="F92" s="49">
        <v>50100</v>
      </c>
      <c r="G92" s="49">
        <v>6419324700</v>
      </c>
      <c r="H92" s="49">
        <f t="shared" si="22"/>
        <v>0.269785253090084</v>
      </c>
      <c r="I92" s="49">
        <f t="shared" si="30"/>
        <v>0.269785253090084</v>
      </c>
      <c r="J92" s="48">
        <v>0.3</v>
      </c>
      <c r="K92" s="48">
        <f t="shared" si="23"/>
        <v>0.31212022132483253</v>
      </c>
      <c r="L92" s="48">
        <v>260000</v>
      </c>
      <c r="M92" s="48">
        <v>255000</v>
      </c>
      <c r="N92" s="51">
        <v>125108377</v>
      </c>
      <c r="O92" s="48">
        <f t="shared" si="24"/>
        <v>3.12525452685726</v>
      </c>
      <c r="P92" s="48">
        <f t="shared" si="31"/>
        <v>3.12525452685726</v>
      </c>
      <c r="Q92" s="49">
        <v>0.4</v>
      </c>
      <c r="R92" s="49">
        <f t="shared" si="25"/>
        <v>0.41626386018588324</v>
      </c>
      <c r="S92" s="49">
        <v>198700</v>
      </c>
      <c r="T92" s="49">
        <v>187700</v>
      </c>
      <c r="U92" s="49">
        <v>15956260</v>
      </c>
      <c r="V92" s="49">
        <f t="shared" si="26"/>
        <v>44.397998034382702</v>
      </c>
      <c r="W92" s="49">
        <f t="shared" si="32"/>
        <v>44.397998034382702</v>
      </c>
      <c r="X92" s="82">
        <f t="shared" si="27"/>
        <v>0</v>
      </c>
      <c r="Y92" s="82">
        <f t="shared" si="28"/>
        <v>294528109548267.81</v>
      </c>
      <c r="Z92" s="81">
        <f t="shared" si="33"/>
        <v>319440559078112.62</v>
      </c>
      <c r="AA92" s="80">
        <f t="shared" si="17"/>
        <v>1084.5842849025657</v>
      </c>
      <c r="AB92" s="52">
        <f t="shared" si="29"/>
        <v>-3.5698970729082499E-2</v>
      </c>
      <c r="AC92" s="48">
        <f t="shared" si="18"/>
        <v>-2.3391812865497075E-2</v>
      </c>
      <c r="AD92" s="48">
        <f t="shared" si="19"/>
        <v>-1.9230769230769232E-2</v>
      </c>
      <c r="AE92" s="48">
        <f t="shared" si="20"/>
        <v>-5.5359838953195774E-2</v>
      </c>
      <c r="AF92" s="48" t="e">
        <f>(#REF!-#REF!)/#REF!</f>
        <v>#REF!</v>
      </c>
    </row>
    <row r="93" spans="1:32" s="47" customFormat="1" x14ac:dyDescent="0.3">
      <c r="A93" s="48">
        <v>20180515</v>
      </c>
      <c r="B93" s="48" t="s">
        <v>88</v>
      </c>
      <c r="C93" s="79">
        <v>0.3</v>
      </c>
      <c r="D93" s="79">
        <f t="shared" si="21"/>
        <v>0.25860712051930174</v>
      </c>
      <c r="E93" s="49">
        <v>50100</v>
      </c>
      <c r="F93" s="49">
        <v>49200</v>
      </c>
      <c r="G93" s="49">
        <v>6419324700</v>
      </c>
      <c r="H93" s="49">
        <f t="shared" si="22"/>
        <v>0.269785253090084</v>
      </c>
      <c r="I93" s="49">
        <f t="shared" si="30"/>
        <v>0.30115081958914802</v>
      </c>
      <c r="J93" s="48">
        <v>0.3</v>
      </c>
      <c r="K93" s="48">
        <f t="shared" si="23"/>
        <v>0.31803462328725501</v>
      </c>
      <c r="L93" s="48">
        <v>255000</v>
      </c>
      <c r="M93" s="48">
        <v>268000</v>
      </c>
      <c r="N93" s="51">
        <v>125395903</v>
      </c>
      <c r="O93" s="48">
        <f t="shared" si="24"/>
        <v>3.12525452685726</v>
      </c>
      <c r="P93" s="48">
        <f t="shared" si="31"/>
        <v>3.48060130385239</v>
      </c>
      <c r="Q93" s="49">
        <v>0.4</v>
      </c>
      <c r="R93" s="49">
        <f t="shared" si="25"/>
        <v>0.42335825619344325</v>
      </c>
      <c r="S93" s="49">
        <v>187700</v>
      </c>
      <c r="T93" s="49">
        <v>196900</v>
      </c>
      <c r="U93" s="49">
        <v>15956260</v>
      </c>
      <c r="V93" s="49">
        <f t="shared" si="26"/>
        <v>44.397998034382702</v>
      </c>
      <c r="W93" s="49">
        <f t="shared" si="32"/>
        <v>49.559764082832103</v>
      </c>
      <c r="X93" s="82">
        <f t="shared" si="27"/>
        <v>1</v>
      </c>
      <c r="Y93" s="82">
        <f t="shared" si="28"/>
        <v>328770311077329.94</v>
      </c>
      <c r="Z93" s="81">
        <f t="shared" si="33"/>
        <v>367788391224529.5</v>
      </c>
      <c r="AA93" s="80">
        <f t="shared" si="17"/>
        <v>1118.6788430480335</v>
      </c>
      <c r="AB93" s="52">
        <f t="shared" si="29"/>
        <v>3.1435600367868757E-2</v>
      </c>
      <c r="AC93" s="48">
        <f t="shared" si="18"/>
        <v>-1.7964071856287425E-2</v>
      </c>
      <c r="AD93" s="48">
        <f t="shared" si="19"/>
        <v>5.0980392156862744E-2</v>
      </c>
      <c r="AE93" s="48">
        <f t="shared" si="20"/>
        <v>4.9014384656366546E-2</v>
      </c>
      <c r="AF93" s="48" t="e">
        <f>(#REF!-#REF!)/#REF!</f>
        <v>#REF!</v>
      </c>
    </row>
    <row r="94" spans="1:32" x14ac:dyDescent="0.3">
      <c r="A94" s="48">
        <v>20180516</v>
      </c>
      <c r="B94" s="48" t="s">
        <v>88</v>
      </c>
      <c r="C94" s="79">
        <v>0.3</v>
      </c>
      <c r="D94" s="79">
        <f t="shared" si="21"/>
        <v>0.25625764487399305</v>
      </c>
      <c r="E94" s="49">
        <v>49200</v>
      </c>
      <c r="F94" s="49">
        <v>49850</v>
      </c>
      <c r="G94" s="49">
        <v>6419324700</v>
      </c>
      <c r="H94" s="49">
        <f t="shared" si="22"/>
        <v>0.30115081958914802</v>
      </c>
      <c r="I94" s="49">
        <f t="shared" si="30"/>
        <v>0.30115081958914802</v>
      </c>
      <c r="J94" s="48">
        <v>0.3</v>
      </c>
      <c r="K94" s="48">
        <f t="shared" si="23"/>
        <v>0.31161631719705657</v>
      </c>
      <c r="L94" s="48">
        <v>268000</v>
      </c>
      <c r="M94" s="48">
        <v>268500</v>
      </c>
      <c r="N94" s="51">
        <v>125395903</v>
      </c>
      <c r="O94" s="48">
        <f t="shared" si="24"/>
        <v>3.48060130385239</v>
      </c>
      <c r="P94" s="48">
        <f t="shared" si="31"/>
        <v>3.48060130385239</v>
      </c>
      <c r="Q94" s="49">
        <v>0.4</v>
      </c>
      <c r="R94" s="49">
        <f t="shared" si="25"/>
        <v>0.43212603792895038</v>
      </c>
      <c r="S94" s="49">
        <v>196900</v>
      </c>
      <c r="T94" s="49">
        <v>205500</v>
      </c>
      <c r="U94" s="49">
        <v>15956260</v>
      </c>
      <c r="V94" s="49">
        <f t="shared" si="26"/>
        <v>49.559764082832103</v>
      </c>
      <c r="W94" s="49">
        <f t="shared" si="32"/>
        <v>49.559764082832103</v>
      </c>
      <c r="X94" s="82">
        <f t="shared" si="27"/>
        <v>0</v>
      </c>
      <c r="Y94" s="82">
        <f t="shared" si="28"/>
        <v>328770311077329.94</v>
      </c>
      <c r="Z94" s="81">
        <f t="shared" si="33"/>
        <v>376063968916469.56</v>
      </c>
      <c r="AA94" s="80">
        <f t="shared" si="17"/>
        <v>1143.8501477951752</v>
      </c>
      <c r="AB94" s="52">
        <f t="shared" si="29"/>
        <v>2.250092142491773E-2</v>
      </c>
      <c r="AC94" s="48">
        <f t="shared" si="18"/>
        <v>1.3211382113821139E-2</v>
      </c>
      <c r="AD94" s="48">
        <f t="shared" si="19"/>
        <v>1.8656716417910447E-3</v>
      </c>
      <c r="AE94" s="48">
        <f t="shared" si="20"/>
        <v>4.3676993397663788E-2</v>
      </c>
      <c r="AF94" s="48" t="e">
        <f>(#REF!-#REF!)/#REF!</f>
        <v>#REF!</v>
      </c>
    </row>
    <row r="95" spans="1:32" x14ac:dyDescent="0.3">
      <c r="A95" s="48">
        <v>20180517</v>
      </c>
      <c r="B95" s="48" t="s">
        <v>88</v>
      </c>
      <c r="C95" s="79">
        <v>0.3</v>
      </c>
      <c r="D95" s="79">
        <f t="shared" si="21"/>
        <v>0.25085952097915171</v>
      </c>
      <c r="E95" s="49">
        <v>49850</v>
      </c>
      <c r="F95" s="49">
        <v>49400</v>
      </c>
      <c r="G95" s="49">
        <v>6419324700</v>
      </c>
      <c r="H95" s="49">
        <f t="shared" si="22"/>
        <v>0.30115081958914802</v>
      </c>
      <c r="I95" s="49">
        <f t="shared" si="30"/>
        <v>0.30115081958914802</v>
      </c>
      <c r="J95" s="48">
        <v>0.3</v>
      </c>
      <c r="K95" s="48">
        <f t="shared" si="23"/>
        <v>0.30668438119982927</v>
      </c>
      <c r="L95" s="48">
        <v>268500</v>
      </c>
      <c r="M95" s="48">
        <v>267500</v>
      </c>
      <c r="N95" s="51">
        <v>125395903</v>
      </c>
      <c r="O95" s="48">
        <f t="shared" si="24"/>
        <v>3.48060130385239</v>
      </c>
      <c r="P95" s="48">
        <f t="shared" si="31"/>
        <v>3.48060130385239</v>
      </c>
      <c r="Q95" s="49">
        <v>0.4</v>
      </c>
      <c r="R95" s="49">
        <f t="shared" si="25"/>
        <v>0.44245609782101897</v>
      </c>
      <c r="S95" s="49">
        <v>205500</v>
      </c>
      <c r="T95" s="49">
        <v>213000</v>
      </c>
      <c r="U95" s="49">
        <v>15956260</v>
      </c>
      <c r="V95" s="49">
        <f t="shared" si="26"/>
        <v>49.559764082832103</v>
      </c>
      <c r="W95" s="49">
        <f t="shared" si="32"/>
        <v>49.559764082832103</v>
      </c>
      <c r="X95" s="82">
        <f t="shared" si="27"/>
        <v>0</v>
      </c>
      <c r="Y95" s="82">
        <f t="shared" si="28"/>
        <v>328770311077329.94</v>
      </c>
      <c r="Z95" s="81">
        <f t="shared" si="33"/>
        <v>380688496179746.25</v>
      </c>
      <c r="AA95" s="80">
        <f t="shared" si="17"/>
        <v>1157.9162818330171</v>
      </c>
      <c r="AB95" s="52">
        <f t="shared" si="29"/>
        <v>1.2297182515520132E-2</v>
      </c>
      <c r="AC95" s="48">
        <f t="shared" si="18"/>
        <v>-9.0270812437311942E-3</v>
      </c>
      <c r="AD95" s="48">
        <f t="shared" si="19"/>
        <v>-3.7243947858472998E-3</v>
      </c>
      <c r="AE95" s="48">
        <f t="shared" si="20"/>
        <v>3.6496350364963501E-2</v>
      </c>
      <c r="AF95" s="48" t="e">
        <f>(#REF!-#REF!)/#REF!</f>
        <v>#REF!</v>
      </c>
    </row>
    <row r="96" spans="1:32" x14ac:dyDescent="0.3">
      <c r="A96" s="48">
        <v>20180518</v>
      </c>
      <c r="B96" s="48" t="s">
        <v>88</v>
      </c>
      <c r="C96" s="79">
        <v>0.3</v>
      </c>
      <c r="D96" s="79">
        <f t="shared" si="21"/>
        <v>0.24689300090774266</v>
      </c>
      <c r="E96" s="49">
        <v>49400</v>
      </c>
      <c r="F96" s="49">
        <v>49500</v>
      </c>
      <c r="G96" s="49">
        <v>6419324700</v>
      </c>
      <c r="H96" s="49">
        <f t="shared" si="22"/>
        <v>0.30115081958914802</v>
      </c>
      <c r="I96" s="49">
        <f t="shared" si="30"/>
        <v>0.30115081958914802</v>
      </c>
      <c r="J96" s="48">
        <v>0.3</v>
      </c>
      <c r="K96" s="48">
        <f t="shared" si="23"/>
        <v>0.30404059684901985</v>
      </c>
      <c r="L96" s="48">
        <v>267500</v>
      </c>
      <c r="M96" s="48">
        <v>270000</v>
      </c>
      <c r="N96" s="51">
        <v>125395903</v>
      </c>
      <c r="O96" s="48">
        <f t="shared" si="24"/>
        <v>3.48060130385239</v>
      </c>
      <c r="P96" s="48">
        <f t="shared" si="31"/>
        <v>3.48060130385239</v>
      </c>
      <c r="Q96" s="49">
        <v>0.4</v>
      </c>
      <c r="R96" s="49">
        <f t="shared" si="25"/>
        <v>0.44906640224323741</v>
      </c>
      <c r="S96" s="49">
        <v>213000</v>
      </c>
      <c r="T96" s="49">
        <v>220100</v>
      </c>
      <c r="U96" s="49">
        <v>15956260</v>
      </c>
      <c r="V96" s="49">
        <f t="shared" si="26"/>
        <v>49.559764082832103</v>
      </c>
      <c r="W96" s="49">
        <f t="shared" si="32"/>
        <v>49.559764082832103</v>
      </c>
      <c r="X96" s="82">
        <f t="shared" si="27"/>
        <v>0</v>
      </c>
      <c r="Y96" s="82">
        <f t="shared" si="28"/>
        <v>328770311077329.94</v>
      </c>
      <c r="Z96" s="81">
        <f t="shared" si="33"/>
        <v>387587545744741.25</v>
      </c>
      <c r="AA96" s="80">
        <f t="shared" si="17"/>
        <v>1178.9006874576851</v>
      </c>
      <c r="AB96" s="52">
        <f t="shared" si="29"/>
        <v>1.8122558559630048E-2</v>
      </c>
      <c r="AC96" s="48">
        <f t="shared" si="18"/>
        <v>2.0242914979757085E-3</v>
      </c>
      <c r="AD96" s="48">
        <f t="shared" si="19"/>
        <v>9.3457943925233638E-3</v>
      </c>
      <c r="AE96" s="48">
        <f t="shared" si="20"/>
        <v>3.3333333333333333E-2</v>
      </c>
      <c r="AF96" s="48" t="e">
        <f>(#REF!-#REF!)/#REF!</f>
        <v>#REF!</v>
      </c>
    </row>
    <row r="97" spans="1:32" x14ac:dyDescent="0.3">
      <c r="A97" s="48">
        <v>20180521</v>
      </c>
      <c r="B97" s="48" t="s">
        <v>88</v>
      </c>
      <c r="C97" s="79">
        <v>0.3</v>
      </c>
      <c r="D97" s="79">
        <f t="shared" si="21"/>
        <v>0.24665807663315087</v>
      </c>
      <c r="E97" s="49">
        <v>49500</v>
      </c>
      <c r="F97" s="49">
        <v>50000</v>
      </c>
      <c r="G97" s="49">
        <v>6419324700</v>
      </c>
      <c r="H97" s="49">
        <f t="shared" si="22"/>
        <v>0.30115081958914802</v>
      </c>
      <c r="I97" s="49">
        <f t="shared" si="30"/>
        <v>0.30115081958914802</v>
      </c>
      <c r="J97" s="48">
        <v>0.3</v>
      </c>
      <c r="K97" s="48">
        <f t="shared" si="23"/>
        <v>0.30071378239088181</v>
      </c>
      <c r="L97" s="48">
        <v>270000</v>
      </c>
      <c r="M97" s="48">
        <v>270000</v>
      </c>
      <c r="N97" s="51">
        <v>125395903</v>
      </c>
      <c r="O97" s="48">
        <f t="shared" si="24"/>
        <v>3.48060130385239</v>
      </c>
      <c r="P97" s="48">
        <f t="shared" si="31"/>
        <v>3.48060130385239</v>
      </c>
      <c r="Q97" s="49">
        <v>0.4</v>
      </c>
      <c r="R97" s="49">
        <f t="shared" si="25"/>
        <v>0.45262814097596726</v>
      </c>
      <c r="S97" s="49">
        <v>220100</v>
      </c>
      <c r="T97" s="49">
        <v>224300</v>
      </c>
      <c r="U97" s="49">
        <v>15956260</v>
      </c>
      <c r="V97" s="49">
        <f t="shared" si="26"/>
        <v>49.559764082832103</v>
      </c>
      <c r="W97" s="49">
        <f t="shared" si="32"/>
        <v>49.559764082832103</v>
      </c>
      <c r="X97" s="82">
        <f t="shared" si="27"/>
        <v>0</v>
      </c>
      <c r="Y97" s="82">
        <f t="shared" si="28"/>
        <v>328770311077329.94</v>
      </c>
      <c r="Z97" s="81">
        <f t="shared" si="33"/>
        <v>391875449813274.37</v>
      </c>
      <c r="AA97" s="80">
        <f t="shared" si="17"/>
        <v>1191.9429358726418</v>
      </c>
      <c r="AB97" s="52">
        <f t="shared" si="29"/>
        <v>1.1063059470329501E-2</v>
      </c>
      <c r="AC97" s="48">
        <f t="shared" si="18"/>
        <v>1.0101010101010102E-2</v>
      </c>
      <c r="AD97" s="48">
        <f t="shared" si="19"/>
        <v>0</v>
      </c>
      <c r="AE97" s="48">
        <f t="shared" si="20"/>
        <v>1.9082235347569285E-2</v>
      </c>
      <c r="AF97" s="48" t="e">
        <f>(#REF!-#REF!)/#REF!</f>
        <v>#REF!</v>
      </c>
    </row>
    <row r="98" spans="1:32" x14ac:dyDescent="0.3">
      <c r="A98" s="48">
        <v>20180523</v>
      </c>
      <c r="B98" s="48" t="s">
        <v>88</v>
      </c>
      <c r="C98" s="79">
        <v>0.3</v>
      </c>
      <c r="D98" s="79">
        <f t="shared" si="21"/>
        <v>0.24131763176416732</v>
      </c>
      <c r="E98" s="49">
        <v>50000</v>
      </c>
      <c r="F98" s="49">
        <v>51800</v>
      </c>
      <c r="G98" s="49">
        <v>6419324700</v>
      </c>
      <c r="H98" s="49">
        <f t="shared" si="22"/>
        <v>0.30115081958914802</v>
      </c>
      <c r="I98" s="49">
        <f t="shared" si="30"/>
        <v>0.30115081958914802</v>
      </c>
      <c r="J98" s="48">
        <v>0.3</v>
      </c>
      <c r="K98" s="48">
        <f t="shared" si="23"/>
        <v>0.27083248898989337</v>
      </c>
      <c r="L98" s="48">
        <v>270000</v>
      </c>
      <c r="M98" s="48">
        <v>257500</v>
      </c>
      <c r="N98" s="51">
        <v>125395903</v>
      </c>
      <c r="O98" s="48">
        <f t="shared" si="24"/>
        <v>3.48060130385239</v>
      </c>
      <c r="P98" s="48">
        <f t="shared" si="31"/>
        <v>3.48060130385239</v>
      </c>
      <c r="Q98" s="49">
        <v>0.4</v>
      </c>
      <c r="R98" s="49">
        <f t="shared" si="25"/>
        <v>0.4878498792459392</v>
      </c>
      <c r="S98" s="49">
        <v>224300</v>
      </c>
      <c r="T98" s="49">
        <v>256000</v>
      </c>
      <c r="U98" s="49">
        <v>15956260</v>
      </c>
      <c r="V98" s="49">
        <f t="shared" si="26"/>
        <v>49.559764082832103</v>
      </c>
      <c r="W98" s="49">
        <f t="shared" si="32"/>
        <v>49.559764082832103</v>
      </c>
      <c r="X98" s="82">
        <f t="shared" si="27"/>
        <v>0</v>
      </c>
      <c r="Y98" s="82">
        <f t="shared" si="28"/>
        <v>328770311077329.94</v>
      </c>
      <c r="Z98" s="81">
        <f t="shared" si="33"/>
        <v>414967513185530.25</v>
      </c>
      <c r="AA98" s="80">
        <f t="shared" si="17"/>
        <v>1262.180614258463</v>
      </c>
      <c r="AB98" s="52">
        <f t="shared" si="29"/>
        <v>5.8927047824146928E-2</v>
      </c>
      <c r="AC98" s="48">
        <f t="shared" si="18"/>
        <v>3.5999999999999997E-2</v>
      </c>
      <c r="AD98" s="48">
        <f t="shared" si="19"/>
        <v>-4.6296296296296294E-2</v>
      </c>
      <c r="AE98" s="48">
        <f t="shared" si="20"/>
        <v>0.1413285777975925</v>
      </c>
      <c r="AF98" s="48" t="e">
        <f>(#REF!-#REF!)/#REF!</f>
        <v>#REF!</v>
      </c>
    </row>
    <row r="99" spans="1:32" x14ac:dyDescent="0.3">
      <c r="A99" s="48">
        <v>20180524</v>
      </c>
      <c r="B99" s="48" t="s">
        <v>88</v>
      </c>
      <c r="C99" s="79">
        <v>0.3</v>
      </c>
      <c r="D99" s="79">
        <f t="shared" si="21"/>
        <v>0.23859682128039764</v>
      </c>
      <c r="E99" s="49">
        <v>51800</v>
      </c>
      <c r="F99" s="49">
        <v>51400</v>
      </c>
      <c r="G99" s="49">
        <v>6419324700</v>
      </c>
      <c r="H99" s="49">
        <f t="shared" si="22"/>
        <v>0.30115081958914802</v>
      </c>
      <c r="I99" s="49">
        <f t="shared" si="30"/>
        <v>0.30115081958914802</v>
      </c>
      <c r="J99" s="48">
        <v>0.3</v>
      </c>
      <c r="K99" s="48">
        <f t="shared" si="23"/>
        <v>0.27719886236914137</v>
      </c>
      <c r="L99" s="48">
        <v>257500</v>
      </c>
      <c r="M99" s="48">
        <v>264500</v>
      </c>
      <c r="N99" s="51">
        <v>125395903</v>
      </c>
      <c r="O99" s="48">
        <f t="shared" si="24"/>
        <v>3.48060130385239</v>
      </c>
      <c r="P99" s="48">
        <f t="shared" si="31"/>
        <v>3.48060130385239</v>
      </c>
      <c r="Q99" s="49">
        <v>0.4</v>
      </c>
      <c r="R99" s="49">
        <f t="shared" si="25"/>
        <v>0.48420431635046102</v>
      </c>
      <c r="S99" s="49">
        <v>256000</v>
      </c>
      <c r="T99" s="49">
        <v>255000</v>
      </c>
      <c r="U99" s="49">
        <v>15956260</v>
      </c>
      <c r="V99" s="49">
        <f t="shared" si="26"/>
        <v>49.559764082832103</v>
      </c>
      <c r="W99" s="49">
        <f t="shared" si="32"/>
        <v>49.559764082832103</v>
      </c>
      <c r="X99" s="82">
        <f t="shared" si="27"/>
        <v>0</v>
      </c>
      <c r="Y99" s="82">
        <f t="shared" si="28"/>
        <v>328770311077329.94</v>
      </c>
      <c r="Z99" s="81">
        <f t="shared" si="33"/>
        <v>416458622750797.19</v>
      </c>
      <c r="AA99" s="80">
        <f t="shared" si="17"/>
        <v>1266.7160285432287</v>
      </c>
      <c r="AB99" s="52">
        <f t="shared" si="29"/>
        <v>3.5933163871561045E-3</v>
      </c>
      <c r="AC99" s="48">
        <f t="shared" si="18"/>
        <v>-7.7220077220077222E-3</v>
      </c>
      <c r="AD99" s="48">
        <f t="shared" si="19"/>
        <v>2.7184466019417475E-2</v>
      </c>
      <c r="AE99" s="48">
        <f t="shared" si="20"/>
        <v>-3.90625E-3</v>
      </c>
      <c r="AF99" s="48" t="e">
        <f>(#REF!-#REF!)/#REF!</f>
        <v>#REF!</v>
      </c>
    </row>
    <row r="100" spans="1:32" x14ac:dyDescent="0.3">
      <c r="A100" s="48">
        <v>20180525</v>
      </c>
      <c r="B100" s="48" t="s">
        <v>88</v>
      </c>
      <c r="C100" s="79">
        <v>0.3</v>
      </c>
      <c r="D100" s="79">
        <f t="shared" si="21"/>
        <v>0.23839656262374512</v>
      </c>
      <c r="E100" s="49">
        <v>51400</v>
      </c>
      <c r="F100" s="49">
        <v>52700</v>
      </c>
      <c r="G100" s="49">
        <v>6419324700</v>
      </c>
      <c r="H100" s="49">
        <f t="shared" si="22"/>
        <v>0.30115081958914802</v>
      </c>
      <c r="I100" s="49">
        <f t="shared" si="30"/>
        <v>0.30115081958914802</v>
      </c>
      <c r="J100" s="48">
        <v>0.3</v>
      </c>
      <c r="K100" s="48">
        <f t="shared" si="23"/>
        <v>0.28085767769296111</v>
      </c>
      <c r="L100" s="48">
        <v>264500</v>
      </c>
      <c r="M100" s="48">
        <v>275000</v>
      </c>
      <c r="N100" s="51">
        <v>125395903</v>
      </c>
      <c r="O100" s="48">
        <f t="shared" si="24"/>
        <v>3.48060130385239</v>
      </c>
      <c r="P100" s="48">
        <f t="shared" si="31"/>
        <v>3.48060130385239</v>
      </c>
      <c r="Q100" s="49">
        <v>0.4</v>
      </c>
      <c r="R100" s="49">
        <f t="shared" si="25"/>
        <v>0.48074575968329386</v>
      </c>
      <c r="S100" s="49">
        <v>255000</v>
      </c>
      <c r="T100" s="49">
        <v>259800</v>
      </c>
      <c r="U100" s="49">
        <v>15956260</v>
      </c>
      <c r="V100" s="49">
        <f t="shared" si="26"/>
        <v>49.559764082832103</v>
      </c>
      <c r="W100" s="49">
        <f t="shared" si="32"/>
        <v>49.559764082832103</v>
      </c>
      <c r="X100" s="82">
        <f t="shared" si="27"/>
        <v>0</v>
      </c>
      <c r="Y100" s="82">
        <f t="shared" si="28"/>
        <v>328770311077329.94</v>
      </c>
      <c r="Z100" s="81">
        <f t="shared" si="33"/>
        <v>427350305830303.25</v>
      </c>
      <c r="AA100" s="80">
        <f t="shared" si="17"/>
        <v>1299.8445766892448</v>
      </c>
      <c r="AB100" s="52">
        <f t="shared" si="29"/>
        <v>2.6153097773709538E-2</v>
      </c>
      <c r="AC100" s="48">
        <f t="shared" si="18"/>
        <v>2.5291828793774319E-2</v>
      </c>
      <c r="AD100" s="48">
        <f t="shared" si="19"/>
        <v>3.9697542533081283E-2</v>
      </c>
      <c r="AE100" s="48">
        <f t="shared" si="20"/>
        <v>1.8823529411764704E-2</v>
      </c>
      <c r="AF100" s="48" t="e">
        <f>(#REF!-#REF!)/#REF!</f>
        <v>#REF!</v>
      </c>
    </row>
    <row r="101" spans="1:32" x14ac:dyDescent="0.3">
      <c r="A101" s="48">
        <v>20180528</v>
      </c>
      <c r="B101" s="48" t="s">
        <v>88</v>
      </c>
      <c r="C101" s="79">
        <v>0.3</v>
      </c>
      <c r="D101" s="79">
        <f t="shared" si="21"/>
        <v>0.2374595582094963</v>
      </c>
      <c r="E101" s="49">
        <v>52700</v>
      </c>
      <c r="F101" s="49">
        <v>52300</v>
      </c>
      <c r="G101" s="49">
        <v>6419324700</v>
      </c>
      <c r="H101" s="49">
        <f t="shared" si="22"/>
        <v>0.30115081958914802</v>
      </c>
      <c r="I101" s="49">
        <f t="shared" si="30"/>
        <v>0.30115081958914802</v>
      </c>
      <c r="J101" s="48">
        <v>0.3</v>
      </c>
      <c r="K101" s="48">
        <f t="shared" si="23"/>
        <v>0.27779312300919146</v>
      </c>
      <c r="L101" s="48">
        <v>275000</v>
      </c>
      <c r="M101" s="48">
        <v>271000</v>
      </c>
      <c r="N101" s="51">
        <v>125395903</v>
      </c>
      <c r="O101" s="48">
        <f t="shared" si="24"/>
        <v>3.48060130385239</v>
      </c>
      <c r="P101" s="48">
        <f t="shared" si="31"/>
        <v>3.48060130385239</v>
      </c>
      <c r="Q101" s="49">
        <v>0.4</v>
      </c>
      <c r="R101" s="49">
        <f t="shared" si="25"/>
        <v>0.48474731878131216</v>
      </c>
      <c r="S101" s="49">
        <v>259800</v>
      </c>
      <c r="T101" s="49">
        <v>261000</v>
      </c>
      <c r="U101" s="49">
        <v>15956260</v>
      </c>
      <c r="V101" s="49">
        <f t="shared" si="26"/>
        <v>49.559764082832103</v>
      </c>
      <c r="W101" s="49">
        <f t="shared" si="32"/>
        <v>49.559764082832103</v>
      </c>
      <c r="X101" s="82">
        <f t="shared" si="27"/>
        <v>0</v>
      </c>
      <c r="Y101" s="82">
        <f t="shared" si="28"/>
        <v>328770311077329.94</v>
      </c>
      <c r="Z101" s="81">
        <f t="shared" si="33"/>
        <v>425780165476032.75</v>
      </c>
      <c r="AA101" s="80">
        <f t="shared" si="17"/>
        <v>1295.0687794187265</v>
      </c>
      <c r="AB101" s="52">
        <f t="shared" si="29"/>
        <v>-3.6741294737578853E-3</v>
      </c>
      <c r="AC101" s="48">
        <f t="shared" si="18"/>
        <v>-7.5901328273244783E-3</v>
      </c>
      <c r="AD101" s="48">
        <f t="shared" si="19"/>
        <v>-1.4545454545454545E-2</v>
      </c>
      <c r="AE101" s="48">
        <f t="shared" si="20"/>
        <v>4.6189376443418013E-3</v>
      </c>
      <c r="AF101" s="48" t="e">
        <f>(#REF!-#REF!)/#REF!</f>
        <v>#REF!</v>
      </c>
    </row>
    <row r="102" spans="1:32" x14ac:dyDescent="0.3">
      <c r="A102" s="48">
        <v>20180529</v>
      </c>
      <c r="B102" s="48" t="s">
        <v>88</v>
      </c>
      <c r="C102" s="79">
        <v>0.3</v>
      </c>
      <c r="D102" s="79">
        <f t="shared" si="21"/>
        <v>0.23946625435742788</v>
      </c>
      <c r="E102" s="49">
        <v>52300</v>
      </c>
      <c r="F102" s="49">
        <v>51300</v>
      </c>
      <c r="G102" s="49">
        <v>6419324700</v>
      </c>
      <c r="H102" s="49">
        <f t="shared" si="22"/>
        <v>0.30115081958914802</v>
      </c>
      <c r="I102" s="49">
        <f t="shared" si="30"/>
        <v>0.30115081958914802</v>
      </c>
      <c r="J102" s="48">
        <v>0.3</v>
      </c>
      <c r="K102" s="48">
        <f t="shared" si="23"/>
        <v>0.28507455709925067</v>
      </c>
      <c r="L102" s="48">
        <v>271000</v>
      </c>
      <c r="M102" s="48">
        <v>270500</v>
      </c>
      <c r="N102" s="51">
        <v>125395903</v>
      </c>
      <c r="O102" s="48">
        <f t="shared" si="24"/>
        <v>3.48060130385239</v>
      </c>
      <c r="P102" s="48">
        <f t="shared" si="31"/>
        <v>3.48060130385239</v>
      </c>
      <c r="Q102" s="49">
        <v>0.4</v>
      </c>
      <c r="R102" s="49">
        <f t="shared" si="25"/>
        <v>0.47545918854332142</v>
      </c>
      <c r="S102" s="49">
        <v>261000</v>
      </c>
      <c r="T102" s="49">
        <v>249000</v>
      </c>
      <c r="U102" s="49">
        <v>15956260</v>
      </c>
      <c r="V102" s="49">
        <f t="shared" si="26"/>
        <v>49.559764082832103</v>
      </c>
      <c r="W102" s="49">
        <f t="shared" si="32"/>
        <v>49.559764082832103</v>
      </c>
      <c r="X102" s="82">
        <f t="shared" si="27"/>
        <v>0</v>
      </c>
      <c r="Y102" s="82">
        <f t="shared" si="28"/>
        <v>328770311077329.94</v>
      </c>
      <c r="Z102" s="81">
        <f t="shared" si="33"/>
        <v>414139292234747.12</v>
      </c>
      <c r="AA102" s="80">
        <f t="shared" si="17"/>
        <v>1259.6614666259741</v>
      </c>
      <c r="AB102" s="52">
        <f t="shared" si="29"/>
        <v>-2.7340102205725737E-2</v>
      </c>
      <c r="AC102" s="48">
        <f t="shared" si="18"/>
        <v>-1.9120458891013385E-2</v>
      </c>
      <c r="AD102" s="48">
        <f t="shared" si="19"/>
        <v>-1.8450184501845018E-3</v>
      </c>
      <c r="AE102" s="48">
        <f t="shared" si="20"/>
        <v>-4.5977011494252873E-2</v>
      </c>
      <c r="AF102" s="48" t="e">
        <f>(#REF!-#REF!)/#REF!</f>
        <v>#REF!</v>
      </c>
    </row>
    <row r="103" spans="1:32" x14ac:dyDescent="0.3">
      <c r="A103" s="48">
        <v>20180530</v>
      </c>
      <c r="B103" s="48" t="s">
        <v>88</v>
      </c>
      <c r="C103" s="79">
        <v>0.3</v>
      </c>
      <c r="D103" s="79">
        <f t="shared" si="21"/>
        <v>0.22782398081236627</v>
      </c>
      <c r="E103" s="49">
        <v>51300</v>
      </c>
      <c r="F103" s="49">
        <v>49500</v>
      </c>
      <c r="G103" s="49">
        <v>6419324700</v>
      </c>
      <c r="H103" s="49">
        <f t="shared" si="22"/>
        <v>0.30115081958914802</v>
      </c>
      <c r="I103" s="49">
        <f t="shared" si="30"/>
        <v>0.30115081958914802</v>
      </c>
      <c r="J103" s="48">
        <v>0.3</v>
      </c>
      <c r="K103" s="48">
        <f t="shared" si="23"/>
        <v>0.2800381754751165</v>
      </c>
      <c r="L103" s="48">
        <v>270500</v>
      </c>
      <c r="M103" s="48">
        <v>269500</v>
      </c>
      <c r="N103" s="51">
        <v>125395903</v>
      </c>
      <c r="O103" s="48">
        <f t="shared" si="24"/>
        <v>3.48060130385239</v>
      </c>
      <c r="P103" s="48">
        <f t="shared" si="31"/>
        <v>3.48060130385239</v>
      </c>
      <c r="Q103" s="49">
        <v>0.4</v>
      </c>
      <c r="R103" s="49">
        <f t="shared" si="25"/>
        <v>0.49213784371251723</v>
      </c>
      <c r="S103" s="49">
        <v>249000</v>
      </c>
      <c r="T103" s="49">
        <v>261400</v>
      </c>
      <c r="U103" s="49">
        <v>15956260</v>
      </c>
      <c r="V103" s="49">
        <f t="shared" si="26"/>
        <v>49.559764082832103</v>
      </c>
      <c r="W103" s="49">
        <f t="shared" si="32"/>
        <v>49.559764082832103</v>
      </c>
      <c r="X103" s="82">
        <f t="shared" si="27"/>
        <v>0</v>
      </c>
      <c r="Y103" s="82">
        <f t="shared" si="28"/>
        <v>328770311077329.94</v>
      </c>
      <c r="Z103" s="81">
        <f t="shared" si="33"/>
        <v>420028883448392.31</v>
      </c>
      <c r="AA103" s="80">
        <f t="shared" si="17"/>
        <v>1277.5754662032043</v>
      </c>
      <c r="AB103" s="52">
        <f t="shared" si="29"/>
        <v>1.4221280917017501E-2</v>
      </c>
      <c r="AC103" s="48">
        <f t="shared" si="18"/>
        <v>-3.5087719298245612E-2</v>
      </c>
      <c r="AD103" s="48">
        <f t="shared" si="19"/>
        <v>-3.6968576709796672E-3</v>
      </c>
      <c r="AE103" s="48">
        <f t="shared" si="20"/>
        <v>4.9799196787148593E-2</v>
      </c>
      <c r="AF103" s="48" t="e">
        <f>(#REF!-#REF!)/#REF!</f>
        <v>#REF!</v>
      </c>
    </row>
    <row r="104" spans="1:32" x14ac:dyDescent="0.3">
      <c r="A104" s="48">
        <v>20180531</v>
      </c>
      <c r="B104" s="48" t="s">
        <v>88</v>
      </c>
      <c r="C104" s="79">
        <v>0.3</v>
      </c>
      <c r="D104" s="79">
        <f t="shared" si="21"/>
        <v>0.2314618877205048</v>
      </c>
      <c r="E104" s="49">
        <v>49500</v>
      </c>
      <c r="F104" s="49">
        <v>50700</v>
      </c>
      <c r="G104" s="49">
        <v>6419324700</v>
      </c>
      <c r="H104" s="49">
        <f t="shared" si="22"/>
        <v>0.30115081958914802</v>
      </c>
      <c r="I104" s="49">
        <f t="shared" si="30"/>
        <v>0.30115081958914802</v>
      </c>
      <c r="J104" s="48">
        <v>0.3</v>
      </c>
      <c r="K104" s="48">
        <f t="shared" si="23"/>
        <v>0.2736530478916821</v>
      </c>
      <c r="L104" s="48">
        <v>269500</v>
      </c>
      <c r="M104" s="48">
        <v>265500</v>
      </c>
      <c r="N104" s="51">
        <v>125395903</v>
      </c>
      <c r="O104" s="48">
        <f t="shared" si="24"/>
        <v>3.48060130385239</v>
      </c>
      <c r="P104" s="48">
        <f t="shared" si="31"/>
        <v>3.48060130385239</v>
      </c>
      <c r="Q104" s="49">
        <v>0.4</v>
      </c>
      <c r="R104" s="49">
        <f t="shared" si="25"/>
        <v>0.49488506438781299</v>
      </c>
      <c r="S104" s="49">
        <v>261400</v>
      </c>
      <c r="T104" s="49">
        <v>265000</v>
      </c>
      <c r="U104" s="49">
        <v>15956260</v>
      </c>
      <c r="V104" s="49">
        <f t="shared" si="26"/>
        <v>49.559764082832103</v>
      </c>
      <c r="W104" s="49">
        <f t="shared" si="32"/>
        <v>49.559764082832103</v>
      </c>
      <c r="X104" s="82">
        <f t="shared" si="27"/>
        <v>0</v>
      </c>
      <c r="Y104" s="82">
        <f t="shared" si="28"/>
        <v>328770311077329.94</v>
      </c>
      <c r="Z104" s="81">
        <f t="shared" si="33"/>
        <v>423449731280490.37</v>
      </c>
      <c r="AA104" s="80">
        <f t="shared" si="17"/>
        <v>1287.9804441371562</v>
      </c>
      <c r="AB104" s="52">
        <f t="shared" si="29"/>
        <v>8.1443157051803317E-3</v>
      </c>
      <c r="AC104" s="48">
        <f t="shared" si="18"/>
        <v>2.4242424242424242E-2</v>
      </c>
      <c r="AD104" s="48">
        <f t="shared" si="19"/>
        <v>-1.4842300556586271E-2</v>
      </c>
      <c r="AE104" s="48">
        <f t="shared" si="20"/>
        <v>1.3771996939556235E-2</v>
      </c>
      <c r="AF104" s="48" t="e">
        <f>(#REF!-#REF!)/#REF!</f>
        <v>#REF!</v>
      </c>
    </row>
    <row r="105" spans="1:32" x14ac:dyDescent="0.3">
      <c r="A105" s="48">
        <v>20180601</v>
      </c>
      <c r="B105" s="48" t="s">
        <v>88</v>
      </c>
      <c r="C105" s="79">
        <v>0.3</v>
      </c>
      <c r="D105" s="79">
        <f t="shared" si="21"/>
        <v>0.23230002560478541</v>
      </c>
      <c r="E105" s="49">
        <v>50700</v>
      </c>
      <c r="F105" s="49">
        <v>51300</v>
      </c>
      <c r="G105" s="49">
        <v>6419324700</v>
      </c>
      <c r="H105" s="49">
        <f t="shared" si="22"/>
        <v>0.30115081958914802</v>
      </c>
      <c r="I105" s="49">
        <f t="shared" si="30"/>
        <v>0.30115081958914802</v>
      </c>
      <c r="J105" s="48">
        <v>0.3</v>
      </c>
      <c r="K105" s="48">
        <f t="shared" si="23"/>
        <v>0.2796104870396261</v>
      </c>
      <c r="L105" s="48">
        <v>265500</v>
      </c>
      <c r="M105" s="48">
        <v>273500</v>
      </c>
      <c r="N105" s="51">
        <v>125395903</v>
      </c>
      <c r="O105" s="48">
        <f t="shared" si="24"/>
        <v>3.48060130385239</v>
      </c>
      <c r="P105" s="48">
        <f t="shared" si="31"/>
        <v>3.48060130385239</v>
      </c>
      <c r="Q105" s="49">
        <v>0.4</v>
      </c>
      <c r="R105" s="49">
        <f t="shared" si="25"/>
        <v>0.48808948735558855</v>
      </c>
      <c r="S105" s="49">
        <v>265000</v>
      </c>
      <c r="T105" s="49">
        <v>263500</v>
      </c>
      <c r="U105" s="49">
        <v>15956260</v>
      </c>
      <c r="V105" s="49">
        <f t="shared" si="26"/>
        <v>49.559764082832103</v>
      </c>
      <c r="W105" s="49">
        <f t="shared" si="32"/>
        <v>49.559764082832103</v>
      </c>
      <c r="X105" s="82">
        <f t="shared" si="27"/>
        <v>0</v>
      </c>
      <c r="Y105" s="82">
        <f t="shared" si="28"/>
        <v>328770311077329.94</v>
      </c>
      <c r="Z105" s="81">
        <f t="shared" si="33"/>
        <v>426915084643228.5</v>
      </c>
      <c r="AA105" s="80">
        <f t="shared" si="17"/>
        <v>1298.5207917475675</v>
      </c>
      <c r="AB105" s="52">
        <f t="shared" si="29"/>
        <v>8.1836239504960301E-3</v>
      </c>
      <c r="AC105" s="48">
        <f t="shared" si="18"/>
        <v>1.1834319526627219E-2</v>
      </c>
      <c r="AD105" s="48">
        <f t="shared" si="19"/>
        <v>3.0131826741996232E-2</v>
      </c>
      <c r="AE105" s="48">
        <f t="shared" si="20"/>
        <v>-5.6603773584905656E-3</v>
      </c>
      <c r="AF105" s="48" t="e">
        <f>(#REF!-#REF!)/#REF!</f>
        <v>#REF!</v>
      </c>
    </row>
    <row r="106" spans="1:32" x14ac:dyDescent="0.3">
      <c r="A106" s="48">
        <v>20180604</v>
      </c>
      <c r="B106" s="48" t="s">
        <v>88</v>
      </c>
      <c r="C106" s="79">
        <v>0.3</v>
      </c>
      <c r="D106" s="79">
        <f t="shared" si="21"/>
        <v>0.23794047961588774</v>
      </c>
      <c r="E106" s="49">
        <v>51300</v>
      </c>
      <c r="F106" s="49">
        <v>51100</v>
      </c>
      <c r="G106" s="49">
        <v>6419324700</v>
      </c>
      <c r="H106" s="49">
        <f t="shared" si="22"/>
        <v>0.30115081958914802</v>
      </c>
      <c r="I106" s="49">
        <f t="shared" si="30"/>
        <v>0.30115081958914802</v>
      </c>
      <c r="J106" s="48">
        <v>0.3</v>
      </c>
      <c r="K106" s="48">
        <f t="shared" si="23"/>
        <v>0.28016177394301384</v>
      </c>
      <c r="L106" s="48">
        <v>273500</v>
      </c>
      <c r="M106" s="48">
        <v>266500</v>
      </c>
      <c r="N106" s="51">
        <v>125395903</v>
      </c>
      <c r="O106" s="48">
        <f t="shared" si="24"/>
        <v>3.48060130385239</v>
      </c>
      <c r="P106" s="48">
        <f t="shared" si="31"/>
        <v>3.48060130385239</v>
      </c>
      <c r="Q106" s="49">
        <v>0.4</v>
      </c>
      <c r="R106" s="49">
        <f t="shared" si="25"/>
        <v>0.48189774644109845</v>
      </c>
      <c r="S106" s="49">
        <v>263500</v>
      </c>
      <c r="T106" s="49">
        <v>253000</v>
      </c>
      <c r="U106" s="49">
        <v>15956260</v>
      </c>
      <c r="V106" s="49">
        <f t="shared" si="26"/>
        <v>49.559764082832103</v>
      </c>
      <c r="W106" s="49">
        <f t="shared" si="32"/>
        <v>49.559764082832103</v>
      </c>
      <c r="X106" s="82">
        <f t="shared" si="27"/>
        <v>0</v>
      </c>
      <c r="Y106" s="82">
        <f t="shared" si="28"/>
        <v>328770311077329.94</v>
      </c>
      <c r="Z106" s="81">
        <f t="shared" si="33"/>
        <v>415169996606883.44</v>
      </c>
      <c r="AA106" s="80">
        <f t="shared" si="17"/>
        <v>1262.7964953600433</v>
      </c>
      <c r="AB106" s="52">
        <f t="shared" si="29"/>
        <v>-2.7511532055983435E-2</v>
      </c>
      <c r="AC106" s="48">
        <f t="shared" si="18"/>
        <v>-3.8986354775828458E-3</v>
      </c>
      <c r="AD106" s="48">
        <f t="shared" si="19"/>
        <v>-2.5594149908592323E-2</v>
      </c>
      <c r="AE106" s="48">
        <f t="shared" si="20"/>
        <v>-3.9848197343453511E-2</v>
      </c>
      <c r="AF106" s="48" t="e">
        <f>(#REF!-#REF!)/#REF!</f>
        <v>#REF!</v>
      </c>
    </row>
    <row r="107" spans="1:32" x14ac:dyDescent="0.3">
      <c r="A107" s="48">
        <v>20180605</v>
      </c>
      <c r="B107" s="48" t="s">
        <v>88</v>
      </c>
      <c r="C107" s="79">
        <v>0.3</v>
      </c>
      <c r="D107" s="79">
        <f t="shared" si="21"/>
        <v>0.24220963668028681</v>
      </c>
      <c r="E107" s="49">
        <v>51100</v>
      </c>
      <c r="F107" s="49">
        <v>51300</v>
      </c>
      <c r="G107" s="49">
        <v>6419324700</v>
      </c>
      <c r="H107" s="49">
        <f t="shared" si="22"/>
        <v>0.30115081958914802</v>
      </c>
      <c r="I107" s="49">
        <f t="shared" si="30"/>
        <v>0.30115081958914802</v>
      </c>
      <c r="J107" s="48">
        <v>0.3</v>
      </c>
      <c r="K107" s="48">
        <f t="shared" si="23"/>
        <v>0.28460960150494269</v>
      </c>
      <c r="L107" s="48">
        <v>266500</v>
      </c>
      <c r="M107" s="48">
        <v>267000</v>
      </c>
      <c r="N107" s="51">
        <v>125395903</v>
      </c>
      <c r="O107" s="48">
        <f t="shared" si="24"/>
        <v>3.48060130385239</v>
      </c>
      <c r="P107" s="48">
        <f t="shared" si="31"/>
        <v>3.48060130385239</v>
      </c>
      <c r="Q107" s="49">
        <v>0.4</v>
      </c>
      <c r="R107" s="49">
        <f t="shared" si="25"/>
        <v>0.47318076181477053</v>
      </c>
      <c r="S107" s="49">
        <v>253000</v>
      </c>
      <c r="T107" s="49">
        <v>245000</v>
      </c>
      <c r="U107" s="49">
        <v>15956260</v>
      </c>
      <c r="V107" s="49">
        <f t="shared" si="26"/>
        <v>49.559764082832103</v>
      </c>
      <c r="W107" s="49">
        <f t="shared" si="32"/>
        <v>49.559764082832103</v>
      </c>
      <c r="X107" s="82">
        <f t="shared" si="27"/>
        <v>0</v>
      </c>
      <c r="Y107" s="82">
        <f t="shared" si="28"/>
        <v>328770311077329.94</v>
      </c>
      <c r="Z107" s="81">
        <f t="shared" si="33"/>
        <v>409448552307591.37</v>
      </c>
      <c r="AA107" s="80">
        <f t="shared" si="17"/>
        <v>1245.3939376882638</v>
      </c>
      <c r="AB107" s="52">
        <f t="shared" si="29"/>
        <v>-1.3780967666383774E-2</v>
      </c>
      <c r="AC107" s="48">
        <f t="shared" si="18"/>
        <v>3.9138943248532287E-3</v>
      </c>
      <c r="AD107" s="48">
        <f t="shared" si="19"/>
        <v>1.876172607879925E-3</v>
      </c>
      <c r="AE107" s="48">
        <f t="shared" si="20"/>
        <v>-3.1620553359683792E-2</v>
      </c>
      <c r="AF107" s="48" t="e">
        <f>(#REF!-#REF!)/#REF!</f>
        <v>#REF!</v>
      </c>
    </row>
    <row r="108" spans="1:32" x14ac:dyDescent="0.3">
      <c r="A108" s="48">
        <v>20180607</v>
      </c>
      <c r="B108" s="48" t="s">
        <v>88</v>
      </c>
      <c r="C108" s="79">
        <v>0.3</v>
      </c>
      <c r="D108" s="79">
        <f t="shared" si="21"/>
        <v>0.23323056487898242</v>
      </c>
      <c r="E108" s="49">
        <v>51300</v>
      </c>
      <c r="F108" s="49">
        <v>50600</v>
      </c>
      <c r="G108" s="49">
        <v>6419324700</v>
      </c>
      <c r="H108" s="49">
        <f t="shared" si="22"/>
        <v>0.30115081958914802</v>
      </c>
      <c r="I108" s="49">
        <f t="shared" si="30"/>
        <v>0.30115081958914802</v>
      </c>
      <c r="J108" s="48">
        <v>0.3</v>
      </c>
      <c r="K108" s="48">
        <f t="shared" si="23"/>
        <v>0.28201257297856341</v>
      </c>
      <c r="L108" s="48">
        <v>267000</v>
      </c>
      <c r="M108" s="48">
        <v>271000</v>
      </c>
      <c r="N108" s="51">
        <v>125395903</v>
      </c>
      <c r="O108" s="48">
        <f t="shared" si="24"/>
        <v>3.48060130385239</v>
      </c>
      <c r="P108" s="48">
        <f t="shared" si="31"/>
        <v>3.48060130385239</v>
      </c>
      <c r="Q108" s="49">
        <v>0.4</v>
      </c>
      <c r="R108" s="49">
        <f t="shared" si="25"/>
        <v>0.48475686214245417</v>
      </c>
      <c r="S108" s="49">
        <v>245000</v>
      </c>
      <c r="T108" s="49">
        <v>257100</v>
      </c>
      <c r="U108" s="49">
        <v>15956260</v>
      </c>
      <c r="V108" s="49">
        <f t="shared" si="26"/>
        <v>49.559764082832103</v>
      </c>
      <c r="W108" s="49">
        <f t="shared" si="32"/>
        <v>49.559764082832103</v>
      </c>
      <c r="X108" s="82">
        <f t="shared" si="27"/>
        <v>0</v>
      </c>
      <c r="Y108" s="82">
        <f t="shared" si="28"/>
        <v>328770311077329.94</v>
      </c>
      <c r="Z108" s="81">
        <f t="shared" si="33"/>
        <v>419409676078336.25</v>
      </c>
      <c r="AA108" s="80">
        <f t="shared" si="17"/>
        <v>1275.6920620478015</v>
      </c>
      <c r="AB108" s="52">
        <f t="shared" si="29"/>
        <v>2.4328145049250825E-2</v>
      </c>
      <c r="AC108" s="48">
        <f t="shared" si="18"/>
        <v>-1.364522417153996E-2</v>
      </c>
      <c r="AD108" s="48">
        <f t="shared" si="19"/>
        <v>1.4981273408239701E-2</v>
      </c>
      <c r="AE108" s="48">
        <f t="shared" si="20"/>
        <v>4.9387755102040819E-2</v>
      </c>
      <c r="AF108" s="48" t="e">
        <f>(#REF!-#REF!)/#REF!</f>
        <v>#REF!</v>
      </c>
    </row>
    <row r="109" spans="1:32" x14ac:dyDescent="0.3">
      <c r="A109" s="48">
        <v>20180608</v>
      </c>
      <c r="B109" s="48" t="s">
        <v>88</v>
      </c>
      <c r="C109" s="79">
        <v>0.3</v>
      </c>
      <c r="D109" s="79">
        <f t="shared" si="21"/>
        <v>0.23412708452221065</v>
      </c>
      <c r="E109" s="49">
        <v>50600</v>
      </c>
      <c r="F109" s="49">
        <v>49650</v>
      </c>
      <c r="G109" s="49">
        <v>6419324700</v>
      </c>
      <c r="H109" s="49">
        <f t="shared" si="22"/>
        <v>0.30115081958914802</v>
      </c>
      <c r="I109" s="49">
        <f t="shared" si="30"/>
        <v>0.30115081958914802</v>
      </c>
      <c r="J109" s="48">
        <v>0.3</v>
      </c>
      <c r="K109" s="48">
        <f t="shared" si="23"/>
        <v>0.28691642214402097</v>
      </c>
      <c r="L109" s="48">
        <v>271000</v>
      </c>
      <c r="M109" s="48">
        <v>269500</v>
      </c>
      <c r="N109" s="51">
        <v>125395903</v>
      </c>
      <c r="O109" s="48">
        <f t="shared" si="24"/>
        <v>3.48060130385239</v>
      </c>
      <c r="P109" s="48">
        <f t="shared" si="31"/>
        <v>3.48060130385239</v>
      </c>
      <c r="Q109" s="49">
        <v>0.4</v>
      </c>
      <c r="R109" s="49">
        <f t="shared" si="25"/>
        <v>0.47895649333376844</v>
      </c>
      <c r="S109" s="49">
        <v>257100</v>
      </c>
      <c r="T109" s="49">
        <v>248300</v>
      </c>
      <c r="U109" s="49">
        <v>15956260</v>
      </c>
      <c r="V109" s="49">
        <f t="shared" si="26"/>
        <v>49.559764082832103</v>
      </c>
      <c r="W109" s="49">
        <f t="shared" si="32"/>
        <v>49.559764082832103</v>
      </c>
      <c r="X109" s="82">
        <f t="shared" si="27"/>
        <v>0</v>
      </c>
      <c r="Y109" s="82">
        <f t="shared" si="28"/>
        <v>328770311077329.94</v>
      </c>
      <c r="Z109" s="81">
        <f t="shared" si="33"/>
        <v>409959532078283.62</v>
      </c>
      <c r="AA109" s="80">
        <f t="shared" si="17"/>
        <v>1246.9481527541495</v>
      </c>
      <c r="AB109" s="52">
        <f t="shared" si="29"/>
        <v>-2.2532012347486828E-2</v>
      </c>
      <c r="AC109" s="48">
        <f t="shared" si="18"/>
        <v>-1.8774703557312252E-2</v>
      </c>
      <c r="AD109" s="48">
        <f t="shared" si="19"/>
        <v>-5.5350553505535052E-3</v>
      </c>
      <c r="AE109" s="48">
        <f t="shared" si="20"/>
        <v>-3.4227926876701675E-2</v>
      </c>
      <c r="AF109" s="48" t="e">
        <f>(#REF!-#REF!)/#REF!</f>
        <v>#REF!</v>
      </c>
    </row>
    <row r="110" spans="1:32" x14ac:dyDescent="0.3">
      <c r="A110" s="48">
        <v>20180611</v>
      </c>
      <c r="B110" s="48" t="s">
        <v>88</v>
      </c>
      <c r="C110" s="79">
        <v>0.3</v>
      </c>
      <c r="D110" s="79">
        <f t="shared" si="21"/>
        <v>0.23704012773250724</v>
      </c>
      <c r="E110" s="49">
        <v>49650</v>
      </c>
      <c r="F110" s="49">
        <v>49900</v>
      </c>
      <c r="G110" s="49">
        <v>6419324700</v>
      </c>
      <c r="H110" s="49">
        <f t="shared" si="22"/>
        <v>0.30115081958914802</v>
      </c>
      <c r="I110" s="49">
        <f t="shared" si="30"/>
        <v>0.30115081958914802</v>
      </c>
      <c r="J110" s="48">
        <v>0.3</v>
      </c>
      <c r="K110" s="48">
        <f t="shared" si="23"/>
        <v>0.2868859938803614</v>
      </c>
      <c r="L110" s="48">
        <v>269500</v>
      </c>
      <c r="M110" s="48">
        <v>267500</v>
      </c>
      <c r="N110" s="51">
        <v>125395903</v>
      </c>
      <c r="O110" s="48">
        <f t="shared" si="24"/>
        <v>3.48060130385239</v>
      </c>
      <c r="P110" s="48">
        <f t="shared" si="31"/>
        <v>3.48060130385239</v>
      </c>
      <c r="Q110" s="49">
        <v>0.4</v>
      </c>
      <c r="R110" s="49">
        <f t="shared" si="25"/>
        <v>0.47607387838713133</v>
      </c>
      <c r="S110" s="49">
        <v>248300</v>
      </c>
      <c r="T110" s="49">
        <v>245000</v>
      </c>
      <c r="U110" s="49">
        <v>15956260</v>
      </c>
      <c r="V110" s="49">
        <f t="shared" si="26"/>
        <v>49.559764082832103</v>
      </c>
      <c r="W110" s="49">
        <f t="shared" si="32"/>
        <v>49.559764082832103</v>
      </c>
      <c r="X110" s="82">
        <f t="shared" si="27"/>
        <v>0</v>
      </c>
      <c r="Y110" s="82">
        <f t="shared" si="28"/>
        <v>328770311077329.94</v>
      </c>
      <c r="Z110" s="81">
        <f t="shared" si="33"/>
        <v>406960320026871.75</v>
      </c>
      <c r="AA110" s="80">
        <f t="shared" si="17"/>
        <v>1237.8256378847748</v>
      </c>
      <c r="AB110" s="52">
        <f t="shared" si="29"/>
        <v>-7.3158734380621556E-3</v>
      </c>
      <c r="AC110" s="48">
        <f t="shared" si="18"/>
        <v>5.0352467270896274E-3</v>
      </c>
      <c r="AD110" s="48">
        <f t="shared" si="19"/>
        <v>-7.4211502782931356E-3</v>
      </c>
      <c r="AE110" s="48">
        <f t="shared" si="20"/>
        <v>-1.3290374546919049E-2</v>
      </c>
      <c r="AF110" s="48" t="e">
        <f>(#REF!-#REF!)/#REF!</f>
        <v>#REF!</v>
      </c>
    </row>
    <row r="111" spans="1:32" x14ac:dyDescent="0.3">
      <c r="A111" s="48">
        <v>20180612</v>
      </c>
      <c r="B111" s="48" t="s">
        <v>88</v>
      </c>
      <c r="C111" s="79">
        <v>0.3</v>
      </c>
      <c r="D111" s="79">
        <f t="shared" si="21"/>
        <v>0.2331638261740499</v>
      </c>
      <c r="E111" s="49">
        <v>49900</v>
      </c>
      <c r="F111" s="49">
        <v>49400</v>
      </c>
      <c r="G111" s="49">
        <v>6419324700</v>
      </c>
      <c r="H111" s="49">
        <f t="shared" si="22"/>
        <v>0.30115081958914802</v>
      </c>
      <c r="I111" s="49">
        <f t="shared" si="30"/>
        <v>0.30115081958914802</v>
      </c>
      <c r="J111" s="48">
        <v>0.3</v>
      </c>
      <c r="K111" s="48">
        <f t="shared" si="23"/>
        <v>0.29091164376100498</v>
      </c>
      <c r="L111" s="48">
        <v>267500</v>
      </c>
      <c r="M111" s="48">
        <v>273000</v>
      </c>
      <c r="N111" s="51">
        <v>125395903</v>
      </c>
      <c r="O111" s="48">
        <f t="shared" si="24"/>
        <v>3.48060130385239</v>
      </c>
      <c r="P111" s="48">
        <f t="shared" si="31"/>
        <v>3.48060130385239</v>
      </c>
      <c r="Q111" s="49">
        <v>0.4</v>
      </c>
      <c r="R111" s="49">
        <f t="shared" si="25"/>
        <v>0.47592453006494512</v>
      </c>
      <c r="S111" s="49">
        <v>245000</v>
      </c>
      <c r="T111" s="49">
        <v>246500</v>
      </c>
      <c r="U111" s="49">
        <v>15956260</v>
      </c>
      <c r="V111" s="49">
        <f t="shared" si="26"/>
        <v>49.559764082832103</v>
      </c>
      <c r="W111" s="49">
        <f t="shared" si="32"/>
        <v>49.559764082832103</v>
      </c>
      <c r="X111" s="82">
        <f t="shared" si="27"/>
        <v>0</v>
      </c>
      <c r="Y111" s="82">
        <f t="shared" si="28"/>
        <v>328770311077329.94</v>
      </c>
      <c r="Z111" s="81">
        <f t="shared" si="33"/>
        <v>409580402590568.81</v>
      </c>
      <c r="AA111" s="80">
        <f t="shared" si="17"/>
        <v>1245.7949784104185</v>
      </c>
      <c r="AB111" s="52">
        <f t="shared" si="29"/>
        <v>6.4381769788367741E-3</v>
      </c>
      <c r="AC111" s="48">
        <f t="shared" si="18"/>
        <v>-1.002004008016032E-2</v>
      </c>
      <c r="AD111" s="48">
        <f t="shared" si="19"/>
        <v>2.0560747663551402E-2</v>
      </c>
      <c r="AE111" s="48">
        <f t="shared" si="20"/>
        <v>6.1224489795918364E-3</v>
      </c>
      <c r="AF111" s="48" t="e">
        <f>(#REF!-#REF!)/#REF!</f>
        <v>#REF!</v>
      </c>
    </row>
    <row r="112" spans="1:32" x14ac:dyDescent="0.3">
      <c r="A112" s="48">
        <v>20180614</v>
      </c>
      <c r="B112" s="48" t="s">
        <v>88</v>
      </c>
      <c r="C112" s="79">
        <v>0.3</v>
      </c>
      <c r="D112" s="79">
        <f t="shared" si="21"/>
        <v>0.23173705425352484</v>
      </c>
      <c r="E112" s="49">
        <v>49400</v>
      </c>
      <c r="F112" s="49">
        <v>48200</v>
      </c>
      <c r="G112" s="49">
        <v>6419324700</v>
      </c>
      <c r="H112" s="49">
        <f t="shared" si="22"/>
        <v>0.30115081958914802</v>
      </c>
      <c r="I112" s="49">
        <f t="shared" si="30"/>
        <v>0.30115081958914802</v>
      </c>
      <c r="J112" s="48">
        <v>0.3</v>
      </c>
      <c r="K112" s="48">
        <f t="shared" si="23"/>
        <v>0.30392799701822731</v>
      </c>
      <c r="L112" s="48">
        <v>273000</v>
      </c>
      <c r="M112" s="48">
        <v>280000</v>
      </c>
      <c r="N112" s="51">
        <v>125395903</v>
      </c>
      <c r="O112" s="48">
        <f t="shared" si="24"/>
        <v>3.48060130385239</v>
      </c>
      <c r="P112" s="48">
        <f t="shared" si="31"/>
        <v>3.48060130385239</v>
      </c>
      <c r="Q112" s="49">
        <v>0.4</v>
      </c>
      <c r="R112" s="49">
        <f t="shared" si="25"/>
        <v>0.46433494872824782</v>
      </c>
      <c r="S112" s="49">
        <v>246500</v>
      </c>
      <c r="T112" s="49">
        <v>236100</v>
      </c>
      <c r="U112" s="49">
        <v>15956260</v>
      </c>
      <c r="V112" s="49">
        <f t="shared" si="26"/>
        <v>49.559764082832103</v>
      </c>
      <c r="W112" s="49">
        <f t="shared" si="32"/>
        <v>49.559764082832103</v>
      </c>
      <c r="X112" s="82">
        <f t="shared" si="27"/>
        <v>0</v>
      </c>
      <c r="Y112" s="82">
        <f t="shared" si="28"/>
        <v>328770311077329.94</v>
      </c>
      <c r="Z112" s="81">
        <f t="shared" si="33"/>
        <v>402091552516448</v>
      </c>
      <c r="AA112" s="80">
        <f t="shared" si="17"/>
        <v>1223.0166136317346</v>
      </c>
      <c r="AB112" s="52">
        <f t="shared" si="29"/>
        <v>-1.8284200188178744E-2</v>
      </c>
      <c r="AC112" s="48">
        <f t="shared" si="18"/>
        <v>-2.4291497975708502E-2</v>
      </c>
      <c r="AD112" s="48">
        <f t="shared" si="19"/>
        <v>2.564102564102564E-2</v>
      </c>
      <c r="AE112" s="48">
        <f t="shared" si="20"/>
        <v>-4.2190669371196754E-2</v>
      </c>
      <c r="AF112" s="48" t="e">
        <f>(#REF!-#REF!)/#REF!</f>
        <v>#REF!</v>
      </c>
    </row>
    <row r="113" spans="1:32" x14ac:dyDescent="0.3">
      <c r="A113" s="48">
        <v>20180615</v>
      </c>
      <c r="B113" s="48" t="s">
        <v>88</v>
      </c>
      <c r="C113" s="79">
        <v>0.3</v>
      </c>
      <c r="D113" s="79">
        <f t="shared" si="21"/>
        <v>0.22665621636083338</v>
      </c>
      <c r="E113" s="49">
        <v>48200</v>
      </c>
      <c r="F113" s="49">
        <v>47650</v>
      </c>
      <c r="G113" s="49">
        <v>6419324700</v>
      </c>
      <c r="H113" s="49">
        <f t="shared" si="22"/>
        <v>0.30115081958914802</v>
      </c>
      <c r="I113" s="49">
        <f t="shared" si="30"/>
        <v>0.30115081958914802</v>
      </c>
      <c r="J113" s="48">
        <v>0.3</v>
      </c>
      <c r="K113" s="48">
        <f t="shared" si="23"/>
        <v>0.32056292923289947</v>
      </c>
      <c r="L113" s="48">
        <v>280000</v>
      </c>
      <c r="M113" s="48">
        <v>298500</v>
      </c>
      <c r="N113" s="51">
        <v>125395903</v>
      </c>
      <c r="O113" s="48">
        <f t="shared" si="24"/>
        <v>3.48060130385239</v>
      </c>
      <c r="P113" s="48">
        <f t="shared" si="31"/>
        <v>3.48060130385239</v>
      </c>
      <c r="Q113" s="49">
        <v>0.4</v>
      </c>
      <c r="R113" s="49">
        <f t="shared" si="25"/>
        <v>0.4527808544062672</v>
      </c>
      <c r="S113" s="49">
        <v>236100</v>
      </c>
      <c r="T113" s="49">
        <v>232700</v>
      </c>
      <c r="U113" s="49">
        <v>15956260</v>
      </c>
      <c r="V113" s="49">
        <f t="shared" si="26"/>
        <v>49.559764082832103</v>
      </c>
      <c r="W113" s="49">
        <f t="shared" si="32"/>
        <v>49.559764082832103</v>
      </c>
      <c r="X113" s="82">
        <f t="shared" si="27"/>
        <v>0</v>
      </c>
      <c r="Y113" s="82">
        <f t="shared" si="28"/>
        <v>328770311077329.94</v>
      </c>
      <c r="Z113" s="81">
        <f t="shared" si="33"/>
        <v>406414003142551.25</v>
      </c>
      <c r="AA113" s="80">
        <f t="shared" si="17"/>
        <v>1236.1639401404427</v>
      </c>
      <c r="AB113" s="52">
        <f t="shared" si="29"/>
        <v>1.0749916527844461E-2</v>
      </c>
      <c r="AC113" s="48">
        <f t="shared" si="18"/>
        <v>-1.1410788381742738E-2</v>
      </c>
      <c r="AD113" s="48">
        <f t="shared" si="19"/>
        <v>6.6071428571428573E-2</v>
      </c>
      <c r="AE113" s="48">
        <f t="shared" si="20"/>
        <v>-1.4400677678949597E-2</v>
      </c>
      <c r="AF113" s="48" t="e">
        <f>(#REF!-#REF!)/#REF!</f>
        <v>#REF!</v>
      </c>
    </row>
    <row r="114" spans="1:32" x14ac:dyDescent="0.3">
      <c r="A114" s="48">
        <v>20180618</v>
      </c>
      <c r="B114" s="48" t="s">
        <v>88</v>
      </c>
      <c r="C114" s="79">
        <v>0.3</v>
      </c>
      <c r="D114" s="79">
        <f t="shared" si="21"/>
        <v>0.22731402169087978</v>
      </c>
      <c r="E114" s="49">
        <v>47650</v>
      </c>
      <c r="F114" s="49">
        <v>46600</v>
      </c>
      <c r="G114" s="49">
        <v>6419324700</v>
      </c>
      <c r="H114" s="49">
        <f t="shared" si="22"/>
        <v>0.30115081958914802</v>
      </c>
      <c r="I114" s="49">
        <f t="shared" si="30"/>
        <v>0.30115081958914802</v>
      </c>
      <c r="J114" s="48">
        <v>0.3</v>
      </c>
      <c r="K114" s="48">
        <f t="shared" si="23"/>
        <v>0.33589565117022613</v>
      </c>
      <c r="L114" s="48">
        <v>298500</v>
      </c>
      <c r="M114" s="48">
        <v>305000</v>
      </c>
      <c r="N114" s="51">
        <v>125395903</v>
      </c>
      <c r="O114" s="48">
        <f t="shared" si="24"/>
        <v>3.48060130385239</v>
      </c>
      <c r="P114" s="48">
        <f t="shared" si="31"/>
        <v>3.48060130385239</v>
      </c>
      <c r="Q114" s="49">
        <v>0.4</v>
      </c>
      <c r="R114" s="49">
        <f t="shared" si="25"/>
        <v>0.4367903271388941</v>
      </c>
      <c r="S114" s="49">
        <v>232700</v>
      </c>
      <c r="T114" s="49">
        <v>218900</v>
      </c>
      <c r="U114" s="49">
        <v>15956260</v>
      </c>
      <c r="V114" s="49">
        <f t="shared" si="26"/>
        <v>49.559764082832103</v>
      </c>
      <c r="W114" s="49">
        <f t="shared" si="32"/>
        <v>49.559764082832103</v>
      </c>
      <c r="X114" s="82">
        <f t="shared" si="27"/>
        <v>0</v>
      </c>
      <c r="Y114" s="82">
        <f t="shared" si="28"/>
        <v>328770311077329.94</v>
      </c>
      <c r="Z114" s="81">
        <f t="shared" si="33"/>
        <v>396308223394652</v>
      </c>
      <c r="AA114" s="80">
        <f t="shared" si="17"/>
        <v>1205.4258247832984</v>
      </c>
      <c r="AB114" s="52">
        <f t="shared" si="29"/>
        <v>-2.4865727238130034E-2</v>
      </c>
      <c r="AC114" s="48">
        <f t="shared" si="18"/>
        <v>-2.2035676810073453E-2</v>
      </c>
      <c r="AD114" s="48">
        <f t="shared" si="19"/>
        <v>2.1775544388609715E-2</v>
      </c>
      <c r="AE114" s="48">
        <f t="shared" si="20"/>
        <v>-5.9303824666953157E-2</v>
      </c>
      <c r="AF114" s="48" t="e">
        <f>(#REF!-#REF!)/#REF!</f>
        <v>#REF!</v>
      </c>
    </row>
    <row r="115" spans="1:32" x14ac:dyDescent="0.3">
      <c r="A115" s="48">
        <v>20180619</v>
      </c>
      <c r="B115" s="48" t="s">
        <v>88</v>
      </c>
      <c r="C115" s="79">
        <v>0.3</v>
      </c>
      <c r="D115" s="79">
        <f t="shared" si="21"/>
        <v>0.23170675319119802</v>
      </c>
      <c r="E115" s="49">
        <v>46600</v>
      </c>
      <c r="F115" s="49">
        <v>47000</v>
      </c>
      <c r="G115" s="49">
        <v>6419324700</v>
      </c>
      <c r="H115" s="49">
        <f t="shared" si="22"/>
        <v>0.30115081958914802</v>
      </c>
      <c r="I115" s="49">
        <f t="shared" si="30"/>
        <v>0.30115081958914802</v>
      </c>
      <c r="J115" s="48">
        <v>0.3</v>
      </c>
      <c r="K115" s="48">
        <f t="shared" si="23"/>
        <v>0.3199947959736873</v>
      </c>
      <c r="L115" s="48">
        <v>305000</v>
      </c>
      <c r="M115" s="48">
        <v>287500</v>
      </c>
      <c r="N115" s="51">
        <v>125395903</v>
      </c>
      <c r="O115" s="48">
        <f t="shared" si="24"/>
        <v>3.48060130385239</v>
      </c>
      <c r="P115" s="48">
        <f t="shared" si="31"/>
        <v>3.48060130385239</v>
      </c>
      <c r="Q115" s="49">
        <v>0.4</v>
      </c>
      <c r="R115" s="49">
        <f t="shared" si="25"/>
        <v>0.44829845083511471</v>
      </c>
      <c r="S115" s="49">
        <v>218900</v>
      </c>
      <c r="T115" s="49">
        <v>222300</v>
      </c>
      <c r="U115" s="49">
        <v>15956260</v>
      </c>
      <c r="V115" s="49">
        <f t="shared" si="26"/>
        <v>49.559764082832103</v>
      </c>
      <c r="W115" s="49">
        <f t="shared" si="32"/>
        <v>49.559764082832103</v>
      </c>
      <c r="X115" s="82">
        <f t="shared" si="27"/>
        <v>0</v>
      </c>
      <c r="Y115" s="82">
        <f t="shared" si="28"/>
        <v>328770311077329.94</v>
      </c>
      <c r="Z115" s="81">
        <f t="shared" si="33"/>
        <v>392132248177836.19</v>
      </c>
      <c r="AA115" s="80">
        <f t="shared" si="17"/>
        <v>1192.7240233246089</v>
      </c>
      <c r="AB115" s="52">
        <f t="shared" si="29"/>
        <v>-1.0537190424780317E-2</v>
      </c>
      <c r="AC115" s="48">
        <f t="shared" si="18"/>
        <v>8.5836909871244635E-3</v>
      </c>
      <c r="AD115" s="48">
        <f t="shared" si="19"/>
        <v>-5.737704918032787E-2</v>
      </c>
      <c r="AE115" s="48">
        <f t="shared" si="20"/>
        <v>1.5532206486980357E-2</v>
      </c>
      <c r="AF115" s="48" t="e">
        <f>(#REF!-#REF!)/#REF!</f>
        <v>#REF!</v>
      </c>
    </row>
    <row r="116" spans="1:32" x14ac:dyDescent="0.3">
      <c r="A116" s="48">
        <v>20180620</v>
      </c>
      <c r="B116" s="48" t="s">
        <v>88</v>
      </c>
      <c r="C116" s="79">
        <v>0.3</v>
      </c>
      <c r="D116" s="79">
        <f t="shared" si="21"/>
        <v>0.22387665567980053</v>
      </c>
      <c r="E116" s="49">
        <v>47000</v>
      </c>
      <c r="F116" s="49">
        <v>47000</v>
      </c>
      <c r="G116" s="49">
        <v>6419324700</v>
      </c>
      <c r="H116" s="49">
        <f t="shared" si="22"/>
        <v>0.30115081958914802</v>
      </c>
      <c r="I116" s="49">
        <f t="shared" si="30"/>
        <v>0.30115081958914802</v>
      </c>
      <c r="J116" s="48">
        <v>0.3</v>
      </c>
      <c r="K116" s="48">
        <f t="shared" si="23"/>
        <v>0.31939758997204948</v>
      </c>
      <c r="L116" s="48">
        <v>287500</v>
      </c>
      <c r="M116" s="48">
        <v>297000</v>
      </c>
      <c r="N116" s="51">
        <v>125395903</v>
      </c>
      <c r="O116" s="48">
        <f t="shared" si="24"/>
        <v>3.48060130385239</v>
      </c>
      <c r="P116" s="48">
        <f t="shared" si="31"/>
        <v>3.48060130385239</v>
      </c>
      <c r="Q116" s="49">
        <v>0.4</v>
      </c>
      <c r="R116" s="49">
        <f t="shared" si="25"/>
        <v>0.4567257543481501</v>
      </c>
      <c r="S116" s="49">
        <v>222300</v>
      </c>
      <c r="T116" s="49">
        <v>234400</v>
      </c>
      <c r="U116" s="49">
        <v>15956260</v>
      </c>
      <c r="V116" s="49">
        <f t="shared" si="26"/>
        <v>49.559764082832103</v>
      </c>
      <c r="W116" s="49">
        <f t="shared" si="32"/>
        <v>49.559764082832103</v>
      </c>
      <c r="X116" s="82">
        <f t="shared" si="27"/>
        <v>0</v>
      </c>
      <c r="Y116" s="82">
        <f t="shared" si="28"/>
        <v>328770311077329.94</v>
      </c>
      <c r="Z116" s="81">
        <f t="shared" si="33"/>
        <v>405847093663948.25</v>
      </c>
      <c r="AA116" s="80">
        <f t="shared" si="17"/>
        <v>1234.4396071958245</v>
      </c>
      <c r="AB116" s="52">
        <f t="shared" si="29"/>
        <v>3.4975051273753353E-2</v>
      </c>
      <c r="AC116" s="48">
        <f t="shared" si="18"/>
        <v>0</v>
      </c>
      <c r="AD116" s="48">
        <f t="shared" si="19"/>
        <v>3.3043478260869563E-2</v>
      </c>
      <c r="AE116" s="48">
        <f t="shared" si="20"/>
        <v>5.4430949167791273E-2</v>
      </c>
      <c r="AF116" s="48" t="e">
        <f>(#REF!-#REF!)/#REF!</f>
        <v>#REF!</v>
      </c>
    </row>
    <row r="117" spans="1:32" x14ac:dyDescent="0.3">
      <c r="A117" s="48">
        <v>20180621</v>
      </c>
      <c r="B117" s="48" t="s">
        <v>88</v>
      </c>
      <c r="C117" s="79">
        <v>0.3</v>
      </c>
      <c r="D117" s="79">
        <f t="shared" si="21"/>
        <v>0.22678263858922137</v>
      </c>
      <c r="E117" s="49">
        <v>47000</v>
      </c>
      <c r="F117" s="49">
        <v>47050</v>
      </c>
      <c r="G117" s="49">
        <v>6419324700</v>
      </c>
      <c r="H117" s="49">
        <f t="shared" si="22"/>
        <v>0.30115081958914802</v>
      </c>
      <c r="I117" s="49">
        <f t="shared" si="30"/>
        <v>0.30115081958914802</v>
      </c>
      <c r="J117" s="48">
        <v>0.3</v>
      </c>
      <c r="K117" s="48">
        <f t="shared" si="23"/>
        <v>0.31775856123042062</v>
      </c>
      <c r="L117" s="48">
        <v>297000</v>
      </c>
      <c r="M117" s="48">
        <v>292000</v>
      </c>
      <c r="N117" s="51">
        <v>125395903</v>
      </c>
      <c r="O117" s="48">
        <f t="shared" si="24"/>
        <v>3.48060130385239</v>
      </c>
      <c r="P117" s="48">
        <f t="shared" si="31"/>
        <v>3.48060130385239</v>
      </c>
      <c r="Q117" s="49">
        <v>0.4</v>
      </c>
      <c r="R117" s="49">
        <f t="shared" si="25"/>
        <v>0.45545880018035795</v>
      </c>
      <c r="S117" s="49">
        <v>234400</v>
      </c>
      <c r="T117" s="49">
        <v>231000</v>
      </c>
      <c r="U117" s="49">
        <v>15956260</v>
      </c>
      <c r="V117" s="49">
        <f t="shared" si="26"/>
        <v>49.559764082832103</v>
      </c>
      <c r="W117" s="49">
        <f t="shared" si="32"/>
        <v>49.559764082832103</v>
      </c>
      <c r="X117" s="82">
        <f t="shared" si="27"/>
        <v>0</v>
      </c>
      <c r="Y117" s="82">
        <f t="shared" si="28"/>
        <v>328770311077329.94</v>
      </c>
      <c r="Z117" s="81">
        <f t="shared" si="33"/>
        <v>401072806355050.56</v>
      </c>
      <c r="AA117" s="80">
        <f t="shared" si="17"/>
        <v>1219.9179574359875</v>
      </c>
      <c r="AB117" s="52">
        <f t="shared" si="29"/>
        <v>-1.1763758773768255E-2</v>
      </c>
      <c r="AC117" s="48">
        <f t="shared" si="18"/>
        <v>1.0638297872340426E-3</v>
      </c>
      <c r="AD117" s="48">
        <f t="shared" si="19"/>
        <v>-1.6835016835016835E-2</v>
      </c>
      <c r="AE117" s="48">
        <f t="shared" si="20"/>
        <v>-1.4505119453924915E-2</v>
      </c>
      <c r="AF117" s="48" t="e">
        <f>(#REF!-#REF!)/#REF!</f>
        <v>#REF!</v>
      </c>
    </row>
    <row r="118" spans="1:32" x14ac:dyDescent="0.3">
      <c r="A118" s="48">
        <v>20180622</v>
      </c>
      <c r="B118" s="48" t="s">
        <v>88</v>
      </c>
      <c r="C118" s="79">
        <v>0.3</v>
      </c>
      <c r="D118" s="79">
        <f t="shared" si="21"/>
        <v>0.22622091219437371</v>
      </c>
      <c r="E118" s="49">
        <v>47050</v>
      </c>
      <c r="F118" s="49">
        <v>47250</v>
      </c>
      <c r="G118" s="49">
        <v>6419324700</v>
      </c>
      <c r="H118" s="49">
        <f t="shared" si="22"/>
        <v>0.30115081958914802</v>
      </c>
      <c r="I118" s="49">
        <f t="shared" si="30"/>
        <v>0.30115081958914802</v>
      </c>
      <c r="J118" s="48">
        <v>0.3</v>
      </c>
      <c r="K118" s="48">
        <f t="shared" si="23"/>
        <v>0.31941304897668371</v>
      </c>
      <c r="L118" s="48">
        <v>292000</v>
      </c>
      <c r="M118" s="48">
        <v>295500</v>
      </c>
      <c r="N118" s="51">
        <v>125395903</v>
      </c>
      <c r="O118" s="48">
        <f t="shared" si="24"/>
        <v>3.48060130385239</v>
      </c>
      <c r="P118" s="48">
        <f t="shared" si="31"/>
        <v>3.48060130385239</v>
      </c>
      <c r="Q118" s="49">
        <v>0.4</v>
      </c>
      <c r="R118" s="49">
        <f t="shared" si="25"/>
        <v>0.45436603882894266</v>
      </c>
      <c r="S118" s="49">
        <v>231000</v>
      </c>
      <c r="T118" s="49">
        <v>232000</v>
      </c>
      <c r="U118" s="49">
        <v>15956260</v>
      </c>
      <c r="V118" s="49">
        <f t="shared" si="26"/>
        <v>49.559764082832103</v>
      </c>
      <c r="W118" s="49">
        <f t="shared" si="32"/>
        <v>49.559764082832103</v>
      </c>
      <c r="X118" s="82">
        <f t="shared" si="27"/>
        <v>0</v>
      </c>
      <c r="Y118" s="82">
        <f t="shared" si="28"/>
        <v>328770311077329.94</v>
      </c>
      <c r="Z118" s="81">
        <f t="shared" si="33"/>
        <v>403777817817396</v>
      </c>
      <c r="AA118" s="80">
        <f t="shared" si="17"/>
        <v>1228.145620856938</v>
      </c>
      <c r="AB118" s="52">
        <f t="shared" si="29"/>
        <v>6.7444399607357606E-3</v>
      </c>
      <c r="AC118" s="48">
        <f t="shared" si="18"/>
        <v>4.2507970244420826E-3</v>
      </c>
      <c r="AD118" s="48">
        <f t="shared" si="19"/>
        <v>1.1986301369863013E-2</v>
      </c>
      <c r="AE118" s="48">
        <f t="shared" si="20"/>
        <v>4.329004329004329E-3</v>
      </c>
      <c r="AF118" s="48" t="e">
        <f>(#REF!-#REF!)/#REF!</f>
        <v>#REF!</v>
      </c>
    </row>
    <row r="119" spans="1:32" x14ac:dyDescent="0.3">
      <c r="A119" s="48">
        <v>20180625</v>
      </c>
      <c r="B119" s="48" t="s">
        <v>88</v>
      </c>
      <c r="C119" s="79">
        <v>0.3</v>
      </c>
      <c r="D119" s="79">
        <f t="shared" si="21"/>
        <v>0.22435483505509213</v>
      </c>
      <c r="E119" s="49">
        <v>47250</v>
      </c>
      <c r="F119" s="49">
        <v>46650</v>
      </c>
      <c r="G119" s="49">
        <v>6419324700</v>
      </c>
      <c r="H119" s="49">
        <f t="shared" si="22"/>
        <v>0.30115081958914802</v>
      </c>
      <c r="I119" s="49">
        <f t="shared" si="30"/>
        <v>0.30115081958914802</v>
      </c>
      <c r="J119" s="48">
        <v>0.3</v>
      </c>
      <c r="K119" s="48">
        <f t="shared" si="23"/>
        <v>0.32139545369315869</v>
      </c>
      <c r="L119" s="48">
        <v>295500</v>
      </c>
      <c r="M119" s="48">
        <v>296000</v>
      </c>
      <c r="N119" s="51">
        <v>125395903</v>
      </c>
      <c r="O119" s="48">
        <f t="shared" si="24"/>
        <v>3.48060130385239</v>
      </c>
      <c r="P119" s="48">
        <f t="shared" si="31"/>
        <v>3.48060130385239</v>
      </c>
      <c r="Q119" s="49">
        <v>0.4</v>
      </c>
      <c r="R119" s="49">
        <f t="shared" si="25"/>
        <v>0.45424971125174912</v>
      </c>
      <c r="S119" s="49">
        <v>232000</v>
      </c>
      <c r="T119" s="49">
        <v>230900</v>
      </c>
      <c r="U119" s="49">
        <v>15956260</v>
      </c>
      <c r="V119" s="49">
        <f t="shared" si="26"/>
        <v>49.559764082832103</v>
      </c>
      <c r="W119" s="49">
        <f t="shared" si="32"/>
        <v>49.559764082832103</v>
      </c>
      <c r="X119" s="82">
        <f t="shared" si="27"/>
        <v>0</v>
      </c>
      <c r="Y119" s="82">
        <f t="shared" si="28"/>
        <v>328770311077329.94</v>
      </c>
      <c r="Z119" s="81">
        <f t="shared" si="33"/>
        <v>401966266122998.75</v>
      </c>
      <c r="AA119" s="80">
        <f t="shared" si="17"/>
        <v>1222.6355378799774</v>
      </c>
      <c r="AB119" s="52">
        <f t="shared" si="29"/>
        <v>-4.486506228077349E-3</v>
      </c>
      <c r="AC119" s="48">
        <f t="shared" si="18"/>
        <v>-1.2698412698412698E-2</v>
      </c>
      <c r="AD119" s="48">
        <f t="shared" si="19"/>
        <v>1.6920473773265651E-3</v>
      </c>
      <c r="AE119" s="48">
        <f t="shared" si="20"/>
        <v>-4.7413793103448275E-3</v>
      </c>
      <c r="AF119" s="48" t="e">
        <f>(#REF!-#REF!)/#REF!</f>
        <v>#REF!</v>
      </c>
    </row>
    <row r="120" spans="1:32" x14ac:dyDescent="0.3">
      <c r="A120" s="48">
        <v>20180626</v>
      </c>
      <c r="B120" s="48" t="s">
        <v>88</v>
      </c>
      <c r="C120" s="79">
        <v>0.3</v>
      </c>
      <c r="D120" s="79">
        <f t="shared" si="21"/>
        <v>0.22759841999521627</v>
      </c>
      <c r="E120" s="49">
        <v>46650</v>
      </c>
      <c r="F120" s="49">
        <v>47000</v>
      </c>
      <c r="G120" s="49">
        <v>6419324700</v>
      </c>
      <c r="H120" s="49">
        <f t="shared" si="22"/>
        <v>0.30115081958914802</v>
      </c>
      <c r="I120" s="49">
        <f t="shared" si="30"/>
        <v>0.30115081958914802</v>
      </c>
      <c r="J120" s="48">
        <v>0.3</v>
      </c>
      <c r="K120" s="48">
        <f t="shared" si="23"/>
        <v>0.3290804732858667</v>
      </c>
      <c r="L120" s="48">
        <v>296000</v>
      </c>
      <c r="M120" s="48">
        <v>301000</v>
      </c>
      <c r="N120" s="51">
        <v>125395903</v>
      </c>
      <c r="O120" s="48">
        <f t="shared" si="24"/>
        <v>3.48060130385239</v>
      </c>
      <c r="P120" s="48">
        <f t="shared" si="31"/>
        <v>3.48060130385239</v>
      </c>
      <c r="Q120" s="49">
        <v>0.4</v>
      </c>
      <c r="R120" s="49">
        <f t="shared" si="25"/>
        <v>0.44332110671891706</v>
      </c>
      <c r="S120" s="49">
        <v>230900</v>
      </c>
      <c r="T120" s="49">
        <v>223800</v>
      </c>
      <c r="U120" s="49">
        <v>15956260</v>
      </c>
      <c r="V120" s="49">
        <f t="shared" si="26"/>
        <v>49.559764082832103</v>
      </c>
      <c r="W120" s="49">
        <f t="shared" si="32"/>
        <v>49.559764082832103</v>
      </c>
      <c r="X120" s="82">
        <f t="shared" si="27"/>
        <v>0</v>
      </c>
      <c r="Y120" s="82">
        <f t="shared" si="28"/>
        <v>328770311077329.94</v>
      </c>
      <c r="Z120" s="81">
        <f t="shared" si="33"/>
        <v>399210548336676.56</v>
      </c>
      <c r="AA120" s="80">
        <f t="shared" si="17"/>
        <v>1214.253644219044</v>
      </c>
      <c r="AB120" s="52">
        <f t="shared" si="29"/>
        <v>-6.8555946569878413E-3</v>
      </c>
      <c r="AC120" s="48">
        <f t="shared" si="18"/>
        <v>7.502679528403001E-3</v>
      </c>
      <c r="AD120" s="48">
        <f t="shared" si="19"/>
        <v>1.6891891891891893E-2</v>
      </c>
      <c r="AE120" s="48">
        <f t="shared" si="20"/>
        <v>-3.0749242096145518E-2</v>
      </c>
      <c r="AF120" s="48" t="e">
        <f>(#REF!-#REF!)/#REF!</f>
        <v>#REF!</v>
      </c>
    </row>
    <row r="121" spans="1:32" x14ac:dyDescent="0.3">
      <c r="A121" s="48">
        <v>20180627</v>
      </c>
      <c r="B121" s="48" t="s">
        <v>88</v>
      </c>
      <c r="C121" s="79">
        <v>0.3</v>
      </c>
      <c r="D121" s="79">
        <f t="shared" si="21"/>
        <v>0.22939319928311097</v>
      </c>
      <c r="E121" s="49">
        <v>47000</v>
      </c>
      <c r="F121" s="49">
        <v>47950</v>
      </c>
      <c r="G121" s="49">
        <v>6419324700</v>
      </c>
      <c r="H121" s="49">
        <f t="shared" si="22"/>
        <v>0.30115081958914802</v>
      </c>
      <c r="I121" s="49">
        <f t="shared" si="30"/>
        <v>0.30115081958914802</v>
      </c>
      <c r="J121" s="48">
        <v>0.3</v>
      </c>
      <c r="K121" s="48">
        <f t="shared" si="23"/>
        <v>0.32618433680985998</v>
      </c>
      <c r="L121" s="48">
        <v>301000</v>
      </c>
      <c r="M121" s="48">
        <v>302000</v>
      </c>
      <c r="N121" s="51">
        <v>125395903</v>
      </c>
      <c r="O121" s="48">
        <f t="shared" si="24"/>
        <v>3.48060130385239</v>
      </c>
      <c r="P121" s="48">
        <f t="shared" si="31"/>
        <v>3.48060130385239</v>
      </c>
      <c r="Q121" s="49">
        <v>0.4</v>
      </c>
      <c r="R121" s="49">
        <f t="shared" si="25"/>
        <v>0.44442246390702894</v>
      </c>
      <c r="S121" s="49">
        <v>223800</v>
      </c>
      <c r="T121" s="49">
        <v>227100</v>
      </c>
      <c r="U121" s="49">
        <v>15956260</v>
      </c>
      <c r="V121" s="49">
        <f t="shared" si="26"/>
        <v>49.559764082832103</v>
      </c>
      <c r="W121" s="49">
        <f t="shared" si="32"/>
        <v>49.559764082832103</v>
      </c>
      <c r="X121" s="82">
        <f t="shared" si="27"/>
        <v>0</v>
      </c>
      <c r="Y121" s="82">
        <f t="shared" si="28"/>
        <v>328770311077329.94</v>
      </c>
      <c r="Z121" s="81">
        <f t="shared" si="33"/>
        <v>404093129118145.62</v>
      </c>
      <c r="AA121" s="80">
        <f t="shared" si="17"/>
        <v>1229.1046834307951</v>
      </c>
      <c r="AB121" s="52">
        <f t="shared" si="29"/>
        <v>1.223059060391187E-2</v>
      </c>
      <c r="AC121" s="48">
        <f t="shared" si="18"/>
        <v>2.021276595744681E-2</v>
      </c>
      <c r="AD121" s="48">
        <f t="shared" si="19"/>
        <v>3.3222591362126247E-3</v>
      </c>
      <c r="AE121" s="48">
        <f t="shared" si="20"/>
        <v>1.4745308310991957E-2</v>
      </c>
      <c r="AF121" s="48" t="e">
        <f>(#REF!-#REF!)/#REF!</f>
        <v>#REF!</v>
      </c>
    </row>
    <row r="122" spans="1:32" x14ac:dyDescent="0.3">
      <c r="A122" s="48">
        <v>20180628</v>
      </c>
      <c r="B122" s="48" t="s">
        <v>88</v>
      </c>
      <c r="C122" s="79">
        <v>0.3</v>
      </c>
      <c r="D122" s="79">
        <f t="shared" si="21"/>
        <v>0.22588923183514667</v>
      </c>
      <c r="E122" s="49">
        <v>47950</v>
      </c>
      <c r="F122" s="49">
        <v>46800</v>
      </c>
      <c r="G122" s="49">
        <v>6419324700</v>
      </c>
      <c r="H122" s="49">
        <f t="shared" si="22"/>
        <v>0.30115081958914802</v>
      </c>
      <c r="I122" s="49">
        <f t="shared" si="30"/>
        <v>0.30115081958914802</v>
      </c>
      <c r="J122" s="48">
        <v>0.3</v>
      </c>
      <c r="K122" s="48">
        <f t="shared" si="23"/>
        <v>0.32473580217421072</v>
      </c>
      <c r="L122" s="48">
        <v>302000</v>
      </c>
      <c r="M122" s="48">
        <v>298000</v>
      </c>
      <c r="N122" s="51">
        <v>125395903</v>
      </c>
      <c r="O122" s="48">
        <f t="shared" si="24"/>
        <v>3.48060130385239</v>
      </c>
      <c r="P122" s="48">
        <f t="shared" si="31"/>
        <v>3.48060130385239</v>
      </c>
      <c r="Q122" s="49">
        <v>0.4</v>
      </c>
      <c r="R122" s="49">
        <f t="shared" si="25"/>
        <v>0.44937496599064253</v>
      </c>
      <c r="S122" s="49">
        <v>227100</v>
      </c>
      <c r="T122" s="49">
        <v>227600</v>
      </c>
      <c r="U122" s="49">
        <v>15956260</v>
      </c>
      <c r="V122" s="49">
        <f t="shared" si="26"/>
        <v>49.559764082832103</v>
      </c>
      <c r="W122" s="49">
        <f t="shared" si="32"/>
        <v>49.559764082832103</v>
      </c>
      <c r="X122" s="82">
        <f t="shared" si="27"/>
        <v>0</v>
      </c>
      <c r="Y122" s="82">
        <f t="shared" si="28"/>
        <v>328770311077329.94</v>
      </c>
      <c r="Z122" s="81">
        <f t="shared" si="33"/>
        <v>400519548156043.62</v>
      </c>
      <c r="AA122" s="80">
        <f t="shared" si="17"/>
        <v>1218.2351467308663</v>
      </c>
      <c r="AB122" s="52">
        <f t="shared" si="29"/>
        <v>-8.8434588578645418E-3</v>
      </c>
      <c r="AC122" s="48">
        <f t="shared" si="18"/>
        <v>-2.3983315954118872E-2</v>
      </c>
      <c r="AD122" s="48">
        <f t="shared" si="19"/>
        <v>-1.3245033112582781E-2</v>
      </c>
      <c r="AE122" s="48">
        <f t="shared" si="20"/>
        <v>2.2016732716864818E-3</v>
      </c>
      <c r="AF122" s="48" t="e">
        <f>(#REF!-#REF!)/#REF!</f>
        <v>#REF!</v>
      </c>
    </row>
    <row r="123" spans="1:32" x14ac:dyDescent="0.3">
      <c r="A123" s="48">
        <v>20180629</v>
      </c>
      <c r="B123" s="48" t="s">
        <v>88</v>
      </c>
      <c r="C123" s="79">
        <v>0.3</v>
      </c>
      <c r="D123" s="79">
        <f t="shared" si="21"/>
        <v>0.2205200403408249</v>
      </c>
      <c r="E123" s="49">
        <v>46800</v>
      </c>
      <c r="F123" s="49">
        <v>46650</v>
      </c>
      <c r="G123" s="49">
        <v>6419324700</v>
      </c>
      <c r="H123" s="49">
        <f t="shared" si="22"/>
        <v>0.30115081958914802</v>
      </c>
      <c r="I123" s="49">
        <f t="shared" si="30"/>
        <v>0.30115081958914802</v>
      </c>
      <c r="J123" s="48">
        <v>0.3</v>
      </c>
      <c r="K123" s="48">
        <f t="shared" si="23"/>
        <v>0.32390626135582523</v>
      </c>
      <c r="L123" s="48">
        <v>298000</v>
      </c>
      <c r="M123" s="48">
        <v>303500</v>
      </c>
      <c r="N123" s="51">
        <v>125395903</v>
      </c>
      <c r="O123" s="48">
        <f t="shared" si="24"/>
        <v>3.48060130385239</v>
      </c>
      <c r="P123" s="48">
        <f t="shared" si="31"/>
        <v>3.48060130385239</v>
      </c>
      <c r="Q123" s="49">
        <v>0.4</v>
      </c>
      <c r="R123" s="49">
        <f t="shared" si="25"/>
        <v>0.45557369830334971</v>
      </c>
      <c r="S123" s="49">
        <v>227600</v>
      </c>
      <c r="T123" s="49">
        <v>235600</v>
      </c>
      <c r="U123" s="49">
        <v>15956260</v>
      </c>
      <c r="V123" s="49">
        <f t="shared" si="26"/>
        <v>49.559764082832103</v>
      </c>
      <c r="W123" s="49">
        <f t="shared" si="32"/>
        <v>49.559764082832103</v>
      </c>
      <c r="X123" s="82">
        <f t="shared" si="27"/>
        <v>0</v>
      </c>
      <c r="Y123" s="82">
        <f t="shared" si="28"/>
        <v>328770311077329.94</v>
      </c>
      <c r="Z123" s="81">
        <f t="shared" si="33"/>
        <v>408956370560943.75</v>
      </c>
      <c r="AA123" s="80">
        <f t="shared" si="17"/>
        <v>1243.8968993911171</v>
      </c>
      <c r="AB123" s="52">
        <f t="shared" si="29"/>
        <v>2.1064695702725494E-2</v>
      </c>
      <c r="AC123" s="48">
        <f t="shared" si="18"/>
        <v>-3.205128205128205E-3</v>
      </c>
      <c r="AD123" s="48">
        <f t="shared" si="19"/>
        <v>1.8456375838926176E-2</v>
      </c>
      <c r="AE123" s="48">
        <f t="shared" si="20"/>
        <v>3.5149384885764502E-2</v>
      </c>
      <c r="AF123" s="48" t="e">
        <f>(#REF!-#REF!)/#REF!</f>
        <v>#REF!</v>
      </c>
    </row>
    <row r="124" spans="1:32" s="107" customFormat="1" x14ac:dyDescent="0.3">
      <c r="A124" s="99">
        <v>20180702</v>
      </c>
      <c r="B124" s="99" t="s">
        <v>89</v>
      </c>
      <c r="C124" s="100">
        <v>0.2</v>
      </c>
      <c r="D124" s="100">
        <f t="shared" si="21"/>
        <v>0.2012295980908691</v>
      </c>
      <c r="E124" s="99">
        <v>46650</v>
      </c>
      <c r="F124" s="99">
        <v>45550</v>
      </c>
      <c r="G124" s="99">
        <v>6419324700</v>
      </c>
      <c r="H124" s="99">
        <f t="shared" si="22"/>
        <v>0.30115081958914802</v>
      </c>
      <c r="I124" s="101">
        <f t="shared" si="30"/>
        <v>0.227928098803895</v>
      </c>
      <c r="J124" s="101">
        <v>0.3</v>
      </c>
      <c r="K124" s="101">
        <f t="shared" si="23"/>
        <v>0.30913372396067074</v>
      </c>
      <c r="L124" s="99">
        <v>303500</v>
      </c>
      <c r="M124" s="99">
        <v>303500</v>
      </c>
      <c r="N124" s="102">
        <v>125395903</v>
      </c>
      <c r="O124" s="99">
        <f t="shared" si="24"/>
        <v>3.48060130385239</v>
      </c>
      <c r="P124" s="101">
        <f t="shared" si="31"/>
        <v>2.6902217281479599</v>
      </c>
      <c r="Q124" s="101">
        <v>0.5</v>
      </c>
      <c r="R124" s="101">
        <f t="shared" si="25"/>
        <v>0.48963667794846005</v>
      </c>
      <c r="S124" s="99">
        <v>235600</v>
      </c>
      <c r="T124" s="99">
        <v>223900</v>
      </c>
      <c r="U124" s="99">
        <v>15956260</v>
      </c>
      <c r="V124" s="99">
        <f t="shared" si="26"/>
        <v>49.559764082832103</v>
      </c>
      <c r="W124" s="101">
        <f t="shared" si="32"/>
        <v>45.391285034054299</v>
      </c>
      <c r="X124" s="103">
        <f t="shared" si="27"/>
        <v>0</v>
      </c>
      <c r="Y124" s="103">
        <f t="shared" si="28"/>
        <v>274362327648340.06</v>
      </c>
      <c r="Z124" s="104">
        <f t="shared" si="33"/>
        <v>331194970544448</v>
      </c>
      <c r="AA124" s="105">
        <f t="shared" si="17"/>
        <v>1207.1444843876393</v>
      </c>
      <c r="AB124" s="106">
        <f t="shared" si="29"/>
        <v>-2.9546190702354837E-2</v>
      </c>
      <c r="AC124" s="99">
        <f t="shared" si="18"/>
        <v>-2.3579849946409433E-2</v>
      </c>
      <c r="AD124" s="99">
        <f t="shared" si="19"/>
        <v>0</v>
      </c>
      <c r="AE124" s="99">
        <f t="shared" si="20"/>
        <v>-4.9660441426146007E-2</v>
      </c>
      <c r="AF124" s="99" t="e">
        <f>(#REF!-#REF!)/#REF!</f>
        <v>#REF!</v>
      </c>
    </row>
    <row r="125" spans="1:32" s="73" customFormat="1" x14ac:dyDescent="0.3">
      <c r="A125" s="48">
        <v>20180703</v>
      </c>
      <c r="B125" s="48" t="s">
        <v>88</v>
      </c>
      <c r="C125" s="79">
        <v>0.2</v>
      </c>
      <c r="D125" s="79">
        <f t="shared" si="21"/>
        <v>0.20429163221956675</v>
      </c>
      <c r="E125" s="49">
        <v>45550</v>
      </c>
      <c r="F125" s="49">
        <v>46150</v>
      </c>
      <c r="G125" s="49">
        <v>6419324700</v>
      </c>
      <c r="H125" s="49">
        <f t="shared" si="22"/>
        <v>0.227928098803895</v>
      </c>
      <c r="I125" s="49">
        <f t="shared" si="30"/>
        <v>0.227928098803895</v>
      </c>
      <c r="J125" s="48">
        <v>0.3</v>
      </c>
      <c r="K125" s="48">
        <f t="shared" si="23"/>
        <v>0.30924715518395485</v>
      </c>
      <c r="L125" s="48">
        <v>303500</v>
      </c>
      <c r="M125" s="48">
        <v>303000</v>
      </c>
      <c r="N125" s="51">
        <v>125395903</v>
      </c>
      <c r="O125" s="48">
        <f t="shared" si="24"/>
        <v>2.6902217281479599</v>
      </c>
      <c r="P125" s="48">
        <f t="shared" si="31"/>
        <v>2.6902217281479599</v>
      </c>
      <c r="Q125" s="49">
        <v>0.5</v>
      </c>
      <c r="R125" s="49">
        <f t="shared" si="25"/>
        <v>0.4864612125964784</v>
      </c>
      <c r="S125" s="49">
        <v>223900</v>
      </c>
      <c r="T125" s="49">
        <v>222000</v>
      </c>
      <c r="U125" s="49">
        <v>15956260</v>
      </c>
      <c r="V125" s="49">
        <f t="shared" si="26"/>
        <v>45.391285034054299</v>
      </c>
      <c r="W125" s="49">
        <f t="shared" si="32"/>
        <v>45.391285034054299</v>
      </c>
      <c r="X125" s="82">
        <f t="shared" si="27"/>
        <v>0</v>
      </c>
      <c r="Y125" s="82">
        <f t="shared" si="28"/>
        <v>274362327648340.06</v>
      </c>
      <c r="Z125" s="81">
        <f t="shared" si="33"/>
        <v>330528063060796.62</v>
      </c>
      <c r="AA125" s="80">
        <f t="shared" si="17"/>
        <v>1204.7137298107712</v>
      </c>
      <c r="AB125" s="52">
        <f t="shared" si="29"/>
        <v>-2.0136401303289006E-3</v>
      </c>
      <c r="AC125" s="48">
        <f t="shared" si="18"/>
        <v>1.3172338090010977E-2</v>
      </c>
      <c r="AD125" s="48">
        <f t="shared" si="19"/>
        <v>-1.6474464579901153E-3</v>
      </c>
      <c r="AE125" s="48">
        <f t="shared" si="20"/>
        <v>-8.4859312192943279E-3</v>
      </c>
      <c r="AF125" s="48" t="e">
        <f>(#REF!-#REF!)/#REF!</f>
        <v>#REF!</v>
      </c>
    </row>
    <row r="126" spans="1:32" x14ac:dyDescent="0.3">
      <c r="A126" s="48">
        <v>20180704</v>
      </c>
      <c r="B126" s="48" t="s">
        <v>88</v>
      </c>
      <c r="C126" s="79">
        <v>0.2</v>
      </c>
      <c r="D126" s="79">
        <f t="shared" si="21"/>
        <v>0.21009975890884738</v>
      </c>
      <c r="E126" s="49">
        <v>46150</v>
      </c>
      <c r="F126" s="49">
        <v>46250</v>
      </c>
      <c r="G126" s="49">
        <v>6419324700</v>
      </c>
      <c r="H126" s="49">
        <f t="shared" si="22"/>
        <v>0.227928098803895</v>
      </c>
      <c r="I126" s="49">
        <f t="shared" si="30"/>
        <v>0.227928098803895</v>
      </c>
      <c r="J126" s="48">
        <v>0.3</v>
      </c>
      <c r="K126" s="48">
        <f t="shared" si="23"/>
        <v>0.30530687767341225</v>
      </c>
      <c r="L126" s="48">
        <v>303000</v>
      </c>
      <c r="M126" s="48">
        <v>291500</v>
      </c>
      <c r="N126" s="51">
        <v>125395903</v>
      </c>
      <c r="O126" s="48">
        <f t="shared" si="24"/>
        <v>2.6902217281479599</v>
      </c>
      <c r="P126" s="48">
        <f t="shared" si="31"/>
        <v>2.6902217281479599</v>
      </c>
      <c r="Q126" s="49">
        <v>0.5</v>
      </c>
      <c r="R126" s="49">
        <f t="shared" si="25"/>
        <v>0.4845933634177404</v>
      </c>
      <c r="S126" s="49">
        <v>222000</v>
      </c>
      <c r="T126" s="49">
        <v>215500</v>
      </c>
      <c r="U126" s="49">
        <v>15956260</v>
      </c>
      <c r="V126" s="49">
        <f t="shared" si="26"/>
        <v>45.391285034054299</v>
      </c>
      <c r="W126" s="49">
        <f t="shared" si="32"/>
        <v>45.391285034054299</v>
      </c>
      <c r="X126" s="82">
        <f t="shared" si="27"/>
        <v>0</v>
      </c>
      <c r="Y126" s="82">
        <f t="shared" si="28"/>
        <v>274362327648340.06</v>
      </c>
      <c r="Z126" s="81">
        <f t="shared" si="33"/>
        <v>322087147057930.25</v>
      </c>
      <c r="AA126" s="80">
        <f t="shared" si="17"/>
        <v>1173.9481503115135</v>
      </c>
      <c r="AB126" s="52">
        <f t="shared" si="29"/>
        <v>-2.5537668192832954E-2</v>
      </c>
      <c r="AC126" s="48">
        <f t="shared" si="18"/>
        <v>2.1668472372697724E-3</v>
      </c>
      <c r="AD126" s="48">
        <f t="shared" si="19"/>
        <v>-3.7953795379537955E-2</v>
      </c>
      <c r="AE126" s="48">
        <f t="shared" si="20"/>
        <v>-2.9279279279279279E-2</v>
      </c>
      <c r="AF126" s="48" t="e">
        <f>(#REF!-#REF!)/#REF!</f>
        <v>#REF!</v>
      </c>
    </row>
    <row r="127" spans="1:32" x14ac:dyDescent="0.3">
      <c r="A127" s="48">
        <v>20180705</v>
      </c>
      <c r="B127" s="48" t="s">
        <v>88</v>
      </c>
      <c r="C127" s="79">
        <v>0.2</v>
      </c>
      <c r="D127" s="79">
        <f t="shared" si="21"/>
        <v>0.21419452827874183</v>
      </c>
      <c r="E127" s="49">
        <v>46250</v>
      </c>
      <c r="F127" s="49">
        <v>45950</v>
      </c>
      <c r="G127" s="49">
        <v>6419324700</v>
      </c>
      <c r="H127" s="49">
        <f t="shared" si="22"/>
        <v>0.227928098803895</v>
      </c>
      <c r="I127" s="49">
        <f t="shared" si="30"/>
        <v>0.227928098803895</v>
      </c>
      <c r="J127" s="48">
        <v>0.3</v>
      </c>
      <c r="K127" s="48">
        <f t="shared" si="23"/>
        <v>0.30307923100985379</v>
      </c>
      <c r="L127" s="48">
        <v>291500</v>
      </c>
      <c r="M127" s="48">
        <v>282000</v>
      </c>
      <c r="N127" s="51">
        <v>125395903</v>
      </c>
      <c r="O127" s="48">
        <f t="shared" si="24"/>
        <v>2.6902217281479599</v>
      </c>
      <c r="P127" s="48">
        <f t="shared" si="31"/>
        <v>2.6902217281479599</v>
      </c>
      <c r="Q127" s="49">
        <v>0.5</v>
      </c>
      <c r="R127" s="49">
        <f t="shared" si="25"/>
        <v>0.4827262407114043</v>
      </c>
      <c r="S127" s="49">
        <v>215500</v>
      </c>
      <c r="T127" s="49">
        <v>209200</v>
      </c>
      <c r="U127" s="49">
        <v>15956260</v>
      </c>
      <c r="V127" s="49">
        <f t="shared" si="26"/>
        <v>45.391285034054299</v>
      </c>
      <c r="W127" s="49">
        <f t="shared" si="32"/>
        <v>45.391285034054299</v>
      </c>
      <c r="X127" s="82">
        <f t="shared" si="27"/>
        <v>0</v>
      </c>
      <c r="Y127" s="82">
        <f t="shared" si="28"/>
        <v>274362327648340.06</v>
      </c>
      <c r="Z127" s="81">
        <f t="shared" si="33"/>
        <v>313880513860163.69</v>
      </c>
      <c r="AA127" s="80">
        <f t="shared" si="17"/>
        <v>1144.0364883566504</v>
      </c>
      <c r="AB127" s="52">
        <f t="shared" si="29"/>
        <v>-2.54795426415774E-2</v>
      </c>
      <c r="AC127" s="48">
        <f t="shared" si="18"/>
        <v>-6.4864864864864862E-3</v>
      </c>
      <c r="AD127" s="48">
        <f t="shared" si="19"/>
        <v>-3.2590051457975985E-2</v>
      </c>
      <c r="AE127" s="48">
        <f t="shared" si="20"/>
        <v>-2.923433874709977E-2</v>
      </c>
      <c r="AF127" s="48" t="e">
        <f>(#REF!-#REF!)/#REF!</f>
        <v>#REF!</v>
      </c>
    </row>
    <row r="128" spans="1:32" x14ac:dyDescent="0.3">
      <c r="A128" s="48">
        <v>20180706</v>
      </c>
      <c r="B128" s="48" t="s">
        <v>88</v>
      </c>
      <c r="C128" s="79">
        <v>0.2</v>
      </c>
      <c r="D128" s="79">
        <f t="shared" si="21"/>
        <v>0.20491576715976725</v>
      </c>
      <c r="E128" s="49">
        <v>45950</v>
      </c>
      <c r="F128" s="49">
        <v>44900</v>
      </c>
      <c r="G128" s="49">
        <v>6419324700</v>
      </c>
      <c r="H128" s="49">
        <f t="shared" si="22"/>
        <v>0.227928098803895</v>
      </c>
      <c r="I128" s="49">
        <f t="shared" si="30"/>
        <v>0.227928098803895</v>
      </c>
      <c r="J128" s="48">
        <v>0.3</v>
      </c>
      <c r="K128" s="48">
        <f t="shared" si="23"/>
        <v>0.30462238572466438</v>
      </c>
      <c r="L128" s="48">
        <v>282000</v>
      </c>
      <c r="M128" s="48">
        <v>289500</v>
      </c>
      <c r="N128" s="51">
        <v>125395903</v>
      </c>
      <c r="O128" s="48">
        <f t="shared" si="24"/>
        <v>2.6902217281479599</v>
      </c>
      <c r="P128" s="48">
        <f t="shared" si="31"/>
        <v>2.6902217281479599</v>
      </c>
      <c r="Q128" s="49">
        <v>0.5</v>
      </c>
      <c r="R128" s="49">
        <f t="shared" si="25"/>
        <v>0.49046184711556823</v>
      </c>
      <c r="S128" s="49">
        <v>209200</v>
      </c>
      <c r="T128" s="49">
        <v>217100</v>
      </c>
      <c r="U128" s="49">
        <v>15956260</v>
      </c>
      <c r="V128" s="49">
        <f t="shared" si="26"/>
        <v>45.391285034054299</v>
      </c>
      <c r="W128" s="49">
        <f t="shared" si="32"/>
        <v>45.391285034054299</v>
      </c>
      <c r="X128" s="82">
        <f t="shared" si="27"/>
        <v>0</v>
      </c>
      <c r="Y128" s="82">
        <f t="shared" si="28"/>
        <v>274362327648340.06</v>
      </c>
      <c r="Z128" s="81">
        <f t="shared" si="33"/>
        <v>320596056684825.12</v>
      </c>
      <c r="AA128" s="80">
        <f t="shared" si="17"/>
        <v>1168.5134013578734</v>
      </c>
      <c r="AB128" s="52">
        <f t="shared" si="29"/>
        <v>2.139522056362279E-2</v>
      </c>
      <c r="AC128" s="48">
        <f t="shared" si="18"/>
        <v>-2.2850924918389554E-2</v>
      </c>
      <c r="AD128" s="48">
        <f t="shared" si="19"/>
        <v>2.6595744680851064E-2</v>
      </c>
      <c r="AE128" s="48">
        <f t="shared" si="20"/>
        <v>3.7762906309751432E-2</v>
      </c>
      <c r="AF128" s="48" t="e">
        <f>(#REF!-#REF!)/#REF!</f>
        <v>#REF!</v>
      </c>
    </row>
    <row r="129" spans="1:32" x14ac:dyDescent="0.3">
      <c r="A129" s="48">
        <v>20180709</v>
      </c>
      <c r="B129" s="48" t="s">
        <v>88</v>
      </c>
      <c r="C129" s="79">
        <v>0.2</v>
      </c>
      <c r="D129" s="79">
        <f t="shared" si="21"/>
        <v>0.20330958618333578</v>
      </c>
      <c r="E129" s="49">
        <v>44900</v>
      </c>
      <c r="F129" s="49">
        <v>45600</v>
      </c>
      <c r="G129" s="49">
        <v>6419324700</v>
      </c>
      <c r="H129" s="49">
        <f t="shared" si="22"/>
        <v>0.227928098803895</v>
      </c>
      <c r="I129" s="49">
        <f t="shared" si="30"/>
        <v>0.227928098803895</v>
      </c>
      <c r="J129" s="48">
        <v>0.3</v>
      </c>
      <c r="K129" s="48">
        <f t="shared" si="23"/>
        <v>0.29194131877097673</v>
      </c>
      <c r="L129" s="48">
        <v>289500</v>
      </c>
      <c r="M129" s="48">
        <v>284000</v>
      </c>
      <c r="N129" s="51">
        <v>125395903</v>
      </c>
      <c r="O129" s="48">
        <f t="shared" si="24"/>
        <v>2.6902217281479599</v>
      </c>
      <c r="P129" s="48">
        <f t="shared" si="31"/>
        <v>2.6902217281479599</v>
      </c>
      <c r="Q129" s="49">
        <v>0.5</v>
      </c>
      <c r="R129" s="49">
        <f t="shared" si="25"/>
        <v>0.50474909504568755</v>
      </c>
      <c r="S129" s="49">
        <v>217100</v>
      </c>
      <c r="T129" s="49">
        <v>228700</v>
      </c>
      <c r="U129" s="49">
        <v>15956260</v>
      </c>
      <c r="V129" s="49">
        <f t="shared" si="26"/>
        <v>45.391285034054299</v>
      </c>
      <c r="W129" s="49">
        <f t="shared" si="32"/>
        <v>45.391285034054299</v>
      </c>
      <c r="X129" s="82">
        <f t="shared" si="27"/>
        <v>0</v>
      </c>
      <c r="Y129" s="82">
        <f t="shared" si="28"/>
        <v>274362327648340.06</v>
      </c>
      <c r="Z129" s="81">
        <f t="shared" si="33"/>
        <v>328166464201720.62</v>
      </c>
      <c r="AA129" s="80">
        <f t="shared" si="17"/>
        <v>1196.1061382390051</v>
      </c>
      <c r="AB129" s="52">
        <f t="shared" si="29"/>
        <v>2.3613539090837569E-2</v>
      </c>
      <c r="AC129" s="48">
        <f t="shared" si="18"/>
        <v>1.5590200445434299E-2</v>
      </c>
      <c r="AD129" s="48">
        <f t="shared" si="19"/>
        <v>-1.8998272884283247E-2</v>
      </c>
      <c r="AE129" s="48">
        <f t="shared" si="20"/>
        <v>5.3431598341777985E-2</v>
      </c>
      <c r="AF129" s="48" t="e">
        <f>(#REF!-#REF!)/#REF!</f>
        <v>#REF!</v>
      </c>
    </row>
    <row r="130" spans="1:32" x14ac:dyDescent="0.3">
      <c r="A130" s="48">
        <v>20180710</v>
      </c>
      <c r="B130" s="48" t="s">
        <v>88</v>
      </c>
      <c r="C130" s="79">
        <v>0.2</v>
      </c>
      <c r="D130" s="79">
        <f t="shared" si="21"/>
        <v>0.20538040005676719</v>
      </c>
      <c r="E130" s="49">
        <v>45600</v>
      </c>
      <c r="F130" s="49">
        <v>46300</v>
      </c>
      <c r="G130" s="49">
        <v>6419324700</v>
      </c>
      <c r="H130" s="49">
        <f t="shared" si="22"/>
        <v>0.227928098803895</v>
      </c>
      <c r="I130" s="49">
        <f t="shared" si="30"/>
        <v>0.227928098803895</v>
      </c>
      <c r="J130" s="48">
        <v>0.3</v>
      </c>
      <c r="K130" s="48">
        <f t="shared" si="23"/>
        <v>0.28738793783157673</v>
      </c>
      <c r="L130" s="48">
        <v>284000</v>
      </c>
      <c r="M130" s="48">
        <v>281000</v>
      </c>
      <c r="N130" s="51">
        <v>125395903</v>
      </c>
      <c r="O130" s="48">
        <f t="shared" si="24"/>
        <v>2.6902217281479599</v>
      </c>
      <c r="P130" s="48">
        <f t="shared" si="31"/>
        <v>2.6902217281479599</v>
      </c>
      <c r="Q130" s="49">
        <v>0.5</v>
      </c>
      <c r="R130" s="49">
        <f t="shared" si="25"/>
        <v>0.50723166211165605</v>
      </c>
      <c r="S130" s="49">
        <v>228700</v>
      </c>
      <c r="T130" s="49">
        <v>231000</v>
      </c>
      <c r="U130" s="49">
        <v>15956260</v>
      </c>
      <c r="V130" s="49">
        <f t="shared" si="26"/>
        <v>45.391285034054299</v>
      </c>
      <c r="W130" s="49">
        <f t="shared" si="32"/>
        <v>45.391285034054299</v>
      </c>
      <c r="X130" s="82">
        <f t="shared" si="27"/>
        <v>0</v>
      </c>
      <c r="Y130" s="82">
        <f t="shared" si="28"/>
        <v>274362327648340.06</v>
      </c>
      <c r="Z130" s="81">
        <f t="shared" si="33"/>
        <v>329844469820436</v>
      </c>
      <c r="AA130" s="80">
        <f t="shared" si="17"/>
        <v>1202.2221587331383</v>
      </c>
      <c r="AB130" s="52">
        <f t="shared" si="29"/>
        <v>5.1132757358286233E-3</v>
      </c>
      <c r="AC130" s="48">
        <f t="shared" si="18"/>
        <v>1.5350877192982455E-2</v>
      </c>
      <c r="AD130" s="48">
        <f t="shared" si="19"/>
        <v>-1.0563380281690141E-2</v>
      </c>
      <c r="AE130" s="48">
        <f t="shared" si="20"/>
        <v>1.0056843025797988E-2</v>
      </c>
      <c r="AF130" s="48" t="e">
        <f>(#REF!-#REF!)/#REF!</f>
        <v>#REF!</v>
      </c>
    </row>
    <row r="131" spans="1:32" x14ac:dyDescent="0.3">
      <c r="A131" s="48">
        <v>20180711</v>
      </c>
      <c r="B131" s="48" t="s">
        <v>88</v>
      </c>
      <c r="C131" s="79">
        <v>0.2</v>
      </c>
      <c r="D131" s="79">
        <f t="shared" si="21"/>
        <v>0.20709734585839856</v>
      </c>
      <c r="E131" s="49">
        <v>46300</v>
      </c>
      <c r="F131" s="49">
        <v>46000</v>
      </c>
      <c r="G131" s="49">
        <v>6419324700</v>
      </c>
      <c r="H131" s="49">
        <f t="shared" si="22"/>
        <v>0.227928098803895</v>
      </c>
      <c r="I131" s="49">
        <f t="shared" si="30"/>
        <v>0.227928098803895</v>
      </c>
      <c r="J131" s="48">
        <v>0.3</v>
      </c>
      <c r="K131" s="48">
        <f t="shared" si="23"/>
        <v>0.28700935238779846</v>
      </c>
      <c r="L131" s="48">
        <v>281000</v>
      </c>
      <c r="M131" s="48">
        <v>276500</v>
      </c>
      <c r="N131" s="51">
        <v>125395903</v>
      </c>
      <c r="O131" s="48">
        <f t="shared" si="24"/>
        <v>2.6902217281479599</v>
      </c>
      <c r="P131" s="48">
        <f t="shared" si="31"/>
        <v>2.6902217281479599</v>
      </c>
      <c r="Q131" s="49">
        <v>0.5</v>
      </c>
      <c r="R131" s="49">
        <f t="shared" si="25"/>
        <v>0.50589330175380309</v>
      </c>
      <c r="S131" s="49">
        <v>231000</v>
      </c>
      <c r="T131" s="49">
        <v>227000</v>
      </c>
      <c r="U131" s="49">
        <v>15956260</v>
      </c>
      <c r="V131" s="49">
        <f t="shared" si="26"/>
        <v>45.391285034054299</v>
      </c>
      <c r="W131" s="49">
        <f t="shared" si="32"/>
        <v>45.391285034054299</v>
      </c>
      <c r="X131" s="82">
        <f t="shared" si="27"/>
        <v>0</v>
      </c>
      <c r="Y131" s="82">
        <f t="shared" si="28"/>
        <v>274362327648340.06</v>
      </c>
      <c r="Z131" s="81">
        <f t="shared" si="33"/>
        <v>324990383372222.25</v>
      </c>
      <c r="AA131" s="80">
        <f t="shared" ref="AA131:AA194" si="34">Z131/Y131*1000</f>
        <v>1184.5299103482382</v>
      </c>
      <c r="AB131" s="52">
        <f t="shared" si="29"/>
        <v>-1.4716288712847834E-2</v>
      </c>
      <c r="AC131" s="48">
        <f t="shared" ref="AC131:AC194" si="35">(F131-E131)/E131</f>
        <v>-6.4794816414686825E-3</v>
      </c>
      <c r="AD131" s="48">
        <f t="shared" ref="AD131:AD194" si="36">(M131-L131)/L131</f>
        <v>-1.601423487544484E-2</v>
      </c>
      <c r="AE131" s="48">
        <f t="shared" ref="AE131:AE194" si="37">(T131-S131)/S131</f>
        <v>-1.7316017316017316E-2</v>
      </c>
      <c r="AF131" s="48" t="e">
        <f>(#REF!-#REF!)/#REF!</f>
        <v>#REF!</v>
      </c>
    </row>
    <row r="132" spans="1:32" x14ac:dyDescent="0.3">
      <c r="A132" s="48">
        <v>20180712</v>
      </c>
      <c r="B132" s="48" t="s">
        <v>88</v>
      </c>
      <c r="C132" s="79">
        <v>0.2</v>
      </c>
      <c r="D132" s="79">
        <f t="shared" ref="D132:D195" si="38">F132*G132*I132/Z132</f>
        <v>0.20234522677973152</v>
      </c>
      <c r="E132" s="49">
        <v>46000</v>
      </c>
      <c r="F132" s="49">
        <v>45500</v>
      </c>
      <c r="G132" s="49">
        <v>6419324700</v>
      </c>
      <c r="H132" s="49">
        <f t="shared" ref="H132:H195" si="39">I131</f>
        <v>0.227928098803895</v>
      </c>
      <c r="I132" s="49">
        <f t="shared" si="30"/>
        <v>0.227928098803895</v>
      </c>
      <c r="J132" s="48">
        <v>0.3</v>
      </c>
      <c r="K132" s="48">
        <f t="shared" ref="K132:K195" si="40">M132*N132*P132/Z132</f>
        <v>0.2952964778135358</v>
      </c>
      <c r="L132" s="48">
        <v>276500</v>
      </c>
      <c r="M132" s="48">
        <v>288000</v>
      </c>
      <c r="N132" s="51">
        <v>125395903</v>
      </c>
      <c r="O132" s="48">
        <f t="shared" ref="O132:O195" si="41">P131</f>
        <v>2.6902217281479599</v>
      </c>
      <c r="P132" s="48">
        <f t="shared" si="31"/>
        <v>2.6902217281479599</v>
      </c>
      <c r="Q132" s="49">
        <v>0.5</v>
      </c>
      <c r="R132" s="49">
        <f t="shared" ref="R132:R195" si="42">T132*U132*W132/Z132</f>
        <v>0.50235829540673271</v>
      </c>
      <c r="S132" s="49">
        <v>227000</v>
      </c>
      <c r="T132" s="49">
        <v>228200</v>
      </c>
      <c r="U132" s="49">
        <v>15956260</v>
      </c>
      <c r="V132" s="49">
        <f t="shared" ref="V132:V195" si="43">W131</f>
        <v>45.391285034054299</v>
      </c>
      <c r="W132" s="49">
        <f t="shared" si="32"/>
        <v>45.391285034054299</v>
      </c>
      <c r="X132" s="82">
        <f t="shared" ref="X132:X195" si="44">IF(Z131&lt;&gt;(E132*G132*H132+L132*N132*O132+S132*U132*V132),1,0)</f>
        <v>0</v>
      </c>
      <c r="Y132" s="82">
        <f t="shared" ref="Y132:Y195" si="45">IF(AND(X132=0,B132="N"),Y131,Y131*(E132*G132*I132+L132*N132*P132+S132*U132*W132)/Z131)</f>
        <v>274362327648340.06</v>
      </c>
      <c r="Z132" s="81">
        <f t="shared" si="33"/>
        <v>329007383312889.62</v>
      </c>
      <c r="AA132" s="80">
        <f t="shared" si="34"/>
        <v>1199.1711330521662</v>
      </c>
      <c r="AB132" s="52">
        <f t="shared" ref="AB132:AB195" si="46">(AA132-AA131)/AA131</f>
        <v>1.2360365556006602E-2</v>
      </c>
      <c r="AC132" s="48">
        <f t="shared" si="35"/>
        <v>-1.0869565217391304E-2</v>
      </c>
      <c r="AD132" s="48">
        <f t="shared" si="36"/>
        <v>4.1591320072332731E-2</v>
      </c>
      <c r="AE132" s="48">
        <f t="shared" si="37"/>
        <v>5.2863436123348016E-3</v>
      </c>
      <c r="AF132" s="48" t="e">
        <f>(#REF!-#REF!)/#REF!</f>
        <v>#REF!</v>
      </c>
    </row>
    <row r="133" spans="1:32" x14ac:dyDescent="0.3">
      <c r="A133" s="48">
        <v>20180713</v>
      </c>
      <c r="B133" s="48" t="s">
        <v>88</v>
      </c>
      <c r="C133" s="79">
        <v>0.2</v>
      </c>
      <c r="D133" s="79">
        <f t="shared" si="38"/>
        <v>0.20263484857413167</v>
      </c>
      <c r="E133" s="49">
        <v>45500</v>
      </c>
      <c r="F133" s="49">
        <v>46500</v>
      </c>
      <c r="G133" s="49">
        <v>6419324700</v>
      </c>
      <c r="H133" s="49">
        <f t="shared" si="39"/>
        <v>0.227928098803895</v>
      </c>
      <c r="I133" s="49">
        <f t="shared" ref="I133:I196" si="47">IF(B133="Y",ROUND(C133*(E133*G133+L133*N133+S133*U133)/(E133*G133),17),IF(X133=0,H133,ROUND(F132*G132*I132/Z132*(E133*G133+L133*N133+S133*U133)/(E133*G133),17)))</f>
        <v>0.227928098803895</v>
      </c>
      <c r="J133" s="48">
        <v>0.3</v>
      </c>
      <c r="K133" s="48">
        <f t="shared" si="40"/>
        <v>0.28935959159942293</v>
      </c>
      <c r="L133" s="48">
        <v>288000</v>
      </c>
      <c r="M133" s="48">
        <v>288000</v>
      </c>
      <c r="N133" s="51">
        <v>125395903</v>
      </c>
      <c r="O133" s="48">
        <f t="shared" si="41"/>
        <v>2.6902217281479599</v>
      </c>
      <c r="P133" s="48">
        <f t="shared" ref="P133:P196" si="48">IF(B133="Y",ROUND(J133*(E133*G133+L133*N133+S133*U133)/(L133*N133),17),IF(X133=0,O133,ROUND(M132*N132*P132/Z132*(E133*G133+L133*N133+S133*U133)/(L133*N133),17)))</f>
        <v>2.6902217281479599</v>
      </c>
      <c r="Q133" s="49">
        <v>0.5</v>
      </c>
      <c r="R133" s="49">
        <f t="shared" si="42"/>
        <v>0.50800555982644546</v>
      </c>
      <c r="S133" s="49">
        <v>228200</v>
      </c>
      <c r="T133" s="49">
        <v>235500</v>
      </c>
      <c r="U133" s="49">
        <v>15956260</v>
      </c>
      <c r="V133" s="49">
        <f t="shared" si="43"/>
        <v>45.391285034054299</v>
      </c>
      <c r="W133" s="49">
        <f t="shared" ref="W133:W196" si="49">IF(B133="Y",ROUND(Q133*(E133*G133+L133*N133+S133*U133)/(S133*U133),17),IF(X133=0,V133,ROUND(T132*U132*W132/Z132*(E133*G133+L133*N133+S133*U133)/(S133*U133),17)))</f>
        <v>45.391285034054299</v>
      </c>
      <c r="X133" s="82">
        <f t="shared" si="44"/>
        <v>0</v>
      </c>
      <c r="Y133" s="82">
        <f t="shared" si="45"/>
        <v>274362327648340.06</v>
      </c>
      <c r="Z133" s="81">
        <f t="shared" ref="Z133:Z196" si="50">F133*G133*I133+M133*N133*P133+T133*U133*W133</f>
        <v>335757736351249.12</v>
      </c>
      <c r="AA133" s="80">
        <f t="shared" si="34"/>
        <v>1223.7749228516598</v>
      </c>
      <c r="AB133" s="52">
        <f t="shared" si="46"/>
        <v>2.051732994678691E-2</v>
      </c>
      <c r="AC133" s="48">
        <f t="shared" si="35"/>
        <v>2.197802197802198E-2</v>
      </c>
      <c r="AD133" s="48">
        <f t="shared" si="36"/>
        <v>0</v>
      </c>
      <c r="AE133" s="48">
        <f t="shared" si="37"/>
        <v>3.1989482909728306E-2</v>
      </c>
      <c r="AF133" s="48" t="e">
        <f>(#REF!-#REF!)/#REF!</f>
        <v>#REF!</v>
      </c>
    </row>
    <row r="134" spans="1:32" x14ac:dyDescent="0.3">
      <c r="A134" s="48">
        <v>20180716</v>
      </c>
      <c r="B134" s="48" t="s">
        <v>88</v>
      </c>
      <c r="C134" s="79">
        <v>0.2</v>
      </c>
      <c r="D134" s="79">
        <f t="shared" si="38"/>
        <v>0.19600080293417926</v>
      </c>
      <c r="E134" s="49">
        <v>46500</v>
      </c>
      <c r="F134" s="49">
        <v>46050</v>
      </c>
      <c r="G134" s="49">
        <v>6419324700</v>
      </c>
      <c r="H134" s="49">
        <f t="shared" si="39"/>
        <v>0.227928098803895</v>
      </c>
      <c r="I134" s="49">
        <f t="shared" si="47"/>
        <v>0.227928098803895</v>
      </c>
      <c r="J134" s="48">
        <v>0.3</v>
      </c>
      <c r="K134" s="48">
        <f t="shared" si="40"/>
        <v>0.28801859882200809</v>
      </c>
      <c r="L134" s="48">
        <v>288000</v>
      </c>
      <c r="M134" s="48">
        <v>293500</v>
      </c>
      <c r="N134" s="51">
        <v>125395903</v>
      </c>
      <c r="O134" s="48">
        <f t="shared" si="41"/>
        <v>2.6902217281479599</v>
      </c>
      <c r="P134" s="48">
        <f t="shared" si="48"/>
        <v>2.6902217281479599</v>
      </c>
      <c r="Q134" s="49">
        <v>0.5</v>
      </c>
      <c r="R134" s="49">
        <f t="shared" si="42"/>
        <v>0.51598059824381259</v>
      </c>
      <c r="S134" s="49">
        <v>235500</v>
      </c>
      <c r="T134" s="49">
        <v>244900</v>
      </c>
      <c r="U134" s="49">
        <v>15956260</v>
      </c>
      <c r="V134" s="49">
        <f t="shared" si="43"/>
        <v>45.391285034054299</v>
      </c>
      <c r="W134" s="49">
        <f t="shared" si="49"/>
        <v>45.391285034054299</v>
      </c>
      <c r="X134" s="82">
        <f t="shared" si="44"/>
        <v>0</v>
      </c>
      <c r="Y134" s="82">
        <f t="shared" si="45"/>
        <v>274362327648340.06</v>
      </c>
      <c r="Z134" s="81">
        <f t="shared" si="50"/>
        <v>343762893013459.62</v>
      </c>
      <c r="AA134" s="80">
        <f t="shared" si="34"/>
        <v>1252.9522400541546</v>
      </c>
      <c r="AB134" s="52">
        <f t="shared" si="46"/>
        <v>2.384206168770427E-2</v>
      </c>
      <c r="AC134" s="48">
        <f t="shared" si="35"/>
        <v>-9.6774193548387101E-3</v>
      </c>
      <c r="AD134" s="48">
        <f t="shared" si="36"/>
        <v>1.9097222222222224E-2</v>
      </c>
      <c r="AE134" s="48">
        <f t="shared" si="37"/>
        <v>3.9915074309978767E-2</v>
      </c>
      <c r="AF134" s="48" t="e">
        <f>(#REF!-#REF!)/#REF!</f>
        <v>#REF!</v>
      </c>
    </row>
    <row r="135" spans="1:32" x14ac:dyDescent="0.3">
      <c r="A135" s="48">
        <v>20180717</v>
      </c>
      <c r="B135" s="48" t="s">
        <v>88</v>
      </c>
      <c r="C135" s="79">
        <v>0.2</v>
      </c>
      <c r="D135" s="79">
        <f t="shared" si="38"/>
        <v>0.19873906113073558</v>
      </c>
      <c r="E135" s="49">
        <v>46050</v>
      </c>
      <c r="F135" s="49">
        <v>45850</v>
      </c>
      <c r="G135" s="49">
        <v>6419324700</v>
      </c>
      <c r="H135" s="49">
        <f t="shared" si="39"/>
        <v>0.227928098803895</v>
      </c>
      <c r="I135" s="49">
        <f t="shared" si="47"/>
        <v>0.227928098803895</v>
      </c>
      <c r="J135" s="48">
        <v>0.3</v>
      </c>
      <c r="K135" s="48">
        <f t="shared" si="40"/>
        <v>0.29531505713424505</v>
      </c>
      <c r="L135" s="48">
        <v>293500</v>
      </c>
      <c r="M135" s="48">
        <v>295500</v>
      </c>
      <c r="N135" s="51">
        <v>125395903</v>
      </c>
      <c r="O135" s="48">
        <f t="shared" si="41"/>
        <v>2.6902217281479599</v>
      </c>
      <c r="P135" s="48">
        <f t="shared" si="48"/>
        <v>2.6902217281479599</v>
      </c>
      <c r="Q135" s="49">
        <v>0.5</v>
      </c>
      <c r="R135" s="49">
        <f t="shared" si="42"/>
        <v>0.50594588173501953</v>
      </c>
      <c r="S135" s="49">
        <v>244900</v>
      </c>
      <c r="T135" s="49">
        <v>235800</v>
      </c>
      <c r="U135" s="49">
        <v>15956260</v>
      </c>
      <c r="V135" s="49">
        <f t="shared" si="43"/>
        <v>45.391285034054299</v>
      </c>
      <c r="W135" s="49">
        <f t="shared" si="49"/>
        <v>45.391285034054299</v>
      </c>
      <c r="X135" s="82">
        <f t="shared" si="44"/>
        <v>0</v>
      </c>
      <c r="Y135" s="82">
        <f t="shared" si="45"/>
        <v>274362327648340.06</v>
      </c>
      <c r="Z135" s="81">
        <f t="shared" si="50"/>
        <v>337554045858096</v>
      </c>
      <c r="AA135" s="80">
        <f t="shared" si="34"/>
        <v>1230.3221391631835</v>
      </c>
      <c r="AB135" s="52">
        <f t="shared" si="46"/>
        <v>-1.8061423386731005E-2</v>
      </c>
      <c r="AC135" s="48">
        <f t="shared" si="35"/>
        <v>-4.3431053203040176E-3</v>
      </c>
      <c r="AD135" s="48">
        <f t="shared" si="36"/>
        <v>6.8143100511073255E-3</v>
      </c>
      <c r="AE135" s="48">
        <f t="shared" si="37"/>
        <v>-3.7158023683135977E-2</v>
      </c>
      <c r="AF135" s="48" t="e">
        <f>(#REF!-#REF!)/#REF!</f>
        <v>#REF!</v>
      </c>
    </row>
    <row r="136" spans="1:32" x14ac:dyDescent="0.3">
      <c r="A136" s="48">
        <v>20180718</v>
      </c>
      <c r="B136" s="48" t="s">
        <v>88</v>
      </c>
      <c r="C136" s="79">
        <v>0.2</v>
      </c>
      <c r="D136" s="79">
        <f t="shared" si="38"/>
        <v>0.20144803272735287</v>
      </c>
      <c r="E136" s="49">
        <v>45850</v>
      </c>
      <c r="F136" s="49">
        <v>46550</v>
      </c>
      <c r="G136" s="49">
        <v>6419324700</v>
      </c>
      <c r="H136" s="49">
        <f t="shared" si="39"/>
        <v>0.227928098803895</v>
      </c>
      <c r="I136" s="49">
        <f t="shared" si="47"/>
        <v>0.227928098803895</v>
      </c>
      <c r="J136" s="48">
        <v>0.3</v>
      </c>
      <c r="K136" s="48">
        <f t="shared" si="40"/>
        <v>0.28935137793610777</v>
      </c>
      <c r="L136" s="48">
        <v>295500</v>
      </c>
      <c r="M136" s="48">
        <v>290000</v>
      </c>
      <c r="N136" s="51">
        <v>125395903</v>
      </c>
      <c r="O136" s="48">
        <f t="shared" si="41"/>
        <v>2.6902217281479599</v>
      </c>
      <c r="P136" s="48">
        <f t="shared" si="48"/>
        <v>2.6902217281479599</v>
      </c>
      <c r="Q136" s="49">
        <v>0.5</v>
      </c>
      <c r="R136" s="49">
        <f t="shared" si="42"/>
        <v>0.50920058933653944</v>
      </c>
      <c r="S136" s="49">
        <v>235800</v>
      </c>
      <c r="T136" s="49">
        <v>237700</v>
      </c>
      <c r="U136" s="49">
        <v>15956260</v>
      </c>
      <c r="V136" s="49">
        <f t="shared" si="43"/>
        <v>45.391285034054299</v>
      </c>
      <c r="W136" s="49">
        <f t="shared" si="49"/>
        <v>45.391285034054299</v>
      </c>
      <c r="X136" s="82">
        <f t="shared" si="44"/>
        <v>0</v>
      </c>
      <c r="Y136" s="82">
        <f t="shared" si="45"/>
        <v>274362327648340.06</v>
      </c>
      <c r="Z136" s="81">
        <f t="shared" si="50"/>
        <v>338098984461338</v>
      </c>
      <c r="AA136" s="80">
        <f t="shared" si="34"/>
        <v>1232.3083397028599</v>
      </c>
      <c r="AB136" s="52">
        <f t="shared" si="46"/>
        <v>1.6143743792397408E-3</v>
      </c>
      <c r="AC136" s="48">
        <f t="shared" si="35"/>
        <v>1.5267175572519083E-2</v>
      </c>
      <c r="AD136" s="48">
        <f t="shared" si="36"/>
        <v>-1.8612521150592216E-2</v>
      </c>
      <c r="AE136" s="48">
        <f t="shared" si="37"/>
        <v>8.0576759966072935E-3</v>
      </c>
      <c r="AF136" s="48" t="e">
        <f>(#REF!-#REF!)/#REF!</f>
        <v>#REF!</v>
      </c>
    </row>
    <row r="137" spans="1:32" x14ac:dyDescent="0.3">
      <c r="A137" s="48">
        <v>20180719</v>
      </c>
      <c r="B137" s="48" t="s">
        <v>88</v>
      </c>
      <c r="C137" s="79">
        <v>0.2</v>
      </c>
      <c r="D137" s="79">
        <f t="shared" si="38"/>
        <v>0.20560161525120058</v>
      </c>
      <c r="E137" s="49">
        <v>46550</v>
      </c>
      <c r="F137" s="49">
        <v>46900</v>
      </c>
      <c r="G137" s="49">
        <v>6419324700</v>
      </c>
      <c r="H137" s="49">
        <f t="shared" si="39"/>
        <v>0.227928098803895</v>
      </c>
      <c r="I137" s="49">
        <f t="shared" si="47"/>
        <v>0.227928098803895</v>
      </c>
      <c r="J137" s="48">
        <v>0.3</v>
      </c>
      <c r="K137" s="48">
        <f t="shared" si="40"/>
        <v>0.29159744124854609</v>
      </c>
      <c r="L137" s="48">
        <v>290000</v>
      </c>
      <c r="M137" s="48">
        <v>288500</v>
      </c>
      <c r="N137" s="51">
        <v>125395903</v>
      </c>
      <c r="O137" s="48">
        <f t="shared" si="41"/>
        <v>2.6902217281479599</v>
      </c>
      <c r="P137" s="48">
        <f t="shared" si="48"/>
        <v>2.6902217281479599</v>
      </c>
      <c r="Q137" s="49">
        <v>0.5</v>
      </c>
      <c r="R137" s="49">
        <f t="shared" si="42"/>
        <v>0.50280094350025328</v>
      </c>
      <c r="S137" s="49">
        <v>237700</v>
      </c>
      <c r="T137" s="49">
        <v>231700</v>
      </c>
      <c r="U137" s="49">
        <v>15956260</v>
      </c>
      <c r="V137" s="49">
        <f t="shared" si="43"/>
        <v>45.391285034054299</v>
      </c>
      <c r="W137" s="49">
        <f t="shared" si="49"/>
        <v>45.391285034054299</v>
      </c>
      <c r="X137" s="82">
        <f t="shared" si="44"/>
        <v>0</v>
      </c>
      <c r="Y137" s="82">
        <f t="shared" si="45"/>
        <v>274362327648340.06</v>
      </c>
      <c r="Z137" s="81">
        <f t="shared" si="50"/>
        <v>333759419978672.75</v>
      </c>
      <c r="AA137" s="80">
        <f t="shared" si="34"/>
        <v>1216.4914288322559</v>
      </c>
      <c r="AB137" s="52">
        <f t="shared" si="46"/>
        <v>-1.2835189344265805E-2</v>
      </c>
      <c r="AC137" s="48">
        <f t="shared" si="35"/>
        <v>7.5187969924812026E-3</v>
      </c>
      <c r="AD137" s="48">
        <f t="shared" si="36"/>
        <v>-5.1724137931034482E-3</v>
      </c>
      <c r="AE137" s="48">
        <f t="shared" si="37"/>
        <v>-2.5241901556583929E-2</v>
      </c>
      <c r="AF137" s="48" t="e">
        <f>(#REF!-#REF!)/#REF!</f>
        <v>#REF!</v>
      </c>
    </row>
    <row r="138" spans="1:32" x14ac:dyDescent="0.3">
      <c r="A138" s="48">
        <v>20180720</v>
      </c>
      <c r="B138" s="48" t="s">
        <v>88</v>
      </c>
      <c r="C138" s="79">
        <v>0.2</v>
      </c>
      <c r="D138" s="79">
        <f t="shared" si="38"/>
        <v>0.21149444446988036</v>
      </c>
      <c r="E138" s="49">
        <v>46900</v>
      </c>
      <c r="F138" s="49">
        <v>47450</v>
      </c>
      <c r="G138" s="49">
        <v>6419324700</v>
      </c>
      <c r="H138" s="49">
        <f t="shared" si="39"/>
        <v>0.227928098803895</v>
      </c>
      <c r="I138" s="49">
        <f t="shared" si="47"/>
        <v>0.227928098803895</v>
      </c>
      <c r="J138" s="48">
        <v>0.3</v>
      </c>
      <c r="K138" s="48">
        <f t="shared" si="40"/>
        <v>0.29339524522531485</v>
      </c>
      <c r="L138" s="48">
        <v>288500</v>
      </c>
      <c r="M138" s="48">
        <v>285500</v>
      </c>
      <c r="N138" s="51">
        <v>125395903</v>
      </c>
      <c r="O138" s="48">
        <f t="shared" si="41"/>
        <v>2.6902217281479599</v>
      </c>
      <c r="P138" s="48">
        <f t="shared" si="48"/>
        <v>2.6902217281479599</v>
      </c>
      <c r="Q138" s="49">
        <v>0.5</v>
      </c>
      <c r="R138" s="49">
        <f t="shared" si="42"/>
        <v>0.49511031030480479</v>
      </c>
      <c r="S138" s="49">
        <v>231700</v>
      </c>
      <c r="T138" s="49">
        <v>224400</v>
      </c>
      <c r="U138" s="49">
        <v>15956260</v>
      </c>
      <c r="V138" s="49">
        <f t="shared" si="43"/>
        <v>45.391285034054299</v>
      </c>
      <c r="W138" s="49">
        <f t="shared" si="49"/>
        <v>45.391285034054299</v>
      </c>
      <c r="X138" s="82">
        <f t="shared" si="44"/>
        <v>0</v>
      </c>
      <c r="Y138" s="82">
        <f t="shared" si="45"/>
        <v>274362327648340.06</v>
      </c>
      <c r="Z138" s="81">
        <f t="shared" si="50"/>
        <v>328264912527136.87</v>
      </c>
      <c r="AA138" s="80">
        <f t="shared" si="34"/>
        <v>1196.4649641983126</v>
      </c>
      <c r="AB138" s="52">
        <f t="shared" si="46"/>
        <v>-1.6462479027219507E-2</v>
      </c>
      <c r="AC138" s="48">
        <f t="shared" si="35"/>
        <v>1.1727078891257996E-2</v>
      </c>
      <c r="AD138" s="48">
        <f t="shared" si="36"/>
        <v>-1.0398613518197574E-2</v>
      </c>
      <c r="AE138" s="48">
        <f t="shared" si="37"/>
        <v>-3.1506258092360809E-2</v>
      </c>
      <c r="AF138" s="48" t="e">
        <f>(#REF!-#REF!)/#REF!</f>
        <v>#REF!</v>
      </c>
    </row>
    <row r="139" spans="1:32" x14ac:dyDescent="0.3">
      <c r="A139" s="48">
        <v>20180723</v>
      </c>
      <c r="B139" s="48" t="s">
        <v>88</v>
      </c>
      <c r="C139" s="79">
        <v>0.2</v>
      </c>
      <c r="D139" s="79">
        <f t="shared" si="38"/>
        <v>0.21946384444418293</v>
      </c>
      <c r="E139" s="49">
        <v>47450</v>
      </c>
      <c r="F139" s="49">
        <v>46500</v>
      </c>
      <c r="G139" s="49">
        <v>6419324700</v>
      </c>
      <c r="H139" s="49">
        <f t="shared" si="39"/>
        <v>0.227928098803895</v>
      </c>
      <c r="I139" s="49">
        <f t="shared" si="47"/>
        <v>0.227928098803895</v>
      </c>
      <c r="J139" s="48">
        <v>0.3</v>
      </c>
      <c r="K139" s="48">
        <f t="shared" si="40"/>
        <v>0.29108379463659462</v>
      </c>
      <c r="L139" s="48">
        <v>285500</v>
      </c>
      <c r="M139" s="48">
        <v>267500</v>
      </c>
      <c r="N139" s="51">
        <v>125395903</v>
      </c>
      <c r="O139" s="48">
        <f t="shared" si="41"/>
        <v>2.6902217281479599</v>
      </c>
      <c r="P139" s="48">
        <f t="shared" si="48"/>
        <v>2.6902217281479599</v>
      </c>
      <c r="Q139" s="49">
        <v>0.5</v>
      </c>
      <c r="R139" s="49">
        <f t="shared" si="42"/>
        <v>0.48945236091922245</v>
      </c>
      <c r="S139" s="49">
        <v>224400</v>
      </c>
      <c r="T139" s="49">
        <v>209500</v>
      </c>
      <c r="U139" s="49">
        <v>15956260</v>
      </c>
      <c r="V139" s="49">
        <f t="shared" si="43"/>
        <v>45.391285034054299</v>
      </c>
      <c r="W139" s="49">
        <f t="shared" si="49"/>
        <v>45.391285034054299</v>
      </c>
      <c r="X139" s="82">
        <f t="shared" si="44"/>
        <v>0</v>
      </c>
      <c r="Y139" s="82">
        <f t="shared" si="45"/>
        <v>274362327648340.06</v>
      </c>
      <c r="Z139" s="81">
        <f t="shared" si="50"/>
        <v>310011055513212.31</v>
      </c>
      <c r="AA139" s="80">
        <f t="shared" si="34"/>
        <v>1129.9330275057459</v>
      </c>
      <c r="AB139" s="52">
        <f t="shared" si="46"/>
        <v>-5.560709145975383E-2</v>
      </c>
      <c r="AC139" s="48">
        <f t="shared" si="35"/>
        <v>-2.0021074815595362E-2</v>
      </c>
      <c r="AD139" s="48">
        <f t="shared" si="36"/>
        <v>-6.3047285464098074E-2</v>
      </c>
      <c r="AE139" s="48">
        <f t="shared" si="37"/>
        <v>-6.6399286987522288E-2</v>
      </c>
      <c r="AF139" s="48" t="e">
        <f>(#REF!-#REF!)/#REF!</f>
        <v>#REF!</v>
      </c>
    </row>
    <row r="140" spans="1:32" x14ac:dyDescent="0.3">
      <c r="A140" s="48">
        <v>20180724</v>
      </c>
      <c r="B140" s="48" t="s">
        <v>88</v>
      </c>
      <c r="C140" s="79">
        <v>0.2</v>
      </c>
      <c r="D140" s="79">
        <f t="shared" si="38"/>
        <v>0.22147088338981477</v>
      </c>
      <c r="E140" s="49">
        <v>46500</v>
      </c>
      <c r="F140" s="49">
        <v>46150</v>
      </c>
      <c r="G140" s="49">
        <v>6419324700</v>
      </c>
      <c r="H140" s="49">
        <f t="shared" si="39"/>
        <v>0.227928098803895</v>
      </c>
      <c r="I140" s="49">
        <f t="shared" si="47"/>
        <v>0.227928098803895</v>
      </c>
      <c r="J140" s="48">
        <v>0.3</v>
      </c>
      <c r="K140" s="48">
        <f t="shared" si="40"/>
        <v>0.29320746168507911</v>
      </c>
      <c r="L140" s="48">
        <v>267500</v>
      </c>
      <c r="M140" s="48">
        <v>265000</v>
      </c>
      <c r="N140" s="51">
        <v>125395903</v>
      </c>
      <c r="O140" s="48">
        <f t="shared" si="41"/>
        <v>2.6902217281479599</v>
      </c>
      <c r="P140" s="48">
        <f t="shared" si="48"/>
        <v>2.6902217281479599</v>
      </c>
      <c r="Q140" s="49">
        <v>0.5</v>
      </c>
      <c r="R140" s="49">
        <f t="shared" si="42"/>
        <v>0.48532165492510621</v>
      </c>
      <c r="S140" s="49">
        <v>209500</v>
      </c>
      <c r="T140" s="49">
        <v>204300</v>
      </c>
      <c r="U140" s="49">
        <v>15956260</v>
      </c>
      <c r="V140" s="49">
        <f t="shared" si="43"/>
        <v>45.391285034054299</v>
      </c>
      <c r="W140" s="49">
        <f t="shared" si="49"/>
        <v>45.391285034054299</v>
      </c>
      <c r="X140" s="82">
        <f t="shared" si="44"/>
        <v>0</v>
      </c>
      <c r="Y140" s="82">
        <f t="shared" si="45"/>
        <v>274362327648340.06</v>
      </c>
      <c r="Z140" s="81">
        <f t="shared" si="50"/>
        <v>304889367232132.5</v>
      </c>
      <c r="AA140" s="80">
        <f t="shared" si="34"/>
        <v>1111.2654198754283</v>
      </c>
      <c r="AB140" s="52">
        <f t="shared" si="46"/>
        <v>-1.6520985913231687E-2</v>
      </c>
      <c r="AC140" s="48">
        <f t="shared" si="35"/>
        <v>-7.526881720430108E-3</v>
      </c>
      <c r="AD140" s="48">
        <f t="shared" si="36"/>
        <v>-9.3457943925233638E-3</v>
      </c>
      <c r="AE140" s="48">
        <f t="shared" si="37"/>
        <v>-2.4821002386634844E-2</v>
      </c>
      <c r="AF140" s="48" t="e">
        <f>(#REF!-#REF!)/#REF!</f>
        <v>#REF!</v>
      </c>
    </row>
    <row r="141" spans="1:32" x14ac:dyDescent="0.3">
      <c r="A141" s="48">
        <v>20180725</v>
      </c>
      <c r="B141" s="48" t="s">
        <v>88</v>
      </c>
      <c r="C141" s="79">
        <v>0.2</v>
      </c>
      <c r="D141" s="79">
        <f t="shared" si="38"/>
        <v>0.2309173477924861</v>
      </c>
      <c r="E141" s="49">
        <v>46150</v>
      </c>
      <c r="F141" s="49">
        <v>46150</v>
      </c>
      <c r="G141" s="49">
        <v>6419324700</v>
      </c>
      <c r="H141" s="49">
        <f t="shared" si="39"/>
        <v>0.227928098803895</v>
      </c>
      <c r="I141" s="49">
        <f t="shared" si="47"/>
        <v>0.227928098803895</v>
      </c>
      <c r="J141" s="48">
        <v>0.3</v>
      </c>
      <c r="K141" s="48">
        <f t="shared" si="40"/>
        <v>0.28956281407105466</v>
      </c>
      <c r="L141" s="48">
        <v>265000</v>
      </c>
      <c r="M141" s="48">
        <v>251000</v>
      </c>
      <c r="N141" s="51">
        <v>125395903</v>
      </c>
      <c r="O141" s="48">
        <f t="shared" si="41"/>
        <v>2.6902217281479599</v>
      </c>
      <c r="P141" s="48">
        <f t="shared" si="48"/>
        <v>2.6902217281479599</v>
      </c>
      <c r="Q141" s="49">
        <v>0.5</v>
      </c>
      <c r="R141" s="49">
        <f t="shared" si="42"/>
        <v>0.47951983813645915</v>
      </c>
      <c r="S141" s="49">
        <v>204300</v>
      </c>
      <c r="T141" s="49">
        <v>193600</v>
      </c>
      <c r="U141" s="49">
        <v>15956260</v>
      </c>
      <c r="V141" s="49">
        <f t="shared" si="43"/>
        <v>45.391285034054299</v>
      </c>
      <c r="W141" s="49">
        <f t="shared" si="49"/>
        <v>45.391285034054299</v>
      </c>
      <c r="X141" s="82">
        <f t="shared" si="44"/>
        <v>0</v>
      </c>
      <c r="Y141" s="82">
        <f t="shared" si="45"/>
        <v>274362327648340.06</v>
      </c>
      <c r="Z141" s="81">
        <f t="shared" si="50"/>
        <v>292416824212542.87</v>
      </c>
      <c r="AA141" s="80">
        <f t="shared" si="34"/>
        <v>1065.8053046821499</v>
      </c>
      <c r="AB141" s="52">
        <f t="shared" si="46"/>
        <v>-4.0908422398651105E-2</v>
      </c>
      <c r="AC141" s="48">
        <f t="shared" si="35"/>
        <v>0</v>
      </c>
      <c r="AD141" s="48">
        <f t="shared" si="36"/>
        <v>-5.2830188679245285E-2</v>
      </c>
      <c r="AE141" s="48">
        <f t="shared" si="37"/>
        <v>-5.2373959862946649E-2</v>
      </c>
      <c r="AF141" s="48" t="e">
        <f>(#REF!-#REF!)/#REF!</f>
        <v>#REF!</v>
      </c>
    </row>
    <row r="142" spans="1:32" x14ac:dyDescent="0.3">
      <c r="A142" s="48">
        <v>20180726</v>
      </c>
      <c r="B142" s="48" t="s">
        <v>88</v>
      </c>
      <c r="C142" s="79">
        <v>0.2</v>
      </c>
      <c r="D142" s="79">
        <f t="shared" si="38"/>
        <v>0.2301410368689189</v>
      </c>
      <c r="E142" s="49">
        <v>46150</v>
      </c>
      <c r="F142" s="49">
        <v>46900</v>
      </c>
      <c r="G142" s="49">
        <v>6419324700</v>
      </c>
      <c r="H142" s="49">
        <f t="shared" si="39"/>
        <v>0.227928098803895</v>
      </c>
      <c r="I142" s="49">
        <f t="shared" si="47"/>
        <v>0.227928098803895</v>
      </c>
      <c r="J142" s="48">
        <v>0.3</v>
      </c>
      <c r="K142" s="48">
        <f t="shared" si="40"/>
        <v>0.28793417938357452</v>
      </c>
      <c r="L142" s="48">
        <v>251000</v>
      </c>
      <c r="M142" s="48">
        <v>254500</v>
      </c>
      <c r="N142" s="51">
        <v>125395903</v>
      </c>
      <c r="O142" s="48">
        <f t="shared" si="41"/>
        <v>2.6902217281479599</v>
      </c>
      <c r="P142" s="48">
        <f t="shared" si="48"/>
        <v>2.6902217281479599</v>
      </c>
      <c r="Q142" s="49">
        <v>0.5</v>
      </c>
      <c r="R142" s="49">
        <f t="shared" si="42"/>
        <v>0.48192478374750658</v>
      </c>
      <c r="S142" s="49">
        <v>193600</v>
      </c>
      <c r="T142" s="49">
        <v>198400</v>
      </c>
      <c r="U142" s="49">
        <v>15956260</v>
      </c>
      <c r="V142" s="49">
        <f t="shared" si="43"/>
        <v>45.391285034054299</v>
      </c>
      <c r="W142" s="49">
        <f t="shared" si="49"/>
        <v>45.391285034054299</v>
      </c>
      <c r="X142" s="82">
        <f t="shared" si="44"/>
        <v>0</v>
      </c>
      <c r="Y142" s="82">
        <f t="shared" si="45"/>
        <v>274362327648340.06</v>
      </c>
      <c r="Z142" s="81">
        <f t="shared" si="50"/>
        <v>298171403007989.31</v>
      </c>
      <c r="AA142" s="80">
        <f t="shared" si="34"/>
        <v>1086.7796813204113</v>
      </c>
      <c r="AB142" s="52">
        <f t="shared" si="46"/>
        <v>1.9679369718014809E-2</v>
      </c>
      <c r="AC142" s="48">
        <f t="shared" si="35"/>
        <v>1.6251354279523293E-2</v>
      </c>
      <c r="AD142" s="48">
        <f t="shared" si="36"/>
        <v>1.3944223107569721E-2</v>
      </c>
      <c r="AE142" s="48">
        <f t="shared" si="37"/>
        <v>2.4793388429752067E-2</v>
      </c>
      <c r="AF142" s="48" t="e">
        <f>(#REF!-#REF!)/#REF!</f>
        <v>#REF!</v>
      </c>
    </row>
    <row r="143" spans="1:32" x14ac:dyDescent="0.3">
      <c r="A143" s="48">
        <v>20180727</v>
      </c>
      <c r="B143" s="48" t="s">
        <v>88</v>
      </c>
      <c r="C143" s="79">
        <v>0.2</v>
      </c>
      <c r="D143" s="79">
        <f t="shared" si="38"/>
        <v>0.22901093522160018</v>
      </c>
      <c r="E143" s="49">
        <v>46900</v>
      </c>
      <c r="F143" s="49">
        <v>46900</v>
      </c>
      <c r="G143" s="49">
        <v>6419324700</v>
      </c>
      <c r="H143" s="49">
        <f t="shared" si="39"/>
        <v>0.227928098803895</v>
      </c>
      <c r="I143" s="49">
        <f t="shared" si="47"/>
        <v>0.227928098803895</v>
      </c>
      <c r="J143" s="48">
        <v>0.3</v>
      </c>
      <c r="K143" s="48">
        <f t="shared" si="40"/>
        <v>0.28877191889095721</v>
      </c>
      <c r="L143" s="48">
        <v>254500</v>
      </c>
      <c r="M143" s="48">
        <v>256500</v>
      </c>
      <c r="N143" s="51">
        <v>125395903</v>
      </c>
      <c r="O143" s="48">
        <f t="shared" si="41"/>
        <v>2.6902217281479599</v>
      </c>
      <c r="P143" s="48">
        <f t="shared" si="48"/>
        <v>2.6902217281479599</v>
      </c>
      <c r="Q143" s="49">
        <v>0.5</v>
      </c>
      <c r="R143" s="49">
        <f t="shared" si="42"/>
        <v>0.48221714588744252</v>
      </c>
      <c r="S143" s="49">
        <v>198400</v>
      </c>
      <c r="T143" s="49">
        <v>199500</v>
      </c>
      <c r="U143" s="49">
        <v>15956260</v>
      </c>
      <c r="V143" s="49">
        <f t="shared" si="43"/>
        <v>45.391285034054299</v>
      </c>
      <c r="W143" s="49">
        <f t="shared" si="49"/>
        <v>45.391285034054299</v>
      </c>
      <c r="X143" s="82">
        <f t="shared" si="44"/>
        <v>0</v>
      </c>
      <c r="Y143" s="82">
        <f t="shared" si="45"/>
        <v>274362327648340.06</v>
      </c>
      <c r="Z143" s="81">
        <f t="shared" si="50"/>
        <v>299642791234043.25</v>
      </c>
      <c r="AA143" s="80">
        <f t="shared" si="34"/>
        <v>1092.1426195877229</v>
      </c>
      <c r="AB143" s="52">
        <f t="shared" si="46"/>
        <v>4.9347060489719295E-3</v>
      </c>
      <c r="AC143" s="48">
        <f t="shared" si="35"/>
        <v>0</v>
      </c>
      <c r="AD143" s="48">
        <f t="shared" si="36"/>
        <v>7.8585461689587421E-3</v>
      </c>
      <c r="AE143" s="48">
        <f t="shared" si="37"/>
        <v>5.5443548387096777E-3</v>
      </c>
      <c r="AF143" s="48" t="e">
        <f>(#REF!-#REF!)/#REF!</f>
        <v>#REF!</v>
      </c>
    </row>
    <row r="144" spans="1:32" x14ac:dyDescent="0.3">
      <c r="A144" s="48">
        <v>20180730</v>
      </c>
      <c r="B144" s="48" t="s">
        <v>88</v>
      </c>
      <c r="C144" s="79">
        <v>0.2</v>
      </c>
      <c r="D144" s="79">
        <f t="shared" si="38"/>
        <v>0.23114150895251684</v>
      </c>
      <c r="E144" s="49">
        <v>46900</v>
      </c>
      <c r="F144" s="49">
        <v>46500</v>
      </c>
      <c r="G144" s="49">
        <v>6419324700</v>
      </c>
      <c r="H144" s="49">
        <f t="shared" si="39"/>
        <v>0.227928098803895</v>
      </c>
      <c r="I144" s="49">
        <f t="shared" si="47"/>
        <v>0.227928098803895</v>
      </c>
      <c r="J144" s="48">
        <v>0.3</v>
      </c>
      <c r="K144" s="48">
        <f t="shared" si="40"/>
        <v>0.2956847381941653</v>
      </c>
      <c r="L144" s="48">
        <v>256500</v>
      </c>
      <c r="M144" s="48">
        <v>258000</v>
      </c>
      <c r="N144" s="51">
        <v>125395903</v>
      </c>
      <c r="O144" s="48">
        <f t="shared" si="41"/>
        <v>2.6902217281479599</v>
      </c>
      <c r="P144" s="48">
        <f t="shared" si="48"/>
        <v>2.6902217281479599</v>
      </c>
      <c r="Q144" s="49">
        <v>0.5</v>
      </c>
      <c r="R144" s="49">
        <f t="shared" si="42"/>
        <v>0.47317375285331792</v>
      </c>
      <c r="S144" s="49">
        <v>199500</v>
      </c>
      <c r="T144" s="49">
        <v>192300</v>
      </c>
      <c r="U144" s="49">
        <v>15956260</v>
      </c>
      <c r="V144" s="49">
        <f t="shared" si="43"/>
        <v>45.391285034054299</v>
      </c>
      <c r="W144" s="49">
        <f t="shared" si="49"/>
        <v>45.391285034054299</v>
      </c>
      <c r="X144" s="82">
        <f t="shared" si="44"/>
        <v>0</v>
      </c>
      <c r="Y144" s="82">
        <f t="shared" si="45"/>
        <v>274362327648340.06</v>
      </c>
      <c r="Z144" s="81">
        <f t="shared" si="50"/>
        <v>294348766569250</v>
      </c>
      <c r="AA144" s="80">
        <f t="shared" si="34"/>
        <v>1072.8468776753027</v>
      </c>
      <c r="AB144" s="52">
        <f t="shared" si="46"/>
        <v>-1.7667785842570862E-2</v>
      </c>
      <c r="AC144" s="48">
        <f t="shared" si="35"/>
        <v>-8.5287846481876331E-3</v>
      </c>
      <c r="AD144" s="48">
        <f t="shared" si="36"/>
        <v>5.8479532163742687E-3</v>
      </c>
      <c r="AE144" s="48">
        <f t="shared" si="37"/>
        <v>-3.6090225563909777E-2</v>
      </c>
      <c r="AF144" s="48" t="e">
        <f>(#REF!-#REF!)/#REF!</f>
        <v>#REF!</v>
      </c>
    </row>
    <row r="145" spans="1:32" x14ac:dyDescent="0.3">
      <c r="A145" s="48">
        <v>20180731</v>
      </c>
      <c r="B145" s="48" t="s">
        <v>88</v>
      </c>
      <c r="C145" s="79">
        <v>0.2</v>
      </c>
      <c r="D145" s="79">
        <f t="shared" si="38"/>
        <v>0.22272882139755029</v>
      </c>
      <c r="E145" s="49">
        <v>46500</v>
      </c>
      <c r="F145" s="49">
        <v>46250</v>
      </c>
      <c r="G145" s="49">
        <v>6419324700</v>
      </c>
      <c r="H145" s="49">
        <f t="shared" si="39"/>
        <v>0.227928098803895</v>
      </c>
      <c r="I145" s="49">
        <f t="shared" si="47"/>
        <v>0.227928098803895</v>
      </c>
      <c r="J145" s="48">
        <v>0.3</v>
      </c>
      <c r="K145" s="48">
        <f t="shared" si="40"/>
        <v>0.30145238728600227</v>
      </c>
      <c r="L145" s="48">
        <v>258000</v>
      </c>
      <c r="M145" s="48">
        <v>271500</v>
      </c>
      <c r="N145" s="51">
        <v>125395903</v>
      </c>
      <c r="O145" s="48">
        <f t="shared" si="41"/>
        <v>2.6902217281479599</v>
      </c>
      <c r="P145" s="48">
        <f t="shared" si="48"/>
        <v>2.6902217281479599</v>
      </c>
      <c r="Q145" s="49">
        <v>0.5</v>
      </c>
      <c r="R145" s="49">
        <f t="shared" si="42"/>
        <v>0.47581879131644744</v>
      </c>
      <c r="S145" s="49">
        <v>192300</v>
      </c>
      <c r="T145" s="49">
        <v>199600</v>
      </c>
      <c r="U145" s="49">
        <v>15956260</v>
      </c>
      <c r="V145" s="49">
        <f t="shared" si="43"/>
        <v>45.391285034054299</v>
      </c>
      <c r="W145" s="49">
        <f t="shared" si="49"/>
        <v>45.391285034054299</v>
      </c>
      <c r="X145" s="82">
        <f t="shared" si="44"/>
        <v>0</v>
      </c>
      <c r="Y145" s="82">
        <f t="shared" si="45"/>
        <v>274362327648340.06</v>
      </c>
      <c r="Z145" s="81">
        <f t="shared" si="50"/>
        <v>303824316583277.62</v>
      </c>
      <c r="AA145" s="80">
        <f t="shared" si="34"/>
        <v>1107.3835070123039</v>
      </c>
      <c r="AB145" s="52">
        <f t="shared" si="46"/>
        <v>3.2191573705128193E-2</v>
      </c>
      <c r="AC145" s="48">
        <f t="shared" si="35"/>
        <v>-5.3763440860215058E-3</v>
      </c>
      <c r="AD145" s="48">
        <f t="shared" si="36"/>
        <v>5.232558139534884E-2</v>
      </c>
      <c r="AE145" s="48">
        <f t="shared" si="37"/>
        <v>3.7961518460738426E-2</v>
      </c>
      <c r="AF145" s="48" t="e">
        <f>(#REF!-#REF!)/#REF!</f>
        <v>#REF!</v>
      </c>
    </row>
    <row r="146" spans="1:32" x14ac:dyDescent="0.3">
      <c r="A146" s="48">
        <v>20180801</v>
      </c>
      <c r="B146" s="48" t="s">
        <v>88</v>
      </c>
      <c r="C146" s="79">
        <v>0.2</v>
      </c>
      <c r="D146" s="79">
        <f t="shared" si="38"/>
        <v>0.21773829931432304</v>
      </c>
      <c r="E146" s="49">
        <v>46250</v>
      </c>
      <c r="F146" s="49">
        <v>46550</v>
      </c>
      <c r="G146" s="49">
        <v>6419324700</v>
      </c>
      <c r="H146" s="49">
        <f t="shared" si="39"/>
        <v>0.227928098803895</v>
      </c>
      <c r="I146" s="49">
        <f t="shared" si="47"/>
        <v>0.227928098803895</v>
      </c>
      <c r="J146" s="48">
        <v>0.3</v>
      </c>
      <c r="K146" s="48">
        <f t="shared" si="40"/>
        <v>0.30250476394890169</v>
      </c>
      <c r="L146" s="48">
        <v>271500</v>
      </c>
      <c r="M146" s="48">
        <v>280500</v>
      </c>
      <c r="N146" s="51">
        <v>125395903</v>
      </c>
      <c r="O146" s="48">
        <f t="shared" si="41"/>
        <v>2.6902217281479599</v>
      </c>
      <c r="P146" s="48">
        <f t="shared" si="48"/>
        <v>2.6902217281479599</v>
      </c>
      <c r="Q146" s="49">
        <v>0.5</v>
      </c>
      <c r="R146" s="49">
        <f t="shared" si="42"/>
        <v>0.47975693673677527</v>
      </c>
      <c r="S146" s="49">
        <v>199600</v>
      </c>
      <c r="T146" s="49">
        <v>207200</v>
      </c>
      <c r="U146" s="49">
        <v>15956260</v>
      </c>
      <c r="V146" s="49">
        <f t="shared" si="43"/>
        <v>45.391285034054299</v>
      </c>
      <c r="W146" s="49">
        <f t="shared" si="49"/>
        <v>45.391285034054299</v>
      </c>
      <c r="X146" s="82">
        <f t="shared" si="44"/>
        <v>0</v>
      </c>
      <c r="Y146" s="82">
        <f t="shared" si="45"/>
        <v>274362327648340.06</v>
      </c>
      <c r="Z146" s="81">
        <f t="shared" si="50"/>
        <v>312803836079067.25</v>
      </c>
      <c r="AA146" s="80">
        <f t="shared" si="34"/>
        <v>1140.1121967444417</v>
      </c>
      <c r="AB146" s="52">
        <f t="shared" si="46"/>
        <v>2.9554973073817117E-2</v>
      </c>
      <c r="AC146" s="48">
        <f t="shared" si="35"/>
        <v>6.4864864864864862E-3</v>
      </c>
      <c r="AD146" s="48">
        <f t="shared" si="36"/>
        <v>3.3149171270718231E-2</v>
      </c>
      <c r="AE146" s="48">
        <f t="shared" si="37"/>
        <v>3.8076152304609222E-2</v>
      </c>
      <c r="AF146" s="48" t="e">
        <f>(#REF!-#REF!)/#REF!</f>
        <v>#REF!</v>
      </c>
    </row>
    <row r="147" spans="1:32" x14ac:dyDescent="0.3">
      <c r="A147" s="48">
        <v>20180802</v>
      </c>
      <c r="B147" s="48" t="s">
        <v>88</v>
      </c>
      <c r="C147" s="79">
        <v>0.2</v>
      </c>
      <c r="D147" s="79">
        <f t="shared" si="38"/>
        <v>0.21834615623085871</v>
      </c>
      <c r="E147" s="49">
        <v>46550</v>
      </c>
      <c r="F147" s="49">
        <v>45550</v>
      </c>
      <c r="G147" s="49">
        <v>6419324700</v>
      </c>
      <c r="H147" s="49">
        <f t="shared" si="39"/>
        <v>0.227928098803895</v>
      </c>
      <c r="I147" s="49">
        <f t="shared" si="47"/>
        <v>0.227928098803895</v>
      </c>
      <c r="J147" s="48">
        <v>0.3</v>
      </c>
      <c r="K147" s="48">
        <f t="shared" si="40"/>
        <v>0.31111416188771623</v>
      </c>
      <c r="L147" s="48">
        <v>280500</v>
      </c>
      <c r="M147" s="48">
        <v>281500</v>
      </c>
      <c r="N147" s="51">
        <v>125395903</v>
      </c>
      <c r="O147" s="48">
        <f t="shared" si="41"/>
        <v>2.6902217281479599</v>
      </c>
      <c r="P147" s="48">
        <f t="shared" si="48"/>
        <v>2.6902217281479599</v>
      </c>
      <c r="Q147" s="49">
        <v>0.5</v>
      </c>
      <c r="R147" s="49">
        <f t="shared" si="42"/>
        <v>0.47053968188142509</v>
      </c>
      <c r="S147" s="49">
        <v>207200</v>
      </c>
      <c r="T147" s="49">
        <v>198300</v>
      </c>
      <c r="U147" s="49">
        <v>15956260</v>
      </c>
      <c r="V147" s="49">
        <f t="shared" si="43"/>
        <v>45.391285034054299</v>
      </c>
      <c r="W147" s="49">
        <f t="shared" si="49"/>
        <v>45.391285034054299</v>
      </c>
      <c r="X147" s="82">
        <f t="shared" si="44"/>
        <v>0</v>
      </c>
      <c r="Y147" s="82">
        <f t="shared" si="45"/>
        <v>274362327648340.06</v>
      </c>
      <c r="Z147" s="81">
        <f t="shared" si="50"/>
        <v>305231985590399.12</v>
      </c>
      <c r="AA147" s="80">
        <f t="shared" si="34"/>
        <v>1112.5142004977658</v>
      </c>
      <c r="AB147" s="52">
        <f t="shared" si="46"/>
        <v>-2.4206386288543488E-2</v>
      </c>
      <c r="AC147" s="48">
        <f t="shared" si="35"/>
        <v>-2.1482277121374866E-2</v>
      </c>
      <c r="AD147" s="48">
        <f t="shared" si="36"/>
        <v>3.5650623885918001E-3</v>
      </c>
      <c r="AE147" s="48">
        <f t="shared" si="37"/>
        <v>-4.2953667953667951E-2</v>
      </c>
      <c r="AF147" s="48" t="e">
        <f>(#REF!-#REF!)/#REF!</f>
        <v>#REF!</v>
      </c>
    </row>
    <row r="148" spans="1:32" x14ac:dyDescent="0.3">
      <c r="A148" s="48">
        <v>20180803</v>
      </c>
      <c r="B148" s="48" t="s">
        <v>88</v>
      </c>
      <c r="C148" s="79">
        <v>0.2</v>
      </c>
      <c r="D148" s="79">
        <f t="shared" si="38"/>
        <v>0.21455075058095174</v>
      </c>
      <c r="E148" s="49">
        <v>45550</v>
      </c>
      <c r="F148" s="49">
        <v>45750</v>
      </c>
      <c r="G148" s="49">
        <v>6419324700</v>
      </c>
      <c r="H148" s="49">
        <f t="shared" si="39"/>
        <v>0.227928098803895</v>
      </c>
      <c r="I148" s="49">
        <f t="shared" si="47"/>
        <v>0.227928098803895</v>
      </c>
      <c r="J148" s="48">
        <v>0.3</v>
      </c>
      <c r="K148" s="48">
        <f t="shared" si="40"/>
        <v>0.30328855163482749</v>
      </c>
      <c r="L148" s="48">
        <v>281500</v>
      </c>
      <c r="M148" s="48">
        <v>280500</v>
      </c>
      <c r="N148" s="51">
        <v>125395903</v>
      </c>
      <c r="O148" s="48">
        <f t="shared" si="41"/>
        <v>2.6902217281479599</v>
      </c>
      <c r="P148" s="48">
        <f t="shared" si="48"/>
        <v>2.6902217281479599</v>
      </c>
      <c r="Q148" s="49">
        <v>0.5</v>
      </c>
      <c r="R148" s="49">
        <f t="shared" si="42"/>
        <v>0.48216069778422088</v>
      </c>
      <c r="S148" s="49">
        <v>198300</v>
      </c>
      <c r="T148" s="49">
        <v>207700</v>
      </c>
      <c r="U148" s="49">
        <v>15956260</v>
      </c>
      <c r="V148" s="49">
        <f t="shared" si="43"/>
        <v>45.391285034054299</v>
      </c>
      <c r="W148" s="49">
        <f t="shared" si="49"/>
        <v>45.391285034054299</v>
      </c>
      <c r="X148" s="82">
        <f t="shared" si="44"/>
        <v>0</v>
      </c>
      <c r="Y148" s="82">
        <f t="shared" si="45"/>
        <v>274362327648340.06</v>
      </c>
      <c r="Z148" s="81">
        <f t="shared" si="50"/>
        <v>311995458072355.25</v>
      </c>
      <c r="AA148" s="80">
        <f t="shared" si="34"/>
        <v>1137.1658082455506</v>
      </c>
      <c r="AB148" s="52">
        <f t="shared" si="46"/>
        <v>2.2158465695768206E-2</v>
      </c>
      <c r="AC148" s="48">
        <f t="shared" si="35"/>
        <v>4.3907793633369925E-3</v>
      </c>
      <c r="AD148" s="48">
        <f t="shared" si="36"/>
        <v>-3.552397868561279E-3</v>
      </c>
      <c r="AE148" s="48">
        <f t="shared" si="37"/>
        <v>4.7402924861321229E-2</v>
      </c>
      <c r="AF148" s="48" t="e">
        <f>(#REF!-#REF!)/#REF!</f>
        <v>#REF!</v>
      </c>
    </row>
    <row r="149" spans="1:32" x14ac:dyDescent="0.3">
      <c r="A149" s="48">
        <v>20180806</v>
      </c>
      <c r="B149" s="48" t="s">
        <v>88</v>
      </c>
      <c r="C149" s="79">
        <v>0.2</v>
      </c>
      <c r="D149" s="79">
        <f t="shared" si="38"/>
        <v>0.22090120275327049</v>
      </c>
      <c r="E149" s="49">
        <v>45750</v>
      </c>
      <c r="F149" s="49">
        <v>45800</v>
      </c>
      <c r="G149" s="49">
        <v>6419324700</v>
      </c>
      <c r="H149" s="49">
        <f t="shared" si="39"/>
        <v>0.227928098803895</v>
      </c>
      <c r="I149" s="49">
        <f t="shared" si="47"/>
        <v>0.227928098803895</v>
      </c>
      <c r="J149" s="48">
        <v>0.3</v>
      </c>
      <c r="K149" s="48">
        <f t="shared" si="40"/>
        <v>0.30469643788758977</v>
      </c>
      <c r="L149" s="48">
        <v>280500</v>
      </c>
      <c r="M149" s="48">
        <v>274000</v>
      </c>
      <c r="N149" s="51">
        <v>125395903</v>
      </c>
      <c r="O149" s="48">
        <f t="shared" si="41"/>
        <v>2.6902217281479599</v>
      </c>
      <c r="P149" s="48">
        <f t="shared" si="48"/>
        <v>2.6902217281479599</v>
      </c>
      <c r="Q149" s="49">
        <v>0.5</v>
      </c>
      <c r="R149" s="49">
        <f t="shared" si="42"/>
        <v>0.47440235935913966</v>
      </c>
      <c r="S149" s="49">
        <v>207700</v>
      </c>
      <c r="T149" s="49">
        <v>198700</v>
      </c>
      <c r="U149" s="49">
        <v>15956260</v>
      </c>
      <c r="V149" s="49">
        <f t="shared" si="43"/>
        <v>45.391285034054299</v>
      </c>
      <c r="W149" s="49">
        <f t="shared" si="49"/>
        <v>45.391285034054299</v>
      </c>
      <c r="X149" s="82">
        <f t="shared" si="44"/>
        <v>0</v>
      </c>
      <c r="Y149" s="82">
        <f t="shared" si="45"/>
        <v>274362327648340.06</v>
      </c>
      <c r="Z149" s="81">
        <f t="shared" si="50"/>
        <v>303357410895778.12</v>
      </c>
      <c r="AA149" s="80">
        <f t="shared" si="34"/>
        <v>1105.6817220351115</v>
      </c>
      <c r="AB149" s="52">
        <f t="shared" si="46"/>
        <v>-2.7686451687299257E-2</v>
      </c>
      <c r="AC149" s="48">
        <f t="shared" si="35"/>
        <v>1.092896174863388E-3</v>
      </c>
      <c r="AD149" s="48">
        <f t="shared" si="36"/>
        <v>-2.3172905525846704E-2</v>
      </c>
      <c r="AE149" s="48">
        <f t="shared" si="37"/>
        <v>-4.3331728454501686E-2</v>
      </c>
      <c r="AF149" s="48" t="e">
        <f>(#REF!-#REF!)/#REF!</f>
        <v>#REF!</v>
      </c>
    </row>
    <row r="150" spans="1:32" x14ac:dyDescent="0.3">
      <c r="A150" s="48">
        <v>20180807</v>
      </c>
      <c r="B150" s="48" t="s">
        <v>88</v>
      </c>
      <c r="C150" s="79">
        <v>0.2</v>
      </c>
      <c r="D150" s="79">
        <f t="shared" si="38"/>
        <v>0.2206839241579229</v>
      </c>
      <c r="E150" s="49">
        <v>45800</v>
      </c>
      <c r="F150" s="49">
        <v>46700</v>
      </c>
      <c r="G150" s="49">
        <v>6419324700</v>
      </c>
      <c r="H150" s="49">
        <f t="shared" si="39"/>
        <v>0.227928098803895</v>
      </c>
      <c r="I150" s="49">
        <f t="shared" si="47"/>
        <v>0.227928098803895</v>
      </c>
      <c r="J150" s="48">
        <v>0.3</v>
      </c>
      <c r="K150" s="48">
        <f t="shared" si="40"/>
        <v>0.29907518347790768</v>
      </c>
      <c r="L150" s="48">
        <v>274000</v>
      </c>
      <c r="M150" s="48">
        <v>274500</v>
      </c>
      <c r="N150" s="51">
        <v>125395903</v>
      </c>
      <c r="O150" s="48">
        <f t="shared" si="41"/>
        <v>2.6902217281479599</v>
      </c>
      <c r="P150" s="48">
        <f t="shared" si="48"/>
        <v>2.6902217281479599</v>
      </c>
      <c r="Q150" s="49">
        <v>0.5</v>
      </c>
      <c r="R150" s="49">
        <f t="shared" si="42"/>
        <v>0.48024089236416945</v>
      </c>
      <c r="S150" s="49">
        <v>198700</v>
      </c>
      <c r="T150" s="49">
        <v>205300</v>
      </c>
      <c r="U150" s="49">
        <v>15956260</v>
      </c>
      <c r="V150" s="49">
        <f t="shared" si="43"/>
        <v>45.391285034054299</v>
      </c>
      <c r="W150" s="49">
        <f t="shared" si="49"/>
        <v>45.391285034054299</v>
      </c>
      <c r="X150" s="82">
        <f t="shared" si="44"/>
        <v>0</v>
      </c>
      <c r="Y150" s="82">
        <f t="shared" si="45"/>
        <v>274362327648340.06</v>
      </c>
      <c r="Z150" s="81">
        <f t="shared" si="50"/>
        <v>309623128276109.44</v>
      </c>
      <c r="AA150" s="80">
        <f t="shared" si="34"/>
        <v>1128.5191043901787</v>
      </c>
      <c r="AB150" s="52">
        <f t="shared" si="46"/>
        <v>2.0654571654700742E-2</v>
      </c>
      <c r="AC150" s="48">
        <f t="shared" si="35"/>
        <v>1.9650655021834062E-2</v>
      </c>
      <c r="AD150" s="48">
        <f t="shared" si="36"/>
        <v>1.8248175182481751E-3</v>
      </c>
      <c r="AE150" s="48">
        <f t="shared" si="37"/>
        <v>3.321590337191746E-2</v>
      </c>
      <c r="AF150" s="48" t="e">
        <f>(#REF!-#REF!)/#REF!</f>
        <v>#REF!</v>
      </c>
    </row>
    <row r="151" spans="1:32" x14ac:dyDescent="0.3">
      <c r="A151" s="48">
        <v>20180808</v>
      </c>
      <c r="B151" s="48" t="s">
        <v>88</v>
      </c>
      <c r="C151" s="79">
        <v>0.2</v>
      </c>
      <c r="D151" s="79">
        <f t="shared" si="38"/>
        <v>0.22398546394522909</v>
      </c>
      <c r="E151" s="49">
        <v>46700</v>
      </c>
      <c r="F151" s="49">
        <v>46800</v>
      </c>
      <c r="G151" s="49">
        <v>6419324700</v>
      </c>
      <c r="H151" s="49">
        <f t="shared" si="39"/>
        <v>0.227928098803895</v>
      </c>
      <c r="I151" s="49">
        <f t="shared" si="47"/>
        <v>0.227928098803895</v>
      </c>
      <c r="J151" s="48">
        <v>0.3</v>
      </c>
      <c r="K151" s="48">
        <f t="shared" si="40"/>
        <v>0.30455608102906262</v>
      </c>
      <c r="L151" s="48">
        <v>274500</v>
      </c>
      <c r="M151" s="48">
        <v>276000</v>
      </c>
      <c r="N151" s="51">
        <v>125395903</v>
      </c>
      <c r="O151" s="48">
        <f t="shared" si="41"/>
        <v>2.6902217281479599</v>
      </c>
      <c r="P151" s="48">
        <f t="shared" si="48"/>
        <v>2.6902217281479599</v>
      </c>
      <c r="Q151" s="49">
        <v>0.5</v>
      </c>
      <c r="R151" s="49">
        <f t="shared" si="42"/>
        <v>0.47145845502570832</v>
      </c>
      <c r="S151" s="49">
        <v>205300</v>
      </c>
      <c r="T151" s="49">
        <v>199000</v>
      </c>
      <c r="U151" s="49">
        <v>15956260</v>
      </c>
      <c r="V151" s="49">
        <f t="shared" si="43"/>
        <v>45.391285034054299</v>
      </c>
      <c r="W151" s="49">
        <f t="shared" si="49"/>
        <v>45.391285034054299</v>
      </c>
      <c r="X151" s="82">
        <f t="shared" si="44"/>
        <v>0</v>
      </c>
      <c r="Y151" s="82">
        <f t="shared" si="45"/>
        <v>274362327648340.06</v>
      </c>
      <c r="Z151" s="81">
        <f t="shared" si="50"/>
        <v>305712523479717.87</v>
      </c>
      <c r="AA151" s="80">
        <f t="shared" si="34"/>
        <v>1114.265672332247</v>
      </c>
      <c r="AB151" s="52">
        <f t="shared" si="46"/>
        <v>-1.2630208919355224E-2</v>
      </c>
      <c r="AC151" s="48">
        <f t="shared" si="35"/>
        <v>2.1413276231263384E-3</v>
      </c>
      <c r="AD151" s="48">
        <f t="shared" si="36"/>
        <v>5.4644808743169399E-3</v>
      </c>
      <c r="AE151" s="48">
        <f t="shared" si="37"/>
        <v>-3.0686799805163176E-2</v>
      </c>
      <c r="AF151" s="48" t="e">
        <f>(#REF!-#REF!)/#REF!</f>
        <v>#REF!</v>
      </c>
    </row>
    <row r="152" spans="1:32" x14ac:dyDescent="0.3">
      <c r="A152" s="48">
        <v>20180809</v>
      </c>
      <c r="B152" s="48" t="s">
        <v>88</v>
      </c>
      <c r="C152" s="79">
        <v>0.2</v>
      </c>
      <c r="D152" s="79">
        <f t="shared" si="38"/>
        <v>0.22178328706177289</v>
      </c>
      <c r="E152" s="49">
        <v>46800</v>
      </c>
      <c r="F152" s="49">
        <v>46900</v>
      </c>
      <c r="G152" s="49">
        <v>6419324700</v>
      </c>
      <c r="H152" s="49">
        <f t="shared" si="39"/>
        <v>0.227928098803895</v>
      </c>
      <c r="I152" s="49">
        <f t="shared" si="47"/>
        <v>0.227928098803895</v>
      </c>
      <c r="J152" s="48">
        <v>0.3</v>
      </c>
      <c r="K152" s="48">
        <f t="shared" si="40"/>
        <v>0.30091876236745585</v>
      </c>
      <c r="L152" s="48">
        <v>276000</v>
      </c>
      <c r="M152" s="48">
        <v>276000</v>
      </c>
      <c r="N152" s="51">
        <v>125395903</v>
      </c>
      <c r="O152" s="48">
        <f t="shared" si="41"/>
        <v>2.6902217281479599</v>
      </c>
      <c r="P152" s="48">
        <f t="shared" si="48"/>
        <v>2.6902217281479599</v>
      </c>
      <c r="Q152" s="49">
        <v>0.5</v>
      </c>
      <c r="R152" s="49">
        <f t="shared" si="42"/>
        <v>0.47729795057077135</v>
      </c>
      <c r="S152" s="49">
        <v>199000</v>
      </c>
      <c r="T152" s="49">
        <v>203900</v>
      </c>
      <c r="U152" s="49">
        <v>15956260</v>
      </c>
      <c r="V152" s="49">
        <f t="shared" si="43"/>
        <v>45.391285034054299</v>
      </c>
      <c r="W152" s="49">
        <f t="shared" si="49"/>
        <v>45.391285034054299</v>
      </c>
      <c r="X152" s="82">
        <f t="shared" si="44"/>
        <v>0</v>
      </c>
      <c r="Y152" s="82">
        <f t="shared" si="45"/>
        <v>274362327648340.06</v>
      </c>
      <c r="Z152" s="81">
        <f t="shared" si="50"/>
        <v>309407786141279.12</v>
      </c>
      <c r="AA152" s="80">
        <f t="shared" si="34"/>
        <v>1127.734222089915</v>
      </c>
      <c r="AB152" s="52">
        <f t="shared" si="46"/>
        <v>1.2087377446957658E-2</v>
      </c>
      <c r="AC152" s="48">
        <f t="shared" si="35"/>
        <v>2.136752136752137E-3</v>
      </c>
      <c r="AD152" s="48">
        <f t="shared" si="36"/>
        <v>0</v>
      </c>
      <c r="AE152" s="48">
        <f t="shared" si="37"/>
        <v>2.4623115577889446E-2</v>
      </c>
      <c r="AF152" s="48" t="e">
        <f>(#REF!-#REF!)/#REF!</f>
        <v>#REF!</v>
      </c>
    </row>
    <row r="153" spans="1:32" x14ac:dyDescent="0.3">
      <c r="A153" s="48">
        <v>20180810</v>
      </c>
      <c r="B153" s="48" t="s">
        <v>88</v>
      </c>
      <c r="C153" s="79">
        <v>0.2</v>
      </c>
      <c r="D153" s="79">
        <f t="shared" si="38"/>
        <v>0.21790002184030977</v>
      </c>
      <c r="E153" s="49">
        <v>46900</v>
      </c>
      <c r="F153" s="49">
        <v>45400</v>
      </c>
      <c r="G153" s="49">
        <v>6419324700</v>
      </c>
      <c r="H153" s="49">
        <f t="shared" si="39"/>
        <v>0.227928098803895</v>
      </c>
      <c r="I153" s="49">
        <f t="shared" si="47"/>
        <v>0.227928098803895</v>
      </c>
      <c r="J153" s="48">
        <v>0.3</v>
      </c>
      <c r="K153" s="48">
        <f t="shared" si="40"/>
        <v>0.30099171165267036</v>
      </c>
      <c r="L153" s="48">
        <v>276000</v>
      </c>
      <c r="M153" s="48">
        <v>272000</v>
      </c>
      <c r="N153" s="51">
        <v>125395903</v>
      </c>
      <c r="O153" s="48">
        <f t="shared" si="41"/>
        <v>2.6902217281479599</v>
      </c>
      <c r="P153" s="48">
        <f t="shared" si="48"/>
        <v>2.6902217281479599</v>
      </c>
      <c r="Q153" s="49">
        <v>0.5</v>
      </c>
      <c r="R153" s="49">
        <f t="shared" si="42"/>
        <v>0.48110826650701993</v>
      </c>
      <c r="S153" s="49">
        <v>203900</v>
      </c>
      <c r="T153" s="49">
        <v>202500</v>
      </c>
      <c r="U153" s="49">
        <v>15956260</v>
      </c>
      <c r="V153" s="49">
        <f t="shared" si="43"/>
        <v>45.391285034054299</v>
      </c>
      <c r="W153" s="49">
        <f t="shared" si="49"/>
        <v>45.391285034054299</v>
      </c>
      <c r="X153" s="82">
        <f t="shared" si="44"/>
        <v>0</v>
      </c>
      <c r="Y153" s="82">
        <f t="shared" si="45"/>
        <v>274362327648340.06</v>
      </c>
      <c r="Z153" s="81">
        <f t="shared" si="50"/>
        <v>304849713094047.5</v>
      </c>
      <c r="AA153" s="80">
        <f t="shared" si="34"/>
        <v>1111.1208878676091</v>
      </c>
      <c r="AB153" s="52">
        <f t="shared" si="46"/>
        <v>-1.4731604217452997E-2</v>
      </c>
      <c r="AC153" s="48">
        <f t="shared" si="35"/>
        <v>-3.1982942430703626E-2</v>
      </c>
      <c r="AD153" s="48">
        <f t="shared" si="36"/>
        <v>-1.4492753623188406E-2</v>
      </c>
      <c r="AE153" s="48">
        <f t="shared" si="37"/>
        <v>-6.8661108386463953E-3</v>
      </c>
      <c r="AF153" s="48" t="e">
        <f>(#REF!-#REF!)/#REF!</f>
        <v>#REF!</v>
      </c>
    </row>
    <row r="154" spans="1:32" x14ac:dyDescent="0.3">
      <c r="A154" s="48">
        <v>20180813</v>
      </c>
      <c r="B154" s="48" t="s">
        <v>88</v>
      </c>
      <c r="C154" s="79">
        <v>0.2</v>
      </c>
      <c r="D154" s="79">
        <f t="shared" si="38"/>
        <v>0.22265449959685191</v>
      </c>
      <c r="E154" s="49">
        <v>45400</v>
      </c>
      <c r="F154" s="49">
        <v>45050</v>
      </c>
      <c r="G154" s="49">
        <v>6419324700</v>
      </c>
      <c r="H154" s="49">
        <f t="shared" si="39"/>
        <v>0.227928098803895</v>
      </c>
      <c r="I154" s="49">
        <f t="shared" si="47"/>
        <v>0.227928098803895</v>
      </c>
      <c r="J154" s="48">
        <v>0.3</v>
      </c>
      <c r="K154" s="48">
        <f t="shared" si="40"/>
        <v>0.29684423587337272</v>
      </c>
      <c r="L154" s="48">
        <v>272000</v>
      </c>
      <c r="M154" s="48">
        <v>260500</v>
      </c>
      <c r="N154" s="51">
        <v>125395903</v>
      </c>
      <c r="O154" s="48">
        <f t="shared" si="41"/>
        <v>2.6902217281479599</v>
      </c>
      <c r="P154" s="48">
        <f t="shared" si="48"/>
        <v>2.6902217281479599</v>
      </c>
      <c r="Q154" s="49">
        <v>0.5</v>
      </c>
      <c r="R154" s="49">
        <f t="shared" si="42"/>
        <v>0.48050126452977532</v>
      </c>
      <c r="S154" s="49">
        <v>202500</v>
      </c>
      <c r="T154" s="49">
        <v>196400</v>
      </c>
      <c r="U154" s="49">
        <v>15956260</v>
      </c>
      <c r="V154" s="49">
        <f t="shared" si="43"/>
        <v>45.391285034054299</v>
      </c>
      <c r="W154" s="49">
        <f t="shared" si="49"/>
        <v>45.391285034054299</v>
      </c>
      <c r="X154" s="82">
        <f t="shared" si="44"/>
        <v>0</v>
      </c>
      <c r="Y154" s="82">
        <f t="shared" si="45"/>
        <v>274362327648340.06</v>
      </c>
      <c r="Z154" s="81">
        <f t="shared" si="50"/>
        <v>296040092135962</v>
      </c>
      <c r="AA154" s="80">
        <f t="shared" si="34"/>
        <v>1079.0114469192254</v>
      </c>
      <c r="AB154" s="52">
        <f t="shared" si="46"/>
        <v>-2.889824257557257E-2</v>
      </c>
      <c r="AC154" s="48">
        <f t="shared" si="35"/>
        <v>-7.709251101321586E-3</v>
      </c>
      <c r="AD154" s="48">
        <f t="shared" si="36"/>
        <v>-4.2279411764705885E-2</v>
      </c>
      <c r="AE154" s="48">
        <f t="shared" si="37"/>
        <v>-3.0123456790123456E-2</v>
      </c>
      <c r="AF154" s="48" t="e">
        <f>(#REF!-#REF!)/#REF!</f>
        <v>#REF!</v>
      </c>
    </row>
    <row r="155" spans="1:32" x14ac:dyDescent="0.3">
      <c r="A155" s="48">
        <v>20180814</v>
      </c>
      <c r="B155" s="48" t="s">
        <v>88</v>
      </c>
      <c r="C155" s="79">
        <v>0.2</v>
      </c>
      <c r="D155" s="79">
        <f t="shared" si="38"/>
        <v>0.22209737070834468</v>
      </c>
      <c r="E155" s="49">
        <v>45050</v>
      </c>
      <c r="F155" s="49">
        <v>45150</v>
      </c>
      <c r="G155" s="49">
        <v>6419324700</v>
      </c>
      <c r="H155" s="49">
        <f t="shared" si="39"/>
        <v>0.227928098803895</v>
      </c>
      <c r="I155" s="49">
        <f t="shared" si="47"/>
        <v>0.227928098803895</v>
      </c>
      <c r="J155" s="48">
        <v>0.3</v>
      </c>
      <c r="K155" s="48">
        <f t="shared" si="40"/>
        <v>0.296012725474673</v>
      </c>
      <c r="L155" s="48">
        <v>260500</v>
      </c>
      <c r="M155" s="48">
        <v>261000</v>
      </c>
      <c r="N155" s="51">
        <v>125395903</v>
      </c>
      <c r="O155" s="48">
        <f t="shared" si="41"/>
        <v>2.6902217281479599</v>
      </c>
      <c r="P155" s="48">
        <f t="shared" si="48"/>
        <v>2.6902217281479599</v>
      </c>
      <c r="Q155" s="49">
        <v>0.5</v>
      </c>
      <c r="R155" s="49">
        <f t="shared" si="42"/>
        <v>0.48188990381698221</v>
      </c>
      <c r="S155" s="49">
        <v>196400</v>
      </c>
      <c r="T155" s="49">
        <v>197900</v>
      </c>
      <c r="U155" s="49">
        <v>15956260</v>
      </c>
      <c r="V155" s="49">
        <f t="shared" si="43"/>
        <v>45.391285034054299</v>
      </c>
      <c r="W155" s="49">
        <f t="shared" si="49"/>
        <v>45.391285034054299</v>
      </c>
      <c r="X155" s="82">
        <f t="shared" si="44"/>
        <v>0</v>
      </c>
      <c r="Y155" s="82">
        <f t="shared" si="45"/>
        <v>274362327648340.06</v>
      </c>
      <c r="Z155" s="81">
        <f t="shared" si="50"/>
        <v>297441490693451.5</v>
      </c>
      <c r="AA155" s="80">
        <f t="shared" si="34"/>
        <v>1084.1192857741491</v>
      </c>
      <c r="AB155" s="52">
        <f t="shared" si="46"/>
        <v>4.7338134081038683E-3</v>
      </c>
      <c r="AC155" s="48">
        <f t="shared" si="35"/>
        <v>2.2197558268590455E-3</v>
      </c>
      <c r="AD155" s="48">
        <f t="shared" si="36"/>
        <v>1.9193857965451055E-3</v>
      </c>
      <c r="AE155" s="48">
        <f t="shared" si="37"/>
        <v>7.6374745417515273E-3</v>
      </c>
      <c r="AF155" s="48" t="e">
        <f>(#REF!-#REF!)/#REF!</f>
        <v>#REF!</v>
      </c>
    </row>
    <row r="156" spans="1:32" x14ac:dyDescent="0.3">
      <c r="A156" s="48">
        <v>20180816</v>
      </c>
      <c r="B156" s="48" t="s">
        <v>88</v>
      </c>
      <c r="C156" s="79">
        <v>0.2</v>
      </c>
      <c r="D156" s="79">
        <f t="shared" si="38"/>
        <v>0.22154492000179021</v>
      </c>
      <c r="E156" s="49">
        <v>45150</v>
      </c>
      <c r="F156" s="49">
        <v>44250</v>
      </c>
      <c r="G156" s="49">
        <v>6419324700</v>
      </c>
      <c r="H156" s="49">
        <f t="shared" si="39"/>
        <v>0.227928098803895</v>
      </c>
      <c r="I156" s="49">
        <f t="shared" si="47"/>
        <v>0.227928098803895</v>
      </c>
      <c r="J156" s="48">
        <v>0.3</v>
      </c>
      <c r="K156" s="48">
        <f t="shared" si="40"/>
        <v>0.29839619455779581</v>
      </c>
      <c r="L156" s="48">
        <v>261000</v>
      </c>
      <c r="M156" s="48">
        <v>258500</v>
      </c>
      <c r="N156" s="51">
        <v>125395903</v>
      </c>
      <c r="O156" s="48">
        <f t="shared" si="41"/>
        <v>2.6902217281479599</v>
      </c>
      <c r="P156" s="48">
        <f t="shared" si="48"/>
        <v>2.6902217281479599</v>
      </c>
      <c r="Q156" s="49">
        <v>0.5</v>
      </c>
      <c r="R156" s="49">
        <f t="shared" si="42"/>
        <v>0.48005888544041386</v>
      </c>
      <c r="S156" s="49">
        <v>197900</v>
      </c>
      <c r="T156" s="49">
        <v>193700</v>
      </c>
      <c r="U156" s="49">
        <v>15956260</v>
      </c>
      <c r="V156" s="49">
        <f t="shared" si="43"/>
        <v>45.391285034054299</v>
      </c>
      <c r="W156" s="49">
        <f t="shared" si="49"/>
        <v>45.391285034054299</v>
      </c>
      <c r="X156" s="82">
        <f t="shared" si="44"/>
        <v>0</v>
      </c>
      <c r="Y156" s="82">
        <f t="shared" si="45"/>
        <v>274362327648340.06</v>
      </c>
      <c r="Z156" s="81">
        <f t="shared" si="50"/>
        <v>292239348097147.44</v>
      </c>
      <c r="AA156" s="80">
        <f t="shared" si="34"/>
        <v>1065.1584370275534</v>
      </c>
      <c r="AB156" s="52">
        <f t="shared" si="46"/>
        <v>-1.7489633286115878E-2</v>
      </c>
      <c r="AC156" s="48">
        <f t="shared" si="35"/>
        <v>-1.9933554817275746E-2</v>
      </c>
      <c r="AD156" s="48">
        <f t="shared" si="36"/>
        <v>-9.5785440613026813E-3</v>
      </c>
      <c r="AE156" s="48">
        <f t="shared" si="37"/>
        <v>-2.1222839818089943E-2</v>
      </c>
      <c r="AF156" s="48" t="e">
        <f>(#REF!-#REF!)/#REF!</f>
        <v>#REF!</v>
      </c>
    </row>
    <row r="157" spans="1:32" x14ac:dyDescent="0.3">
      <c r="A157" s="48">
        <v>20180817</v>
      </c>
      <c r="B157" s="48" t="s">
        <v>88</v>
      </c>
      <c r="C157" s="79">
        <v>0.2</v>
      </c>
      <c r="D157" s="79">
        <f t="shared" si="38"/>
        <v>0.21571872478259835</v>
      </c>
      <c r="E157" s="49">
        <v>44250</v>
      </c>
      <c r="F157" s="49">
        <v>44100</v>
      </c>
      <c r="G157" s="49">
        <v>6419324700</v>
      </c>
      <c r="H157" s="49">
        <f t="shared" si="39"/>
        <v>0.227928098803895</v>
      </c>
      <c r="I157" s="49">
        <f t="shared" si="47"/>
        <v>0.227928098803895</v>
      </c>
      <c r="J157" s="48">
        <v>0.3</v>
      </c>
      <c r="K157" s="48">
        <f t="shared" si="40"/>
        <v>0.2966123399815595</v>
      </c>
      <c r="L157" s="48">
        <v>258500</v>
      </c>
      <c r="M157" s="48">
        <v>263000</v>
      </c>
      <c r="N157" s="51">
        <v>125395903</v>
      </c>
      <c r="O157" s="48">
        <f t="shared" si="41"/>
        <v>2.6902217281479599</v>
      </c>
      <c r="P157" s="48">
        <f t="shared" si="48"/>
        <v>2.6902217281479599</v>
      </c>
      <c r="Q157" s="49">
        <v>0.5</v>
      </c>
      <c r="R157" s="49">
        <f t="shared" si="42"/>
        <v>0.48766893523584209</v>
      </c>
      <c r="S157" s="49">
        <v>193700</v>
      </c>
      <c r="T157" s="49">
        <v>201400</v>
      </c>
      <c r="U157" s="49">
        <v>15956260</v>
      </c>
      <c r="V157" s="49">
        <f t="shared" si="43"/>
        <v>45.391285034054299</v>
      </c>
      <c r="W157" s="49">
        <f t="shared" si="49"/>
        <v>45.391285034054299</v>
      </c>
      <c r="X157" s="82">
        <f t="shared" si="44"/>
        <v>0</v>
      </c>
      <c r="Y157" s="82">
        <f t="shared" si="45"/>
        <v>274362327648340.06</v>
      </c>
      <c r="Z157" s="81">
        <f t="shared" si="50"/>
        <v>299114837571075.62</v>
      </c>
      <c r="AA157" s="80">
        <f t="shared" si="34"/>
        <v>1090.2183260176366</v>
      </c>
      <c r="AB157" s="52">
        <f t="shared" si="46"/>
        <v>2.3526912165307255E-2</v>
      </c>
      <c r="AC157" s="48">
        <f t="shared" si="35"/>
        <v>-3.3898305084745762E-3</v>
      </c>
      <c r="AD157" s="48">
        <f t="shared" si="36"/>
        <v>1.7408123791102514E-2</v>
      </c>
      <c r="AE157" s="48">
        <f t="shared" si="37"/>
        <v>3.9752194114610222E-2</v>
      </c>
      <c r="AF157" s="48" t="e">
        <f>(#REF!-#REF!)/#REF!</f>
        <v>#REF!</v>
      </c>
    </row>
    <row r="158" spans="1:32" x14ac:dyDescent="0.3">
      <c r="A158" s="48">
        <v>20180820</v>
      </c>
      <c r="B158" s="48" t="s">
        <v>88</v>
      </c>
      <c r="C158" s="79">
        <v>0.2</v>
      </c>
      <c r="D158" s="79">
        <f t="shared" si="38"/>
        <v>0.2154539663142862</v>
      </c>
      <c r="E158" s="49">
        <v>44100</v>
      </c>
      <c r="F158" s="49">
        <v>43850</v>
      </c>
      <c r="G158" s="49">
        <v>6419324700</v>
      </c>
      <c r="H158" s="49">
        <f t="shared" si="39"/>
        <v>0.227928098803895</v>
      </c>
      <c r="I158" s="49">
        <f t="shared" si="47"/>
        <v>0.227928098803895</v>
      </c>
      <c r="J158" s="48">
        <v>0.3</v>
      </c>
      <c r="K158" s="48">
        <f t="shared" si="40"/>
        <v>0.2956716023009251</v>
      </c>
      <c r="L158" s="48">
        <v>263000</v>
      </c>
      <c r="M158" s="48">
        <v>261000</v>
      </c>
      <c r="N158" s="51">
        <v>125395903</v>
      </c>
      <c r="O158" s="48">
        <f t="shared" si="41"/>
        <v>2.6902217281479599</v>
      </c>
      <c r="P158" s="48">
        <f t="shared" si="48"/>
        <v>2.6902217281479599</v>
      </c>
      <c r="Q158" s="49">
        <v>0.5</v>
      </c>
      <c r="R158" s="49">
        <f t="shared" si="42"/>
        <v>0.4888744313847887</v>
      </c>
      <c r="S158" s="49">
        <v>201400</v>
      </c>
      <c r="T158" s="49">
        <v>201000</v>
      </c>
      <c r="U158" s="49">
        <v>15956260</v>
      </c>
      <c r="V158" s="49">
        <f t="shared" si="43"/>
        <v>45.391285034054299</v>
      </c>
      <c r="W158" s="49">
        <f t="shared" si="49"/>
        <v>45.391285034054299</v>
      </c>
      <c r="X158" s="82">
        <f t="shared" si="44"/>
        <v>0</v>
      </c>
      <c r="Y158" s="82">
        <f t="shared" si="45"/>
        <v>274362327648340.06</v>
      </c>
      <c r="Z158" s="81">
        <f t="shared" si="50"/>
        <v>297784655828419</v>
      </c>
      <c r="AA158" s="80">
        <f t="shared" si="34"/>
        <v>1085.3700592965524</v>
      </c>
      <c r="AB158" s="52">
        <f t="shared" si="46"/>
        <v>-4.447060378074923E-3</v>
      </c>
      <c r="AC158" s="48">
        <f t="shared" si="35"/>
        <v>-5.6689342403628117E-3</v>
      </c>
      <c r="AD158" s="48">
        <f t="shared" si="36"/>
        <v>-7.6045627376425855E-3</v>
      </c>
      <c r="AE158" s="48">
        <f t="shared" si="37"/>
        <v>-1.9860973187686196E-3</v>
      </c>
      <c r="AF158" s="48" t="e">
        <f>(#REF!-#REF!)/#REF!</f>
        <v>#REF!</v>
      </c>
    </row>
    <row r="159" spans="1:32" x14ac:dyDescent="0.3">
      <c r="A159" s="48">
        <v>20180821</v>
      </c>
      <c r="B159" s="48" t="s">
        <v>88</v>
      </c>
      <c r="C159" s="79">
        <v>0.2</v>
      </c>
      <c r="D159" s="79">
        <f t="shared" si="38"/>
        <v>0.20912869038239132</v>
      </c>
      <c r="E159" s="49">
        <v>43850</v>
      </c>
      <c r="F159" s="49">
        <v>44800</v>
      </c>
      <c r="G159" s="49">
        <v>6419324700</v>
      </c>
      <c r="H159" s="49">
        <f t="shared" si="39"/>
        <v>0.227928098803895</v>
      </c>
      <c r="I159" s="49">
        <f t="shared" si="47"/>
        <v>0.227928098803895</v>
      </c>
      <c r="J159" s="48">
        <v>0.3</v>
      </c>
      <c r="K159" s="48">
        <f t="shared" si="40"/>
        <v>0.28897755055622276</v>
      </c>
      <c r="L159" s="48">
        <v>261000</v>
      </c>
      <c r="M159" s="48">
        <v>268500</v>
      </c>
      <c r="N159" s="51">
        <v>125395903</v>
      </c>
      <c r="O159" s="48">
        <f t="shared" si="41"/>
        <v>2.6902217281479599</v>
      </c>
      <c r="P159" s="48">
        <f t="shared" si="48"/>
        <v>2.6902217281479599</v>
      </c>
      <c r="Q159" s="49">
        <v>0.5</v>
      </c>
      <c r="R159" s="49">
        <f t="shared" si="42"/>
        <v>0.501893759061386</v>
      </c>
      <c r="S159" s="49">
        <v>201000</v>
      </c>
      <c r="T159" s="49">
        <v>217200</v>
      </c>
      <c r="U159" s="49">
        <v>15956260</v>
      </c>
      <c r="V159" s="49">
        <f t="shared" si="43"/>
        <v>45.391285034054299</v>
      </c>
      <c r="W159" s="49">
        <f t="shared" si="49"/>
        <v>45.391285034054299</v>
      </c>
      <c r="X159" s="82">
        <f t="shared" si="44"/>
        <v>0</v>
      </c>
      <c r="Y159" s="82">
        <f t="shared" si="45"/>
        <v>274362327648340.06</v>
      </c>
      <c r="Z159" s="81">
        <f t="shared" si="50"/>
        <v>313437971311653.25</v>
      </c>
      <c r="AA159" s="80">
        <f t="shared" si="34"/>
        <v>1142.4235025203527</v>
      </c>
      <c r="AB159" s="52">
        <f t="shared" si="46"/>
        <v>5.2565890071426542E-2</v>
      </c>
      <c r="AC159" s="48">
        <f t="shared" si="35"/>
        <v>2.1664766248574687E-2</v>
      </c>
      <c r="AD159" s="48">
        <f t="shared" si="36"/>
        <v>2.8735632183908046E-2</v>
      </c>
      <c r="AE159" s="48">
        <f t="shared" si="37"/>
        <v>8.0597014925373134E-2</v>
      </c>
      <c r="AF159" s="48" t="e">
        <f>(#REF!-#REF!)/#REF!</f>
        <v>#REF!</v>
      </c>
    </row>
    <row r="160" spans="1:32" x14ac:dyDescent="0.3">
      <c r="A160" s="48">
        <v>20180822</v>
      </c>
      <c r="B160" s="48" t="s">
        <v>88</v>
      </c>
      <c r="C160" s="79">
        <v>0.2</v>
      </c>
      <c r="D160" s="79">
        <f t="shared" si="38"/>
        <v>0.2139482570032564</v>
      </c>
      <c r="E160" s="49">
        <v>44800</v>
      </c>
      <c r="F160" s="49">
        <v>46100</v>
      </c>
      <c r="G160" s="49">
        <v>6419324700</v>
      </c>
      <c r="H160" s="49">
        <f t="shared" si="39"/>
        <v>0.227928098803895</v>
      </c>
      <c r="I160" s="49">
        <f t="shared" si="47"/>
        <v>0.227928098803895</v>
      </c>
      <c r="J160" s="48">
        <v>0.3</v>
      </c>
      <c r="K160" s="48">
        <f t="shared" si="40"/>
        <v>0.28730046512317009</v>
      </c>
      <c r="L160" s="48">
        <v>268500</v>
      </c>
      <c r="M160" s="48">
        <v>268500</v>
      </c>
      <c r="N160" s="51">
        <v>125395903</v>
      </c>
      <c r="O160" s="48">
        <f t="shared" si="41"/>
        <v>2.6902217281479599</v>
      </c>
      <c r="P160" s="48">
        <f t="shared" si="48"/>
        <v>2.6902217281479599</v>
      </c>
      <c r="Q160" s="49">
        <v>0.5</v>
      </c>
      <c r="R160" s="49">
        <f t="shared" si="42"/>
        <v>0.49875127787357365</v>
      </c>
      <c r="S160" s="49">
        <v>217200</v>
      </c>
      <c r="T160" s="49">
        <v>217100</v>
      </c>
      <c r="U160" s="49">
        <v>15956260</v>
      </c>
      <c r="V160" s="49">
        <f t="shared" si="43"/>
        <v>45.391285034054299</v>
      </c>
      <c r="W160" s="49">
        <f t="shared" si="49"/>
        <v>45.391285034054299</v>
      </c>
      <c r="X160" s="82">
        <f t="shared" si="44"/>
        <v>0</v>
      </c>
      <c r="Y160" s="82">
        <f t="shared" si="45"/>
        <v>274362327648340.06</v>
      </c>
      <c r="Z160" s="81">
        <f t="shared" si="50"/>
        <v>315267631613898.12</v>
      </c>
      <c r="AA160" s="80">
        <f t="shared" si="34"/>
        <v>1149.0922763200485</v>
      </c>
      <c r="AB160" s="52">
        <f t="shared" si="46"/>
        <v>5.8373919872827728E-3</v>
      </c>
      <c r="AC160" s="48">
        <f t="shared" si="35"/>
        <v>2.9017857142857144E-2</v>
      </c>
      <c r="AD160" s="48">
        <f t="shared" si="36"/>
        <v>0</v>
      </c>
      <c r="AE160" s="48">
        <f t="shared" si="37"/>
        <v>-4.6040515653775324E-4</v>
      </c>
      <c r="AF160" s="48" t="e">
        <f>(#REF!-#REF!)/#REF!</f>
        <v>#REF!</v>
      </c>
    </row>
    <row r="161" spans="1:32" x14ac:dyDescent="0.3">
      <c r="A161" s="48">
        <v>20180823</v>
      </c>
      <c r="B161" s="48" t="s">
        <v>88</v>
      </c>
      <c r="C161" s="79">
        <v>0.2</v>
      </c>
      <c r="D161" s="79">
        <f t="shared" si="38"/>
        <v>0.21286521844051645</v>
      </c>
      <c r="E161" s="49">
        <v>46100</v>
      </c>
      <c r="F161" s="49">
        <v>46200</v>
      </c>
      <c r="G161" s="49">
        <v>6419324700</v>
      </c>
      <c r="H161" s="49">
        <f t="shared" si="39"/>
        <v>0.227928098803895</v>
      </c>
      <c r="I161" s="49">
        <f t="shared" si="47"/>
        <v>0.227928098803895</v>
      </c>
      <c r="J161" s="48">
        <v>0.3</v>
      </c>
      <c r="K161" s="48">
        <f t="shared" si="40"/>
        <v>0.29107003879292698</v>
      </c>
      <c r="L161" s="48">
        <v>268500</v>
      </c>
      <c r="M161" s="48">
        <v>274000</v>
      </c>
      <c r="N161" s="51">
        <v>125395903</v>
      </c>
      <c r="O161" s="48">
        <f t="shared" si="41"/>
        <v>2.6902217281479599</v>
      </c>
      <c r="P161" s="48">
        <f t="shared" si="48"/>
        <v>2.6902217281479599</v>
      </c>
      <c r="Q161" s="49">
        <v>0.5</v>
      </c>
      <c r="R161" s="49">
        <f t="shared" si="42"/>
        <v>0.4960647427665566</v>
      </c>
      <c r="S161" s="49">
        <v>217100</v>
      </c>
      <c r="T161" s="49">
        <v>217500</v>
      </c>
      <c r="U161" s="49">
        <v>15956260</v>
      </c>
      <c r="V161" s="49">
        <f t="shared" si="43"/>
        <v>45.391285034054299</v>
      </c>
      <c r="W161" s="49">
        <f t="shared" si="49"/>
        <v>45.391285034054299</v>
      </c>
      <c r="X161" s="82">
        <f t="shared" si="44"/>
        <v>0</v>
      </c>
      <c r="Y161" s="82">
        <f t="shared" si="45"/>
        <v>274362327648340.06</v>
      </c>
      <c r="Z161" s="81">
        <f t="shared" si="50"/>
        <v>317559041425433.06</v>
      </c>
      <c r="AA161" s="80">
        <f t="shared" si="34"/>
        <v>1157.4440417798894</v>
      </c>
      <c r="AB161" s="52">
        <f t="shared" si="46"/>
        <v>7.2681416731711669E-3</v>
      </c>
      <c r="AC161" s="48">
        <f t="shared" si="35"/>
        <v>2.1691973969631237E-3</v>
      </c>
      <c r="AD161" s="48">
        <f t="shared" si="36"/>
        <v>2.0484171322160148E-2</v>
      </c>
      <c r="AE161" s="48">
        <f t="shared" si="37"/>
        <v>1.8424689083371719E-3</v>
      </c>
      <c r="AF161" s="48" t="e">
        <f>(#REF!-#REF!)/#REF!</f>
        <v>#REF!</v>
      </c>
    </row>
    <row r="162" spans="1:32" x14ac:dyDescent="0.3">
      <c r="A162" s="48">
        <v>20180824</v>
      </c>
      <c r="B162" s="48" t="s">
        <v>88</v>
      </c>
      <c r="C162" s="79">
        <v>0.2</v>
      </c>
      <c r="D162" s="79">
        <f t="shared" si="38"/>
        <v>0.20973566869424978</v>
      </c>
      <c r="E162" s="49">
        <v>46200</v>
      </c>
      <c r="F162" s="49">
        <v>46150</v>
      </c>
      <c r="G162" s="49">
        <v>6419324700</v>
      </c>
      <c r="H162" s="49">
        <f t="shared" si="39"/>
        <v>0.227928098803895</v>
      </c>
      <c r="I162" s="49">
        <f t="shared" si="47"/>
        <v>0.227928098803895</v>
      </c>
      <c r="J162" s="48">
        <v>0.3</v>
      </c>
      <c r="K162" s="48">
        <f t="shared" si="40"/>
        <v>0.29286442069092739</v>
      </c>
      <c r="L162" s="48">
        <v>274000</v>
      </c>
      <c r="M162" s="48">
        <v>279500</v>
      </c>
      <c r="N162" s="51">
        <v>125395903</v>
      </c>
      <c r="O162" s="48">
        <f t="shared" si="41"/>
        <v>2.6902217281479599</v>
      </c>
      <c r="P162" s="48">
        <f t="shared" si="48"/>
        <v>2.6902217281479599</v>
      </c>
      <c r="Q162" s="49">
        <v>0.5</v>
      </c>
      <c r="R162" s="49">
        <f t="shared" si="42"/>
        <v>0.49739991061482292</v>
      </c>
      <c r="S162" s="49">
        <v>217500</v>
      </c>
      <c r="T162" s="49">
        <v>221100</v>
      </c>
      <c r="U162" s="49">
        <v>15956260</v>
      </c>
      <c r="V162" s="49">
        <f t="shared" si="43"/>
        <v>45.391285034054299</v>
      </c>
      <c r="W162" s="49">
        <f t="shared" si="49"/>
        <v>45.391285034054299</v>
      </c>
      <c r="X162" s="82">
        <f t="shared" si="44"/>
        <v>0</v>
      </c>
      <c r="Y162" s="82">
        <f t="shared" si="45"/>
        <v>274362327648340.06</v>
      </c>
      <c r="Z162" s="81">
        <f t="shared" si="50"/>
        <v>321948660032156.5</v>
      </c>
      <c r="AA162" s="80">
        <f t="shared" si="34"/>
        <v>1173.4433906859456</v>
      </c>
      <c r="AB162" s="52">
        <f t="shared" si="46"/>
        <v>1.3822999927886598E-2</v>
      </c>
      <c r="AC162" s="48">
        <f t="shared" si="35"/>
        <v>-1.0822510822510823E-3</v>
      </c>
      <c r="AD162" s="48">
        <f t="shared" si="36"/>
        <v>2.0072992700729927E-2</v>
      </c>
      <c r="AE162" s="48">
        <f t="shared" si="37"/>
        <v>1.6551724137931035E-2</v>
      </c>
      <c r="AF162" s="48" t="e">
        <f>(#REF!-#REF!)/#REF!</f>
        <v>#REF!</v>
      </c>
    </row>
    <row r="163" spans="1:32" x14ac:dyDescent="0.3">
      <c r="A163" s="48">
        <v>20180827</v>
      </c>
      <c r="B163" s="48" t="s">
        <v>88</v>
      </c>
      <c r="C163" s="79">
        <v>0.2</v>
      </c>
      <c r="D163" s="79">
        <f t="shared" si="38"/>
        <v>0.21074716963901902</v>
      </c>
      <c r="E163" s="49">
        <v>46150</v>
      </c>
      <c r="F163" s="49">
        <v>46300</v>
      </c>
      <c r="G163" s="49">
        <v>6419324700</v>
      </c>
      <c r="H163" s="49">
        <f t="shared" si="39"/>
        <v>0.227928098803895</v>
      </c>
      <c r="I163" s="49">
        <f t="shared" si="47"/>
        <v>0.227928098803895</v>
      </c>
      <c r="J163" s="48">
        <v>0.3</v>
      </c>
      <c r="K163" s="48">
        <f t="shared" si="40"/>
        <v>0.29174926280125069</v>
      </c>
      <c r="L163" s="48">
        <v>279500</v>
      </c>
      <c r="M163" s="48">
        <v>278000</v>
      </c>
      <c r="N163" s="51">
        <v>125395903</v>
      </c>
      <c r="O163" s="48">
        <f t="shared" si="41"/>
        <v>2.6902217281479599</v>
      </c>
      <c r="P163" s="48">
        <f t="shared" si="48"/>
        <v>2.6902217281479599</v>
      </c>
      <c r="Q163" s="49">
        <v>0.5</v>
      </c>
      <c r="R163" s="49">
        <f t="shared" si="42"/>
        <v>0.49750356755973041</v>
      </c>
      <c r="S163" s="49">
        <v>221100</v>
      </c>
      <c r="T163" s="49">
        <v>220800</v>
      </c>
      <c r="U163" s="49">
        <v>15956260</v>
      </c>
      <c r="V163" s="49">
        <f t="shared" si="43"/>
        <v>45.391285034054299</v>
      </c>
      <c r="W163" s="49">
        <f t="shared" si="49"/>
        <v>45.391285034054299</v>
      </c>
      <c r="X163" s="82">
        <f t="shared" si="44"/>
        <v>0</v>
      </c>
      <c r="Y163" s="82">
        <f t="shared" si="45"/>
        <v>274362327648340.06</v>
      </c>
      <c r="Z163" s="81">
        <f t="shared" si="50"/>
        <v>321444834985299.62</v>
      </c>
      <c r="AA163" s="80">
        <f t="shared" si="34"/>
        <v>1171.607041464187</v>
      </c>
      <c r="AB163" s="52">
        <f t="shared" si="46"/>
        <v>-1.5649235713749749E-3</v>
      </c>
      <c r="AC163" s="48">
        <f t="shared" si="35"/>
        <v>3.2502708559046588E-3</v>
      </c>
      <c r="AD163" s="48">
        <f t="shared" si="36"/>
        <v>-5.3667262969588547E-3</v>
      </c>
      <c r="AE163" s="48">
        <f t="shared" si="37"/>
        <v>-1.3568521031207597E-3</v>
      </c>
      <c r="AF163" s="48" t="e">
        <f>(#REF!-#REF!)/#REF!</f>
        <v>#REF!</v>
      </c>
    </row>
    <row r="164" spans="1:32" x14ac:dyDescent="0.3">
      <c r="A164" s="48">
        <v>20180828</v>
      </c>
      <c r="B164" s="48" t="s">
        <v>88</v>
      </c>
      <c r="C164" s="79">
        <v>0.2</v>
      </c>
      <c r="D164" s="79">
        <f t="shared" si="38"/>
        <v>0.21356297920506356</v>
      </c>
      <c r="E164" s="49">
        <v>46300</v>
      </c>
      <c r="F164" s="49">
        <v>46550</v>
      </c>
      <c r="G164" s="49">
        <v>6419324700</v>
      </c>
      <c r="H164" s="49">
        <f t="shared" si="39"/>
        <v>0.227928098803895</v>
      </c>
      <c r="I164" s="49">
        <f t="shared" si="47"/>
        <v>0.227928098803895</v>
      </c>
      <c r="J164" s="48">
        <v>0.3</v>
      </c>
      <c r="K164" s="48">
        <f t="shared" si="40"/>
        <v>0.28453963957171269</v>
      </c>
      <c r="L164" s="48">
        <v>278000</v>
      </c>
      <c r="M164" s="48">
        <v>269000</v>
      </c>
      <c r="N164" s="51">
        <v>125395903</v>
      </c>
      <c r="O164" s="48">
        <f t="shared" si="41"/>
        <v>2.6902217281479599</v>
      </c>
      <c r="P164" s="48">
        <f t="shared" si="48"/>
        <v>2.6902217281479599</v>
      </c>
      <c r="Q164" s="49">
        <v>0.5</v>
      </c>
      <c r="R164" s="49">
        <f t="shared" si="42"/>
        <v>0.50189738122322369</v>
      </c>
      <c r="S164" s="49">
        <v>220800</v>
      </c>
      <c r="T164" s="49">
        <v>221000</v>
      </c>
      <c r="U164" s="49">
        <v>15956260</v>
      </c>
      <c r="V164" s="49">
        <f t="shared" si="43"/>
        <v>45.391285034054299</v>
      </c>
      <c r="W164" s="49">
        <f t="shared" si="49"/>
        <v>45.391285034054299</v>
      </c>
      <c r="X164" s="82">
        <f t="shared" si="44"/>
        <v>0</v>
      </c>
      <c r="Y164" s="82">
        <f t="shared" si="45"/>
        <v>274362327648340.06</v>
      </c>
      <c r="Z164" s="81">
        <f t="shared" si="50"/>
        <v>318919391087224.12</v>
      </c>
      <c r="AA164" s="80">
        <f t="shared" si="34"/>
        <v>1162.4022649931533</v>
      </c>
      <c r="AB164" s="52">
        <f t="shared" si="46"/>
        <v>-7.8565390487328138E-3</v>
      </c>
      <c r="AC164" s="48">
        <f t="shared" si="35"/>
        <v>5.3995680345572351E-3</v>
      </c>
      <c r="AD164" s="48">
        <f t="shared" si="36"/>
        <v>-3.237410071942446E-2</v>
      </c>
      <c r="AE164" s="48">
        <f t="shared" si="37"/>
        <v>9.0579710144927537E-4</v>
      </c>
      <c r="AF164" s="48" t="e">
        <f>(#REF!-#REF!)/#REF!</f>
        <v>#REF!</v>
      </c>
    </row>
    <row r="165" spans="1:32" x14ac:dyDescent="0.3">
      <c r="A165" s="48">
        <v>20180829</v>
      </c>
      <c r="B165" s="48" t="s">
        <v>88</v>
      </c>
      <c r="C165" s="79">
        <v>0.2</v>
      </c>
      <c r="D165" s="79">
        <f t="shared" si="38"/>
        <v>0.21314260876612889</v>
      </c>
      <c r="E165" s="49">
        <v>46550</v>
      </c>
      <c r="F165" s="49">
        <v>46800</v>
      </c>
      <c r="G165" s="49">
        <v>6419324700</v>
      </c>
      <c r="H165" s="49">
        <f t="shared" si="39"/>
        <v>0.227928098803895</v>
      </c>
      <c r="I165" s="49">
        <f t="shared" si="47"/>
        <v>0.227928098803895</v>
      </c>
      <c r="J165" s="48">
        <v>0.3</v>
      </c>
      <c r="K165" s="48">
        <f t="shared" si="40"/>
        <v>0.28298759951889324</v>
      </c>
      <c r="L165" s="48">
        <v>269000</v>
      </c>
      <c r="M165" s="48">
        <v>269500</v>
      </c>
      <c r="N165" s="51">
        <v>125395903</v>
      </c>
      <c r="O165" s="48">
        <f t="shared" si="41"/>
        <v>2.6902217281479599</v>
      </c>
      <c r="P165" s="48">
        <f t="shared" si="48"/>
        <v>2.6902217281479599</v>
      </c>
      <c r="Q165" s="49">
        <v>0.5</v>
      </c>
      <c r="R165" s="49">
        <f t="shared" si="42"/>
        <v>0.50386979171497781</v>
      </c>
      <c r="S165" s="49">
        <v>221000</v>
      </c>
      <c r="T165" s="49">
        <v>223500</v>
      </c>
      <c r="U165" s="49">
        <v>15956260</v>
      </c>
      <c r="V165" s="49">
        <f t="shared" si="43"/>
        <v>45.391285034054299</v>
      </c>
      <c r="W165" s="49">
        <f t="shared" si="49"/>
        <v>45.391285034054299</v>
      </c>
      <c r="X165" s="82">
        <f t="shared" si="44"/>
        <v>0</v>
      </c>
      <c r="Y165" s="82">
        <f t="shared" si="45"/>
        <v>274362327648340.06</v>
      </c>
      <c r="Z165" s="81">
        <f t="shared" si="50"/>
        <v>321264536461622.5</v>
      </c>
      <c r="AA165" s="80">
        <f t="shared" si="34"/>
        <v>1170.9498866528013</v>
      </c>
      <c r="AB165" s="52">
        <f t="shared" si="46"/>
        <v>7.3534110497439345E-3</v>
      </c>
      <c r="AC165" s="48">
        <f t="shared" si="35"/>
        <v>5.3705692803437165E-3</v>
      </c>
      <c r="AD165" s="48">
        <f t="shared" si="36"/>
        <v>1.8587360594795538E-3</v>
      </c>
      <c r="AE165" s="48">
        <f t="shared" si="37"/>
        <v>1.1312217194570135E-2</v>
      </c>
      <c r="AF165" s="48" t="e">
        <f>(#REF!-#REF!)/#REF!</f>
        <v>#REF!</v>
      </c>
    </row>
    <row r="166" spans="1:32" x14ac:dyDescent="0.3">
      <c r="A166" s="48">
        <v>20180830</v>
      </c>
      <c r="B166" s="48" t="s">
        <v>88</v>
      </c>
      <c r="C166" s="79">
        <v>0.2</v>
      </c>
      <c r="D166" s="79">
        <f t="shared" si="38"/>
        <v>0.21622417558888024</v>
      </c>
      <c r="E166" s="49">
        <v>46800</v>
      </c>
      <c r="F166" s="49">
        <v>47650</v>
      </c>
      <c r="G166" s="49">
        <v>6419324700</v>
      </c>
      <c r="H166" s="49">
        <f t="shared" si="39"/>
        <v>0.227928098803895</v>
      </c>
      <c r="I166" s="49">
        <f t="shared" si="47"/>
        <v>0.227928098803895</v>
      </c>
      <c r="J166" s="48">
        <v>0.3</v>
      </c>
      <c r="K166" s="48">
        <f t="shared" si="40"/>
        <v>0.27881925987928147</v>
      </c>
      <c r="L166" s="48">
        <v>269500</v>
      </c>
      <c r="M166" s="48">
        <v>266500</v>
      </c>
      <c r="N166" s="51">
        <v>125395903</v>
      </c>
      <c r="O166" s="48">
        <f t="shared" si="41"/>
        <v>2.6902217281479599</v>
      </c>
      <c r="P166" s="48">
        <f t="shared" si="48"/>
        <v>2.6902217281479599</v>
      </c>
      <c r="Q166" s="49">
        <v>0.5</v>
      </c>
      <c r="R166" s="49">
        <f t="shared" si="42"/>
        <v>0.50495656453183813</v>
      </c>
      <c r="S166" s="49">
        <v>223500</v>
      </c>
      <c r="T166" s="49">
        <v>224800</v>
      </c>
      <c r="U166" s="49">
        <v>15956260</v>
      </c>
      <c r="V166" s="49">
        <f t="shared" si="43"/>
        <v>45.391285034054299</v>
      </c>
      <c r="W166" s="49">
        <f t="shared" si="49"/>
        <v>45.391285034054299</v>
      </c>
      <c r="X166" s="82">
        <f t="shared" si="44"/>
        <v>0</v>
      </c>
      <c r="Y166" s="82">
        <f t="shared" si="45"/>
        <v>274362327648340.06</v>
      </c>
      <c r="Z166" s="81">
        <f t="shared" si="50"/>
        <v>322437738605771.75</v>
      </c>
      <c r="AA166" s="80">
        <f t="shared" si="34"/>
        <v>1175.2259917369254</v>
      </c>
      <c r="AB166" s="52">
        <f t="shared" si="46"/>
        <v>3.6518258662182972E-3</v>
      </c>
      <c r="AC166" s="48">
        <f t="shared" si="35"/>
        <v>1.8162393162393164E-2</v>
      </c>
      <c r="AD166" s="48">
        <f t="shared" si="36"/>
        <v>-1.1131725417439703E-2</v>
      </c>
      <c r="AE166" s="48">
        <f t="shared" si="37"/>
        <v>5.8165548098434005E-3</v>
      </c>
      <c r="AF166" s="48" t="e">
        <f>(#REF!-#REF!)/#REF!</f>
        <v>#REF!</v>
      </c>
    </row>
    <row r="167" spans="1:32" x14ac:dyDescent="0.3">
      <c r="A167" s="48">
        <v>20180831</v>
      </c>
      <c r="B167" s="48" t="s">
        <v>88</v>
      </c>
      <c r="C167" s="79">
        <v>0.2</v>
      </c>
      <c r="D167" s="79">
        <f t="shared" si="38"/>
        <v>0.21243593874537736</v>
      </c>
      <c r="E167" s="49">
        <v>47650</v>
      </c>
      <c r="F167" s="49">
        <v>48450</v>
      </c>
      <c r="G167" s="49">
        <v>6419324700</v>
      </c>
      <c r="H167" s="49">
        <f t="shared" si="39"/>
        <v>0.227928098803895</v>
      </c>
      <c r="I167" s="49">
        <f t="shared" si="47"/>
        <v>0.227928098803895</v>
      </c>
      <c r="J167" s="48">
        <v>0.3</v>
      </c>
      <c r="K167" s="48">
        <f t="shared" si="40"/>
        <v>0.27294942558360896</v>
      </c>
      <c r="L167" s="48">
        <v>266500</v>
      </c>
      <c r="M167" s="48">
        <v>270000</v>
      </c>
      <c r="N167" s="51">
        <v>125395903</v>
      </c>
      <c r="O167" s="48">
        <f t="shared" si="41"/>
        <v>2.6902217281479599</v>
      </c>
      <c r="P167" s="48">
        <f t="shared" si="48"/>
        <v>2.6902217281479599</v>
      </c>
      <c r="Q167" s="49">
        <v>0.5</v>
      </c>
      <c r="R167" s="49">
        <f t="shared" si="42"/>
        <v>0.51461463567101351</v>
      </c>
      <c r="S167" s="49">
        <v>224800</v>
      </c>
      <c r="T167" s="49">
        <v>237100</v>
      </c>
      <c r="U167" s="49">
        <v>15956260</v>
      </c>
      <c r="V167" s="49">
        <f t="shared" si="43"/>
        <v>45.391285034054299</v>
      </c>
      <c r="W167" s="49">
        <f t="shared" si="49"/>
        <v>45.391285034054299</v>
      </c>
      <c r="X167" s="82">
        <f t="shared" si="44"/>
        <v>0</v>
      </c>
      <c r="Y167" s="82">
        <f t="shared" si="45"/>
        <v>274362327648340.06</v>
      </c>
      <c r="Z167" s="81">
        <f t="shared" si="50"/>
        <v>333697538217973.12</v>
      </c>
      <c r="AA167" s="80">
        <f t="shared" si="34"/>
        <v>1216.2658812462223</v>
      </c>
      <c r="AB167" s="52">
        <f t="shared" si="46"/>
        <v>3.4920849094429933E-2</v>
      </c>
      <c r="AC167" s="48">
        <f t="shared" si="35"/>
        <v>1.6789087093389297E-2</v>
      </c>
      <c r="AD167" s="48">
        <f t="shared" si="36"/>
        <v>1.3133208255159476E-2</v>
      </c>
      <c r="AE167" s="48">
        <f t="shared" si="37"/>
        <v>5.47153024911032E-2</v>
      </c>
      <c r="AF167" s="48" t="e">
        <f>(#REF!-#REF!)/#REF!</f>
        <v>#REF!</v>
      </c>
    </row>
    <row r="168" spans="1:32" x14ac:dyDescent="0.3">
      <c r="A168" s="48">
        <v>20180903</v>
      </c>
      <c r="B168" s="48" t="s">
        <v>88</v>
      </c>
      <c r="C168" s="79">
        <v>0.2</v>
      </c>
      <c r="D168" s="79">
        <f t="shared" si="38"/>
        <v>0.21057298491100385</v>
      </c>
      <c r="E168" s="49">
        <v>48450</v>
      </c>
      <c r="F168" s="49">
        <v>47450</v>
      </c>
      <c r="G168" s="49">
        <v>6419324700</v>
      </c>
      <c r="H168" s="49">
        <f t="shared" si="39"/>
        <v>0.227928098803895</v>
      </c>
      <c r="I168" s="49">
        <f t="shared" si="47"/>
        <v>0.227928098803895</v>
      </c>
      <c r="J168" s="48">
        <v>0.3</v>
      </c>
      <c r="K168" s="48">
        <f t="shared" si="40"/>
        <v>0.27318818305663828</v>
      </c>
      <c r="L168" s="48">
        <v>270000</v>
      </c>
      <c r="M168" s="48">
        <v>267000</v>
      </c>
      <c r="N168" s="51">
        <v>125395903</v>
      </c>
      <c r="O168" s="48">
        <f t="shared" si="41"/>
        <v>2.6902217281479599</v>
      </c>
      <c r="P168" s="48">
        <f t="shared" si="48"/>
        <v>2.6902217281479599</v>
      </c>
      <c r="Q168" s="49">
        <v>0.5</v>
      </c>
      <c r="R168" s="49">
        <f t="shared" si="42"/>
        <v>0.51623883203235776</v>
      </c>
      <c r="S168" s="49">
        <v>237100</v>
      </c>
      <c r="T168" s="49">
        <v>235000</v>
      </c>
      <c r="U168" s="49">
        <v>15956260</v>
      </c>
      <c r="V168" s="49">
        <f t="shared" si="43"/>
        <v>45.391285034054299</v>
      </c>
      <c r="W168" s="49">
        <f t="shared" si="49"/>
        <v>45.391285034054299</v>
      </c>
      <c r="X168" s="82">
        <f t="shared" si="44"/>
        <v>0</v>
      </c>
      <c r="Y168" s="82">
        <f t="shared" si="45"/>
        <v>274362327648340.06</v>
      </c>
      <c r="Z168" s="81">
        <f t="shared" si="50"/>
        <v>329701387588834.5</v>
      </c>
      <c r="AA168" s="80">
        <f t="shared" si="34"/>
        <v>1201.7006504312226</v>
      </c>
      <c r="AB168" s="52">
        <f t="shared" si="46"/>
        <v>-1.1975367425480811E-2</v>
      </c>
      <c r="AC168" s="48">
        <f t="shared" si="35"/>
        <v>-2.063983488132095E-2</v>
      </c>
      <c r="AD168" s="48">
        <f t="shared" si="36"/>
        <v>-1.1111111111111112E-2</v>
      </c>
      <c r="AE168" s="48">
        <f t="shared" si="37"/>
        <v>-8.8570223534373688E-3</v>
      </c>
      <c r="AF168" s="48" t="e">
        <f>(#REF!-#REF!)/#REF!</f>
        <v>#REF!</v>
      </c>
    </row>
    <row r="169" spans="1:32" x14ac:dyDescent="0.3">
      <c r="A169" s="48">
        <v>20180904</v>
      </c>
      <c r="B169" s="48" t="s">
        <v>88</v>
      </c>
      <c r="C169" s="79">
        <v>0.2</v>
      </c>
      <c r="D169" s="79">
        <f t="shared" si="38"/>
        <v>0.20715601884976212</v>
      </c>
      <c r="E169" s="49">
        <v>47450</v>
      </c>
      <c r="F169" s="49">
        <v>47650</v>
      </c>
      <c r="G169" s="49">
        <v>6419324700</v>
      </c>
      <c r="H169" s="49">
        <f t="shared" si="39"/>
        <v>0.227928098803895</v>
      </c>
      <c r="I169" s="49">
        <f t="shared" si="47"/>
        <v>0.227928098803895</v>
      </c>
      <c r="J169" s="48">
        <v>0.3</v>
      </c>
      <c r="K169" s="48">
        <f t="shared" si="40"/>
        <v>0.28065765629207923</v>
      </c>
      <c r="L169" s="48">
        <v>267000</v>
      </c>
      <c r="M169" s="48">
        <v>280000</v>
      </c>
      <c r="N169" s="51">
        <v>125395903</v>
      </c>
      <c r="O169" s="48">
        <f t="shared" si="41"/>
        <v>2.6902217281479599</v>
      </c>
      <c r="P169" s="48">
        <f t="shared" si="48"/>
        <v>2.6902217281479599</v>
      </c>
      <c r="Q169" s="49">
        <v>0.5</v>
      </c>
      <c r="R169" s="49">
        <f t="shared" si="42"/>
        <v>0.51218632485815863</v>
      </c>
      <c r="S169" s="49">
        <v>235000</v>
      </c>
      <c r="T169" s="49">
        <v>238000</v>
      </c>
      <c r="U169" s="49">
        <v>15956260</v>
      </c>
      <c r="V169" s="49">
        <f t="shared" si="43"/>
        <v>45.391285034054299</v>
      </c>
      <c r="W169" s="49">
        <f t="shared" si="49"/>
        <v>45.391285034054299</v>
      </c>
      <c r="X169" s="82">
        <f t="shared" si="44"/>
        <v>0</v>
      </c>
      <c r="Y169" s="82">
        <f t="shared" si="45"/>
        <v>274362327648340.06</v>
      </c>
      <c r="Z169" s="81">
        <f t="shared" si="50"/>
        <v>336552298098269.44</v>
      </c>
      <c r="AA169" s="80">
        <f t="shared" si="34"/>
        <v>1226.6709536363187</v>
      </c>
      <c r="AB169" s="52">
        <f t="shared" si="46"/>
        <v>2.0779137629771342E-2</v>
      </c>
      <c r="AC169" s="48">
        <f t="shared" si="35"/>
        <v>4.2149631190727078E-3</v>
      </c>
      <c r="AD169" s="48">
        <f t="shared" si="36"/>
        <v>4.8689138576779027E-2</v>
      </c>
      <c r="AE169" s="48">
        <f t="shared" si="37"/>
        <v>1.276595744680851E-2</v>
      </c>
      <c r="AF169" s="48" t="e">
        <f>(#REF!-#REF!)/#REF!</f>
        <v>#REF!</v>
      </c>
    </row>
    <row r="170" spans="1:32" x14ac:dyDescent="0.3">
      <c r="A170" s="48">
        <v>20180905</v>
      </c>
      <c r="B170" s="48" t="s">
        <v>88</v>
      </c>
      <c r="C170" s="79">
        <v>0.2</v>
      </c>
      <c r="D170" s="79">
        <f t="shared" si="38"/>
        <v>0.20626794194617531</v>
      </c>
      <c r="E170" s="49">
        <v>47650</v>
      </c>
      <c r="F170" s="49">
        <v>46600</v>
      </c>
      <c r="G170" s="49">
        <v>6419324700</v>
      </c>
      <c r="H170" s="49">
        <f t="shared" si="39"/>
        <v>0.227928098803895</v>
      </c>
      <c r="I170" s="49">
        <f t="shared" si="47"/>
        <v>0.227928098803895</v>
      </c>
      <c r="J170" s="48">
        <v>0.3</v>
      </c>
      <c r="K170" s="48">
        <f t="shared" si="40"/>
        <v>0.28013822929514387</v>
      </c>
      <c r="L170" s="48">
        <v>280000</v>
      </c>
      <c r="M170" s="48">
        <v>274500</v>
      </c>
      <c r="N170" s="51">
        <v>125395903</v>
      </c>
      <c r="O170" s="48">
        <f t="shared" si="41"/>
        <v>2.6902217281479599</v>
      </c>
      <c r="P170" s="48">
        <f t="shared" si="48"/>
        <v>2.6902217281479599</v>
      </c>
      <c r="Q170" s="49">
        <v>0.5</v>
      </c>
      <c r="R170" s="49">
        <f t="shared" si="42"/>
        <v>0.51359382875868076</v>
      </c>
      <c r="S170" s="49">
        <v>238000</v>
      </c>
      <c r="T170" s="49">
        <v>234400</v>
      </c>
      <c r="U170" s="49">
        <v>15956260</v>
      </c>
      <c r="V170" s="49">
        <f t="shared" si="43"/>
        <v>45.391285034054299</v>
      </c>
      <c r="W170" s="49">
        <f t="shared" si="49"/>
        <v>45.391285034054299</v>
      </c>
      <c r="X170" s="82">
        <f t="shared" si="44"/>
        <v>0</v>
      </c>
      <c r="Y170" s="82">
        <f t="shared" si="45"/>
        <v>274362327648340.06</v>
      </c>
      <c r="Z170" s="81">
        <f t="shared" si="50"/>
        <v>330553220569622.5</v>
      </c>
      <c r="AA170" s="80">
        <f t="shared" si="34"/>
        <v>1204.8054242829733</v>
      </c>
      <c r="AB170" s="52">
        <f t="shared" si="46"/>
        <v>-1.7825097503554398E-2</v>
      </c>
      <c r="AC170" s="48">
        <f t="shared" si="35"/>
        <v>-2.2035676810073453E-2</v>
      </c>
      <c r="AD170" s="48">
        <f t="shared" si="36"/>
        <v>-1.9642857142857142E-2</v>
      </c>
      <c r="AE170" s="48">
        <f t="shared" si="37"/>
        <v>-1.5126050420168067E-2</v>
      </c>
      <c r="AF170" s="48" t="e">
        <f>(#REF!-#REF!)/#REF!</f>
        <v>#REF!</v>
      </c>
    </row>
    <row r="171" spans="1:32" x14ac:dyDescent="0.3">
      <c r="A171" s="48">
        <v>20180906</v>
      </c>
      <c r="B171" s="48" t="s">
        <v>88</v>
      </c>
      <c r="C171" s="79">
        <v>0.2</v>
      </c>
      <c r="D171" s="79">
        <f t="shared" si="38"/>
        <v>0.20839850944724497</v>
      </c>
      <c r="E171" s="49">
        <v>46600</v>
      </c>
      <c r="F171" s="49">
        <v>46100</v>
      </c>
      <c r="G171" s="49">
        <v>6419324700</v>
      </c>
      <c r="H171" s="49">
        <f t="shared" si="39"/>
        <v>0.227928098803895</v>
      </c>
      <c r="I171" s="49">
        <f t="shared" si="47"/>
        <v>0.227928098803895</v>
      </c>
      <c r="J171" s="48">
        <v>0.3</v>
      </c>
      <c r="K171" s="48">
        <f t="shared" si="40"/>
        <v>0.28922836476490399</v>
      </c>
      <c r="L171" s="48">
        <v>274500</v>
      </c>
      <c r="M171" s="48">
        <v>277500</v>
      </c>
      <c r="N171" s="51">
        <v>125395903</v>
      </c>
      <c r="O171" s="48">
        <f t="shared" si="41"/>
        <v>2.6902217281479599</v>
      </c>
      <c r="P171" s="48">
        <f t="shared" si="48"/>
        <v>2.6902217281479599</v>
      </c>
      <c r="Q171" s="49">
        <v>0.5</v>
      </c>
      <c r="R171" s="49">
        <f t="shared" si="42"/>
        <v>0.50237312578785109</v>
      </c>
      <c r="S171" s="49">
        <v>234400</v>
      </c>
      <c r="T171" s="49">
        <v>224500</v>
      </c>
      <c r="U171" s="49">
        <v>15956260</v>
      </c>
      <c r="V171" s="49">
        <f t="shared" si="43"/>
        <v>45.391285034054299</v>
      </c>
      <c r="W171" s="49">
        <f t="shared" si="49"/>
        <v>45.391285034054299</v>
      </c>
      <c r="X171" s="82">
        <f t="shared" si="44"/>
        <v>0</v>
      </c>
      <c r="Y171" s="82">
        <f t="shared" si="45"/>
        <v>274362327648340.06</v>
      </c>
      <c r="Z171" s="81">
        <f t="shared" si="50"/>
        <v>323663352738197.5</v>
      </c>
      <c r="AA171" s="80">
        <f t="shared" si="34"/>
        <v>1179.6931288359979</v>
      </c>
      <c r="AB171" s="52">
        <f t="shared" si="46"/>
        <v>-2.0843444875690779E-2</v>
      </c>
      <c r="AC171" s="48">
        <f t="shared" si="35"/>
        <v>-1.0729613733905579E-2</v>
      </c>
      <c r="AD171" s="48">
        <f t="shared" si="36"/>
        <v>1.092896174863388E-2</v>
      </c>
      <c r="AE171" s="48">
        <f t="shared" si="37"/>
        <v>-4.2235494880546072E-2</v>
      </c>
      <c r="AF171" s="48" t="e">
        <f>(#REF!-#REF!)/#REF!</f>
        <v>#REF!</v>
      </c>
    </row>
    <row r="172" spans="1:32" x14ac:dyDescent="0.3">
      <c r="A172" s="48">
        <v>20180907</v>
      </c>
      <c r="B172" s="48" t="s">
        <v>88</v>
      </c>
      <c r="C172" s="79">
        <v>0.2</v>
      </c>
      <c r="D172" s="79">
        <f t="shared" si="38"/>
        <v>0.20342568687950588</v>
      </c>
      <c r="E172" s="49">
        <v>46100</v>
      </c>
      <c r="F172" s="49">
        <v>44900</v>
      </c>
      <c r="G172" s="49">
        <v>6419324700</v>
      </c>
      <c r="H172" s="49">
        <f t="shared" si="39"/>
        <v>0.227928098803895</v>
      </c>
      <c r="I172" s="49">
        <f t="shared" si="47"/>
        <v>0.227928098803895</v>
      </c>
      <c r="J172" s="48">
        <v>0.3</v>
      </c>
      <c r="K172" s="48">
        <f t="shared" si="40"/>
        <v>0.29196142456863383</v>
      </c>
      <c r="L172" s="48">
        <v>277500</v>
      </c>
      <c r="M172" s="48">
        <v>279500</v>
      </c>
      <c r="N172" s="51">
        <v>125395903</v>
      </c>
      <c r="O172" s="48">
        <f t="shared" si="41"/>
        <v>2.6902217281479599</v>
      </c>
      <c r="P172" s="48">
        <f t="shared" si="48"/>
        <v>2.6902217281479599</v>
      </c>
      <c r="Q172" s="49">
        <v>0.5</v>
      </c>
      <c r="R172" s="49">
        <f t="shared" si="42"/>
        <v>0.50461288855186026</v>
      </c>
      <c r="S172" s="49">
        <v>224500</v>
      </c>
      <c r="T172" s="49">
        <v>225000</v>
      </c>
      <c r="U172" s="49">
        <v>15956260</v>
      </c>
      <c r="V172" s="49">
        <f t="shared" si="43"/>
        <v>45.391285034054299</v>
      </c>
      <c r="W172" s="49">
        <f t="shared" si="49"/>
        <v>45.391285034054299</v>
      </c>
      <c r="X172" s="82">
        <f t="shared" si="44"/>
        <v>0</v>
      </c>
      <c r="Y172" s="82">
        <f t="shared" si="45"/>
        <v>274362327648340.06</v>
      </c>
      <c r="Z172" s="81">
        <f t="shared" si="50"/>
        <v>322944402507437.87</v>
      </c>
      <c r="AA172" s="80">
        <f t="shared" si="34"/>
        <v>1177.0726880600284</v>
      </c>
      <c r="AB172" s="52">
        <f t="shared" si="46"/>
        <v>-2.2212901914203859E-3</v>
      </c>
      <c r="AC172" s="48">
        <f t="shared" si="35"/>
        <v>-2.6030368763557483E-2</v>
      </c>
      <c r="AD172" s="48">
        <f t="shared" si="36"/>
        <v>7.2072072072072073E-3</v>
      </c>
      <c r="AE172" s="48">
        <f t="shared" si="37"/>
        <v>2.2271714922048997E-3</v>
      </c>
      <c r="AF172" s="48" t="e">
        <f>(#REF!-#REF!)/#REF!</f>
        <v>#REF!</v>
      </c>
    </row>
    <row r="173" spans="1:32" x14ac:dyDescent="0.3">
      <c r="A173" s="48">
        <v>20180910</v>
      </c>
      <c r="B173" s="48" t="s">
        <v>88</v>
      </c>
      <c r="C173" s="79">
        <v>0.2</v>
      </c>
      <c r="D173" s="79">
        <f t="shared" si="38"/>
        <v>0.20826915478279037</v>
      </c>
      <c r="E173" s="49">
        <v>44900</v>
      </c>
      <c r="F173" s="49">
        <v>45500</v>
      </c>
      <c r="G173" s="49">
        <v>6419324700</v>
      </c>
      <c r="H173" s="49">
        <f t="shared" si="39"/>
        <v>0.227928098803895</v>
      </c>
      <c r="I173" s="49">
        <f t="shared" si="47"/>
        <v>0.227928098803895</v>
      </c>
      <c r="J173" s="48">
        <v>0.3</v>
      </c>
      <c r="K173" s="48">
        <f t="shared" si="40"/>
        <v>0.28916673570423107</v>
      </c>
      <c r="L173" s="48">
        <v>279500</v>
      </c>
      <c r="M173" s="48">
        <v>274000</v>
      </c>
      <c r="N173" s="51">
        <v>125395903</v>
      </c>
      <c r="O173" s="48">
        <f t="shared" si="41"/>
        <v>2.6902217281479599</v>
      </c>
      <c r="P173" s="48">
        <f t="shared" si="48"/>
        <v>2.6902217281479599</v>
      </c>
      <c r="Q173" s="49">
        <v>0.5</v>
      </c>
      <c r="R173" s="49">
        <f t="shared" si="42"/>
        <v>0.50256410951297847</v>
      </c>
      <c r="S173" s="49">
        <v>225000</v>
      </c>
      <c r="T173" s="49">
        <v>221800</v>
      </c>
      <c r="U173" s="49">
        <v>15956260</v>
      </c>
      <c r="V173" s="49">
        <f t="shared" si="43"/>
        <v>45.391285034054299</v>
      </c>
      <c r="W173" s="49">
        <f t="shared" si="49"/>
        <v>45.391285034054299</v>
      </c>
      <c r="X173" s="82">
        <f t="shared" si="44"/>
        <v>0</v>
      </c>
      <c r="Y173" s="82">
        <f t="shared" si="45"/>
        <v>274362327648340.06</v>
      </c>
      <c r="Z173" s="81">
        <f t="shared" si="50"/>
        <v>319649223419971.12</v>
      </c>
      <c r="AA173" s="80">
        <f t="shared" si="34"/>
        <v>1165.0623690205634</v>
      </c>
      <c r="AB173" s="52">
        <f t="shared" si="46"/>
        <v>-1.0203549161657636E-2</v>
      </c>
      <c r="AC173" s="48">
        <f t="shared" si="35"/>
        <v>1.3363028953229399E-2</v>
      </c>
      <c r="AD173" s="48">
        <f t="shared" si="36"/>
        <v>-1.9677996422182469E-2</v>
      </c>
      <c r="AE173" s="48">
        <f t="shared" si="37"/>
        <v>-1.4222222222222223E-2</v>
      </c>
      <c r="AF173" s="48" t="e">
        <f>(#REF!-#REF!)/#REF!</f>
        <v>#REF!</v>
      </c>
    </row>
    <row r="174" spans="1:32" x14ac:dyDescent="0.3">
      <c r="A174" s="48">
        <v>20180911</v>
      </c>
      <c r="B174" s="48" t="s">
        <v>88</v>
      </c>
      <c r="C174" s="79">
        <v>0.2</v>
      </c>
      <c r="D174" s="79">
        <f t="shared" si="38"/>
        <v>0.2060581619305864</v>
      </c>
      <c r="E174" s="49">
        <v>45500</v>
      </c>
      <c r="F174" s="49">
        <v>45050</v>
      </c>
      <c r="G174" s="49">
        <v>6419324700</v>
      </c>
      <c r="H174" s="49">
        <f t="shared" si="39"/>
        <v>0.227928098803895</v>
      </c>
      <c r="I174" s="49">
        <f t="shared" si="47"/>
        <v>0.227928098803895</v>
      </c>
      <c r="J174" s="48">
        <v>0.3</v>
      </c>
      <c r="K174" s="48">
        <f t="shared" si="40"/>
        <v>0.28948201484786007</v>
      </c>
      <c r="L174" s="48">
        <v>274000</v>
      </c>
      <c r="M174" s="48">
        <v>274500</v>
      </c>
      <c r="N174" s="51">
        <v>125395903</v>
      </c>
      <c r="O174" s="48">
        <f t="shared" si="41"/>
        <v>2.6902217281479599</v>
      </c>
      <c r="P174" s="48">
        <f t="shared" si="48"/>
        <v>2.6902217281479599</v>
      </c>
      <c r="Q174" s="49">
        <v>0.5</v>
      </c>
      <c r="R174" s="49">
        <f t="shared" si="42"/>
        <v>0.50445982322155347</v>
      </c>
      <c r="S174" s="49">
        <v>221800</v>
      </c>
      <c r="T174" s="49">
        <v>222800</v>
      </c>
      <c r="U174" s="49">
        <v>15956260</v>
      </c>
      <c r="V174" s="49">
        <f t="shared" si="43"/>
        <v>45.391285034054299</v>
      </c>
      <c r="W174" s="49">
        <f t="shared" si="49"/>
        <v>45.391285034054299</v>
      </c>
      <c r="X174" s="82">
        <f t="shared" si="44"/>
        <v>0</v>
      </c>
      <c r="Y174" s="82">
        <f t="shared" si="45"/>
        <v>274362327648340.06</v>
      </c>
      <c r="Z174" s="81">
        <f t="shared" si="50"/>
        <v>319883754943630.12</v>
      </c>
      <c r="AA174" s="80">
        <f t="shared" si="34"/>
        <v>1165.917193098159</v>
      </c>
      <c r="AB174" s="52">
        <f t="shared" si="46"/>
        <v>7.3371529312565669E-4</v>
      </c>
      <c r="AC174" s="48">
        <f t="shared" si="35"/>
        <v>-9.8901098901098897E-3</v>
      </c>
      <c r="AD174" s="48">
        <f t="shared" si="36"/>
        <v>1.8248175182481751E-3</v>
      </c>
      <c r="AE174" s="48">
        <f t="shared" si="37"/>
        <v>4.508566275924256E-3</v>
      </c>
      <c r="AF174" s="48" t="e">
        <f>(#REF!-#REF!)/#REF!</f>
        <v>#REF!</v>
      </c>
    </row>
    <row r="175" spans="1:32" x14ac:dyDescent="0.3">
      <c r="A175" s="48">
        <v>20180912</v>
      </c>
      <c r="B175" s="48" t="s">
        <v>88</v>
      </c>
      <c r="C175" s="79">
        <v>0.2</v>
      </c>
      <c r="D175" s="79">
        <f t="shared" si="38"/>
        <v>0.19874013695234305</v>
      </c>
      <c r="E175" s="49">
        <v>45050</v>
      </c>
      <c r="F175" s="49">
        <v>44550</v>
      </c>
      <c r="G175" s="49">
        <v>6419324700</v>
      </c>
      <c r="H175" s="49">
        <f t="shared" si="39"/>
        <v>0.227928098803895</v>
      </c>
      <c r="I175" s="49">
        <f t="shared" si="47"/>
        <v>0.227928098803895</v>
      </c>
      <c r="J175" s="48">
        <v>0.3</v>
      </c>
      <c r="K175" s="48">
        <f t="shared" si="40"/>
        <v>0.29313450882417103</v>
      </c>
      <c r="L175" s="48">
        <v>274500</v>
      </c>
      <c r="M175" s="48">
        <v>285000</v>
      </c>
      <c r="N175" s="51">
        <v>125395903</v>
      </c>
      <c r="O175" s="48">
        <f t="shared" si="41"/>
        <v>2.6902217281479599</v>
      </c>
      <c r="P175" s="48">
        <f t="shared" si="48"/>
        <v>2.6902217281479599</v>
      </c>
      <c r="Q175" s="49">
        <v>0.5</v>
      </c>
      <c r="R175" s="49">
        <f t="shared" si="42"/>
        <v>0.50812535422348593</v>
      </c>
      <c r="S175" s="49">
        <v>222800</v>
      </c>
      <c r="T175" s="49">
        <v>230100</v>
      </c>
      <c r="U175" s="49">
        <v>15956260</v>
      </c>
      <c r="V175" s="49">
        <f t="shared" si="43"/>
        <v>45.391285034054299</v>
      </c>
      <c r="W175" s="49">
        <f t="shared" si="49"/>
        <v>45.391285034054299</v>
      </c>
      <c r="X175" s="82">
        <f t="shared" si="44"/>
        <v>0</v>
      </c>
      <c r="Y175" s="82">
        <f t="shared" si="45"/>
        <v>274362327648340.06</v>
      </c>
      <c r="Z175" s="81">
        <f t="shared" si="50"/>
        <v>327981490490424.75</v>
      </c>
      <c r="AA175" s="80">
        <f t="shared" si="34"/>
        <v>1195.4319432324187</v>
      </c>
      <c r="AB175" s="52">
        <f t="shared" si="46"/>
        <v>2.531461951927387E-2</v>
      </c>
      <c r="AC175" s="48">
        <f t="shared" si="35"/>
        <v>-1.1098779134295227E-2</v>
      </c>
      <c r="AD175" s="48">
        <f t="shared" si="36"/>
        <v>3.825136612021858E-2</v>
      </c>
      <c r="AE175" s="48">
        <f t="shared" si="37"/>
        <v>3.2764811490125674E-2</v>
      </c>
      <c r="AF175" s="48" t="e">
        <f>(#REF!-#REF!)/#REF!</f>
        <v>#REF!</v>
      </c>
    </row>
    <row r="176" spans="1:32" x14ac:dyDescent="0.3">
      <c r="A176" s="48">
        <v>20180913</v>
      </c>
      <c r="B176" s="48" t="s">
        <v>88</v>
      </c>
      <c r="C176" s="79">
        <v>0.2</v>
      </c>
      <c r="D176" s="79">
        <f t="shared" si="38"/>
        <v>0.19430035530119211</v>
      </c>
      <c r="E176" s="49">
        <v>44550</v>
      </c>
      <c r="F176" s="49">
        <v>44050</v>
      </c>
      <c r="G176" s="49">
        <v>6419324700</v>
      </c>
      <c r="H176" s="49">
        <f t="shared" si="39"/>
        <v>0.227928098803895</v>
      </c>
      <c r="I176" s="49">
        <f t="shared" si="47"/>
        <v>0.227928098803895</v>
      </c>
      <c r="J176" s="48">
        <v>0.3</v>
      </c>
      <c r="K176" s="48">
        <f t="shared" si="40"/>
        <v>0.29848327371030492</v>
      </c>
      <c r="L176" s="48">
        <v>285000</v>
      </c>
      <c r="M176" s="48">
        <v>293500</v>
      </c>
      <c r="N176" s="51">
        <v>125395903</v>
      </c>
      <c r="O176" s="48">
        <f t="shared" si="41"/>
        <v>2.6902217281479599</v>
      </c>
      <c r="P176" s="48">
        <f t="shared" si="48"/>
        <v>2.6902217281479599</v>
      </c>
      <c r="Q176" s="49">
        <v>0.5</v>
      </c>
      <c r="R176" s="49">
        <f t="shared" si="42"/>
        <v>0.50721637098850292</v>
      </c>
      <c r="S176" s="49">
        <v>230100</v>
      </c>
      <c r="T176" s="49">
        <v>232300</v>
      </c>
      <c r="U176" s="49">
        <v>15956260</v>
      </c>
      <c r="V176" s="49">
        <f t="shared" si="43"/>
        <v>45.391285034054299</v>
      </c>
      <c r="W176" s="49">
        <f t="shared" si="49"/>
        <v>45.391285034054299</v>
      </c>
      <c r="X176" s="82">
        <f t="shared" si="44"/>
        <v>0</v>
      </c>
      <c r="Y176" s="82">
        <f t="shared" si="45"/>
        <v>274362327648340.06</v>
      </c>
      <c r="Z176" s="81">
        <f t="shared" si="50"/>
        <v>331710737228215.62</v>
      </c>
      <c r="AA176" s="80">
        <f t="shared" si="34"/>
        <v>1209.0243586699012</v>
      </c>
      <c r="AB176" s="52">
        <f t="shared" si="46"/>
        <v>1.1370296330486977E-2</v>
      </c>
      <c r="AC176" s="48">
        <f t="shared" si="35"/>
        <v>-1.1223344556677889E-2</v>
      </c>
      <c r="AD176" s="48">
        <f t="shared" si="36"/>
        <v>2.9824561403508771E-2</v>
      </c>
      <c r="AE176" s="48">
        <f t="shared" si="37"/>
        <v>9.5610604085180351E-3</v>
      </c>
      <c r="AF176" s="48" t="e">
        <f>(#REF!-#REF!)/#REF!</f>
        <v>#REF!</v>
      </c>
    </row>
    <row r="177" spans="1:32" x14ac:dyDescent="0.3">
      <c r="A177" s="48">
        <v>20180914</v>
      </c>
      <c r="B177" s="48" t="s">
        <v>88</v>
      </c>
      <c r="C177" s="79">
        <v>0.2</v>
      </c>
      <c r="D177" s="79">
        <f t="shared" si="38"/>
        <v>0.19771917183371399</v>
      </c>
      <c r="E177" s="49">
        <v>44050</v>
      </c>
      <c r="F177" s="49">
        <v>45850</v>
      </c>
      <c r="G177" s="49">
        <v>6419324700</v>
      </c>
      <c r="H177" s="49">
        <f t="shared" si="39"/>
        <v>0.227928098803895</v>
      </c>
      <c r="I177" s="49">
        <f t="shared" si="47"/>
        <v>0.227928098803895</v>
      </c>
      <c r="J177" s="48">
        <v>0.3</v>
      </c>
      <c r="K177" s="48">
        <f t="shared" si="40"/>
        <v>0.28932545409176902</v>
      </c>
      <c r="L177" s="48">
        <v>293500</v>
      </c>
      <c r="M177" s="48">
        <v>291000</v>
      </c>
      <c r="N177" s="51">
        <v>125395903</v>
      </c>
      <c r="O177" s="48">
        <f t="shared" si="41"/>
        <v>2.6902217281479599</v>
      </c>
      <c r="P177" s="48">
        <f t="shared" si="48"/>
        <v>2.6902217281479599</v>
      </c>
      <c r="Q177" s="49">
        <v>0.5</v>
      </c>
      <c r="R177" s="49">
        <f t="shared" si="42"/>
        <v>0.51295537407451697</v>
      </c>
      <c r="S177" s="49">
        <v>232300</v>
      </c>
      <c r="T177" s="49">
        <v>240300</v>
      </c>
      <c r="U177" s="49">
        <v>15956260</v>
      </c>
      <c r="V177" s="49">
        <f t="shared" si="43"/>
        <v>45.391285034054299</v>
      </c>
      <c r="W177" s="49">
        <f t="shared" si="49"/>
        <v>45.391285034054299</v>
      </c>
      <c r="X177" s="82">
        <f t="shared" si="44"/>
        <v>0</v>
      </c>
      <c r="Y177" s="82">
        <f t="shared" si="45"/>
        <v>274362327648340.06</v>
      </c>
      <c r="Z177" s="81">
        <f t="shared" si="50"/>
        <v>339295241490993.69</v>
      </c>
      <c r="AA177" s="80">
        <f t="shared" si="34"/>
        <v>1236.6684755856147</v>
      </c>
      <c r="AB177" s="52">
        <f t="shared" si="46"/>
        <v>2.2864813862084634E-2</v>
      </c>
      <c r="AC177" s="48">
        <f t="shared" si="35"/>
        <v>4.0862656072644721E-2</v>
      </c>
      <c r="AD177" s="48">
        <f t="shared" si="36"/>
        <v>-8.5178875638841564E-3</v>
      </c>
      <c r="AE177" s="48">
        <f t="shared" si="37"/>
        <v>3.4438226431338786E-2</v>
      </c>
      <c r="AF177" s="48" t="e">
        <f>(#REF!-#REF!)/#REF!</f>
        <v>#REF!</v>
      </c>
    </row>
    <row r="178" spans="1:32" x14ac:dyDescent="0.3">
      <c r="A178" s="48">
        <v>20180917</v>
      </c>
      <c r="B178" s="48" t="s">
        <v>88</v>
      </c>
      <c r="C178" s="79">
        <v>0.2</v>
      </c>
      <c r="D178" s="79">
        <f t="shared" si="38"/>
        <v>0.19266793946217617</v>
      </c>
      <c r="E178" s="49">
        <v>45850</v>
      </c>
      <c r="F178" s="49">
        <v>45150</v>
      </c>
      <c r="G178" s="49">
        <v>6419324700</v>
      </c>
      <c r="H178" s="49">
        <f t="shared" si="39"/>
        <v>0.227928098803895</v>
      </c>
      <c r="I178" s="49">
        <f t="shared" si="47"/>
        <v>0.227928098803895</v>
      </c>
      <c r="J178" s="48">
        <v>0.3</v>
      </c>
      <c r="K178" s="48">
        <f t="shared" si="40"/>
        <v>0.29761943562238213</v>
      </c>
      <c r="L178" s="48">
        <v>291000</v>
      </c>
      <c r="M178" s="48">
        <v>302500</v>
      </c>
      <c r="N178" s="51">
        <v>125395903</v>
      </c>
      <c r="O178" s="48">
        <f t="shared" si="41"/>
        <v>2.6902217281479599</v>
      </c>
      <c r="P178" s="48">
        <f t="shared" si="48"/>
        <v>2.6902217281479599</v>
      </c>
      <c r="Q178" s="49">
        <v>0.5</v>
      </c>
      <c r="R178" s="49">
        <f t="shared" si="42"/>
        <v>0.50971262491544178</v>
      </c>
      <c r="S178" s="49">
        <v>240300</v>
      </c>
      <c r="T178" s="49">
        <v>241300</v>
      </c>
      <c r="U178" s="49">
        <v>15956260</v>
      </c>
      <c r="V178" s="49">
        <f t="shared" si="43"/>
        <v>45.391285034054299</v>
      </c>
      <c r="W178" s="49">
        <f t="shared" si="49"/>
        <v>45.391285034054299</v>
      </c>
      <c r="X178" s="82">
        <f t="shared" si="44"/>
        <v>0</v>
      </c>
      <c r="Y178" s="82">
        <f t="shared" si="45"/>
        <v>274362327648340.06</v>
      </c>
      <c r="Z178" s="81">
        <f t="shared" si="50"/>
        <v>342874757507618.37</v>
      </c>
      <c r="AA178" s="80">
        <f t="shared" si="34"/>
        <v>1249.7151502049257</v>
      </c>
      <c r="AB178" s="52">
        <f t="shared" si="46"/>
        <v>1.0549856228147874E-2</v>
      </c>
      <c r="AC178" s="48">
        <f t="shared" si="35"/>
        <v>-1.5267175572519083E-2</v>
      </c>
      <c r="AD178" s="48">
        <f t="shared" si="36"/>
        <v>3.951890034364261E-2</v>
      </c>
      <c r="AE178" s="48">
        <f t="shared" si="37"/>
        <v>4.1614648356221393E-3</v>
      </c>
      <c r="AF178" s="48" t="e">
        <f>(#REF!-#REF!)/#REF!</f>
        <v>#REF!</v>
      </c>
    </row>
    <row r="179" spans="1:32" x14ac:dyDescent="0.3">
      <c r="A179" s="48">
        <v>20180918</v>
      </c>
      <c r="B179" s="48" t="s">
        <v>88</v>
      </c>
      <c r="C179" s="79">
        <v>0.2</v>
      </c>
      <c r="D179" s="79">
        <f t="shared" si="38"/>
        <v>0.19355820113667713</v>
      </c>
      <c r="E179" s="49">
        <v>45150</v>
      </c>
      <c r="F179" s="49">
        <v>45500</v>
      </c>
      <c r="G179" s="49">
        <v>6419324700</v>
      </c>
      <c r="H179" s="49">
        <f t="shared" si="39"/>
        <v>0.227928098803895</v>
      </c>
      <c r="I179" s="49">
        <f t="shared" si="47"/>
        <v>0.227928098803895</v>
      </c>
      <c r="J179" s="48">
        <v>0.3</v>
      </c>
      <c r="K179" s="48">
        <f t="shared" si="40"/>
        <v>0.29473307058123799</v>
      </c>
      <c r="L179" s="48">
        <v>302500</v>
      </c>
      <c r="M179" s="48">
        <v>300500</v>
      </c>
      <c r="N179" s="51">
        <v>125395903</v>
      </c>
      <c r="O179" s="48">
        <f t="shared" si="41"/>
        <v>2.6902217281479599</v>
      </c>
      <c r="P179" s="48">
        <f t="shared" si="48"/>
        <v>2.6902217281479599</v>
      </c>
      <c r="Q179" s="49">
        <v>0.5</v>
      </c>
      <c r="R179" s="49">
        <f t="shared" si="42"/>
        <v>0.51170872828208491</v>
      </c>
      <c r="S179" s="49">
        <v>241300</v>
      </c>
      <c r="T179" s="49">
        <v>243000</v>
      </c>
      <c r="U179" s="49">
        <v>15956260</v>
      </c>
      <c r="V179" s="49">
        <f t="shared" si="43"/>
        <v>45.391285034054299</v>
      </c>
      <c r="W179" s="49">
        <f t="shared" si="49"/>
        <v>45.391285034054299</v>
      </c>
      <c r="X179" s="82">
        <f t="shared" si="44"/>
        <v>0</v>
      </c>
      <c r="Y179" s="82">
        <f t="shared" si="45"/>
        <v>274362327648340.06</v>
      </c>
      <c r="Z179" s="81">
        <f t="shared" si="50"/>
        <v>343943440255696</v>
      </c>
      <c r="AA179" s="80">
        <f t="shared" si="34"/>
        <v>1253.610301398742</v>
      </c>
      <c r="AB179" s="52">
        <f t="shared" si="46"/>
        <v>3.1168312180399663E-3</v>
      </c>
      <c r="AC179" s="48">
        <f t="shared" si="35"/>
        <v>7.7519379844961239E-3</v>
      </c>
      <c r="AD179" s="48">
        <f t="shared" si="36"/>
        <v>-6.6115702479338841E-3</v>
      </c>
      <c r="AE179" s="48">
        <f t="shared" si="37"/>
        <v>7.0451719850808123E-3</v>
      </c>
      <c r="AF179" s="48" t="e">
        <f>(#REF!-#REF!)/#REF!</f>
        <v>#REF!</v>
      </c>
    </row>
    <row r="180" spans="1:32" x14ac:dyDescent="0.3">
      <c r="A180" s="48">
        <v>20180919</v>
      </c>
      <c r="B180" s="48" t="s">
        <v>88</v>
      </c>
      <c r="C180" s="79">
        <v>0.2</v>
      </c>
      <c r="D180" s="79">
        <f t="shared" si="38"/>
        <v>0.19473437034105065</v>
      </c>
      <c r="E180" s="49">
        <v>45500</v>
      </c>
      <c r="F180" s="49">
        <v>46150</v>
      </c>
      <c r="G180" s="49">
        <v>6419324700</v>
      </c>
      <c r="H180" s="49">
        <f t="shared" si="39"/>
        <v>0.227928098803895</v>
      </c>
      <c r="I180" s="49">
        <f t="shared" si="47"/>
        <v>0.227928098803895</v>
      </c>
      <c r="J180" s="48">
        <v>0.3</v>
      </c>
      <c r="K180" s="48">
        <f t="shared" si="40"/>
        <v>0.29769842946570912</v>
      </c>
      <c r="L180" s="48">
        <v>300500</v>
      </c>
      <c r="M180" s="48">
        <v>306000</v>
      </c>
      <c r="N180" s="51">
        <v>125395903</v>
      </c>
      <c r="O180" s="48">
        <f t="shared" si="41"/>
        <v>2.6902217281479599</v>
      </c>
      <c r="P180" s="48">
        <f t="shared" si="48"/>
        <v>2.6902217281479599</v>
      </c>
      <c r="Q180" s="49">
        <v>0.5</v>
      </c>
      <c r="R180" s="49">
        <f t="shared" si="42"/>
        <v>0.5075672001932402</v>
      </c>
      <c r="S180" s="49">
        <v>243000</v>
      </c>
      <c r="T180" s="49">
        <v>243000</v>
      </c>
      <c r="U180" s="49">
        <v>15956260</v>
      </c>
      <c r="V180" s="49">
        <f t="shared" si="43"/>
        <v>45.391285034054299</v>
      </c>
      <c r="W180" s="49">
        <f t="shared" si="49"/>
        <v>45.391285034054299</v>
      </c>
      <c r="X180" s="82">
        <f t="shared" si="44"/>
        <v>0</v>
      </c>
      <c r="Y180" s="82">
        <f t="shared" si="45"/>
        <v>274362327648340.06</v>
      </c>
      <c r="Z180" s="81">
        <f t="shared" si="50"/>
        <v>346749869469897.69</v>
      </c>
      <c r="AA180" s="80">
        <f t="shared" si="34"/>
        <v>1263.8392174392809</v>
      </c>
      <c r="AB180" s="52">
        <f t="shared" si="46"/>
        <v>8.1595660382862249E-3</v>
      </c>
      <c r="AC180" s="48">
        <f t="shared" si="35"/>
        <v>1.4285714285714285E-2</v>
      </c>
      <c r="AD180" s="48">
        <f t="shared" si="36"/>
        <v>1.8302828618968387E-2</v>
      </c>
      <c r="AE180" s="48">
        <f t="shared" si="37"/>
        <v>0</v>
      </c>
      <c r="AF180" s="48" t="e">
        <f>(#REF!-#REF!)/#REF!</f>
        <v>#REF!</v>
      </c>
    </row>
    <row r="181" spans="1:32" x14ac:dyDescent="0.3">
      <c r="A181" s="48">
        <v>20180920</v>
      </c>
      <c r="B181" s="48" t="s">
        <v>88</v>
      </c>
      <c r="C181" s="79">
        <v>0.2</v>
      </c>
      <c r="D181" s="79">
        <f t="shared" si="38"/>
        <v>0.19900291094742542</v>
      </c>
      <c r="E181" s="49">
        <v>46150</v>
      </c>
      <c r="F181" s="49">
        <v>47250</v>
      </c>
      <c r="G181" s="49">
        <v>6419324700</v>
      </c>
      <c r="H181" s="49">
        <f t="shared" si="39"/>
        <v>0.227928098803895</v>
      </c>
      <c r="I181" s="49">
        <f t="shared" si="47"/>
        <v>0.227928098803895</v>
      </c>
      <c r="J181" s="48">
        <v>0.3</v>
      </c>
      <c r="K181" s="48">
        <f t="shared" si="40"/>
        <v>0.28791648109874485</v>
      </c>
      <c r="L181" s="48">
        <v>306000</v>
      </c>
      <c r="M181" s="48">
        <v>296500</v>
      </c>
      <c r="N181" s="51">
        <v>125395903</v>
      </c>
      <c r="O181" s="48">
        <f t="shared" si="41"/>
        <v>2.6902217281479599</v>
      </c>
      <c r="P181" s="48">
        <f t="shared" si="48"/>
        <v>2.6902217281479599</v>
      </c>
      <c r="Q181" s="49">
        <v>0.5</v>
      </c>
      <c r="R181" s="49">
        <f t="shared" si="42"/>
        <v>0.51308060795382993</v>
      </c>
      <c r="S181" s="49">
        <v>243000</v>
      </c>
      <c r="T181" s="49">
        <v>246100</v>
      </c>
      <c r="U181" s="49">
        <v>15956260</v>
      </c>
      <c r="V181" s="49">
        <f t="shared" si="43"/>
        <v>45.391285034054299</v>
      </c>
      <c r="W181" s="49">
        <f t="shared" si="49"/>
        <v>45.391285034054299</v>
      </c>
      <c r="X181" s="82">
        <f t="shared" si="44"/>
        <v>0</v>
      </c>
      <c r="Y181" s="82">
        <f t="shared" si="45"/>
        <v>274362327648340.06</v>
      </c>
      <c r="Z181" s="81">
        <f t="shared" si="50"/>
        <v>347399824906329.62</v>
      </c>
      <c r="AA181" s="80">
        <f t="shared" si="34"/>
        <v>1266.2081849356678</v>
      </c>
      <c r="AB181" s="52">
        <f t="shared" si="46"/>
        <v>1.8744215749110281E-3</v>
      </c>
      <c r="AC181" s="48">
        <f t="shared" si="35"/>
        <v>2.3835319609967497E-2</v>
      </c>
      <c r="AD181" s="48">
        <f t="shared" si="36"/>
        <v>-3.1045751633986929E-2</v>
      </c>
      <c r="AE181" s="48">
        <f t="shared" si="37"/>
        <v>1.2757201646090535E-2</v>
      </c>
      <c r="AF181" s="48" t="e">
        <f>(#REF!-#REF!)/#REF!</f>
        <v>#REF!</v>
      </c>
    </row>
    <row r="182" spans="1:32" x14ac:dyDescent="0.3">
      <c r="A182" s="48">
        <v>20180921</v>
      </c>
      <c r="B182" s="48" t="s">
        <v>88</v>
      </c>
      <c r="C182" s="79">
        <v>0.2</v>
      </c>
      <c r="D182" s="79">
        <f t="shared" si="38"/>
        <v>0.19880669046988558</v>
      </c>
      <c r="E182" s="49">
        <v>47250</v>
      </c>
      <c r="F182" s="49">
        <v>47400</v>
      </c>
      <c r="G182" s="49">
        <v>6419324700</v>
      </c>
      <c r="H182" s="49">
        <f t="shared" si="39"/>
        <v>0.227928098803895</v>
      </c>
      <c r="I182" s="49">
        <f t="shared" si="47"/>
        <v>0.227928098803895</v>
      </c>
      <c r="J182" s="48">
        <v>0.3</v>
      </c>
      <c r="K182" s="48">
        <f t="shared" si="40"/>
        <v>0.29252449934332536</v>
      </c>
      <c r="L182" s="48">
        <v>296500</v>
      </c>
      <c r="M182" s="48">
        <v>302500</v>
      </c>
      <c r="N182" s="51">
        <v>125395903</v>
      </c>
      <c r="O182" s="48">
        <f t="shared" si="41"/>
        <v>2.6902217281479599</v>
      </c>
      <c r="P182" s="48">
        <f t="shared" si="48"/>
        <v>2.6902217281479599</v>
      </c>
      <c r="Q182" s="49">
        <v>0.5</v>
      </c>
      <c r="R182" s="49">
        <f t="shared" si="42"/>
        <v>0.508668810186789</v>
      </c>
      <c r="S182" s="49">
        <v>246100</v>
      </c>
      <c r="T182" s="49">
        <v>245000</v>
      </c>
      <c r="U182" s="49">
        <v>15956260</v>
      </c>
      <c r="V182" s="49">
        <f t="shared" si="43"/>
        <v>45.391285034054299</v>
      </c>
      <c r="W182" s="49">
        <f t="shared" si="49"/>
        <v>45.391285034054299</v>
      </c>
      <c r="X182" s="82">
        <f t="shared" si="44"/>
        <v>0</v>
      </c>
      <c r="Y182" s="82">
        <f t="shared" si="45"/>
        <v>274362327648340.06</v>
      </c>
      <c r="Z182" s="81">
        <f t="shared" si="50"/>
        <v>348846650614417.81</v>
      </c>
      <c r="AA182" s="80">
        <f t="shared" si="34"/>
        <v>1271.4815973625466</v>
      </c>
      <c r="AB182" s="52">
        <f t="shared" si="46"/>
        <v>4.1647277988072521E-3</v>
      </c>
      <c r="AC182" s="48">
        <f t="shared" si="35"/>
        <v>3.1746031746031746E-3</v>
      </c>
      <c r="AD182" s="48">
        <f t="shared" si="36"/>
        <v>2.0236087689713321E-2</v>
      </c>
      <c r="AE182" s="48">
        <f t="shared" si="37"/>
        <v>-4.469727752945957E-3</v>
      </c>
      <c r="AF182" s="48" t="e">
        <f>(#REF!-#REF!)/#REF!</f>
        <v>#REF!</v>
      </c>
    </row>
    <row r="183" spans="1:32" x14ac:dyDescent="0.3">
      <c r="A183" s="48">
        <v>20180927</v>
      </c>
      <c r="B183" s="48" t="s">
        <v>88</v>
      </c>
      <c r="C183" s="79">
        <v>0.2</v>
      </c>
      <c r="D183" s="79">
        <f t="shared" si="38"/>
        <v>0.19795067689799808</v>
      </c>
      <c r="E183" s="49">
        <v>47400</v>
      </c>
      <c r="F183" s="49">
        <v>47500</v>
      </c>
      <c r="G183" s="49">
        <v>6419324700</v>
      </c>
      <c r="H183" s="49">
        <f t="shared" si="39"/>
        <v>0.227928098803895</v>
      </c>
      <c r="I183" s="49">
        <f t="shared" si="47"/>
        <v>0.227928098803895</v>
      </c>
      <c r="J183" s="48">
        <v>0.3</v>
      </c>
      <c r="K183" s="48">
        <f t="shared" si="40"/>
        <v>0.28921052169580558</v>
      </c>
      <c r="L183" s="48">
        <v>302500</v>
      </c>
      <c r="M183" s="48">
        <v>301000</v>
      </c>
      <c r="N183" s="51">
        <v>125395903</v>
      </c>
      <c r="O183" s="48">
        <f t="shared" si="41"/>
        <v>2.6902217281479599</v>
      </c>
      <c r="P183" s="48">
        <f t="shared" si="48"/>
        <v>2.6902217281479599</v>
      </c>
      <c r="Q183" s="49">
        <v>0.5</v>
      </c>
      <c r="R183" s="49">
        <f t="shared" si="42"/>
        <v>0.5128388014061962</v>
      </c>
      <c r="S183" s="49">
        <v>245000</v>
      </c>
      <c r="T183" s="49">
        <v>248600</v>
      </c>
      <c r="U183" s="49">
        <v>15956260</v>
      </c>
      <c r="V183" s="49">
        <f t="shared" si="43"/>
        <v>45.391285034054299</v>
      </c>
      <c r="W183" s="49">
        <f t="shared" si="49"/>
        <v>45.391285034054299</v>
      </c>
      <c r="X183" s="82">
        <f t="shared" si="44"/>
        <v>0</v>
      </c>
      <c r="Y183" s="82">
        <f t="shared" si="45"/>
        <v>274362327648340.06</v>
      </c>
      <c r="Z183" s="81">
        <f t="shared" si="50"/>
        <v>351094341412213.37</v>
      </c>
      <c r="AA183" s="80">
        <f t="shared" si="34"/>
        <v>1279.6740150937321</v>
      </c>
      <c r="AB183" s="52">
        <f t="shared" si="46"/>
        <v>6.4432059010363736E-3</v>
      </c>
      <c r="AC183" s="48">
        <f t="shared" si="35"/>
        <v>2.1097046413502108E-3</v>
      </c>
      <c r="AD183" s="48">
        <f t="shared" si="36"/>
        <v>-4.9586776859504135E-3</v>
      </c>
      <c r="AE183" s="48">
        <f t="shared" si="37"/>
        <v>1.4693877551020407E-2</v>
      </c>
      <c r="AF183" s="48" t="e">
        <f>(#REF!-#REF!)/#REF!</f>
        <v>#REF!</v>
      </c>
    </row>
    <row r="184" spans="1:32" x14ac:dyDescent="0.3">
      <c r="A184" s="48">
        <v>20180928</v>
      </c>
      <c r="B184" s="48" t="s">
        <v>88</v>
      </c>
      <c r="C184" s="79">
        <v>0.2</v>
      </c>
      <c r="D184" s="79">
        <f t="shared" si="38"/>
        <v>0.19839793106247378</v>
      </c>
      <c r="E184" s="49">
        <v>47500</v>
      </c>
      <c r="F184" s="49">
        <v>46450</v>
      </c>
      <c r="G184" s="49">
        <v>6419324700</v>
      </c>
      <c r="H184" s="49">
        <f t="shared" si="39"/>
        <v>0.227928098803895</v>
      </c>
      <c r="I184" s="49">
        <f t="shared" si="47"/>
        <v>0.227928098803895</v>
      </c>
      <c r="J184" s="48">
        <v>0.3</v>
      </c>
      <c r="K184" s="48">
        <f t="shared" si="40"/>
        <v>0.29247724393384589</v>
      </c>
      <c r="L184" s="48">
        <v>301000</v>
      </c>
      <c r="M184" s="48">
        <v>297000</v>
      </c>
      <c r="N184" s="51">
        <v>125395903</v>
      </c>
      <c r="O184" s="48">
        <f t="shared" si="41"/>
        <v>2.6902217281479599</v>
      </c>
      <c r="P184" s="48">
        <f t="shared" si="48"/>
        <v>2.6902217281479599</v>
      </c>
      <c r="Q184" s="49">
        <v>0.5</v>
      </c>
      <c r="R184" s="49">
        <f t="shared" si="42"/>
        <v>0.50912482500368028</v>
      </c>
      <c r="S184" s="49">
        <v>248600</v>
      </c>
      <c r="T184" s="49">
        <v>240800</v>
      </c>
      <c r="U184" s="49">
        <v>15956260</v>
      </c>
      <c r="V184" s="49">
        <f t="shared" si="43"/>
        <v>45.391285034054299</v>
      </c>
      <c r="W184" s="49">
        <f t="shared" si="49"/>
        <v>45.391285034054299</v>
      </c>
      <c r="X184" s="82">
        <f t="shared" si="44"/>
        <v>0</v>
      </c>
      <c r="Y184" s="82">
        <f t="shared" si="45"/>
        <v>274362327648340.06</v>
      </c>
      <c r="Z184" s="81">
        <f t="shared" si="50"/>
        <v>342559322445776</v>
      </c>
      <c r="AA184" s="80">
        <f t="shared" si="34"/>
        <v>1248.5654476763532</v>
      </c>
      <c r="AB184" s="52">
        <f t="shared" si="46"/>
        <v>-2.4309759400014331E-2</v>
      </c>
      <c r="AC184" s="48">
        <f t="shared" si="35"/>
        <v>-2.2105263157894735E-2</v>
      </c>
      <c r="AD184" s="48">
        <f t="shared" si="36"/>
        <v>-1.3289036544850499E-2</v>
      </c>
      <c r="AE184" s="48">
        <f t="shared" si="37"/>
        <v>-3.1375703942075624E-2</v>
      </c>
      <c r="AF184" s="48" t="e">
        <f>(#REF!-#REF!)/#REF!</f>
        <v>#REF!</v>
      </c>
    </row>
    <row r="185" spans="1:32" x14ac:dyDescent="0.3">
      <c r="A185" s="48">
        <v>20181001</v>
      </c>
      <c r="B185" s="48" t="s">
        <v>88</v>
      </c>
      <c r="C185" s="79">
        <v>0.2</v>
      </c>
      <c r="D185" s="79">
        <f t="shared" si="38"/>
        <v>0.198529434459188</v>
      </c>
      <c r="E185" s="49">
        <v>46450</v>
      </c>
      <c r="F185" s="49">
        <v>46350</v>
      </c>
      <c r="G185" s="49">
        <v>6419324700</v>
      </c>
      <c r="H185" s="49">
        <f t="shared" si="39"/>
        <v>0.227928098803895</v>
      </c>
      <c r="I185" s="49">
        <f t="shared" si="47"/>
        <v>0.227928098803895</v>
      </c>
      <c r="J185" s="48">
        <v>0.3</v>
      </c>
      <c r="K185" s="48">
        <f t="shared" si="40"/>
        <v>0.28836478946446414</v>
      </c>
      <c r="L185" s="48">
        <v>297000</v>
      </c>
      <c r="M185" s="48">
        <v>292000</v>
      </c>
      <c r="N185" s="51">
        <v>125395903</v>
      </c>
      <c r="O185" s="48">
        <f t="shared" si="41"/>
        <v>2.6902217281479599</v>
      </c>
      <c r="P185" s="48">
        <f t="shared" si="48"/>
        <v>2.6902217281479599</v>
      </c>
      <c r="Q185" s="49">
        <v>0.5</v>
      </c>
      <c r="R185" s="49">
        <f t="shared" si="42"/>
        <v>0.51310577607634789</v>
      </c>
      <c r="S185" s="49">
        <v>240800</v>
      </c>
      <c r="T185" s="49">
        <v>242000</v>
      </c>
      <c r="U185" s="49">
        <v>15956260</v>
      </c>
      <c r="V185" s="49">
        <f t="shared" si="43"/>
        <v>45.391285034054299</v>
      </c>
      <c r="W185" s="49">
        <f t="shared" si="49"/>
        <v>45.391285034054299</v>
      </c>
      <c r="X185" s="82">
        <f t="shared" si="44"/>
        <v>0</v>
      </c>
      <c r="Y185" s="82">
        <f t="shared" si="45"/>
        <v>274362327648340.06</v>
      </c>
      <c r="Z185" s="81">
        <f t="shared" si="50"/>
        <v>341595424258856.69</v>
      </c>
      <c r="AA185" s="80">
        <f t="shared" si="34"/>
        <v>1245.0522168506009</v>
      </c>
      <c r="AB185" s="52">
        <f t="shared" si="46"/>
        <v>-2.8138139112295845E-3</v>
      </c>
      <c r="AC185" s="48">
        <f t="shared" si="35"/>
        <v>-2.1528525296017221E-3</v>
      </c>
      <c r="AD185" s="48">
        <f t="shared" si="36"/>
        <v>-1.6835016835016835E-2</v>
      </c>
      <c r="AE185" s="48">
        <f t="shared" si="37"/>
        <v>4.9833887043189366E-3</v>
      </c>
      <c r="AF185" s="48" t="e">
        <f>(#REF!-#REF!)/#REF!</f>
        <v>#REF!</v>
      </c>
    </row>
    <row r="186" spans="1:32" x14ac:dyDescent="0.3">
      <c r="A186" s="48">
        <v>20181002</v>
      </c>
      <c r="B186" s="48" t="s">
        <v>88</v>
      </c>
      <c r="C186" s="79">
        <v>0.2</v>
      </c>
      <c r="D186" s="79">
        <f t="shared" si="38"/>
        <v>0.19996097883312688</v>
      </c>
      <c r="E186" s="49">
        <v>46350</v>
      </c>
      <c r="F186" s="49">
        <v>45700</v>
      </c>
      <c r="G186" s="49">
        <v>6419324700</v>
      </c>
      <c r="H186" s="49">
        <f t="shared" si="39"/>
        <v>0.227928098803895</v>
      </c>
      <c r="I186" s="49">
        <f t="shared" si="47"/>
        <v>0.227928098803895</v>
      </c>
      <c r="J186" s="48">
        <v>0.3</v>
      </c>
      <c r="K186" s="48">
        <f t="shared" si="40"/>
        <v>0.2910442899199463</v>
      </c>
      <c r="L186" s="48">
        <v>292000</v>
      </c>
      <c r="M186" s="48">
        <v>288500</v>
      </c>
      <c r="N186" s="51">
        <v>125395903</v>
      </c>
      <c r="O186" s="48">
        <f t="shared" si="41"/>
        <v>2.6902217281479599</v>
      </c>
      <c r="P186" s="48">
        <f t="shared" si="48"/>
        <v>2.6902217281479599</v>
      </c>
      <c r="Q186" s="49">
        <v>0.5</v>
      </c>
      <c r="R186" s="49">
        <f t="shared" si="42"/>
        <v>0.50899473124692673</v>
      </c>
      <c r="S186" s="49">
        <v>242000</v>
      </c>
      <c r="T186" s="49">
        <v>235000</v>
      </c>
      <c r="U186" s="49">
        <v>15956260</v>
      </c>
      <c r="V186" s="49">
        <f t="shared" si="43"/>
        <v>45.391285034054299</v>
      </c>
      <c r="W186" s="49">
        <f t="shared" si="49"/>
        <v>45.391285034054299</v>
      </c>
      <c r="X186" s="82">
        <f t="shared" si="44"/>
        <v>0</v>
      </c>
      <c r="Y186" s="82">
        <f t="shared" si="45"/>
        <v>274362327648340.06</v>
      </c>
      <c r="Z186" s="81">
        <f t="shared" si="50"/>
        <v>334393754590235.37</v>
      </c>
      <c r="AA186" s="80">
        <f t="shared" si="34"/>
        <v>1218.8034613077045</v>
      </c>
      <c r="AB186" s="52">
        <f t="shared" si="46"/>
        <v>-2.1082453561099144E-2</v>
      </c>
      <c r="AC186" s="48">
        <f t="shared" si="35"/>
        <v>-1.4023732470334413E-2</v>
      </c>
      <c r="AD186" s="48">
        <f t="shared" si="36"/>
        <v>-1.1986301369863013E-2</v>
      </c>
      <c r="AE186" s="48">
        <f t="shared" si="37"/>
        <v>-2.8925619834710745E-2</v>
      </c>
      <c r="AF186" s="48" t="e">
        <f>(#REF!-#REF!)/#REF!</f>
        <v>#REF!</v>
      </c>
    </row>
    <row r="187" spans="1:32" x14ac:dyDescent="0.3">
      <c r="A187" s="48">
        <v>20181004</v>
      </c>
      <c r="B187" s="48" t="s">
        <v>88</v>
      </c>
      <c r="C187" s="79">
        <v>0.2</v>
      </c>
      <c r="D187" s="79">
        <f t="shared" si="38"/>
        <v>0.1974624366205045</v>
      </c>
      <c r="E187" s="49">
        <v>45700</v>
      </c>
      <c r="F187" s="49">
        <v>44700</v>
      </c>
      <c r="G187" s="49">
        <v>6419324700</v>
      </c>
      <c r="H187" s="49">
        <f t="shared" si="39"/>
        <v>0.227928098803895</v>
      </c>
      <c r="I187" s="49">
        <f t="shared" si="47"/>
        <v>0.227928098803895</v>
      </c>
      <c r="J187" s="48">
        <v>0.3</v>
      </c>
      <c r="K187" s="48">
        <f t="shared" si="40"/>
        <v>0.29587435016028502</v>
      </c>
      <c r="L187" s="48">
        <v>288500</v>
      </c>
      <c r="M187" s="48">
        <v>290500</v>
      </c>
      <c r="N187" s="51">
        <v>125395903</v>
      </c>
      <c r="O187" s="48">
        <f t="shared" si="41"/>
        <v>2.6902217281479599</v>
      </c>
      <c r="P187" s="48">
        <f t="shared" si="48"/>
        <v>2.6902217281479599</v>
      </c>
      <c r="Q187" s="49">
        <v>0.5</v>
      </c>
      <c r="R187" s="49">
        <f t="shared" si="42"/>
        <v>0.50666321321921048</v>
      </c>
      <c r="S187" s="49">
        <v>235000</v>
      </c>
      <c r="T187" s="49">
        <v>231700</v>
      </c>
      <c r="U187" s="49">
        <v>15956260</v>
      </c>
      <c r="V187" s="49">
        <f t="shared" si="43"/>
        <v>45.391285034054299</v>
      </c>
      <c r="W187" s="49">
        <f t="shared" si="49"/>
        <v>45.391285034054299</v>
      </c>
      <c r="X187" s="82">
        <f t="shared" si="44"/>
        <v>0</v>
      </c>
      <c r="Y187" s="82">
        <f t="shared" si="45"/>
        <v>274362327648340.06</v>
      </c>
      <c r="Z187" s="81">
        <f t="shared" si="50"/>
        <v>331215187700568.44</v>
      </c>
      <c r="AA187" s="80">
        <f t="shared" si="34"/>
        <v>1207.2181721868853</v>
      </c>
      <c r="AB187" s="52">
        <f t="shared" si="46"/>
        <v>-9.5054612893770932E-3</v>
      </c>
      <c r="AC187" s="48">
        <f t="shared" si="35"/>
        <v>-2.1881838074398249E-2</v>
      </c>
      <c r="AD187" s="48">
        <f t="shared" si="36"/>
        <v>6.9324090121317154E-3</v>
      </c>
      <c r="AE187" s="48">
        <f t="shared" si="37"/>
        <v>-1.4042553191489362E-2</v>
      </c>
      <c r="AF187" s="48" t="e">
        <f>(#REF!-#REF!)/#REF!</f>
        <v>#REF!</v>
      </c>
    </row>
    <row r="188" spans="1:32" x14ac:dyDescent="0.3">
      <c r="A188" s="48">
        <v>20181005</v>
      </c>
      <c r="B188" s="48" t="s">
        <v>88</v>
      </c>
      <c r="C188" s="79">
        <v>0.2</v>
      </c>
      <c r="D188" s="79">
        <f t="shared" si="38"/>
        <v>0.20260100747616464</v>
      </c>
      <c r="E188" s="49">
        <v>44700</v>
      </c>
      <c r="F188" s="49">
        <v>44700</v>
      </c>
      <c r="G188" s="49">
        <v>6419324700</v>
      </c>
      <c r="H188" s="49">
        <f t="shared" si="39"/>
        <v>0.227928098803895</v>
      </c>
      <c r="I188" s="49">
        <f t="shared" si="47"/>
        <v>0.227928098803895</v>
      </c>
      <c r="J188" s="48">
        <v>0.3</v>
      </c>
      <c r="K188" s="48">
        <f t="shared" si="40"/>
        <v>0.30200638995196172</v>
      </c>
      <c r="L188" s="48">
        <v>290500</v>
      </c>
      <c r="M188" s="48">
        <v>289000</v>
      </c>
      <c r="N188" s="51">
        <v>125395903</v>
      </c>
      <c r="O188" s="48">
        <f t="shared" si="41"/>
        <v>2.6902217281479599</v>
      </c>
      <c r="P188" s="48">
        <f t="shared" si="48"/>
        <v>2.6902217281479599</v>
      </c>
      <c r="Q188" s="49">
        <v>0.5</v>
      </c>
      <c r="R188" s="49">
        <f t="shared" si="42"/>
        <v>0.49539260257187379</v>
      </c>
      <c r="S188" s="49">
        <v>231700</v>
      </c>
      <c r="T188" s="49">
        <v>220800</v>
      </c>
      <c r="U188" s="49">
        <v>15956260</v>
      </c>
      <c r="V188" s="49">
        <f t="shared" si="43"/>
        <v>45.391285034054299</v>
      </c>
      <c r="W188" s="49">
        <f t="shared" si="49"/>
        <v>45.391285034054299</v>
      </c>
      <c r="X188" s="82">
        <f t="shared" si="44"/>
        <v>0</v>
      </c>
      <c r="Y188" s="82">
        <f t="shared" si="45"/>
        <v>274362327648340.06</v>
      </c>
      <c r="Z188" s="81">
        <f t="shared" si="50"/>
        <v>322814574437722.87</v>
      </c>
      <c r="AA188" s="80">
        <f t="shared" si="34"/>
        <v>1176.5994887296838</v>
      </c>
      <c r="AB188" s="52">
        <f t="shared" si="46"/>
        <v>-2.5363007418729915E-2</v>
      </c>
      <c r="AC188" s="48">
        <f t="shared" si="35"/>
        <v>0</v>
      </c>
      <c r="AD188" s="48">
        <f t="shared" si="36"/>
        <v>-5.1635111876075735E-3</v>
      </c>
      <c r="AE188" s="48">
        <f t="shared" si="37"/>
        <v>-4.7043590850237377E-2</v>
      </c>
      <c r="AF188" s="48" t="e">
        <f>(#REF!-#REF!)/#REF!</f>
        <v>#REF!</v>
      </c>
    </row>
    <row r="189" spans="1:32" x14ac:dyDescent="0.3">
      <c r="A189" s="48">
        <v>20181008</v>
      </c>
      <c r="B189" s="48" t="s">
        <v>88</v>
      </c>
      <c r="C189" s="79">
        <v>0.2</v>
      </c>
      <c r="D189" s="79">
        <f t="shared" si="38"/>
        <v>0.20480439886928353</v>
      </c>
      <c r="E189" s="49">
        <v>44700</v>
      </c>
      <c r="F189" s="49">
        <v>44950</v>
      </c>
      <c r="G189" s="49">
        <v>6419324700</v>
      </c>
      <c r="H189" s="49">
        <f t="shared" si="39"/>
        <v>0.227928098803895</v>
      </c>
      <c r="I189" s="49">
        <f t="shared" si="47"/>
        <v>0.227928098803895</v>
      </c>
      <c r="J189" s="48">
        <v>0.3</v>
      </c>
      <c r="K189" s="48">
        <f t="shared" si="40"/>
        <v>0.30464341416544827</v>
      </c>
      <c r="L189" s="48">
        <v>289000</v>
      </c>
      <c r="M189" s="48">
        <v>290000</v>
      </c>
      <c r="N189" s="51">
        <v>125395903</v>
      </c>
      <c r="O189" s="48">
        <f t="shared" si="41"/>
        <v>2.6902217281479599</v>
      </c>
      <c r="P189" s="48">
        <f t="shared" si="48"/>
        <v>2.6902217281479599</v>
      </c>
      <c r="Q189" s="49">
        <v>0.5</v>
      </c>
      <c r="R189" s="49">
        <f t="shared" si="42"/>
        <v>0.4905521869652682</v>
      </c>
      <c r="S189" s="49">
        <v>220800</v>
      </c>
      <c r="T189" s="49">
        <v>217500</v>
      </c>
      <c r="U189" s="49">
        <v>15956260</v>
      </c>
      <c r="V189" s="49">
        <f t="shared" si="43"/>
        <v>45.391285034054299</v>
      </c>
      <c r="W189" s="49">
        <f t="shared" si="49"/>
        <v>45.391285034054299</v>
      </c>
      <c r="X189" s="82">
        <f t="shared" si="44"/>
        <v>0</v>
      </c>
      <c r="Y189" s="82">
        <f t="shared" si="45"/>
        <v>274362327648340.06</v>
      </c>
      <c r="Z189" s="81">
        <f t="shared" si="50"/>
        <v>321127595358279.56</v>
      </c>
      <c r="AA189" s="80">
        <f t="shared" si="34"/>
        <v>1170.4507616289077</v>
      </c>
      <c r="AB189" s="52">
        <f t="shared" si="46"/>
        <v>-5.225845463705402E-3</v>
      </c>
      <c r="AC189" s="48">
        <f t="shared" si="35"/>
        <v>5.5928411633109623E-3</v>
      </c>
      <c r="AD189" s="48">
        <f t="shared" si="36"/>
        <v>3.4602076124567475E-3</v>
      </c>
      <c r="AE189" s="48">
        <f t="shared" si="37"/>
        <v>-1.4945652173913044E-2</v>
      </c>
      <c r="AF189" s="48" t="e">
        <f>(#REF!-#REF!)/#REF!</f>
        <v>#REF!</v>
      </c>
    </row>
    <row r="190" spans="1:32" x14ac:dyDescent="0.3">
      <c r="A190" s="48">
        <v>20181010</v>
      </c>
      <c r="B190" s="48" t="s">
        <v>88</v>
      </c>
      <c r="C190" s="79">
        <v>0.2</v>
      </c>
      <c r="D190" s="79">
        <f t="shared" si="38"/>
        <v>0.20589900864205488</v>
      </c>
      <c r="E190" s="49">
        <v>44950</v>
      </c>
      <c r="F190" s="49">
        <v>45300</v>
      </c>
      <c r="G190" s="49">
        <v>6419324700</v>
      </c>
      <c r="H190" s="49">
        <f t="shared" si="39"/>
        <v>0.227928098803895</v>
      </c>
      <c r="I190" s="49">
        <f t="shared" si="47"/>
        <v>0.227928098803895</v>
      </c>
      <c r="J190" s="48">
        <v>0.3</v>
      </c>
      <c r="K190" s="48">
        <f t="shared" si="40"/>
        <v>0.30023746989078903</v>
      </c>
      <c r="L190" s="48">
        <v>290000</v>
      </c>
      <c r="M190" s="48">
        <v>286500</v>
      </c>
      <c r="N190" s="51">
        <v>125395903</v>
      </c>
      <c r="O190" s="48">
        <f t="shared" si="41"/>
        <v>2.6902217281479599</v>
      </c>
      <c r="P190" s="48">
        <f t="shared" si="48"/>
        <v>2.6902217281479599</v>
      </c>
      <c r="Q190" s="49">
        <v>0.5</v>
      </c>
      <c r="R190" s="49">
        <f t="shared" si="42"/>
        <v>0.49386352146715617</v>
      </c>
      <c r="S190" s="49">
        <v>217500</v>
      </c>
      <c r="T190" s="49">
        <v>219500</v>
      </c>
      <c r="U190" s="49">
        <v>15956260</v>
      </c>
      <c r="V190" s="49">
        <f t="shared" si="43"/>
        <v>45.391285034054299</v>
      </c>
      <c r="W190" s="49">
        <f t="shared" si="49"/>
        <v>45.391285034054299</v>
      </c>
      <c r="X190" s="82">
        <f t="shared" si="44"/>
        <v>0</v>
      </c>
      <c r="Y190" s="82">
        <f t="shared" si="45"/>
        <v>274362327648340.06</v>
      </c>
      <c r="Z190" s="81">
        <f t="shared" si="50"/>
        <v>321907546475771.37</v>
      </c>
      <c r="AA190" s="80">
        <f t="shared" si="34"/>
        <v>1173.2935393680277</v>
      </c>
      <c r="AB190" s="52">
        <f t="shared" si="46"/>
        <v>2.4287888327431777E-3</v>
      </c>
      <c r="AC190" s="48">
        <f t="shared" si="35"/>
        <v>7.7864293659621799E-3</v>
      </c>
      <c r="AD190" s="48">
        <f t="shared" si="36"/>
        <v>-1.2068965517241379E-2</v>
      </c>
      <c r="AE190" s="48">
        <f t="shared" si="37"/>
        <v>9.1954022988505746E-3</v>
      </c>
      <c r="AF190" s="48" t="e">
        <f>(#REF!-#REF!)/#REF!</f>
        <v>#REF!</v>
      </c>
    </row>
    <row r="191" spans="1:32" x14ac:dyDescent="0.3">
      <c r="A191" s="48">
        <v>20181011</v>
      </c>
      <c r="B191" s="48" t="s">
        <v>88</v>
      </c>
      <c r="C191" s="79">
        <v>0.2</v>
      </c>
      <c r="D191" s="79">
        <f t="shared" si="38"/>
        <v>0.20504841196962484</v>
      </c>
      <c r="E191" s="49">
        <v>45300</v>
      </c>
      <c r="F191" s="49">
        <v>43100</v>
      </c>
      <c r="G191" s="49">
        <v>6419324700</v>
      </c>
      <c r="H191" s="49">
        <f t="shared" si="39"/>
        <v>0.227928098803895</v>
      </c>
      <c r="I191" s="49">
        <f t="shared" si="47"/>
        <v>0.227928098803895</v>
      </c>
      <c r="J191" s="48">
        <v>0.3</v>
      </c>
      <c r="K191" s="48">
        <f t="shared" si="40"/>
        <v>0.29780582327497618</v>
      </c>
      <c r="L191" s="48">
        <v>286500</v>
      </c>
      <c r="M191" s="48">
        <v>271500</v>
      </c>
      <c r="N191" s="51">
        <v>125395903</v>
      </c>
      <c r="O191" s="48">
        <f t="shared" si="41"/>
        <v>2.6902217281479599</v>
      </c>
      <c r="P191" s="48">
        <f t="shared" si="48"/>
        <v>2.6902217281479599</v>
      </c>
      <c r="Q191" s="49">
        <v>0.5</v>
      </c>
      <c r="R191" s="49">
        <f t="shared" si="42"/>
        <v>0.49714576475539896</v>
      </c>
      <c r="S191" s="49">
        <v>219500</v>
      </c>
      <c r="T191" s="49">
        <v>211100</v>
      </c>
      <c r="U191" s="49">
        <v>15956260</v>
      </c>
      <c r="V191" s="49">
        <f t="shared" si="43"/>
        <v>45.391285034054299</v>
      </c>
      <c r="W191" s="49">
        <f t="shared" si="49"/>
        <v>45.391285034054299</v>
      </c>
      <c r="X191" s="82">
        <f t="shared" si="44"/>
        <v>0</v>
      </c>
      <c r="Y191" s="82">
        <f t="shared" si="45"/>
        <v>274362327648340.06</v>
      </c>
      <c r="Z191" s="81">
        <f t="shared" si="50"/>
        <v>307544575664659.62</v>
      </c>
      <c r="AA191" s="80">
        <f t="shared" si="34"/>
        <v>1120.9431641025092</v>
      </c>
      <c r="AB191" s="52">
        <f t="shared" si="46"/>
        <v>-4.4618310345181045E-2</v>
      </c>
      <c r="AC191" s="48">
        <f t="shared" si="35"/>
        <v>-4.856512141280353E-2</v>
      </c>
      <c r="AD191" s="48">
        <f t="shared" si="36"/>
        <v>-5.2356020942408377E-2</v>
      </c>
      <c r="AE191" s="48">
        <f t="shared" si="37"/>
        <v>-3.826879271070615E-2</v>
      </c>
      <c r="AF191" s="48" t="e">
        <f>(#REF!-#REF!)/#REF!</f>
        <v>#REF!</v>
      </c>
    </row>
    <row r="192" spans="1:32" x14ac:dyDescent="0.3">
      <c r="A192" s="48">
        <v>20181012</v>
      </c>
      <c r="B192" s="48" t="s">
        <v>88</v>
      </c>
      <c r="C192" s="79">
        <v>0.2</v>
      </c>
      <c r="D192" s="79">
        <f t="shared" si="38"/>
        <v>0.20250313615768176</v>
      </c>
      <c r="E192" s="49">
        <v>43100</v>
      </c>
      <c r="F192" s="49">
        <v>44000</v>
      </c>
      <c r="G192" s="49">
        <v>6419324700</v>
      </c>
      <c r="H192" s="49">
        <f t="shared" si="39"/>
        <v>0.227928098803895</v>
      </c>
      <c r="I192" s="49">
        <f t="shared" si="47"/>
        <v>0.227928098803895</v>
      </c>
      <c r="J192" s="48">
        <v>0.3</v>
      </c>
      <c r="K192" s="48">
        <f t="shared" si="40"/>
        <v>0.29127662748973859</v>
      </c>
      <c r="L192" s="48">
        <v>271500</v>
      </c>
      <c r="M192" s="48">
        <v>274500</v>
      </c>
      <c r="N192" s="51">
        <v>125395903</v>
      </c>
      <c r="O192" s="48">
        <f t="shared" si="41"/>
        <v>2.6902217281479599</v>
      </c>
      <c r="P192" s="48">
        <f t="shared" si="48"/>
        <v>2.6902217281479599</v>
      </c>
      <c r="Q192" s="49">
        <v>0.5</v>
      </c>
      <c r="R192" s="49">
        <f t="shared" si="42"/>
        <v>0.50622023635257962</v>
      </c>
      <c r="S192" s="49">
        <v>211100</v>
      </c>
      <c r="T192" s="49">
        <v>222200</v>
      </c>
      <c r="U192" s="49">
        <v>15956260</v>
      </c>
      <c r="V192" s="49">
        <f t="shared" si="43"/>
        <v>45.391285034054299</v>
      </c>
      <c r="W192" s="49">
        <f t="shared" si="49"/>
        <v>45.391285034054299</v>
      </c>
      <c r="X192" s="82">
        <f t="shared" si="44"/>
        <v>0</v>
      </c>
      <c r="Y192" s="82">
        <f t="shared" si="45"/>
        <v>274362327648340.06</v>
      </c>
      <c r="Z192" s="81">
        <f t="shared" si="50"/>
        <v>317912888157987.94</v>
      </c>
      <c r="AA192" s="80">
        <f t="shared" si="34"/>
        <v>1158.7337477522358</v>
      </c>
      <c r="AB192" s="52">
        <f t="shared" si="46"/>
        <v>3.371320229244977E-2</v>
      </c>
      <c r="AC192" s="48">
        <f t="shared" si="35"/>
        <v>2.0881670533642691E-2</v>
      </c>
      <c r="AD192" s="48">
        <f t="shared" si="36"/>
        <v>1.1049723756906077E-2</v>
      </c>
      <c r="AE192" s="48">
        <f t="shared" si="37"/>
        <v>5.2581714827096164E-2</v>
      </c>
      <c r="AF192" s="48" t="e">
        <f>(#REF!-#REF!)/#REF!</f>
        <v>#REF!</v>
      </c>
    </row>
    <row r="193" spans="1:32" x14ac:dyDescent="0.3">
      <c r="A193" s="48">
        <v>20181015</v>
      </c>
      <c r="B193" s="48" t="s">
        <v>88</v>
      </c>
      <c r="C193" s="79">
        <v>0.2</v>
      </c>
      <c r="D193" s="79">
        <f t="shared" si="38"/>
        <v>0.21053223711530103</v>
      </c>
      <c r="E193" s="49">
        <v>44000</v>
      </c>
      <c r="F193" s="49">
        <v>43800</v>
      </c>
      <c r="G193" s="49">
        <v>6419324700</v>
      </c>
      <c r="H193" s="49">
        <f t="shared" si="39"/>
        <v>0.227928098803895</v>
      </c>
      <c r="I193" s="49">
        <f t="shared" si="47"/>
        <v>0.227928098803895</v>
      </c>
      <c r="J193" s="48">
        <v>0.3</v>
      </c>
      <c r="K193" s="48">
        <f t="shared" si="40"/>
        <v>0.28980134698648491</v>
      </c>
      <c r="L193" s="48">
        <v>274500</v>
      </c>
      <c r="M193" s="48">
        <v>261500</v>
      </c>
      <c r="N193" s="51">
        <v>125395903</v>
      </c>
      <c r="O193" s="48">
        <f t="shared" si="41"/>
        <v>2.6902217281479599</v>
      </c>
      <c r="P193" s="48">
        <f t="shared" si="48"/>
        <v>2.6902217281479599</v>
      </c>
      <c r="Q193" s="49">
        <v>0.5</v>
      </c>
      <c r="R193" s="49">
        <f t="shared" si="42"/>
        <v>0.49966641589821403</v>
      </c>
      <c r="S193" s="49">
        <v>222200</v>
      </c>
      <c r="T193" s="49">
        <v>210000</v>
      </c>
      <c r="U193" s="49">
        <v>15956260</v>
      </c>
      <c r="V193" s="49">
        <f t="shared" si="43"/>
        <v>45.391285034054299</v>
      </c>
      <c r="W193" s="49">
        <f t="shared" si="49"/>
        <v>45.391285034054299</v>
      </c>
      <c r="X193" s="82">
        <f t="shared" si="44"/>
        <v>0</v>
      </c>
      <c r="Y193" s="82">
        <f t="shared" si="45"/>
        <v>274362327648340.06</v>
      </c>
      <c r="Z193" s="81">
        <f t="shared" si="50"/>
        <v>304398646307768.19</v>
      </c>
      <c r="AA193" s="80">
        <f t="shared" si="34"/>
        <v>1109.4768327593677</v>
      </c>
      <c r="AB193" s="52">
        <f t="shared" si="46"/>
        <v>-4.2509260723974707E-2</v>
      </c>
      <c r="AC193" s="48">
        <f t="shared" si="35"/>
        <v>-4.5454545454545452E-3</v>
      </c>
      <c r="AD193" s="48">
        <f t="shared" si="36"/>
        <v>-4.7358834244080147E-2</v>
      </c>
      <c r="AE193" s="48">
        <f t="shared" si="37"/>
        <v>-5.4905490549054907E-2</v>
      </c>
      <c r="AF193" s="48" t="e">
        <f>(#REF!-#REF!)/#REF!</f>
        <v>#REF!</v>
      </c>
    </row>
    <row r="194" spans="1:32" x14ac:dyDescent="0.3">
      <c r="A194" s="48">
        <v>20181016</v>
      </c>
      <c r="B194" s="48" t="s">
        <v>88</v>
      </c>
      <c r="C194" s="79">
        <v>0.2</v>
      </c>
      <c r="D194" s="79">
        <f t="shared" si="38"/>
        <v>0.20670413088636874</v>
      </c>
      <c r="E194" s="49">
        <v>43800</v>
      </c>
      <c r="F194" s="49">
        <v>43600</v>
      </c>
      <c r="G194" s="49">
        <v>6419324700</v>
      </c>
      <c r="H194" s="49">
        <f t="shared" si="39"/>
        <v>0.227928098803895</v>
      </c>
      <c r="I194" s="49">
        <f t="shared" si="47"/>
        <v>0.227928098803895</v>
      </c>
      <c r="J194" s="48">
        <v>0.3</v>
      </c>
      <c r="K194" s="48">
        <f t="shared" si="40"/>
        <v>0.28638361685524338</v>
      </c>
      <c r="L194" s="48">
        <v>261500</v>
      </c>
      <c r="M194" s="48">
        <v>262000</v>
      </c>
      <c r="N194" s="51">
        <v>125395903</v>
      </c>
      <c r="O194" s="48">
        <f t="shared" si="41"/>
        <v>2.6902217281479599</v>
      </c>
      <c r="P194" s="48">
        <f t="shared" si="48"/>
        <v>2.6902217281479599</v>
      </c>
      <c r="Q194" s="49">
        <v>0.5</v>
      </c>
      <c r="R194" s="49">
        <f t="shared" si="42"/>
        <v>0.50691225225838787</v>
      </c>
      <c r="S194" s="49">
        <v>210000</v>
      </c>
      <c r="T194" s="49">
        <v>216000</v>
      </c>
      <c r="U194" s="49">
        <v>15956260</v>
      </c>
      <c r="V194" s="49">
        <f t="shared" si="43"/>
        <v>45.391285034054299</v>
      </c>
      <c r="W194" s="49">
        <f t="shared" si="49"/>
        <v>45.391285034054299</v>
      </c>
      <c r="X194" s="82">
        <f t="shared" si="44"/>
        <v>0</v>
      </c>
      <c r="Y194" s="82">
        <f t="shared" si="45"/>
        <v>274362327648340.06</v>
      </c>
      <c r="Z194" s="81">
        <f t="shared" si="50"/>
        <v>308620339678733.56</v>
      </c>
      <c r="AA194" s="80">
        <f t="shared" si="34"/>
        <v>1124.8641252027253</v>
      </c>
      <c r="AB194" s="52">
        <f t="shared" si="46"/>
        <v>1.3868962369487311E-2</v>
      </c>
      <c r="AC194" s="48">
        <f t="shared" si="35"/>
        <v>-4.5662100456621002E-3</v>
      </c>
      <c r="AD194" s="48">
        <f t="shared" si="36"/>
        <v>1.9120458891013384E-3</v>
      </c>
      <c r="AE194" s="48">
        <f t="shared" si="37"/>
        <v>2.8571428571428571E-2</v>
      </c>
      <c r="AF194" s="48" t="e">
        <f>(#REF!-#REF!)/#REF!</f>
        <v>#REF!</v>
      </c>
    </row>
    <row r="195" spans="1:32" x14ac:dyDescent="0.3">
      <c r="A195" s="48">
        <v>20181017</v>
      </c>
      <c r="B195" s="48" t="s">
        <v>88</v>
      </c>
      <c r="C195" s="79">
        <v>0.2</v>
      </c>
      <c r="D195" s="79">
        <f t="shared" si="38"/>
        <v>0.20724879339883956</v>
      </c>
      <c r="E195" s="49">
        <v>43600</v>
      </c>
      <c r="F195" s="49">
        <v>44150</v>
      </c>
      <c r="G195" s="49">
        <v>6419324700</v>
      </c>
      <c r="H195" s="49">
        <f t="shared" si="39"/>
        <v>0.227928098803895</v>
      </c>
      <c r="I195" s="49">
        <f t="shared" si="47"/>
        <v>0.227928098803895</v>
      </c>
      <c r="J195" s="48">
        <v>0.3</v>
      </c>
      <c r="K195" s="48">
        <f t="shared" si="40"/>
        <v>0.28734923151762798</v>
      </c>
      <c r="L195" s="48">
        <v>262000</v>
      </c>
      <c r="M195" s="48">
        <v>265500</v>
      </c>
      <c r="N195" s="51">
        <v>125395903</v>
      </c>
      <c r="O195" s="48">
        <f t="shared" si="41"/>
        <v>2.6902217281479599</v>
      </c>
      <c r="P195" s="48">
        <f t="shared" si="48"/>
        <v>2.6902217281479599</v>
      </c>
      <c r="Q195" s="49">
        <v>0.5</v>
      </c>
      <c r="R195" s="49">
        <f t="shared" si="42"/>
        <v>0.50540197508353246</v>
      </c>
      <c r="S195" s="49">
        <v>216000</v>
      </c>
      <c r="T195" s="49">
        <v>217500</v>
      </c>
      <c r="U195" s="49">
        <v>15956260</v>
      </c>
      <c r="V195" s="49">
        <f t="shared" si="43"/>
        <v>45.391285034054299</v>
      </c>
      <c r="W195" s="49">
        <f t="shared" si="49"/>
        <v>45.391285034054299</v>
      </c>
      <c r="X195" s="82">
        <f t="shared" si="44"/>
        <v>0</v>
      </c>
      <c r="Y195" s="82">
        <f t="shared" si="45"/>
        <v>274362327648340.06</v>
      </c>
      <c r="Z195" s="81">
        <f t="shared" si="50"/>
        <v>311692181598351.19</v>
      </c>
      <c r="AA195" s="80">
        <f t="shared" ref="AA195:AA258" si="51">Z195/Y195*1000</f>
        <v>1136.0604215235342</v>
      </c>
      <c r="AB195" s="52">
        <f t="shared" si="46"/>
        <v>9.953465551931483E-3</v>
      </c>
      <c r="AC195" s="48">
        <f t="shared" ref="AC195:AC258" si="52">(F195-E195)/E195</f>
        <v>1.261467889908257E-2</v>
      </c>
      <c r="AD195" s="48">
        <f t="shared" ref="AD195:AD258" si="53">(M195-L195)/L195</f>
        <v>1.3358778625954198E-2</v>
      </c>
      <c r="AE195" s="48">
        <f t="shared" ref="AE195:AE258" si="54">(T195-S195)/S195</f>
        <v>6.9444444444444441E-3</v>
      </c>
      <c r="AF195" s="48" t="e">
        <f>(#REF!-#REF!)/#REF!</f>
        <v>#REF!</v>
      </c>
    </row>
    <row r="196" spans="1:32" x14ac:dyDescent="0.3">
      <c r="A196" s="48">
        <v>20181018</v>
      </c>
      <c r="B196" s="48" t="s">
        <v>88</v>
      </c>
      <c r="C196" s="79">
        <v>0.2</v>
      </c>
      <c r="D196" s="79">
        <f t="shared" ref="D196:D259" si="55">F196*G196*I196/Z196</f>
        <v>0.20986670272895339</v>
      </c>
      <c r="E196" s="49">
        <v>44150</v>
      </c>
      <c r="F196" s="49">
        <v>44050</v>
      </c>
      <c r="G196" s="49">
        <v>6419324700</v>
      </c>
      <c r="H196" s="49">
        <f t="shared" ref="H196:H259" si="56">I195</f>
        <v>0.227928098803895</v>
      </c>
      <c r="I196" s="49">
        <f t="shared" si="47"/>
        <v>0.227928098803895</v>
      </c>
      <c r="J196" s="48">
        <v>0.3</v>
      </c>
      <c r="K196" s="48">
        <f t="shared" ref="K196:K259" si="57">M196*N196*P196/Z196</f>
        <v>0.28614724299449584</v>
      </c>
      <c r="L196" s="48">
        <v>265500</v>
      </c>
      <c r="M196" s="48">
        <v>260500</v>
      </c>
      <c r="N196" s="51">
        <v>125395903</v>
      </c>
      <c r="O196" s="48">
        <f t="shared" ref="O196:O259" si="58">P195</f>
        <v>2.6902217281479599</v>
      </c>
      <c r="P196" s="48">
        <f t="shared" si="48"/>
        <v>2.6902217281479599</v>
      </c>
      <c r="Q196" s="49">
        <v>0.5</v>
      </c>
      <c r="R196" s="49">
        <f t="shared" ref="R196:R259" si="59">T196*U196*W196/Z196</f>
        <v>0.50398605427655074</v>
      </c>
      <c r="S196" s="49">
        <v>217500</v>
      </c>
      <c r="T196" s="49">
        <v>213700</v>
      </c>
      <c r="U196" s="49">
        <v>15956260</v>
      </c>
      <c r="V196" s="49">
        <f t="shared" ref="V196:V259" si="60">W195</f>
        <v>45.391285034054299</v>
      </c>
      <c r="W196" s="49">
        <f t="shared" si="49"/>
        <v>45.391285034054299</v>
      </c>
      <c r="X196" s="82">
        <f t="shared" ref="X196:X259" si="61">IF(Z195&lt;&gt;(E196*G196*H196+L196*N196*O196+S196*U196*V196),1,0)</f>
        <v>0</v>
      </c>
      <c r="Y196" s="82">
        <f t="shared" ref="Y196:Y259" si="62">IF(AND(X196=0,B196="N"),Y195,Y195*(E196*G196*I196+L196*N196*P196+S196*U196*W196)/Z195)</f>
        <v>274362327648340.06</v>
      </c>
      <c r="Z196" s="81">
        <f t="shared" si="50"/>
        <v>307106907682744.5</v>
      </c>
      <c r="AA196" s="80">
        <f t="shared" si="51"/>
        <v>1119.3479451609492</v>
      </c>
      <c r="AB196" s="52">
        <f t="shared" ref="AB196:AB259" si="63">(AA196-AA195)/AA195</f>
        <v>-1.4710904495882735E-2</v>
      </c>
      <c r="AC196" s="48">
        <f t="shared" si="52"/>
        <v>-2.2650056625141564E-3</v>
      </c>
      <c r="AD196" s="48">
        <f t="shared" si="53"/>
        <v>-1.8832391713747645E-2</v>
      </c>
      <c r="AE196" s="48">
        <f t="shared" si="54"/>
        <v>-1.747126436781609E-2</v>
      </c>
      <c r="AF196" s="48" t="e">
        <f>(#REF!-#REF!)/#REF!</f>
        <v>#REF!</v>
      </c>
    </row>
    <row r="197" spans="1:32" x14ac:dyDescent="0.3">
      <c r="A197" s="48">
        <v>20181019</v>
      </c>
      <c r="B197" s="48" t="s">
        <v>88</v>
      </c>
      <c r="C197" s="79">
        <v>0.2</v>
      </c>
      <c r="D197" s="79">
        <f t="shared" si="55"/>
        <v>0.2015381438711138</v>
      </c>
      <c r="E197" s="49">
        <v>44050</v>
      </c>
      <c r="F197" s="49">
        <v>43900</v>
      </c>
      <c r="G197" s="49">
        <v>6419324700</v>
      </c>
      <c r="H197" s="49">
        <f t="shared" si="56"/>
        <v>0.227928098803895</v>
      </c>
      <c r="I197" s="49">
        <f t="shared" ref="I197:I260" si="64">IF(B197="Y",ROUND(C197*(E197*G197+L197*N197+S197*U197)/(E197*G197),17),IF(X197=0,H197,ROUND(F196*G196*I196/Z196*(E197*G197+L197*N197+S197*U197)/(E197*G197),17)))</f>
        <v>0.227928098803895</v>
      </c>
      <c r="J197" s="48">
        <v>0.3</v>
      </c>
      <c r="K197" s="48">
        <f t="shared" si="57"/>
        <v>0.28896124046676858</v>
      </c>
      <c r="L197" s="48">
        <v>260500</v>
      </c>
      <c r="M197" s="48">
        <v>273000</v>
      </c>
      <c r="N197" s="51">
        <v>125395903</v>
      </c>
      <c r="O197" s="48">
        <f t="shared" si="58"/>
        <v>2.6902217281479599</v>
      </c>
      <c r="P197" s="48">
        <f t="shared" ref="P197:P260" si="65">IF(B197="Y",ROUND(J197*(E197*G197+L197*N197+S197*U197)/(L197*N197),17),IF(X197=0,O197,ROUND(M196*N196*P196/Z196*(E197*G197+L197*N197+S197*U197)/(L197*N197),17)))</f>
        <v>2.6902217281479599</v>
      </c>
      <c r="Q197" s="49">
        <v>0.5</v>
      </c>
      <c r="R197" s="49">
        <f t="shared" si="59"/>
        <v>0.50950061566211757</v>
      </c>
      <c r="S197" s="49">
        <v>213700</v>
      </c>
      <c r="T197" s="49">
        <v>224200</v>
      </c>
      <c r="U197" s="49">
        <v>15956260</v>
      </c>
      <c r="V197" s="49">
        <f t="shared" si="60"/>
        <v>45.391285034054299</v>
      </c>
      <c r="W197" s="49">
        <f t="shared" ref="W197:W260" si="66">IF(B197="Y",ROUND(Q197*(E197*G197+L197*N197+S197*U197)/(S197*U197),17),IF(X197=0,V197,ROUND(T196*U196*W196/Z196*(E197*G197+L197*N197+S197*U197)/(S197*U197),17)))</f>
        <v>45.391285034054299</v>
      </c>
      <c r="X197" s="82">
        <f t="shared" si="61"/>
        <v>0</v>
      </c>
      <c r="Y197" s="82">
        <f t="shared" si="62"/>
        <v>274362327648340.06</v>
      </c>
      <c r="Z197" s="81">
        <f t="shared" ref="Z197:Z260" si="67">F197*G197*I197+M197*N197*P197+T197*U197*W197</f>
        <v>318709109827708.31</v>
      </c>
      <c r="AA197" s="80">
        <f t="shared" si="51"/>
        <v>1161.635828648491</v>
      </c>
      <c r="AB197" s="52">
        <f t="shared" si="63"/>
        <v>3.7779033472439501E-2</v>
      </c>
      <c r="AC197" s="48">
        <f t="shared" si="52"/>
        <v>-3.4052213393870601E-3</v>
      </c>
      <c r="AD197" s="48">
        <f t="shared" si="53"/>
        <v>4.7984644913627639E-2</v>
      </c>
      <c r="AE197" s="48">
        <f t="shared" si="54"/>
        <v>4.9134300421151147E-2</v>
      </c>
      <c r="AF197" s="48" t="e">
        <f>(#REF!-#REF!)/#REF!</f>
        <v>#REF!</v>
      </c>
    </row>
    <row r="198" spans="1:32" x14ac:dyDescent="0.3">
      <c r="A198" s="48">
        <v>20181022</v>
      </c>
      <c r="B198" s="48" t="s">
        <v>88</v>
      </c>
      <c r="C198" s="79">
        <v>0.2</v>
      </c>
      <c r="D198" s="79">
        <f t="shared" si="55"/>
        <v>0.20107509005773269</v>
      </c>
      <c r="E198" s="49">
        <v>43900</v>
      </c>
      <c r="F198" s="49">
        <v>43550</v>
      </c>
      <c r="G198" s="49">
        <v>6419324700</v>
      </c>
      <c r="H198" s="49">
        <f t="shared" si="56"/>
        <v>0.227928098803895</v>
      </c>
      <c r="I198" s="49">
        <f t="shared" si="64"/>
        <v>0.227928098803895</v>
      </c>
      <c r="J198" s="48">
        <v>0.3</v>
      </c>
      <c r="K198" s="48">
        <f t="shared" si="57"/>
        <v>0.28582394839335723</v>
      </c>
      <c r="L198" s="48">
        <v>273000</v>
      </c>
      <c r="M198" s="48">
        <v>268500</v>
      </c>
      <c r="N198" s="51">
        <v>125395903</v>
      </c>
      <c r="O198" s="48">
        <f t="shared" si="58"/>
        <v>2.6902217281479599</v>
      </c>
      <c r="P198" s="48">
        <f t="shared" si="65"/>
        <v>2.6902217281479599</v>
      </c>
      <c r="Q198" s="49">
        <v>0.5</v>
      </c>
      <c r="R198" s="49">
        <f t="shared" si="59"/>
        <v>0.51310096154891005</v>
      </c>
      <c r="S198" s="49">
        <v>224200</v>
      </c>
      <c r="T198" s="49">
        <v>224500</v>
      </c>
      <c r="U198" s="49">
        <v>15956260</v>
      </c>
      <c r="V198" s="49">
        <f t="shared" si="60"/>
        <v>45.391285034054299</v>
      </c>
      <c r="W198" s="49">
        <f t="shared" si="66"/>
        <v>45.391285034054299</v>
      </c>
      <c r="X198" s="82">
        <f t="shared" si="61"/>
        <v>0</v>
      </c>
      <c r="Y198" s="82">
        <f t="shared" si="62"/>
        <v>274362327648340.06</v>
      </c>
      <c r="Z198" s="81">
        <f t="shared" si="67"/>
        <v>316896249282442</v>
      </c>
      <c r="AA198" s="80">
        <f t="shared" si="51"/>
        <v>1155.0282868594816</v>
      </c>
      <c r="AB198" s="52">
        <f t="shared" si="63"/>
        <v>-5.6881353226656585E-3</v>
      </c>
      <c r="AC198" s="48">
        <f t="shared" si="52"/>
        <v>-7.972665148063782E-3</v>
      </c>
      <c r="AD198" s="48">
        <f t="shared" si="53"/>
        <v>-1.6483516483516484E-2</v>
      </c>
      <c r="AE198" s="48">
        <f t="shared" si="54"/>
        <v>1.3380909901873326E-3</v>
      </c>
      <c r="AF198" s="48" t="e">
        <f>(#REF!-#REF!)/#REF!</f>
        <v>#REF!</v>
      </c>
    </row>
    <row r="199" spans="1:32" x14ac:dyDescent="0.3">
      <c r="A199" s="48">
        <v>20181023</v>
      </c>
      <c r="B199" s="48" t="s">
        <v>88</v>
      </c>
      <c r="C199" s="79">
        <v>0.2</v>
      </c>
      <c r="D199" s="79">
        <f t="shared" si="55"/>
        <v>0.20821612446374693</v>
      </c>
      <c r="E199" s="49">
        <v>43550</v>
      </c>
      <c r="F199" s="49">
        <v>43050</v>
      </c>
      <c r="G199" s="49">
        <v>6419324700</v>
      </c>
      <c r="H199" s="49">
        <f t="shared" si="56"/>
        <v>0.227928098803895</v>
      </c>
      <c r="I199" s="49">
        <f t="shared" si="64"/>
        <v>0.227928098803895</v>
      </c>
      <c r="J199" s="48">
        <v>0.3</v>
      </c>
      <c r="K199" s="48">
        <f t="shared" si="57"/>
        <v>0.27487949116711857</v>
      </c>
      <c r="L199" s="48">
        <v>268500</v>
      </c>
      <c r="M199" s="48">
        <v>246500</v>
      </c>
      <c r="N199" s="51">
        <v>125395903</v>
      </c>
      <c r="O199" s="48">
        <f t="shared" si="58"/>
        <v>2.6902217281479599</v>
      </c>
      <c r="P199" s="48">
        <f t="shared" si="65"/>
        <v>2.6902217281479599</v>
      </c>
      <c r="Q199" s="49">
        <v>0.5</v>
      </c>
      <c r="R199" s="49">
        <f t="shared" si="59"/>
        <v>0.51690438436913455</v>
      </c>
      <c r="S199" s="49">
        <v>224500</v>
      </c>
      <c r="T199" s="49">
        <v>215900</v>
      </c>
      <c r="U199" s="49">
        <v>15956260</v>
      </c>
      <c r="V199" s="49">
        <f t="shared" si="60"/>
        <v>45.391285034054299</v>
      </c>
      <c r="W199" s="49">
        <f t="shared" si="66"/>
        <v>45.391285034054299</v>
      </c>
      <c r="X199" s="82">
        <f t="shared" si="61"/>
        <v>0</v>
      </c>
      <c r="Y199" s="82">
        <f t="shared" si="62"/>
        <v>274362327648340.06</v>
      </c>
      <c r="Z199" s="81">
        <f t="shared" si="67"/>
        <v>302514369568692.37</v>
      </c>
      <c r="AA199" s="80">
        <f t="shared" si="51"/>
        <v>1102.6089921369808</v>
      </c>
      <c r="AB199" s="52">
        <f t="shared" si="63"/>
        <v>-4.5383559276308903E-2</v>
      </c>
      <c r="AC199" s="48">
        <f t="shared" si="52"/>
        <v>-1.1481056257175661E-2</v>
      </c>
      <c r="AD199" s="48">
        <f t="shared" si="53"/>
        <v>-8.1936685288640593E-2</v>
      </c>
      <c r="AE199" s="48">
        <f t="shared" si="54"/>
        <v>-3.8307349665924278E-2</v>
      </c>
      <c r="AF199" s="48" t="e">
        <f>(#REF!-#REF!)/#REF!</f>
        <v>#REF!</v>
      </c>
    </row>
    <row r="200" spans="1:32" x14ac:dyDescent="0.3">
      <c r="A200" s="48">
        <v>20181024</v>
      </c>
      <c r="B200" s="48" t="s">
        <v>88</v>
      </c>
      <c r="C200" s="79">
        <v>0.2</v>
      </c>
      <c r="D200" s="79">
        <f t="shared" si="55"/>
        <v>0.21084128645321071</v>
      </c>
      <c r="E200" s="49">
        <v>43050</v>
      </c>
      <c r="F200" s="49">
        <v>42550</v>
      </c>
      <c r="G200" s="49">
        <v>6419324700</v>
      </c>
      <c r="H200" s="49">
        <f t="shared" si="56"/>
        <v>0.227928098803895</v>
      </c>
      <c r="I200" s="49">
        <f t="shared" si="64"/>
        <v>0.227928098803895</v>
      </c>
      <c r="J200" s="48">
        <v>0.3</v>
      </c>
      <c r="K200" s="48">
        <f t="shared" si="57"/>
        <v>0.25762431552851267</v>
      </c>
      <c r="L200" s="48">
        <v>246500</v>
      </c>
      <c r="M200" s="48">
        <v>225500</v>
      </c>
      <c r="N200" s="51">
        <v>125395903</v>
      </c>
      <c r="O200" s="48">
        <f t="shared" si="58"/>
        <v>2.6902217281479599</v>
      </c>
      <c r="P200" s="48">
        <f t="shared" si="65"/>
        <v>2.6902217281479599</v>
      </c>
      <c r="Q200" s="49">
        <v>0.5</v>
      </c>
      <c r="R200" s="49">
        <f t="shared" si="59"/>
        <v>0.53153439801827673</v>
      </c>
      <c r="S200" s="49">
        <v>215900</v>
      </c>
      <c r="T200" s="49">
        <v>216700</v>
      </c>
      <c r="U200" s="49">
        <v>15956260</v>
      </c>
      <c r="V200" s="49">
        <f t="shared" si="60"/>
        <v>45.391285034054299</v>
      </c>
      <c r="W200" s="49">
        <f t="shared" si="66"/>
        <v>45.391285034054299</v>
      </c>
      <c r="X200" s="82">
        <f t="shared" si="61"/>
        <v>0</v>
      </c>
      <c r="Y200" s="82">
        <f t="shared" si="62"/>
        <v>274362327648340.06</v>
      </c>
      <c r="Z200" s="81">
        <f t="shared" si="67"/>
        <v>295278019007746.37</v>
      </c>
      <c r="AA200" s="80">
        <f t="shared" si="51"/>
        <v>1076.23383114833</v>
      </c>
      <c r="AB200" s="52">
        <f t="shared" si="63"/>
        <v>-2.392068373896785E-2</v>
      </c>
      <c r="AC200" s="48">
        <f t="shared" si="52"/>
        <v>-1.1614401858304297E-2</v>
      </c>
      <c r="AD200" s="48">
        <f t="shared" si="53"/>
        <v>-8.5192697768762676E-2</v>
      </c>
      <c r="AE200" s="48">
        <f t="shared" si="54"/>
        <v>3.7054191755442334E-3</v>
      </c>
      <c r="AF200" s="48" t="e">
        <f>(#REF!-#REF!)/#REF!</f>
        <v>#REF!</v>
      </c>
    </row>
    <row r="201" spans="1:32" x14ac:dyDescent="0.3">
      <c r="A201" s="48">
        <v>20181025</v>
      </c>
      <c r="B201" s="48" t="s">
        <v>88</v>
      </c>
      <c r="C201" s="79">
        <v>0.2</v>
      </c>
      <c r="D201" s="79">
        <f t="shared" si="55"/>
        <v>0.20916760591895542</v>
      </c>
      <c r="E201" s="49">
        <v>42550</v>
      </c>
      <c r="F201" s="49">
        <v>41000</v>
      </c>
      <c r="G201" s="49">
        <v>6419324700</v>
      </c>
      <c r="H201" s="49">
        <f t="shared" si="56"/>
        <v>0.227928098803895</v>
      </c>
      <c r="I201" s="49">
        <f t="shared" si="64"/>
        <v>0.227928098803895</v>
      </c>
      <c r="J201" s="48">
        <v>0.3</v>
      </c>
      <c r="K201" s="48">
        <f t="shared" si="57"/>
        <v>0.27818001466776293</v>
      </c>
      <c r="L201" s="48">
        <v>225500</v>
      </c>
      <c r="M201" s="48">
        <v>236500</v>
      </c>
      <c r="N201" s="51">
        <v>125395903</v>
      </c>
      <c r="O201" s="48">
        <f t="shared" si="58"/>
        <v>2.6902217281479599</v>
      </c>
      <c r="P201" s="48">
        <f t="shared" si="65"/>
        <v>2.6902217281479599</v>
      </c>
      <c r="Q201" s="49">
        <v>0.5</v>
      </c>
      <c r="R201" s="49">
        <f t="shared" si="59"/>
        <v>0.51265237941328157</v>
      </c>
      <c r="S201" s="49">
        <v>216700</v>
      </c>
      <c r="T201" s="49">
        <v>203000</v>
      </c>
      <c r="U201" s="49">
        <v>15956260</v>
      </c>
      <c r="V201" s="49">
        <f t="shared" si="60"/>
        <v>45.391285034054299</v>
      </c>
      <c r="W201" s="49">
        <f t="shared" si="66"/>
        <v>45.391285034054299</v>
      </c>
      <c r="X201" s="82">
        <f t="shared" si="61"/>
        <v>0</v>
      </c>
      <c r="Y201" s="82">
        <f t="shared" si="62"/>
        <v>274362327648340.06</v>
      </c>
      <c r="Z201" s="81">
        <f t="shared" si="67"/>
        <v>286798346187290</v>
      </c>
      <c r="AA201" s="80">
        <f t="shared" si="51"/>
        <v>1045.3269902086909</v>
      </c>
      <c r="AB201" s="52">
        <f t="shared" si="63"/>
        <v>-2.8717589101117394E-2</v>
      </c>
      <c r="AC201" s="48">
        <f t="shared" si="52"/>
        <v>-3.6427732079905996E-2</v>
      </c>
      <c r="AD201" s="48">
        <f t="shared" si="53"/>
        <v>4.878048780487805E-2</v>
      </c>
      <c r="AE201" s="48">
        <f t="shared" si="54"/>
        <v>-6.3221042916474388E-2</v>
      </c>
      <c r="AF201" s="48" t="e">
        <f>(#REF!-#REF!)/#REF!</f>
        <v>#REF!</v>
      </c>
    </row>
    <row r="202" spans="1:32" x14ac:dyDescent="0.3">
      <c r="A202" s="48">
        <v>20181026</v>
      </c>
      <c r="B202" s="48" t="s">
        <v>88</v>
      </c>
      <c r="C202" s="79">
        <v>0.2</v>
      </c>
      <c r="D202" s="79">
        <f t="shared" si="55"/>
        <v>0.21573759242880711</v>
      </c>
      <c r="E202" s="49">
        <v>41000</v>
      </c>
      <c r="F202" s="49">
        <v>41000</v>
      </c>
      <c r="G202" s="49">
        <v>6419324700</v>
      </c>
      <c r="H202" s="49">
        <f t="shared" si="56"/>
        <v>0.227928098803895</v>
      </c>
      <c r="I202" s="49">
        <f t="shared" si="64"/>
        <v>0.227928098803895</v>
      </c>
      <c r="J202" s="48">
        <v>0.3</v>
      </c>
      <c r="K202" s="48">
        <f t="shared" si="57"/>
        <v>0.27660563915995612</v>
      </c>
      <c r="L202" s="48">
        <v>236500</v>
      </c>
      <c r="M202" s="48">
        <v>228000</v>
      </c>
      <c r="N202" s="51">
        <v>125395903</v>
      </c>
      <c r="O202" s="48">
        <f t="shared" si="58"/>
        <v>2.6902217281479599</v>
      </c>
      <c r="P202" s="48">
        <f t="shared" si="65"/>
        <v>2.6902217281479599</v>
      </c>
      <c r="Q202" s="49">
        <v>0.5</v>
      </c>
      <c r="R202" s="49">
        <f t="shared" si="59"/>
        <v>0.50765676841123675</v>
      </c>
      <c r="S202" s="49">
        <v>203000</v>
      </c>
      <c r="T202" s="49">
        <v>194900</v>
      </c>
      <c r="U202" s="49">
        <v>15956260</v>
      </c>
      <c r="V202" s="49">
        <f t="shared" si="60"/>
        <v>45.391285034054299</v>
      </c>
      <c r="W202" s="49">
        <f t="shared" si="66"/>
        <v>45.391285034054299</v>
      </c>
      <c r="X202" s="82">
        <f t="shared" si="61"/>
        <v>0</v>
      </c>
      <c r="Y202" s="82">
        <f t="shared" si="62"/>
        <v>274362327648340.06</v>
      </c>
      <c r="Z202" s="81">
        <f t="shared" si="67"/>
        <v>278064303852410.09</v>
      </c>
      <c r="AA202" s="80">
        <f t="shared" si="51"/>
        <v>1013.4930193798872</v>
      </c>
      <c r="AB202" s="52">
        <f t="shared" si="63"/>
        <v>-3.0453600765104404E-2</v>
      </c>
      <c r="AC202" s="48">
        <f t="shared" si="52"/>
        <v>0</v>
      </c>
      <c r="AD202" s="48">
        <f t="shared" si="53"/>
        <v>-3.5940803382663845E-2</v>
      </c>
      <c r="AE202" s="48">
        <f t="shared" si="54"/>
        <v>-3.9901477832512314E-2</v>
      </c>
      <c r="AF202" s="48" t="e">
        <f>(#REF!-#REF!)/#REF!</f>
        <v>#REF!</v>
      </c>
    </row>
    <row r="203" spans="1:32" x14ac:dyDescent="0.3">
      <c r="A203" s="48">
        <v>20181029</v>
      </c>
      <c r="B203" s="48" t="s">
        <v>88</v>
      </c>
      <c r="C203" s="79">
        <v>0.2</v>
      </c>
      <c r="D203" s="79">
        <f t="shared" si="55"/>
        <v>0.22790401279040584</v>
      </c>
      <c r="E203" s="49">
        <v>41000</v>
      </c>
      <c r="F203" s="49">
        <v>41400</v>
      </c>
      <c r="G203" s="49">
        <v>6419324700</v>
      </c>
      <c r="H203" s="49">
        <f t="shared" si="56"/>
        <v>0.227928098803895</v>
      </c>
      <c r="I203" s="49">
        <f t="shared" si="64"/>
        <v>0.227928098803895</v>
      </c>
      <c r="J203" s="48">
        <v>0.3</v>
      </c>
      <c r="K203" s="48">
        <f t="shared" si="57"/>
        <v>0.27668928191325692</v>
      </c>
      <c r="L203" s="48">
        <v>228000</v>
      </c>
      <c r="M203" s="48">
        <v>218000</v>
      </c>
      <c r="N203" s="51">
        <v>125395903</v>
      </c>
      <c r="O203" s="48">
        <f t="shared" si="58"/>
        <v>2.6902217281479599</v>
      </c>
      <c r="P203" s="48">
        <f t="shared" si="65"/>
        <v>2.6902217281479599</v>
      </c>
      <c r="Q203" s="49">
        <v>0.5</v>
      </c>
      <c r="R203" s="49">
        <f t="shared" si="59"/>
        <v>0.49540670529633724</v>
      </c>
      <c r="S203" s="49">
        <v>194900</v>
      </c>
      <c r="T203" s="49">
        <v>181800</v>
      </c>
      <c r="U203" s="49">
        <v>15956260</v>
      </c>
      <c r="V203" s="49">
        <f t="shared" si="60"/>
        <v>45.391285034054299</v>
      </c>
      <c r="W203" s="49">
        <f t="shared" si="66"/>
        <v>45.391285034054299</v>
      </c>
      <c r="X203" s="82">
        <f t="shared" si="61"/>
        <v>0</v>
      </c>
      <c r="Y203" s="82">
        <f t="shared" si="62"/>
        <v>274362327648340.06</v>
      </c>
      <c r="Z203" s="81">
        <f t="shared" si="67"/>
        <v>265788129404326.12</v>
      </c>
      <c r="AA203" s="80">
        <f t="shared" si="51"/>
        <v>968.74863135363171</v>
      </c>
      <c r="AB203" s="52">
        <f t="shared" si="63"/>
        <v>-4.414868891118031E-2</v>
      </c>
      <c r="AC203" s="48">
        <f t="shared" si="52"/>
        <v>9.7560975609756097E-3</v>
      </c>
      <c r="AD203" s="48">
        <f t="shared" si="53"/>
        <v>-4.3859649122807015E-2</v>
      </c>
      <c r="AE203" s="48">
        <f t="shared" si="54"/>
        <v>-6.7213955874807593E-2</v>
      </c>
      <c r="AF203" s="48" t="e">
        <f>(#REF!-#REF!)/#REF!</f>
        <v>#REF!</v>
      </c>
    </row>
    <row r="204" spans="1:32" x14ac:dyDescent="0.3">
      <c r="A204" s="48">
        <v>20181030</v>
      </c>
      <c r="B204" s="48" t="s">
        <v>88</v>
      </c>
      <c r="C204" s="79">
        <v>0.2</v>
      </c>
      <c r="D204" s="79">
        <f t="shared" si="55"/>
        <v>0.2245002260554752</v>
      </c>
      <c r="E204" s="49">
        <v>41400</v>
      </c>
      <c r="F204" s="49">
        <v>42350</v>
      </c>
      <c r="G204" s="49">
        <v>6419324700</v>
      </c>
      <c r="H204" s="49">
        <f t="shared" si="56"/>
        <v>0.227928098803895</v>
      </c>
      <c r="I204" s="49">
        <f t="shared" si="64"/>
        <v>0.227928098803895</v>
      </c>
      <c r="J204" s="48">
        <v>0.3</v>
      </c>
      <c r="K204" s="48">
        <f t="shared" si="57"/>
        <v>0.27560946363743616</v>
      </c>
      <c r="L204" s="48">
        <v>218000</v>
      </c>
      <c r="M204" s="48">
        <v>225500</v>
      </c>
      <c r="N204" s="51">
        <v>125395903</v>
      </c>
      <c r="O204" s="48">
        <f t="shared" si="58"/>
        <v>2.6902217281479599</v>
      </c>
      <c r="P204" s="48">
        <f t="shared" si="65"/>
        <v>2.6902217281479599</v>
      </c>
      <c r="Q204" s="49">
        <v>0.5</v>
      </c>
      <c r="R204" s="49">
        <f t="shared" si="59"/>
        <v>0.49989031030708869</v>
      </c>
      <c r="S204" s="49">
        <v>181800</v>
      </c>
      <c r="T204" s="49">
        <v>190500</v>
      </c>
      <c r="U204" s="49">
        <v>15956260</v>
      </c>
      <c r="V204" s="49">
        <f t="shared" si="60"/>
        <v>45.391285034054299</v>
      </c>
      <c r="W204" s="49">
        <f t="shared" si="66"/>
        <v>45.391285034054299</v>
      </c>
      <c r="X204" s="82">
        <f t="shared" si="61"/>
        <v>0</v>
      </c>
      <c r="Y204" s="82">
        <f t="shared" si="62"/>
        <v>274362327648340.06</v>
      </c>
      <c r="Z204" s="81">
        <f t="shared" si="67"/>
        <v>276009381294529.28</v>
      </c>
      <c r="AA204" s="80">
        <f t="shared" si="51"/>
        <v>1006.0032062721829</v>
      </c>
      <c r="AB204" s="52">
        <f t="shared" si="63"/>
        <v>3.8456389730837988E-2</v>
      </c>
      <c r="AC204" s="48">
        <f t="shared" si="52"/>
        <v>2.2946859903381644E-2</v>
      </c>
      <c r="AD204" s="48">
        <f t="shared" si="53"/>
        <v>3.4403669724770644E-2</v>
      </c>
      <c r="AE204" s="48">
        <f t="shared" si="54"/>
        <v>4.7854785478547858E-2</v>
      </c>
      <c r="AF204" s="48" t="e">
        <f>(#REF!-#REF!)/#REF!</f>
        <v>#REF!</v>
      </c>
    </row>
    <row r="205" spans="1:32" x14ac:dyDescent="0.3">
      <c r="A205" s="48">
        <v>20181031</v>
      </c>
      <c r="B205" s="48" t="s">
        <v>88</v>
      </c>
      <c r="C205" s="79">
        <v>0.2</v>
      </c>
      <c r="D205" s="79">
        <f t="shared" si="55"/>
        <v>0.22947733717496741</v>
      </c>
      <c r="E205" s="49">
        <v>42350</v>
      </c>
      <c r="F205" s="49">
        <v>42400</v>
      </c>
      <c r="G205" s="49">
        <v>6419324700</v>
      </c>
      <c r="H205" s="49">
        <f t="shared" si="56"/>
        <v>0.227928098803895</v>
      </c>
      <c r="I205" s="49">
        <f t="shared" si="64"/>
        <v>0.227928098803895</v>
      </c>
      <c r="J205" s="48">
        <v>0.3</v>
      </c>
      <c r="K205" s="48">
        <f t="shared" si="57"/>
        <v>0.27140473372509299</v>
      </c>
      <c r="L205" s="48">
        <v>225500</v>
      </c>
      <c r="M205" s="48">
        <v>217500</v>
      </c>
      <c r="N205" s="51">
        <v>125395903</v>
      </c>
      <c r="O205" s="48">
        <f t="shared" si="58"/>
        <v>2.6902217281479599</v>
      </c>
      <c r="P205" s="48">
        <f t="shared" si="65"/>
        <v>2.6902217281479599</v>
      </c>
      <c r="Q205" s="49">
        <v>0.5</v>
      </c>
      <c r="R205" s="49">
        <f t="shared" si="59"/>
        <v>0.49911792909993963</v>
      </c>
      <c r="S205" s="49">
        <v>190500</v>
      </c>
      <c r="T205" s="49">
        <v>186300</v>
      </c>
      <c r="U205" s="49">
        <v>15956260</v>
      </c>
      <c r="V205" s="49">
        <f t="shared" si="60"/>
        <v>45.391285034054299</v>
      </c>
      <c r="W205" s="49">
        <f t="shared" si="66"/>
        <v>45.391285034054299</v>
      </c>
      <c r="X205" s="82">
        <f t="shared" si="61"/>
        <v>0</v>
      </c>
      <c r="Y205" s="82">
        <f t="shared" si="62"/>
        <v>274362327648340.06</v>
      </c>
      <c r="Z205" s="81">
        <f t="shared" si="67"/>
        <v>270341840643185</v>
      </c>
      <c r="AA205" s="80">
        <f t="shared" si="51"/>
        <v>985.34606759019687</v>
      </c>
      <c r="AB205" s="52">
        <f t="shared" si="63"/>
        <v>-2.0533869627048715E-2</v>
      </c>
      <c r="AC205" s="48">
        <f t="shared" si="52"/>
        <v>1.1806375442739079E-3</v>
      </c>
      <c r="AD205" s="48">
        <f t="shared" si="53"/>
        <v>-3.5476718403547672E-2</v>
      </c>
      <c r="AE205" s="48">
        <f t="shared" si="54"/>
        <v>-2.2047244094488189E-2</v>
      </c>
      <c r="AF205" s="48" t="e">
        <f>(#REF!-#REF!)/#REF!</f>
        <v>#REF!</v>
      </c>
    </row>
    <row r="206" spans="1:32" x14ac:dyDescent="0.3">
      <c r="A206" s="48">
        <v>20181101</v>
      </c>
      <c r="B206" s="48" t="s">
        <v>88</v>
      </c>
      <c r="C206" s="79">
        <v>0.2</v>
      </c>
      <c r="D206" s="79">
        <f t="shared" si="55"/>
        <v>0.227604377010448</v>
      </c>
      <c r="E206" s="49">
        <v>42400</v>
      </c>
      <c r="F206" s="49">
        <v>42150</v>
      </c>
      <c r="G206" s="49">
        <v>6419324700</v>
      </c>
      <c r="H206" s="49">
        <f t="shared" si="56"/>
        <v>0.227928098803895</v>
      </c>
      <c r="I206" s="49">
        <f t="shared" si="64"/>
        <v>0.227928098803895</v>
      </c>
      <c r="J206" s="48">
        <v>0.3</v>
      </c>
      <c r="K206" s="48">
        <f t="shared" si="57"/>
        <v>0.28323612453343916</v>
      </c>
      <c r="L206" s="48">
        <v>217500</v>
      </c>
      <c r="M206" s="48">
        <v>227500</v>
      </c>
      <c r="N206" s="51">
        <v>125395903</v>
      </c>
      <c r="O206" s="48">
        <f t="shared" si="58"/>
        <v>2.6902217281479599</v>
      </c>
      <c r="P206" s="48">
        <f t="shared" si="65"/>
        <v>2.6902217281479599</v>
      </c>
      <c r="Q206" s="49">
        <v>0.5</v>
      </c>
      <c r="R206" s="49">
        <f t="shared" si="59"/>
        <v>0.48915949845611273</v>
      </c>
      <c r="S206" s="49">
        <v>186300</v>
      </c>
      <c r="T206" s="49">
        <v>183000</v>
      </c>
      <c r="U206" s="49">
        <v>15956260</v>
      </c>
      <c r="V206" s="49">
        <f t="shared" si="60"/>
        <v>45.391285034054299</v>
      </c>
      <c r="W206" s="49">
        <f t="shared" si="66"/>
        <v>45.391285034054299</v>
      </c>
      <c r="X206" s="82">
        <f t="shared" si="61"/>
        <v>0</v>
      </c>
      <c r="Y206" s="82">
        <f t="shared" si="62"/>
        <v>274362327648340.06</v>
      </c>
      <c r="Z206" s="81">
        <f t="shared" si="67"/>
        <v>270959374372345.69</v>
      </c>
      <c r="AA206" s="80">
        <f t="shared" si="51"/>
        <v>987.59686395299855</v>
      </c>
      <c r="AB206" s="52">
        <f t="shared" si="63"/>
        <v>2.2842698995149189E-3</v>
      </c>
      <c r="AC206" s="48">
        <f t="shared" si="52"/>
        <v>-5.89622641509434E-3</v>
      </c>
      <c r="AD206" s="48">
        <f t="shared" si="53"/>
        <v>4.5977011494252873E-2</v>
      </c>
      <c r="AE206" s="48">
        <f t="shared" si="54"/>
        <v>-1.7713365539452495E-2</v>
      </c>
      <c r="AF206" s="48" t="e">
        <f>(#REF!-#REF!)/#REF!</f>
        <v>#REF!</v>
      </c>
    </row>
    <row r="207" spans="1:32" x14ac:dyDescent="0.3">
      <c r="A207" s="48">
        <v>20181102</v>
      </c>
      <c r="B207" s="48" t="s">
        <v>88</v>
      </c>
      <c r="C207" s="79">
        <v>0.2</v>
      </c>
      <c r="D207" s="79">
        <f t="shared" si="55"/>
        <v>0.22452140832651479</v>
      </c>
      <c r="E207" s="49">
        <v>42150</v>
      </c>
      <c r="F207" s="49">
        <v>44150</v>
      </c>
      <c r="G207" s="49">
        <v>6419324700</v>
      </c>
      <c r="H207" s="49">
        <f t="shared" si="56"/>
        <v>0.227928098803895</v>
      </c>
      <c r="I207" s="49">
        <f t="shared" si="64"/>
        <v>0.227928098803895</v>
      </c>
      <c r="J207" s="48">
        <v>0.3</v>
      </c>
      <c r="K207" s="48">
        <f t="shared" si="57"/>
        <v>0.27729523486979712</v>
      </c>
      <c r="L207" s="48">
        <v>227500</v>
      </c>
      <c r="M207" s="48">
        <v>236500</v>
      </c>
      <c r="N207" s="51">
        <v>125395903</v>
      </c>
      <c r="O207" s="48">
        <f t="shared" si="58"/>
        <v>2.6902217281479599</v>
      </c>
      <c r="P207" s="48">
        <f t="shared" si="65"/>
        <v>2.6902217281479599</v>
      </c>
      <c r="Q207" s="49">
        <v>0.5</v>
      </c>
      <c r="R207" s="49">
        <f t="shared" si="59"/>
        <v>0.49818335680368819</v>
      </c>
      <c r="S207" s="49">
        <v>183000</v>
      </c>
      <c r="T207" s="49">
        <v>197900</v>
      </c>
      <c r="U207" s="49">
        <v>15956260</v>
      </c>
      <c r="V207" s="49">
        <f t="shared" si="60"/>
        <v>45.391285034054299</v>
      </c>
      <c r="W207" s="49">
        <f t="shared" si="66"/>
        <v>45.391285034054299</v>
      </c>
      <c r="X207" s="82">
        <f t="shared" si="61"/>
        <v>0</v>
      </c>
      <c r="Y207" s="82">
        <f t="shared" si="62"/>
        <v>274362327648340.06</v>
      </c>
      <c r="Z207" s="81">
        <f t="shared" si="67"/>
        <v>287713448038627.87</v>
      </c>
      <c r="AA207" s="80">
        <f t="shared" si="51"/>
        <v>1048.6623674056316</v>
      </c>
      <c r="AB207" s="52">
        <f t="shared" si="63"/>
        <v>6.1832419362096366E-2</v>
      </c>
      <c r="AC207" s="48">
        <f t="shared" si="52"/>
        <v>4.7449584816132859E-2</v>
      </c>
      <c r="AD207" s="48">
        <f t="shared" si="53"/>
        <v>3.9560439560439559E-2</v>
      </c>
      <c r="AE207" s="48">
        <f t="shared" si="54"/>
        <v>8.14207650273224E-2</v>
      </c>
      <c r="AF207" s="48" t="e">
        <f>(#REF!-#REF!)/#REF!</f>
        <v>#REF!</v>
      </c>
    </row>
    <row r="208" spans="1:32" x14ac:dyDescent="0.3">
      <c r="A208" s="48">
        <v>20181105</v>
      </c>
      <c r="B208" s="48" t="s">
        <v>88</v>
      </c>
      <c r="C208" s="79">
        <v>0.2</v>
      </c>
      <c r="D208" s="79">
        <f t="shared" si="55"/>
        <v>0.21887192790770921</v>
      </c>
      <c r="E208" s="49">
        <v>44150</v>
      </c>
      <c r="F208" s="49">
        <v>43800</v>
      </c>
      <c r="G208" s="49">
        <v>6419324700</v>
      </c>
      <c r="H208" s="49">
        <f t="shared" si="56"/>
        <v>0.227928098803895</v>
      </c>
      <c r="I208" s="49">
        <f t="shared" si="64"/>
        <v>0.227928098803895</v>
      </c>
      <c r="J208" s="48">
        <v>0.3</v>
      </c>
      <c r="K208" s="48">
        <f t="shared" si="57"/>
        <v>0.27651035914950123</v>
      </c>
      <c r="L208" s="48">
        <v>236500</v>
      </c>
      <c r="M208" s="48">
        <v>240000</v>
      </c>
      <c r="N208" s="51">
        <v>125395903</v>
      </c>
      <c r="O208" s="48">
        <f t="shared" si="58"/>
        <v>2.6902217281479599</v>
      </c>
      <c r="P208" s="48">
        <f t="shared" si="65"/>
        <v>2.6902217281479599</v>
      </c>
      <c r="Q208" s="49">
        <v>0.5</v>
      </c>
      <c r="R208" s="49">
        <f t="shared" si="59"/>
        <v>0.50461771294278956</v>
      </c>
      <c r="S208" s="49">
        <v>197900</v>
      </c>
      <c r="T208" s="49">
        <v>204000</v>
      </c>
      <c r="U208" s="49">
        <v>15956260</v>
      </c>
      <c r="V208" s="49">
        <f t="shared" si="60"/>
        <v>45.391285034054299</v>
      </c>
      <c r="W208" s="49">
        <f t="shared" si="66"/>
        <v>45.391285034054299</v>
      </c>
      <c r="X208" s="82">
        <f t="shared" si="61"/>
        <v>0</v>
      </c>
      <c r="Y208" s="82">
        <f t="shared" si="62"/>
        <v>274362327648340.06</v>
      </c>
      <c r="Z208" s="81">
        <f t="shared" si="67"/>
        <v>292800125601609.62</v>
      </c>
      <c r="AA208" s="80">
        <f t="shared" si="51"/>
        <v>1067.2023674361808</v>
      </c>
      <c r="AB208" s="52">
        <f t="shared" si="63"/>
        <v>1.7679665645308484E-2</v>
      </c>
      <c r="AC208" s="48">
        <f t="shared" si="52"/>
        <v>-7.9275198187995465E-3</v>
      </c>
      <c r="AD208" s="48">
        <f t="shared" si="53"/>
        <v>1.4799154334038054E-2</v>
      </c>
      <c r="AE208" s="48">
        <f t="shared" si="54"/>
        <v>3.0823648307225872E-2</v>
      </c>
      <c r="AF208" s="48" t="e">
        <f>(#REF!-#REF!)/#REF!</f>
        <v>#REF!</v>
      </c>
    </row>
    <row r="209" spans="1:32" x14ac:dyDescent="0.3">
      <c r="A209" s="48">
        <v>20181106</v>
      </c>
      <c r="B209" s="48" t="s">
        <v>88</v>
      </c>
      <c r="C209" s="79">
        <v>0.2</v>
      </c>
      <c r="D209" s="79">
        <f t="shared" si="55"/>
        <v>0.21885770075095465</v>
      </c>
      <c r="E209" s="49">
        <v>43800</v>
      </c>
      <c r="F209" s="49">
        <v>43750</v>
      </c>
      <c r="G209" s="49">
        <v>6419324700</v>
      </c>
      <c r="H209" s="49">
        <f t="shared" si="56"/>
        <v>0.227928098803895</v>
      </c>
      <c r="I209" s="49">
        <f t="shared" si="64"/>
        <v>0.227928098803895</v>
      </c>
      <c r="J209" s="48">
        <v>0.3</v>
      </c>
      <c r="K209" s="48">
        <f t="shared" si="57"/>
        <v>0.27796174490160147</v>
      </c>
      <c r="L209" s="48">
        <v>240000</v>
      </c>
      <c r="M209" s="48">
        <v>241000</v>
      </c>
      <c r="N209" s="51">
        <v>125395903</v>
      </c>
      <c r="O209" s="48">
        <f t="shared" si="58"/>
        <v>2.6902217281479599</v>
      </c>
      <c r="P209" s="48">
        <f t="shared" si="65"/>
        <v>2.6902217281479599</v>
      </c>
      <c r="Q209" s="49">
        <v>0.5</v>
      </c>
      <c r="R209" s="49">
        <f t="shared" si="59"/>
        <v>0.50318055434744402</v>
      </c>
      <c r="S209" s="49">
        <v>204000</v>
      </c>
      <c r="T209" s="49">
        <v>203200</v>
      </c>
      <c r="U209" s="49">
        <v>15956260</v>
      </c>
      <c r="V209" s="49">
        <f t="shared" si="60"/>
        <v>45.391285034054299</v>
      </c>
      <c r="W209" s="49">
        <f t="shared" si="66"/>
        <v>45.391285034054299</v>
      </c>
      <c r="X209" s="82">
        <f t="shared" si="61"/>
        <v>0</v>
      </c>
      <c r="Y209" s="82">
        <f t="shared" si="62"/>
        <v>274362327648340.06</v>
      </c>
      <c r="Z209" s="81">
        <f t="shared" si="67"/>
        <v>292484891044167.12</v>
      </c>
      <c r="AA209" s="80">
        <f t="shared" si="51"/>
        <v>1066.0533957091054</v>
      </c>
      <c r="AB209" s="52">
        <f t="shared" si="63"/>
        <v>-1.076620294457964E-3</v>
      </c>
      <c r="AC209" s="48">
        <f t="shared" si="52"/>
        <v>-1.1415525114155251E-3</v>
      </c>
      <c r="AD209" s="48">
        <f t="shared" si="53"/>
        <v>4.1666666666666666E-3</v>
      </c>
      <c r="AE209" s="48">
        <f t="shared" si="54"/>
        <v>-3.9215686274509803E-3</v>
      </c>
      <c r="AF209" s="48" t="e">
        <f>(#REF!-#REF!)/#REF!</f>
        <v>#REF!</v>
      </c>
    </row>
    <row r="210" spans="1:32" x14ac:dyDescent="0.3">
      <c r="A210" s="48">
        <v>20181107</v>
      </c>
      <c r="B210" s="48" t="s">
        <v>88</v>
      </c>
      <c r="C210" s="79">
        <v>0.2</v>
      </c>
      <c r="D210" s="79">
        <f t="shared" si="55"/>
        <v>0.22297295391814462</v>
      </c>
      <c r="E210" s="49">
        <v>43750</v>
      </c>
      <c r="F210" s="49">
        <v>44000</v>
      </c>
      <c r="G210" s="49">
        <v>6419324700</v>
      </c>
      <c r="H210" s="49">
        <f t="shared" si="56"/>
        <v>0.227928098803895</v>
      </c>
      <c r="I210" s="49">
        <f t="shared" si="64"/>
        <v>0.227928098803895</v>
      </c>
      <c r="J210" s="48">
        <v>0.3</v>
      </c>
      <c r="K210" s="48">
        <f t="shared" si="57"/>
        <v>0.27281648398783681</v>
      </c>
      <c r="L210" s="48">
        <v>241000</v>
      </c>
      <c r="M210" s="48">
        <v>233500</v>
      </c>
      <c r="N210" s="51">
        <v>125395903</v>
      </c>
      <c r="O210" s="48">
        <f t="shared" si="58"/>
        <v>2.6902217281479599</v>
      </c>
      <c r="P210" s="48">
        <f t="shared" si="65"/>
        <v>2.6902217281479599</v>
      </c>
      <c r="Q210" s="49">
        <v>0.5</v>
      </c>
      <c r="R210" s="49">
        <f t="shared" si="59"/>
        <v>0.50421056209401838</v>
      </c>
      <c r="S210" s="49">
        <v>203200</v>
      </c>
      <c r="T210" s="49">
        <v>201000</v>
      </c>
      <c r="U210" s="49">
        <v>15956260</v>
      </c>
      <c r="V210" s="49">
        <f t="shared" si="60"/>
        <v>45.391285034054299</v>
      </c>
      <c r="W210" s="49">
        <f t="shared" si="66"/>
        <v>45.391285034054299</v>
      </c>
      <c r="X210" s="82">
        <f t="shared" si="61"/>
        <v>0</v>
      </c>
      <c r="Y210" s="82">
        <f t="shared" si="62"/>
        <v>274362327648340.06</v>
      </c>
      <c r="Z210" s="81">
        <f t="shared" si="67"/>
        <v>288727200970628.75</v>
      </c>
      <c r="AA210" s="80">
        <f t="shared" si="51"/>
        <v>1052.3573095672984</v>
      </c>
      <c r="AB210" s="52">
        <f t="shared" si="63"/>
        <v>-1.2847467300356718E-2</v>
      </c>
      <c r="AC210" s="48">
        <f t="shared" si="52"/>
        <v>5.7142857142857143E-3</v>
      </c>
      <c r="AD210" s="48">
        <f t="shared" si="53"/>
        <v>-3.1120331950207469E-2</v>
      </c>
      <c r="AE210" s="48">
        <f t="shared" si="54"/>
        <v>-1.0826771653543307E-2</v>
      </c>
      <c r="AF210" s="48" t="e">
        <f>(#REF!-#REF!)/#REF!</f>
        <v>#REF!</v>
      </c>
    </row>
    <row r="211" spans="1:32" x14ac:dyDescent="0.3">
      <c r="A211" s="48">
        <v>20181108</v>
      </c>
      <c r="B211" s="48" t="s">
        <v>88</v>
      </c>
      <c r="C211" s="79">
        <v>0.2</v>
      </c>
      <c r="D211" s="79">
        <f t="shared" si="55"/>
        <v>0.22093747733644514</v>
      </c>
      <c r="E211" s="49">
        <v>44000</v>
      </c>
      <c r="F211" s="49">
        <v>44050</v>
      </c>
      <c r="G211" s="49">
        <v>6419324700</v>
      </c>
      <c r="H211" s="49">
        <f t="shared" si="56"/>
        <v>0.227928098803895</v>
      </c>
      <c r="I211" s="49">
        <f t="shared" si="64"/>
        <v>0.227928098803895</v>
      </c>
      <c r="J211" s="48">
        <v>0.3</v>
      </c>
      <c r="K211" s="48">
        <f t="shared" si="57"/>
        <v>0.27580115036442632</v>
      </c>
      <c r="L211" s="48">
        <v>233500</v>
      </c>
      <c r="M211" s="48">
        <v>238500</v>
      </c>
      <c r="N211" s="51">
        <v>125395903</v>
      </c>
      <c r="O211" s="48">
        <f t="shared" si="58"/>
        <v>2.6902217281479599</v>
      </c>
      <c r="P211" s="48">
        <f t="shared" si="65"/>
        <v>2.6902217281479599</v>
      </c>
      <c r="Q211" s="49">
        <v>0.5</v>
      </c>
      <c r="R211" s="49">
        <f t="shared" si="59"/>
        <v>0.50326137229912837</v>
      </c>
      <c r="S211" s="49">
        <v>201000</v>
      </c>
      <c r="T211" s="49">
        <v>202700</v>
      </c>
      <c r="U211" s="49">
        <v>15956260</v>
      </c>
      <c r="V211" s="49">
        <f t="shared" si="60"/>
        <v>45.391285034054299</v>
      </c>
      <c r="W211" s="49">
        <f t="shared" si="66"/>
        <v>45.391285034054299</v>
      </c>
      <c r="X211" s="82">
        <f t="shared" si="61"/>
        <v>0</v>
      </c>
      <c r="Y211" s="82">
        <f t="shared" si="62"/>
        <v>274362327648340.06</v>
      </c>
      <c r="Z211" s="81">
        <f t="shared" si="67"/>
        <v>291718339856462.87</v>
      </c>
      <c r="AA211" s="80">
        <f t="shared" si="51"/>
        <v>1063.2594582386275</v>
      </c>
      <c r="AB211" s="52">
        <f t="shared" si="63"/>
        <v>1.0359740529394682E-2</v>
      </c>
      <c r="AC211" s="48">
        <f t="shared" si="52"/>
        <v>1.1363636363636363E-3</v>
      </c>
      <c r="AD211" s="48">
        <f t="shared" si="53"/>
        <v>2.1413276231263382E-2</v>
      </c>
      <c r="AE211" s="48">
        <f t="shared" si="54"/>
        <v>8.4577114427860697E-3</v>
      </c>
      <c r="AF211" s="48" t="e">
        <f>(#REF!-#REF!)/#REF!</f>
        <v>#REF!</v>
      </c>
    </row>
    <row r="212" spans="1:32" x14ac:dyDescent="0.3">
      <c r="A212" s="48">
        <v>20181109</v>
      </c>
      <c r="B212" s="48" t="s">
        <v>88</v>
      </c>
      <c r="C212" s="79">
        <v>0.2</v>
      </c>
      <c r="D212" s="79">
        <f t="shared" si="55"/>
        <v>0.2294765884978823</v>
      </c>
      <c r="E212" s="49">
        <v>44050</v>
      </c>
      <c r="F212" s="49">
        <v>44300</v>
      </c>
      <c r="G212" s="49">
        <v>6419324700</v>
      </c>
      <c r="H212" s="49">
        <f t="shared" si="56"/>
        <v>0.227928098803895</v>
      </c>
      <c r="I212" s="49">
        <f t="shared" si="64"/>
        <v>0.227928098803895</v>
      </c>
      <c r="J212" s="48">
        <v>0.3</v>
      </c>
      <c r="K212" s="48">
        <f t="shared" si="57"/>
        <v>0.27409528207719336</v>
      </c>
      <c r="L212" s="48">
        <v>238500</v>
      </c>
      <c r="M212" s="48">
        <v>229500</v>
      </c>
      <c r="N212" s="51">
        <v>125395903</v>
      </c>
      <c r="O212" s="48">
        <f t="shared" si="58"/>
        <v>2.6902217281479599</v>
      </c>
      <c r="P212" s="48">
        <f t="shared" si="65"/>
        <v>2.6902217281479599</v>
      </c>
      <c r="Q212" s="49">
        <v>0.5</v>
      </c>
      <c r="R212" s="49">
        <f t="shared" si="59"/>
        <v>0.49642812942492442</v>
      </c>
      <c r="S212" s="49">
        <v>202700</v>
      </c>
      <c r="T212" s="49">
        <v>193600</v>
      </c>
      <c r="U212" s="49">
        <v>15956260</v>
      </c>
      <c r="V212" s="49">
        <f t="shared" si="60"/>
        <v>45.391285034054299</v>
      </c>
      <c r="W212" s="49">
        <f t="shared" si="66"/>
        <v>45.391285034054299</v>
      </c>
      <c r="X212" s="82">
        <f t="shared" si="61"/>
        <v>0</v>
      </c>
      <c r="Y212" s="82">
        <f t="shared" si="62"/>
        <v>274362327648340.06</v>
      </c>
      <c r="Z212" s="81">
        <f t="shared" si="67"/>
        <v>282457137103028.75</v>
      </c>
      <c r="AA212" s="80">
        <f t="shared" si="51"/>
        <v>1029.5040850690846</v>
      </c>
      <c r="AB212" s="52">
        <f t="shared" si="63"/>
        <v>-3.1747070677801803E-2</v>
      </c>
      <c r="AC212" s="48">
        <f t="shared" si="52"/>
        <v>5.6753688989784334E-3</v>
      </c>
      <c r="AD212" s="48">
        <f t="shared" si="53"/>
        <v>-3.7735849056603772E-2</v>
      </c>
      <c r="AE212" s="48">
        <f t="shared" si="54"/>
        <v>-4.4893931919092252E-2</v>
      </c>
      <c r="AF212" s="48" t="e">
        <f>(#REF!-#REF!)/#REF!</f>
        <v>#REF!</v>
      </c>
    </row>
    <row r="213" spans="1:32" x14ac:dyDescent="0.3">
      <c r="A213" s="48">
        <v>20181112</v>
      </c>
      <c r="B213" s="48" t="s">
        <v>88</v>
      </c>
      <c r="C213" s="79">
        <v>0.2</v>
      </c>
      <c r="D213" s="79">
        <f t="shared" si="55"/>
        <v>0.24921369306269947</v>
      </c>
      <c r="E213" s="49">
        <v>44300</v>
      </c>
      <c r="F213" s="49">
        <v>45200</v>
      </c>
      <c r="G213" s="49">
        <v>6419324700</v>
      </c>
      <c r="H213" s="49">
        <f t="shared" si="56"/>
        <v>0.227928098803895</v>
      </c>
      <c r="I213" s="49">
        <f t="shared" si="64"/>
        <v>0.227928098803895</v>
      </c>
      <c r="J213" s="48">
        <v>0.3</v>
      </c>
      <c r="K213" s="48">
        <f t="shared" si="57"/>
        <v>0.25678464308412186</v>
      </c>
      <c r="L213" s="48">
        <v>229500</v>
      </c>
      <c r="M213" s="48">
        <v>202000</v>
      </c>
      <c r="N213" s="51">
        <v>125395903</v>
      </c>
      <c r="O213" s="48">
        <f t="shared" si="58"/>
        <v>2.6902217281479599</v>
      </c>
      <c r="P213" s="48">
        <f t="shared" si="65"/>
        <v>2.6902217281479599</v>
      </c>
      <c r="Q213" s="49">
        <v>0.5</v>
      </c>
      <c r="R213" s="49">
        <f t="shared" si="59"/>
        <v>0.49400166385317867</v>
      </c>
      <c r="S213" s="49">
        <v>193600</v>
      </c>
      <c r="T213" s="49">
        <v>181000</v>
      </c>
      <c r="U213" s="49">
        <v>15956260</v>
      </c>
      <c r="V213" s="49">
        <f t="shared" si="60"/>
        <v>45.391285034054299</v>
      </c>
      <c r="W213" s="49">
        <f t="shared" si="66"/>
        <v>45.391285034054299</v>
      </c>
      <c r="X213" s="82">
        <f t="shared" si="61"/>
        <v>0</v>
      </c>
      <c r="Y213" s="82">
        <f t="shared" si="62"/>
        <v>274362327648340.06</v>
      </c>
      <c r="Z213" s="81">
        <f t="shared" si="67"/>
        <v>265371173764803.16</v>
      </c>
      <c r="AA213" s="80">
        <f t="shared" si="51"/>
        <v>967.22890507380009</v>
      </c>
      <c r="AB213" s="52">
        <f t="shared" si="63"/>
        <v>-6.0490464193840979E-2</v>
      </c>
      <c r="AC213" s="48">
        <f t="shared" si="52"/>
        <v>2.0316027088036117E-2</v>
      </c>
      <c r="AD213" s="48">
        <f t="shared" si="53"/>
        <v>-0.11982570806100218</v>
      </c>
      <c r="AE213" s="48">
        <f t="shared" si="54"/>
        <v>-6.5082644628099179E-2</v>
      </c>
      <c r="AF213" s="48" t="e">
        <f>(#REF!-#REF!)/#REF!</f>
        <v>#REF!</v>
      </c>
    </row>
    <row r="214" spans="1:32" x14ac:dyDescent="0.3">
      <c r="A214" s="48">
        <v>20181113</v>
      </c>
      <c r="B214" s="48" t="s">
        <v>88</v>
      </c>
      <c r="C214" s="79">
        <v>0.2</v>
      </c>
      <c r="D214" s="79">
        <f t="shared" si="55"/>
        <v>0.24369985258219845</v>
      </c>
      <c r="E214" s="49">
        <v>45200</v>
      </c>
      <c r="F214" s="49">
        <v>44500</v>
      </c>
      <c r="G214" s="49">
        <v>6419324700</v>
      </c>
      <c r="H214" s="49">
        <f t="shared" si="56"/>
        <v>0.227928098803895</v>
      </c>
      <c r="I214" s="49">
        <f t="shared" si="64"/>
        <v>0.227928098803895</v>
      </c>
      <c r="J214" s="48">
        <v>0.3</v>
      </c>
      <c r="K214" s="48">
        <f t="shared" si="57"/>
        <v>0.25315927552931777</v>
      </c>
      <c r="L214" s="48">
        <v>202000</v>
      </c>
      <c r="M214" s="48">
        <v>200500</v>
      </c>
      <c r="N214" s="51">
        <v>125395903</v>
      </c>
      <c r="O214" s="48">
        <f t="shared" si="58"/>
        <v>2.6902217281479599</v>
      </c>
      <c r="P214" s="48">
        <f t="shared" si="65"/>
        <v>2.6902217281479599</v>
      </c>
      <c r="Q214" s="49">
        <v>0.5</v>
      </c>
      <c r="R214" s="49">
        <f t="shared" si="59"/>
        <v>0.50314087188848367</v>
      </c>
      <c r="S214" s="49">
        <v>181000</v>
      </c>
      <c r="T214" s="49">
        <v>185600</v>
      </c>
      <c r="U214" s="49">
        <v>15956260</v>
      </c>
      <c r="V214" s="49">
        <f t="shared" si="60"/>
        <v>45.391285034054299</v>
      </c>
      <c r="W214" s="49">
        <f t="shared" si="66"/>
        <v>45.391285034054299</v>
      </c>
      <c r="X214" s="82">
        <f t="shared" si="61"/>
        <v>0</v>
      </c>
      <c r="Y214" s="82">
        <f t="shared" si="62"/>
        <v>274362327648340.06</v>
      </c>
      <c r="Z214" s="81">
        <f t="shared" si="67"/>
        <v>267172624128755.44</v>
      </c>
      <c r="AA214" s="80">
        <f t="shared" si="51"/>
        <v>973.79485885977795</v>
      </c>
      <c r="AB214" s="52">
        <f t="shared" si="63"/>
        <v>6.7884176656991735E-3</v>
      </c>
      <c r="AC214" s="48">
        <f t="shared" si="52"/>
        <v>-1.5486725663716814E-2</v>
      </c>
      <c r="AD214" s="48">
        <f t="shared" si="53"/>
        <v>-7.4257425742574254E-3</v>
      </c>
      <c r="AE214" s="48">
        <f t="shared" si="54"/>
        <v>2.541436464088398E-2</v>
      </c>
      <c r="AF214" s="48" t="e">
        <f>(#REF!-#REF!)/#REF!</f>
        <v>#REF!</v>
      </c>
    </row>
    <row r="215" spans="1:32" x14ac:dyDescent="0.3">
      <c r="A215" s="48">
        <v>20181114</v>
      </c>
      <c r="B215" s="48" t="s">
        <v>88</v>
      </c>
      <c r="C215" s="79">
        <v>0.2</v>
      </c>
      <c r="D215" s="79">
        <f t="shared" si="55"/>
        <v>0.23989311773376673</v>
      </c>
      <c r="E215" s="49">
        <v>44500</v>
      </c>
      <c r="F215" s="49">
        <v>44100</v>
      </c>
      <c r="G215" s="49">
        <v>6419324700</v>
      </c>
      <c r="H215" s="49">
        <f t="shared" si="56"/>
        <v>0.227928098803895</v>
      </c>
      <c r="I215" s="49">
        <f t="shared" si="64"/>
        <v>0.227928098803895</v>
      </c>
      <c r="J215" s="48">
        <v>0.3</v>
      </c>
      <c r="K215" s="48">
        <f t="shared" si="57"/>
        <v>0.26087156641834863</v>
      </c>
      <c r="L215" s="48">
        <v>200500</v>
      </c>
      <c r="M215" s="48">
        <v>208000</v>
      </c>
      <c r="N215" s="51">
        <v>125395903</v>
      </c>
      <c r="O215" s="48">
        <f t="shared" si="58"/>
        <v>2.6902217281479599</v>
      </c>
      <c r="P215" s="48">
        <f t="shared" si="65"/>
        <v>2.6902217281479599</v>
      </c>
      <c r="Q215" s="49">
        <v>0.5</v>
      </c>
      <c r="R215" s="49">
        <f t="shared" si="59"/>
        <v>0.49923531584788461</v>
      </c>
      <c r="S215" s="49">
        <v>185600</v>
      </c>
      <c r="T215" s="49">
        <v>185400</v>
      </c>
      <c r="U215" s="49">
        <v>15956260</v>
      </c>
      <c r="V215" s="49">
        <f t="shared" si="60"/>
        <v>45.391285034054299</v>
      </c>
      <c r="W215" s="49">
        <f t="shared" si="66"/>
        <v>45.391285034054299</v>
      </c>
      <c r="X215" s="82">
        <f t="shared" si="61"/>
        <v>0</v>
      </c>
      <c r="Y215" s="82">
        <f t="shared" si="62"/>
        <v>274362327648340.06</v>
      </c>
      <c r="Z215" s="81">
        <f t="shared" si="67"/>
        <v>268972582181352.59</v>
      </c>
      <c r="AA215" s="80">
        <f t="shared" si="51"/>
        <v>980.35537344654801</v>
      </c>
      <c r="AB215" s="52">
        <f t="shared" si="63"/>
        <v>6.7370602001861181E-3</v>
      </c>
      <c r="AC215" s="48">
        <f t="shared" si="52"/>
        <v>-8.988764044943821E-3</v>
      </c>
      <c r="AD215" s="48">
        <f t="shared" si="53"/>
        <v>3.7406483790523692E-2</v>
      </c>
      <c r="AE215" s="48">
        <f t="shared" si="54"/>
        <v>-1.0775862068965517E-3</v>
      </c>
      <c r="AF215" s="48" t="e">
        <f>(#REF!-#REF!)/#REF!</f>
        <v>#REF!</v>
      </c>
    </row>
    <row r="216" spans="1:32" s="47" customFormat="1" x14ac:dyDescent="0.3">
      <c r="A216" s="48">
        <v>20181115</v>
      </c>
      <c r="B216" s="48" t="s">
        <v>88</v>
      </c>
      <c r="C216" s="79">
        <v>0.2</v>
      </c>
      <c r="D216" s="79">
        <f t="shared" si="55"/>
        <v>0.23632231688828742</v>
      </c>
      <c r="E216" s="49">
        <v>44100</v>
      </c>
      <c r="F216" s="49">
        <v>44250</v>
      </c>
      <c r="G216" s="49">
        <v>6419324700</v>
      </c>
      <c r="H216" s="49">
        <f t="shared" si="56"/>
        <v>0.227928098803895</v>
      </c>
      <c r="I216" s="49">
        <f t="shared" si="64"/>
        <v>0.26451284996816199</v>
      </c>
      <c r="J216" s="48">
        <v>0.3</v>
      </c>
      <c r="K216" s="48">
        <f t="shared" si="57"/>
        <v>0.26904635569209268</v>
      </c>
      <c r="L216" s="48">
        <v>208000</v>
      </c>
      <c r="M216" s="48">
        <v>218500</v>
      </c>
      <c r="N216" s="51">
        <v>125456133</v>
      </c>
      <c r="O216" s="48">
        <f t="shared" si="58"/>
        <v>2.6902217281479599</v>
      </c>
      <c r="P216" s="48">
        <f t="shared" si="65"/>
        <v>3.1205305104364398</v>
      </c>
      <c r="Q216" s="49">
        <v>0.5</v>
      </c>
      <c r="R216" s="49">
        <f t="shared" si="59"/>
        <v>0.49463132741961979</v>
      </c>
      <c r="S216" s="49">
        <v>185400</v>
      </c>
      <c r="T216" s="49">
        <v>187100</v>
      </c>
      <c r="U216" s="49">
        <v>15956260</v>
      </c>
      <c r="V216" s="49">
        <f t="shared" si="60"/>
        <v>45.391285034054299</v>
      </c>
      <c r="W216" s="49">
        <f t="shared" si="66"/>
        <v>52.677042589668197</v>
      </c>
      <c r="X216" s="82">
        <f t="shared" si="61"/>
        <v>1</v>
      </c>
      <c r="Y216" s="82">
        <f t="shared" si="62"/>
        <v>318400239334251.19</v>
      </c>
      <c r="Z216" s="81">
        <f t="shared" si="67"/>
        <v>317939624970449.12</v>
      </c>
      <c r="AA216" s="80">
        <f t="shared" si="51"/>
        <v>998.55334793477175</v>
      </c>
      <c r="AB216" s="52">
        <f t="shared" si="63"/>
        <v>1.856263043088828E-2</v>
      </c>
      <c r="AC216" s="48">
        <f t="shared" si="52"/>
        <v>3.4013605442176869E-3</v>
      </c>
      <c r="AD216" s="48">
        <f t="shared" si="53"/>
        <v>5.0480769230769232E-2</v>
      </c>
      <c r="AE216" s="48">
        <f t="shared" si="54"/>
        <v>9.1693635382955763E-3</v>
      </c>
      <c r="AF216" s="48" t="e">
        <f>(#REF!-#REF!)/#REF!</f>
        <v>#REF!</v>
      </c>
    </row>
    <row r="217" spans="1:32" x14ac:dyDescent="0.3">
      <c r="A217" s="48">
        <v>20181116</v>
      </c>
      <c r="B217" s="48" t="s">
        <v>88</v>
      </c>
      <c r="C217" s="79">
        <v>0.2</v>
      </c>
      <c r="D217" s="79">
        <f t="shared" si="55"/>
        <v>0.23170590516741296</v>
      </c>
      <c r="E217" s="49">
        <v>44250</v>
      </c>
      <c r="F217" s="49">
        <v>44000</v>
      </c>
      <c r="G217" s="49">
        <v>6419324700</v>
      </c>
      <c r="H217" s="49">
        <f t="shared" si="56"/>
        <v>0.26451284996816199</v>
      </c>
      <c r="I217" s="49">
        <f t="shared" si="64"/>
        <v>0.26451284996816199</v>
      </c>
      <c r="J217" s="48">
        <v>0.3</v>
      </c>
      <c r="K217" s="48">
        <f t="shared" si="57"/>
        <v>0.27196727871469878</v>
      </c>
      <c r="L217" s="48">
        <v>218500</v>
      </c>
      <c r="M217" s="48">
        <v>224000</v>
      </c>
      <c r="N217" s="51">
        <v>125456133</v>
      </c>
      <c r="O217" s="48">
        <f t="shared" si="58"/>
        <v>3.1205305104364398</v>
      </c>
      <c r="P217" s="48">
        <f t="shared" si="65"/>
        <v>3.1205305104364398</v>
      </c>
      <c r="Q217" s="49">
        <v>0.5</v>
      </c>
      <c r="R217" s="49">
        <f t="shared" si="59"/>
        <v>0.4963268161178882</v>
      </c>
      <c r="S217" s="49">
        <v>187100</v>
      </c>
      <c r="T217" s="49">
        <v>190400</v>
      </c>
      <c r="U217" s="49">
        <v>15956260</v>
      </c>
      <c r="V217" s="49">
        <f t="shared" si="60"/>
        <v>52.677042589668197</v>
      </c>
      <c r="W217" s="49">
        <f t="shared" si="66"/>
        <v>52.677042589668197</v>
      </c>
      <c r="X217" s="82">
        <f t="shared" si="61"/>
        <v>0</v>
      </c>
      <c r="Y217" s="82">
        <f t="shared" si="62"/>
        <v>318400239334251.19</v>
      </c>
      <c r="Z217" s="81">
        <f t="shared" si="67"/>
        <v>322442064140798.37</v>
      </c>
      <c r="AA217" s="80">
        <f t="shared" si="51"/>
        <v>1012.6941638454742</v>
      </c>
      <c r="AB217" s="52">
        <f t="shared" si="63"/>
        <v>1.4161302388048478E-2</v>
      </c>
      <c r="AC217" s="48">
        <f t="shared" si="52"/>
        <v>-5.6497175141242938E-3</v>
      </c>
      <c r="AD217" s="48">
        <f t="shared" si="53"/>
        <v>2.5171624713958809E-2</v>
      </c>
      <c r="AE217" s="48">
        <f t="shared" si="54"/>
        <v>1.7637626937466594E-2</v>
      </c>
      <c r="AF217" s="48" t="e">
        <f>(#REF!-#REF!)/#REF!</f>
        <v>#REF!</v>
      </c>
    </row>
    <row r="218" spans="1:32" x14ac:dyDescent="0.3">
      <c r="A218" s="48">
        <v>20181119</v>
      </c>
      <c r="B218" s="48" t="s">
        <v>88</v>
      </c>
      <c r="C218" s="79">
        <v>0.2</v>
      </c>
      <c r="D218" s="79">
        <f t="shared" si="55"/>
        <v>0.22237240806082056</v>
      </c>
      <c r="E218" s="49">
        <v>44000</v>
      </c>
      <c r="F218" s="49">
        <v>43650</v>
      </c>
      <c r="G218" s="49">
        <v>6419324700</v>
      </c>
      <c r="H218" s="49">
        <f t="shared" si="56"/>
        <v>0.26451284996816199</v>
      </c>
      <c r="I218" s="49">
        <f t="shared" si="64"/>
        <v>0.26451284996816199</v>
      </c>
      <c r="J218" s="48">
        <v>0.3</v>
      </c>
      <c r="K218" s="48">
        <f t="shared" si="57"/>
        <v>0.26897774299297766</v>
      </c>
      <c r="L218" s="48">
        <v>224000</v>
      </c>
      <c r="M218" s="48">
        <v>229000</v>
      </c>
      <c r="N218" s="51">
        <v>125456133</v>
      </c>
      <c r="O218" s="48">
        <f t="shared" si="58"/>
        <v>3.1205305104364398</v>
      </c>
      <c r="P218" s="48">
        <f t="shared" si="65"/>
        <v>3.1205305104364398</v>
      </c>
      <c r="Q218" s="49">
        <v>0.5</v>
      </c>
      <c r="R218" s="49">
        <f t="shared" si="59"/>
        <v>0.50864984894620169</v>
      </c>
      <c r="S218" s="49">
        <v>190400</v>
      </c>
      <c r="T218" s="49">
        <v>201700</v>
      </c>
      <c r="U218" s="49">
        <v>15956260</v>
      </c>
      <c r="V218" s="49">
        <f t="shared" si="60"/>
        <v>52.677042589668197</v>
      </c>
      <c r="W218" s="49">
        <f t="shared" si="66"/>
        <v>52.677042589668197</v>
      </c>
      <c r="X218" s="82">
        <f t="shared" si="61"/>
        <v>0</v>
      </c>
      <c r="Y218" s="82">
        <f t="shared" si="62"/>
        <v>318400239334251.19</v>
      </c>
      <c r="Z218" s="81">
        <f t="shared" si="67"/>
        <v>333303187779381.5</v>
      </c>
      <c r="AA218" s="80">
        <f t="shared" si="51"/>
        <v>1046.8057074212356</v>
      </c>
      <c r="AB218" s="52">
        <f t="shared" si="63"/>
        <v>3.3683953945414895E-2</v>
      </c>
      <c r="AC218" s="48">
        <f t="shared" si="52"/>
        <v>-7.9545454545454537E-3</v>
      </c>
      <c r="AD218" s="48">
        <f t="shared" si="53"/>
        <v>2.2321428571428572E-2</v>
      </c>
      <c r="AE218" s="48">
        <f t="shared" si="54"/>
        <v>5.9348739495798317E-2</v>
      </c>
      <c r="AF218" s="48" t="e">
        <f>(#REF!-#REF!)/#REF!</f>
        <v>#REF!</v>
      </c>
    </row>
    <row r="219" spans="1:32" x14ac:dyDescent="0.3">
      <c r="A219" s="48">
        <v>20181120</v>
      </c>
      <c r="B219" s="48" t="s">
        <v>88</v>
      </c>
      <c r="C219" s="79">
        <v>0.2</v>
      </c>
      <c r="D219" s="79">
        <f t="shared" si="55"/>
        <v>0.22363427315260512</v>
      </c>
      <c r="E219" s="49">
        <v>43650</v>
      </c>
      <c r="F219" s="49">
        <v>42800</v>
      </c>
      <c r="G219" s="49">
        <v>6419324700</v>
      </c>
      <c r="H219" s="49">
        <f t="shared" si="56"/>
        <v>0.26451284996816199</v>
      </c>
      <c r="I219" s="49">
        <f t="shared" si="64"/>
        <v>0.26451284996816199</v>
      </c>
      <c r="J219" s="48">
        <v>0.3</v>
      </c>
      <c r="K219" s="48">
        <f t="shared" si="57"/>
        <v>0.27406918351527132</v>
      </c>
      <c r="L219" s="48">
        <v>229000</v>
      </c>
      <c r="M219" s="48">
        <v>227500</v>
      </c>
      <c r="N219" s="51">
        <v>125456133</v>
      </c>
      <c r="O219" s="48">
        <f t="shared" si="58"/>
        <v>3.1205305104364398</v>
      </c>
      <c r="P219" s="48">
        <f t="shared" si="65"/>
        <v>3.1205305104364398</v>
      </c>
      <c r="Q219" s="49">
        <v>0.5</v>
      </c>
      <c r="R219" s="49">
        <f t="shared" si="59"/>
        <v>0.50229654333212348</v>
      </c>
      <c r="S219" s="49">
        <v>201700</v>
      </c>
      <c r="T219" s="49">
        <v>194200</v>
      </c>
      <c r="U219" s="49">
        <v>15956260</v>
      </c>
      <c r="V219" s="49">
        <f t="shared" si="60"/>
        <v>52.677042589668197</v>
      </c>
      <c r="W219" s="49">
        <f t="shared" si="66"/>
        <v>52.677042589668197</v>
      </c>
      <c r="X219" s="82">
        <f t="shared" si="61"/>
        <v>0</v>
      </c>
      <c r="Y219" s="82">
        <f t="shared" si="62"/>
        <v>318400239334251.19</v>
      </c>
      <c r="Z219" s="81">
        <f t="shared" si="67"/>
        <v>324968694045743.25</v>
      </c>
      <c r="AA219" s="80">
        <f t="shared" si="51"/>
        <v>1020.6295533107203</v>
      </c>
      <c r="AB219" s="52">
        <f t="shared" si="63"/>
        <v>-2.5005742636806244E-2</v>
      </c>
      <c r="AC219" s="48">
        <f t="shared" si="52"/>
        <v>-1.9473081328751432E-2</v>
      </c>
      <c r="AD219" s="48">
        <f t="shared" si="53"/>
        <v>-6.5502183406113534E-3</v>
      </c>
      <c r="AE219" s="48">
        <f t="shared" si="54"/>
        <v>-3.7183936539414972E-2</v>
      </c>
      <c r="AF219" s="48" t="e">
        <f>(#REF!-#REF!)/#REF!</f>
        <v>#REF!</v>
      </c>
    </row>
    <row r="220" spans="1:32" x14ac:dyDescent="0.3">
      <c r="A220" s="48">
        <v>20181121</v>
      </c>
      <c r="B220" s="48" t="s">
        <v>88</v>
      </c>
      <c r="C220" s="79">
        <v>0.2</v>
      </c>
      <c r="D220" s="79">
        <f t="shared" si="55"/>
        <v>0.22325575907985529</v>
      </c>
      <c r="E220" s="49">
        <v>42800</v>
      </c>
      <c r="F220" s="49">
        <v>42100</v>
      </c>
      <c r="G220" s="49">
        <v>6419324700</v>
      </c>
      <c r="H220" s="49">
        <f t="shared" si="56"/>
        <v>0.26451284996816199</v>
      </c>
      <c r="I220" s="49">
        <f t="shared" si="64"/>
        <v>0.26451284996816199</v>
      </c>
      <c r="J220" s="48">
        <v>0.3</v>
      </c>
      <c r="K220" s="48">
        <f t="shared" si="57"/>
        <v>0.27509791872828765</v>
      </c>
      <c r="L220" s="48">
        <v>227500</v>
      </c>
      <c r="M220" s="48">
        <v>225000</v>
      </c>
      <c r="N220" s="51">
        <v>125456133</v>
      </c>
      <c r="O220" s="48">
        <f t="shared" si="58"/>
        <v>3.1205305104364398</v>
      </c>
      <c r="P220" s="48">
        <f t="shared" si="65"/>
        <v>3.1205305104364398</v>
      </c>
      <c r="Q220" s="49">
        <v>0.5</v>
      </c>
      <c r="R220" s="49">
        <f t="shared" si="59"/>
        <v>0.50164632219185701</v>
      </c>
      <c r="S220" s="49">
        <v>194200</v>
      </c>
      <c r="T220" s="49">
        <v>191100</v>
      </c>
      <c r="U220" s="49">
        <v>15956260</v>
      </c>
      <c r="V220" s="49">
        <f t="shared" si="60"/>
        <v>52.677042589668197</v>
      </c>
      <c r="W220" s="49">
        <f t="shared" si="66"/>
        <v>52.677042589668197</v>
      </c>
      <c r="X220" s="82">
        <f t="shared" si="61"/>
        <v>0</v>
      </c>
      <c r="Y220" s="82">
        <f t="shared" si="62"/>
        <v>318400239334251.19</v>
      </c>
      <c r="Z220" s="81">
        <f t="shared" si="67"/>
        <v>320195735487451.31</v>
      </c>
      <c r="AA220" s="80">
        <f t="shared" si="51"/>
        <v>1005.6391168453715</v>
      </c>
      <c r="AB220" s="52">
        <f t="shared" si="63"/>
        <v>-1.4687441115851288E-2</v>
      </c>
      <c r="AC220" s="48">
        <f t="shared" si="52"/>
        <v>-1.6355140186915886E-2</v>
      </c>
      <c r="AD220" s="48">
        <f t="shared" si="53"/>
        <v>-1.098901098901099E-2</v>
      </c>
      <c r="AE220" s="48">
        <f t="shared" si="54"/>
        <v>-1.596292481977343E-2</v>
      </c>
      <c r="AF220" s="48" t="e">
        <f>(#REF!-#REF!)/#REF!</f>
        <v>#REF!</v>
      </c>
    </row>
    <row r="221" spans="1:32" x14ac:dyDescent="0.3">
      <c r="A221" s="48">
        <v>20181122</v>
      </c>
      <c r="B221" s="48" t="s">
        <v>88</v>
      </c>
      <c r="C221" s="79">
        <v>0.2</v>
      </c>
      <c r="D221" s="79">
        <f t="shared" si="55"/>
        <v>0.22301857319673785</v>
      </c>
      <c r="E221" s="49">
        <v>42100</v>
      </c>
      <c r="F221" s="49">
        <v>42450</v>
      </c>
      <c r="G221" s="49">
        <v>6419324700</v>
      </c>
      <c r="H221" s="49">
        <f t="shared" si="56"/>
        <v>0.26451284996816199</v>
      </c>
      <c r="I221" s="49">
        <f t="shared" si="64"/>
        <v>0.26451284996816199</v>
      </c>
      <c r="J221" s="48">
        <v>0.3</v>
      </c>
      <c r="K221" s="48">
        <f t="shared" si="57"/>
        <v>0.27011730820486518</v>
      </c>
      <c r="L221" s="48">
        <v>225000</v>
      </c>
      <c r="M221" s="48">
        <v>223000</v>
      </c>
      <c r="N221" s="51">
        <v>125456133</v>
      </c>
      <c r="O221" s="48">
        <f t="shared" si="58"/>
        <v>3.1205305104364398</v>
      </c>
      <c r="P221" s="48">
        <f t="shared" si="65"/>
        <v>3.1205305104364398</v>
      </c>
      <c r="Q221" s="49">
        <v>0.5</v>
      </c>
      <c r="R221" s="49">
        <f t="shared" si="59"/>
        <v>0.50686411859839697</v>
      </c>
      <c r="S221" s="49">
        <v>191100</v>
      </c>
      <c r="T221" s="49">
        <v>194900</v>
      </c>
      <c r="U221" s="49">
        <v>15956260</v>
      </c>
      <c r="V221" s="49">
        <f t="shared" si="60"/>
        <v>52.677042589668197</v>
      </c>
      <c r="W221" s="49">
        <f t="shared" si="66"/>
        <v>52.677042589668197</v>
      </c>
      <c r="X221" s="82">
        <f t="shared" si="61"/>
        <v>0</v>
      </c>
      <c r="Y221" s="82">
        <f t="shared" si="62"/>
        <v>318400239334251.19</v>
      </c>
      <c r="Z221" s="81">
        <f t="shared" si="67"/>
        <v>323201062593748.25</v>
      </c>
      <c r="AA221" s="80">
        <f t="shared" si="51"/>
        <v>1015.0779511646575</v>
      </c>
      <c r="AB221" s="52">
        <f t="shared" si="63"/>
        <v>9.3859060980991359E-3</v>
      </c>
      <c r="AC221" s="48">
        <f t="shared" si="52"/>
        <v>8.3135391923990498E-3</v>
      </c>
      <c r="AD221" s="48">
        <f t="shared" si="53"/>
        <v>-8.8888888888888889E-3</v>
      </c>
      <c r="AE221" s="48">
        <f t="shared" si="54"/>
        <v>1.9884877027734171E-2</v>
      </c>
      <c r="AF221" s="48" t="e">
        <f>(#REF!-#REF!)/#REF!</f>
        <v>#REF!</v>
      </c>
    </row>
    <row r="222" spans="1:32" x14ac:dyDescent="0.3">
      <c r="A222" s="48">
        <v>20181123</v>
      </c>
      <c r="B222" s="48" t="s">
        <v>88</v>
      </c>
      <c r="C222" s="79">
        <v>0.2</v>
      </c>
      <c r="D222" s="79">
        <f t="shared" si="55"/>
        <v>0.22672560313064172</v>
      </c>
      <c r="E222" s="49">
        <v>42450</v>
      </c>
      <c r="F222" s="49">
        <v>42400</v>
      </c>
      <c r="G222" s="49">
        <v>6419324700</v>
      </c>
      <c r="H222" s="49">
        <f t="shared" si="56"/>
        <v>0.26451284996816199</v>
      </c>
      <c r="I222" s="49">
        <f t="shared" si="64"/>
        <v>0.26451284996816199</v>
      </c>
      <c r="J222" s="48">
        <v>0.3</v>
      </c>
      <c r="K222" s="48">
        <f t="shared" si="57"/>
        <v>0.27246529649946544</v>
      </c>
      <c r="L222" s="48">
        <v>223000</v>
      </c>
      <c r="M222" s="48">
        <v>221000</v>
      </c>
      <c r="N222" s="51">
        <v>125456133</v>
      </c>
      <c r="O222" s="48">
        <f t="shared" si="58"/>
        <v>3.1205305104364398</v>
      </c>
      <c r="P222" s="48">
        <f t="shared" si="65"/>
        <v>3.1205305104364398</v>
      </c>
      <c r="Q222" s="49">
        <v>0.5</v>
      </c>
      <c r="R222" s="49">
        <f t="shared" si="59"/>
        <v>0.50080910036989279</v>
      </c>
      <c r="S222" s="49">
        <v>194900</v>
      </c>
      <c r="T222" s="49">
        <v>189200</v>
      </c>
      <c r="U222" s="49">
        <v>15956260</v>
      </c>
      <c r="V222" s="49">
        <f t="shared" si="60"/>
        <v>52.677042589668197</v>
      </c>
      <c r="W222" s="49">
        <f t="shared" si="66"/>
        <v>52.677042589668197</v>
      </c>
      <c r="X222" s="82">
        <f t="shared" si="61"/>
        <v>0</v>
      </c>
      <c r="Y222" s="82">
        <f t="shared" si="62"/>
        <v>318400239334251.19</v>
      </c>
      <c r="Z222" s="81">
        <f t="shared" si="67"/>
        <v>317542170569415.75</v>
      </c>
      <c r="AA222" s="80">
        <f t="shared" si="51"/>
        <v>997.305062437674</v>
      </c>
      <c r="AB222" s="52">
        <f t="shared" si="63"/>
        <v>-1.7508890530615568E-2</v>
      </c>
      <c r="AC222" s="48">
        <f t="shared" si="52"/>
        <v>-1.1778563015312131E-3</v>
      </c>
      <c r="AD222" s="48">
        <f t="shared" si="53"/>
        <v>-8.9686098654708519E-3</v>
      </c>
      <c r="AE222" s="48">
        <f t="shared" si="54"/>
        <v>-2.9245767060030785E-2</v>
      </c>
      <c r="AF222" s="48" t="e">
        <f>(#REF!-#REF!)/#REF!</f>
        <v>#REF!</v>
      </c>
    </row>
    <row r="223" spans="1:32" x14ac:dyDescent="0.3">
      <c r="A223" s="48">
        <v>20181126</v>
      </c>
      <c r="B223" s="48" t="s">
        <v>88</v>
      </c>
      <c r="C223" s="79">
        <v>0.2</v>
      </c>
      <c r="D223" s="79">
        <f t="shared" si="55"/>
        <v>0.21910346566160752</v>
      </c>
      <c r="E223" s="49">
        <v>42400</v>
      </c>
      <c r="F223" s="49">
        <v>42600</v>
      </c>
      <c r="G223" s="49">
        <v>6419324700</v>
      </c>
      <c r="H223" s="49">
        <f t="shared" si="56"/>
        <v>0.26451284996816199</v>
      </c>
      <c r="I223" s="49">
        <f t="shared" si="64"/>
        <v>0.26451284996816199</v>
      </c>
      <c r="J223" s="48">
        <v>0.3</v>
      </c>
      <c r="K223" s="48">
        <f t="shared" si="57"/>
        <v>0.28519305170706866</v>
      </c>
      <c r="L223" s="48">
        <v>221000</v>
      </c>
      <c r="M223" s="48">
        <v>240500</v>
      </c>
      <c r="N223" s="51">
        <v>125456133</v>
      </c>
      <c r="O223" s="48">
        <f t="shared" si="58"/>
        <v>3.1205305104364398</v>
      </c>
      <c r="P223" s="48">
        <f t="shared" si="65"/>
        <v>3.1205305104364398</v>
      </c>
      <c r="Q223" s="49">
        <v>0.5</v>
      </c>
      <c r="R223" s="49">
        <f t="shared" si="59"/>
        <v>0.4957034826313238</v>
      </c>
      <c r="S223" s="49">
        <v>189200</v>
      </c>
      <c r="T223" s="49">
        <v>194700</v>
      </c>
      <c r="U223" s="49">
        <v>15956260</v>
      </c>
      <c r="V223" s="49">
        <f t="shared" si="60"/>
        <v>52.677042589668197</v>
      </c>
      <c r="W223" s="49">
        <f t="shared" si="66"/>
        <v>52.677042589668197</v>
      </c>
      <c r="X223" s="82">
        <f t="shared" si="61"/>
        <v>0</v>
      </c>
      <c r="Y223" s="82">
        <f t="shared" si="62"/>
        <v>318400239334251.19</v>
      </c>
      <c r="Z223" s="81">
        <f t="shared" si="67"/>
        <v>330138725545007.87</v>
      </c>
      <c r="AA223" s="80">
        <f t="shared" si="51"/>
        <v>1036.867077221113</v>
      </c>
      <c r="AB223" s="52">
        <f t="shared" si="63"/>
        <v>3.9668920046128271E-2</v>
      </c>
      <c r="AC223" s="48">
        <f t="shared" si="52"/>
        <v>4.7169811320754715E-3</v>
      </c>
      <c r="AD223" s="48">
        <f t="shared" si="53"/>
        <v>8.8235294117647065E-2</v>
      </c>
      <c r="AE223" s="48">
        <f t="shared" si="54"/>
        <v>2.9069767441860465E-2</v>
      </c>
      <c r="AF223" s="48" t="e">
        <f>(#REF!-#REF!)/#REF!</f>
        <v>#REF!</v>
      </c>
    </row>
    <row r="224" spans="1:32" x14ac:dyDescent="0.3">
      <c r="A224" s="48">
        <v>20181127</v>
      </c>
      <c r="B224" s="48" t="s">
        <v>88</v>
      </c>
      <c r="C224" s="79">
        <v>0.2</v>
      </c>
      <c r="D224" s="79">
        <f t="shared" si="55"/>
        <v>0.2170822898947313</v>
      </c>
      <c r="E224" s="49">
        <v>42600</v>
      </c>
      <c r="F224" s="49">
        <v>43050</v>
      </c>
      <c r="G224" s="49">
        <v>6419324700</v>
      </c>
      <c r="H224" s="49">
        <f t="shared" si="56"/>
        <v>0.26451284996816199</v>
      </c>
      <c r="I224" s="49">
        <f t="shared" si="64"/>
        <v>0.26451284996816199</v>
      </c>
      <c r="J224" s="48">
        <v>0.3</v>
      </c>
      <c r="K224" s="48">
        <f t="shared" si="57"/>
        <v>0.27670206935511094</v>
      </c>
      <c r="L224" s="48">
        <v>240500</v>
      </c>
      <c r="M224" s="48">
        <v>238000</v>
      </c>
      <c r="N224" s="51">
        <v>125456133</v>
      </c>
      <c r="O224" s="48">
        <f t="shared" si="58"/>
        <v>3.1205305104364398</v>
      </c>
      <c r="P224" s="48">
        <f t="shared" si="65"/>
        <v>3.1205305104364398</v>
      </c>
      <c r="Q224" s="49">
        <v>0.5</v>
      </c>
      <c r="R224" s="49">
        <f t="shared" si="59"/>
        <v>0.50621564075015779</v>
      </c>
      <c r="S224" s="49">
        <v>194700</v>
      </c>
      <c r="T224" s="49">
        <v>202800</v>
      </c>
      <c r="U224" s="49">
        <v>15956260</v>
      </c>
      <c r="V224" s="49">
        <f t="shared" si="60"/>
        <v>52.677042589668197</v>
      </c>
      <c r="W224" s="49">
        <f t="shared" si="66"/>
        <v>52.677042589668197</v>
      </c>
      <c r="X224" s="82">
        <f t="shared" si="61"/>
        <v>0</v>
      </c>
      <c r="Y224" s="82">
        <f t="shared" si="62"/>
        <v>318400239334251.19</v>
      </c>
      <c r="Z224" s="81">
        <f t="shared" si="67"/>
        <v>336732380119702.5</v>
      </c>
      <c r="AA224" s="80">
        <f t="shared" si="51"/>
        <v>1057.5757757713448</v>
      </c>
      <c r="AB224" s="52">
        <f t="shared" si="63"/>
        <v>1.997237544250385E-2</v>
      </c>
      <c r="AC224" s="48">
        <f t="shared" si="52"/>
        <v>1.0563380281690141E-2</v>
      </c>
      <c r="AD224" s="48">
        <f t="shared" si="53"/>
        <v>-1.0395010395010396E-2</v>
      </c>
      <c r="AE224" s="48">
        <f t="shared" si="54"/>
        <v>4.1602465331278891E-2</v>
      </c>
      <c r="AF224" s="48" t="e">
        <f>(#REF!-#REF!)/#REF!</f>
        <v>#REF!</v>
      </c>
    </row>
    <row r="225" spans="1:32" x14ac:dyDescent="0.3">
      <c r="A225" s="48">
        <v>20181128</v>
      </c>
      <c r="B225" s="48" t="s">
        <v>88</v>
      </c>
      <c r="C225" s="79">
        <v>0.2</v>
      </c>
      <c r="D225" s="79">
        <f t="shared" si="55"/>
        <v>0.22007477180310892</v>
      </c>
      <c r="E225" s="49">
        <v>43050</v>
      </c>
      <c r="F225" s="49">
        <v>43150</v>
      </c>
      <c r="G225" s="49">
        <v>6419324700</v>
      </c>
      <c r="H225" s="49">
        <f t="shared" si="56"/>
        <v>0.26451284996816199</v>
      </c>
      <c r="I225" s="49">
        <f t="shared" si="64"/>
        <v>0.26451284996816199</v>
      </c>
      <c r="J225" s="48">
        <v>0.3</v>
      </c>
      <c r="K225" s="48">
        <f t="shared" si="57"/>
        <v>0.27751449688235252</v>
      </c>
      <c r="L225" s="48">
        <v>238000</v>
      </c>
      <c r="M225" s="48">
        <v>236000</v>
      </c>
      <c r="N225" s="51">
        <v>125456133</v>
      </c>
      <c r="O225" s="48">
        <f t="shared" si="58"/>
        <v>3.1205305104364398</v>
      </c>
      <c r="P225" s="48">
        <f t="shared" si="65"/>
        <v>3.1205305104364398</v>
      </c>
      <c r="Q225" s="49">
        <v>0.5</v>
      </c>
      <c r="R225" s="49">
        <f t="shared" si="59"/>
        <v>0.50241073131453851</v>
      </c>
      <c r="S225" s="49">
        <v>202800</v>
      </c>
      <c r="T225" s="49">
        <v>199000</v>
      </c>
      <c r="U225" s="49">
        <v>15956260</v>
      </c>
      <c r="V225" s="49">
        <f t="shared" si="60"/>
        <v>52.677042589668197</v>
      </c>
      <c r="W225" s="49">
        <f t="shared" si="66"/>
        <v>52.677042589668197</v>
      </c>
      <c r="X225" s="82">
        <f t="shared" si="61"/>
        <v>0</v>
      </c>
      <c r="Y225" s="82">
        <f t="shared" si="62"/>
        <v>318400239334251.19</v>
      </c>
      <c r="Z225" s="81">
        <f t="shared" si="67"/>
        <v>332925191492484.69</v>
      </c>
      <c r="AA225" s="80">
        <f t="shared" si="51"/>
        <v>1045.6185340457155</v>
      </c>
      <c r="AB225" s="52">
        <f t="shared" si="63"/>
        <v>-1.130627421652906E-2</v>
      </c>
      <c r="AC225" s="48">
        <f t="shared" si="52"/>
        <v>2.3228803716608595E-3</v>
      </c>
      <c r="AD225" s="48">
        <f t="shared" si="53"/>
        <v>-8.4033613445378148E-3</v>
      </c>
      <c r="AE225" s="48">
        <f t="shared" si="54"/>
        <v>-1.8737672583826429E-2</v>
      </c>
      <c r="AF225" s="48" t="e">
        <f>(#REF!-#REF!)/#REF!</f>
        <v>#REF!</v>
      </c>
    </row>
    <row r="226" spans="1:32" x14ac:dyDescent="0.3">
      <c r="A226" s="48">
        <v>20181129</v>
      </c>
      <c r="B226" s="48" t="s">
        <v>88</v>
      </c>
      <c r="C226" s="79">
        <v>0.2</v>
      </c>
      <c r="D226" s="79">
        <f t="shared" si="55"/>
        <v>0.22137940197970823</v>
      </c>
      <c r="E226" s="49">
        <v>43150</v>
      </c>
      <c r="F226" s="49">
        <v>43150</v>
      </c>
      <c r="G226" s="49">
        <v>6419324700</v>
      </c>
      <c r="H226" s="49">
        <f t="shared" si="56"/>
        <v>0.26451284996816199</v>
      </c>
      <c r="I226" s="49">
        <f t="shared" si="64"/>
        <v>0.26451284996816199</v>
      </c>
      <c r="J226" s="48">
        <v>0.3</v>
      </c>
      <c r="K226" s="48">
        <f t="shared" si="57"/>
        <v>0.28034251659466286</v>
      </c>
      <c r="L226" s="48">
        <v>236000</v>
      </c>
      <c r="M226" s="48">
        <v>237000</v>
      </c>
      <c r="N226" s="51">
        <v>125456133</v>
      </c>
      <c r="O226" s="48">
        <f t="shared" si="58"/>
        <v>3.1205305104364398</v>
      </c>
      <c r="P226" s="48">
        <f t="shared" si="65"/>
        <v>3.1205305104364398</v>
      </c>
      <c r="Q226" s="49">
        <v>0.5</v>
      </c>
      <c r="R226" s="49">
        <f t="shared" si="59"/>
        <v>0.49827808142562874</v>
      </c>
      <c r="S226" s="49">
        <v>199000</v>
      </c>
      <c r="T226" s="49">
        <v>196200</v>
      </c>
      <c r="U226" s="49">
        <v>15956260</v>
      </c>
      <c r="V226" s="49">
        <f t="shared" si="60"/>
        <v>52.677042589668197</v>
      </c>
      <c r="W226" s="49">
        <f t="shared" si="66"/>
        <v>52.677042589668197</v>
      </c>
      <c r="X226" s="82">
        <f t="shared" si="61"/>
        <v>0</v>
      </c>
      <c r="Y226" s="82">
        <f t="shared" si="62"/>
        <v>318400239334251.19</v>
      </c>
      <c r="Z226" s="81">
        <f t="shared" si="67"/>
        <v>330963201137975.5</v>
      </c>
      <c r="AA226" s="80">
        <f t="shared" si="51"/>
        <v>1039.4565086696934</v>
      </c>
      <c r="AB226" s="52">
        <f t="shared" si="63"/>
        <v>-5.8931868318935323E-3</v>
      </c>
      <c r="AC226" s="48">
        <f t="shared" si="52"/>
        <v>0</v>
      </c>
      <c r="AD226" s="48">
        <f t="shared" si="53"/>
        <v>4.2372881355932203E-3</v>
      </c>
      <c r="AE226" s="48">
        <f t="shared" si="54"/>
        <v>-1.407035175879397E-2</v>
      </c>
      <c r="AF226" s="48" t="e">
        <f>(#REF!-#REF!)/#REF!</f>
        <v>#REF!</v>
      </c>
    </row>
    <row r="227" spans="1:32" x14ac:dyDescent="0.3">
      <c r="A227" s="48">
        <v>20181130</v>
      </c>
      <c r="B227" s="48" t="s">
        <v>88</v>
      </c>
      <c r="C227" s="79">
        <v>0.2</v>
      </c>
      <c r="D227" s="79">
        <f t="shared" si="55"/>
        <v>0.21490725746410524</v>
      </c>
      <c r="E227" s="49">
        <v>43150</v>
      </c>
      <c r="F227" s="49">
        <v>41850</v>
      </c>
      <c r="G227" s="49">
        <v>6419324700</v>
      </c>
      <c r="H227" s="49">
        <f t="shared" si="56"/>
        <v>0.26451284996816199</v>
      </c>
      <c r="I227" s="49">
        <f t="shared" si="64"/>
        <v>0.26451284996816199</v>
      </c>
      <c r="J227" s="48">
        <v>0.3</v>
      </c>
      <c r="K227" s="48">
        <f t="shared" si="57"/>
        <v>0.28356024904049709</v>
      </c>
      <c r="L227" s="48">
        <v>237000</v>
      </c>
      <c r="M227" s="48">
        <v>239500</v>
      </c>
      <c r="N227" s="51">
        <v>125456133</v>
      </c>
      <c r="O227" s="48">
        <f t="shared" si="58"/>
        <v>3.1205305104364398</v>
      </c>
      <c r="P227" s="48">
        <f t="shared" si="65"/>
        <v>3.1205305104364398</v>
      </c>
      <c r="Q227" s="49">
        <v>0.5</v>
      </c>
      <c r="R227" s="49">
        <f t="shared" si="59"/>
        <v>0.50153249349539752</v>
      </c>
      <c r="S227" s="49">
        <v>196200</v>
      </c>
      <c r="T227" s="49">
        <v>197300</v>
      </c>
      <c r="U227" s="49">
        <v>15956260</v>
      </c>
      <c r="V227" s="49">
        <f t="shared" si="60"/>
        <v>52.677042589668197</v>
      </c>
      <c r="W227" s="49">
        <f t="shared" si="66"/>
        <v>52.677042589668197</v>
      </c>
      <c r="X227" s="82">
        <f t="shared" si="61"/>
        <v>0</v>
      </c>
      <c r="Y227" s="82">
        <f t="shared" si="62"/>
        <v>318400239334251.19</v>
      </c>
      <c r="Z227" s="81">
        <f t="shared" si="67"/>
        <v>330659114778547.75</v>
      </c>
      <c r="AA227" s="80">
        <f t="shared" si="51"/>
        <v>1038.5014642888739</v>
      </c>
      <c r="AB227" s="52">
        <f t="shared" si="63"/>
        <v>-9.1879205416862259E-4</v>
      </c>
      <c r="AC227" s="48">
        <f t="shared" si="52"/>
        <v>-3.0127462340672075E-2</v>
      </c>
      <c r="AD227" s="48">
        <f t="shared" si="53"/>
        <v>1.0548523206751054E-2</v>
      </c>
      <c r="AE227" s="48">
        <f t="shared" si="54"/>
        <v>5.6065239551478085E-3</v>
      </c>
      <c r="AF227" s="48" t="e">
        <f>(#REF!-#REF!)/#REF!</f>
        <v>#REF!</v>
      </c>
    </row>
    <row r="228" spans="1:32" x14ac:dyDescent="0.3">
      <c r="A228" s="48">
        <v>20181203</v>
      </c>
      <c r="B228" s="48" t="s">
        <v>88</v>
      </c>
      <c r="C228" s="79">
        <v>0.2</v>
      </c>
      <c r="D228" s="79">
        <f t="shared" si="55"/>
        <v>0.21541919566012868</v>
      </c>
      <c r="E228" s="49">
        <v>41850</v>
      </c>
      <c r="F228" s="49">
        <v>43250</v>
      </c>
      <c r="G228" s="49">
        <v>6419324700</v>
      </c>
      <c r="H228" s="49">
        <f t="shared" si="56"/>
        <v>0.26451284996816199</v>
      </c>
      <c r="I228" s="49">
        <f t="shared" si="64"/>
        <v>0.26451284996816199</v>
      </c>
      <c r="J228" s="48">
        <v>0.3</v>
      </c>
      <c r="K228" s="48">
        <f t="shared" si="57"/>
        <v>0.27618340562602767</v>
      </c>
      <c r="L228" s="48">
        <v>239500</v>
      </c>
      <c r="M228" s="48">
        <v>240500</v>
      </c>
      <c r="N228" s="51">
        <v>125456133</v>
      </c>
      <c r="O228" s="48">
        <f t="shared" si="58"/>
        <v>3.1205305104364398</v>
      </c>
      <c r="P228" s="48">
        <f t="shared" si="65"/>
        <v>3.1205305104364398</v>
      </c>
      <c r="Q228" s="49">
        <v>0.5</v>
      </c>
      <c r="R228" s="49">
        <f t="shared" si="59"/>
        <v>0.5083973987138436</v>
      </c>
      <c r="S228" s="49">
        <v>197300</v>
      </c>
      <c r="T228" s="49">
        <v>206200</v>
      </c>
      <c r="U228" s="49">
        <v>15956260</v>
      </c>
      <c r="V228" s="49">
        <f t="shared" si="60"/>
        <v>52.677042589668197</v>
      </c>
      <c r="W228" s="49">
        <f t="shared" si="66"/>
        <v>52.677042589668197</v>
      </c>
      <c r="X228" s="82">
        <f t="shared" si="61"/>
        <v>0</v>
      </c>
      <c r="Y228" s="82">
        <f t="shared" si="62"/>
        <v>318400239334251.19</v>
      </c>
      <c r="Z228" s="81">
        <f t="shared" si="67"/>
        <v>340908500318638</v>
      </c>
      <c r="AA228" s="80">
        <f t="shared" si="51"/>
        <v>1070.6917213110448</v>
      </c>
      <c r="AB228" s="52">
        <f t="shared" si="63"/>
        <v>3.0996833542467475E-2</v>
      </c>
      <c r="AC228" s="48">
        <f t="shared" si="52"/>
        <v>3.3452807646356032E-2</v>
      </c>
      <c r="AD228" s="48">
        <f t="shared" si="53"/>
        <v>4.1753653444676405E-3</v>
      </c>
      <c r="AE228" s="48">
        <f t="shared" si="54"/>
        <v>4.5108971109984797E-2</v>
      </c>
      <c r="AF228" s="48" t="e">
        <f>(#REF!-#REF!)/#REF!</f>
        <v>#REF!</v>
      </c>
    </row>
    <row r="229" spans="1:32" x14ac:dyDescent="0.3">
      <c r="A229" s="48">
        <v>20181204</v>
      </c>
      <c r="B229" s="48" t="s">
        <v>88</v>
      </c>
      <c r="C229" s="79">
        <v>0.2</v>
      </c>
      <c r="D229" s="79">
        <f t="shared" si="55"/>
        <v>0.21057626128070833</v>
      </c>
      <c r="E229" s="49">
        <v>43250</v>
      </c>
      <c r="F229" s="49">
        <v>42150</v>
      </c>
      <c r="G229" s="49">
        <v>6419324700</v>
      </c>
      <c r="H229" s="49">
        <f t="shared" si="56"/>
        <v>0.26451284996816199</v>
      </c>
      <c r="I229" s="49">
        <f t="shared" si="64"/>
        <v>0.26451284996816199</v>
      </c>
      <c r="J229" s="48">
        <v>0.3</v>
      </c>
      <c r="K229" s="48">
        <f t="shared" si="57"/>
        <v>0.28047555041237887</v>
      </c>
      <c r="L229" s="48">
        <v>240500</v>
      </c>
      <c r="M229" s="48">
        <v>243500</v>
      </c>
      <c r="N229" s="51">
        <v>125456133</v>
      </c>
      <c r="O229" s="48">
        <f t="shared" si="58"/>
        <v>3.1205305104364398</v>
      </c>
      <c r="P229" s="48">
        <f t="shared" si="65"/>
        <v>3.1205305104364398</v>
      </c>
      <c r="Q229" s="49">
        <v>0.5</v>
      </c>
      <c r="R229" s="49">
        <f t="shared" si="59"/>
        <v>0.5089481883069128</v>
      </c>
      <c r="S229" s="49">
        <v>206200</v>
      </c>
      <c r="T229" s="49">
        <v>205800</v>
      </c>
      <c r="U229" s="49">
        <v>15956260</v>
      </c>
      <c r="V229" s="49">
        <f t="shared" si="60"/>
        <v>52.677042589668197</v>
      </c>
      <c r="W229" s="49">
        <f t="shared" si="66"/>
        <v>52.677042589668197</v>
      </c>
      <c r="X229" s="82">
        <f t="shared" si="61"/>
        <v>0</v>
      </c>
      <c r="Y229" s="82">
        <f t="shared" si="62"/>
        <v>318400239334251.19</v>
      </c>
      <c r="Z229" s="81">
        <f t="shared" si="67"/>
        <v>339878964697450.06</v>
      </c>
      <c r="AA229" s="80">
        <f t="shared" si="51"/>
        <v>1067.458257594621</v>
      </c>
      <c r="AB229" s="52">
        <f t="shared" si="63"/>
        <v>-3.0199763872877064E-3</v>
      </c>
      <c r="AC229" s="48">
        <f t="shared" si="52"/>
        <v>-2.5433526011560695E-2</v>
      </c>
      <c r="AD229" s="48">
        <f t="shared" si="53"/>
        <v>1.2474012474012475E-2</v>
      </c>
      <c r="AE229" s="48">
        <f t="shared" si="54"/>
        <v>-1.9398642095053346E-3</v>
      </c>
      <c r="AF229" s="48" t="e">
        <f>(#REF!-#REF!)/#REF!</f>
        <v>#REF!</v>
      </c>
    </row>
    <row r="230" spans="1:32" x14ac:dyDescent="0.3">
      <c r="A230" s="48">
        <v>20181205</v>
      </c>
      <c r="B230" s="48" t="s">
        <v>88</v>
      </c>
      <c r="C230" s="79">
        <v>0.2</v>
      </c>
      <c r="D230" s="79">
        <f t="shared" si="55"/>
        <v>0.21041611264189089</v>
      </c>
      <c r="E230" s="49">
        <v>42150</v>
      </c>
      <c r="F230" s="49">
        <v>41450</v>
      </c>
      <c r="G230" s="49">
        <v>6419324700</v>
      </c>
      <c r="H230" s="49">
        <f t="shared" si="56"/>
        <v>0.26451284996816199</v>
      </c>
      <c r="I230" s="49">
        <f t="shared" si="64"/>
        <v>0.26451284996816199</v>
      </c>
      <c r="J230" s="48">
        <v>0.3</v>
      </c>
      <c r="K230" s="48">
        <f t="shared" si="57"/>
        <v>0.2832396413115294</v>
      </c>
      <c r="L230" s="48">
        <v>243500</v>
      </c>
      <c r="M230" s="48">
        <v>242000</v>
      </c>
      <c r="N230" s="51">
        <v>125456133</v>
      </c>
      <c r="O230" s="48">
        <f t="shared" si="58"/>
        <v>3.1205305104364398</v>
      </c>
      <c r="P230" s="48">
        <f t="shared" si="65"/>
        <v>3.1205305104364398</v>
      </c>
      <c r="Q230" s="49">
        <v>0.5</v>
      </c>
      <c r="R230" s="49">
        <f t="shared" si="59"/>
        <v>0.50634424604657968</v>
      </c>
      <c r="S230" s="49">
        <v>205800</v>
      </c>
      <c r="T230" s="49">
        <v>201500</v>
      </c>
      <c r="U230" s="49">
        <v>15956260</v>
      </c>
      <c r="V230" s="49">
        <f t="shared" si="60"/>
        <v>52.677042589668197</v>
      </c>
      <c r="W230" s="49">
        <f t="shared" si="66"/>
        <v>52.677042589668197</v>
      </c>
      <c r="X230" s="82">
        <f t="shared" si="61"/>
        <v>0</v>
      </c>
      <c r="Y230" s="82">
        <f t="shared" si="62"/>
        <v>318400239334251.19</v>
      </c>
      <c r="Z230" s="81">
        <f t="shared" si="67"/>
        <v>334488861524795.81</v>
      </c>
      <c r="AA230" s="80">
        <f t="shared" si="51"/>
        <v>1050.5295543250363</v>
      </c>
      <c r="AB230" s="52">
        <f t="shared" si="63"/>
        <v>-1.5858890171247888E-2</v>
      </c>
      <c r="AC230" s="48">
        <f t="shared" si="52"/>
        <v>-1.6607354685646499E-2</v>
      </c>
      <c r="AD230" s="48">
        <f t="shared" si="53"/>
        <v>-6.1601642710472282E-3</v>
      </c>
      <c r="AE230" s="48">
        <f t="shared" si="54"/>
        <v>-2.0894071914480079E-2</v>
      </c>
      <c r="AF230" s="48" t="e">
        <f>(#REF!-#REF!)/#REF!</f>
        <v>#REF!</v>
      </c>
    </row>
    <row r="231" spans="1:32" x14ac:dyDescent="0.3">
      <c r="A231" s="48">
        <v>20181206</v>
      </c>
      <c r="B231" s="48" t="s">
        <v>88</v>
      </c>
      <c r="C231" s="79">
        <v>0.2</v>
      </c>
      <c r="D231" s="79">
        <f t="shared" si="55"/>
        <v>0.21195656098931209</v>
      </c>
      <c r="E231" s="49">
        <v>41450</v>
      </c>
      <c r="F231" s="49">
        <v>40500</v>
      </c>
      <c r="G231" s="49">
        <v>6419324700</v>
      </c>
      <c r="H231" s="49">
        <f t="shared" si="56"/>
        <v>0.26451284996816199</v>
      </c>
      <c r="I231" s="49">
        <f t="shared" si="64"/>
        <v>0.26451284996816199</v>
      </c>
      <c r="J231" s="48">
        <v>0.3</v>
      </c>
      <c r="K231" s="48">
        <f t="shared" si="57"/>
        <v>0.28416263051688939</v>
      </c>
      <c r="L231" s="48">
        <v>242000</v>
      </c>
      <c r="M231" s="48">
        <v>235500</v>
      </c>
      <c r="N231" s="51">
        <v>125456133</v>
      </c>
      <c r="O231" s="48">
        <f t="shared" si="58"/>
        <v>3.1205305104364398</v>
      </c>
      <c r="P231" s="48">
        <f t="shared" si="65"/>
        <v>3.1205305104364398</v>
      </c>
      <c r="Q231" s="49">
        <v>0.5</v>
      </c>
      <c r="R231" s="49">
        <f t="shared" si="59"/>
        <v>0.50388080849379846</v>
      </c>
      <c r="S231" s="49">
        <v>201500</v>
      </c>
      <c r="T231" s="49">
        <v>194500</v>
      </c>
      <c r="U231" s="49">
        <v>15956260</v>
      </c>
      <c r="V231" s="49">
        <f t="shared" si="60"/>
        <v>52.677042589668197</v>
      </c>
      <c r="W231" s="49">
        <f t="shared" si="66"/>
        <v>52.677042589668197</v>
      </c>
      <c r="X231" s="82">
        <f t="shared" si="61"/>
        <v>0</v>
      </c>
      <c r="Y231" s="82">
        <f t="shared" si="62"/>
        <v>318400239334251.19</v>
      </c>
      <c r="Z231" s="81">
        <f t="shared" si="67"/>
        <v>324447384244087.31</v>
      </c>
      <c r="AA231" s="80">
        <f t="shared" si="51"/>
        <v>1018.9922750136125</v>
      </c>
      <c r="AB231" s="52">
        <f t="shared" si="63"/>
        <v>-3.0020363712362667E-2</v>
      </c>
      <c r="AC231" s="48">
        <f t="shared" si="52"/>
        <v>-2.2919179734620022E-2</v>
      </c>
      <c r="AD231" s="48">
        <f t="shared" si="53"/>
        <v>-2.6859504132231406E-2</v>
      </c>
      <c r="AE231" s="48">
        <f t="shared" si="54"/>
        <v>-3.4739454094292806E-2</v>
      </c>
      <c r="AF231" s="48" t="e">
        <f>(#REF!-#REF!)/#REF!</f>
        <v>#REF!</v>
      </c>
    </row>
    <row r="232" spans="1:32" x14ac:dyDescent="0.3">
      <c r="A232" s="48">
        <v>20181207</v>
      </c>
      <c r="B232" s="48" t="s">
        <v>88</v>
      </c>
      <c r="C232" s="79">
        <v>0.2</v>
      </c>
      <c r="D232" s="79">
        <f t="shared" si="55"/>
        <v>0.20923437665256328</v>
      </c>
      <c r="E232" s="49">
        <v>40500</v>
      </c>
      <c r="F232" s="49">
        <v>40950</v>
      </c>
      <c r="G232" s="49">
        <v>6419324700</v>
      </c>
      <c r="H232" s="49">
        <f t="shared" si="56"/>
        <v>0.26451284996816199</v>
      </c>
      <c r="I232" s="49">
        <f t="shared" si="64"/>
        <v>0.26451284996816199</v>
      </c>
      <c r="J232" s="48">
        <v>0.3</v>
      </c>
      <c r="K232" s="48">
        <f t="shared" si="57"/>
        <v>0.28921102294859402</v>
      </c>
      <c r="L232" s="48">
        <v>235500</v>
      </c>
      <c r="M232" s="48">
        <v>245500</v>
      </c>
      <c r="N232" s="51">
        <v>125456133</v>
      </c>
      <c r="O232" s="48">
        <f t="shared" si="58"/>
        <v>3.1205305104364398</v>
      </c>
      <c r="P232" s="48">
        <f t="shared" si="65"/>
        <v>3.1205305104364398</v>
      </c>
      <c r="Q232" s="49">
        <v>0.5</v>
      </c>
      <c r="R232" s="49">
        <f t="shared" si="59"/>
        <v>0.50155460039884281</v>
      </c>
      <c r="S232" s="49">
        <v>194500</v>
      </c>
      <c r="T232" s="49">
        <v>198300</v>
      </c>
      <c r="U232" s="49">
        <v>15956260</v>
      </c>
      <c r="V232" s="49">
        <f t="shared" si="60"/>
        <v>52.677042589668197</v>
      </c>
      <c r="W232" s="49">
        <f t="shared" si="66"/>
        <v>52.677042589668197</v>
      </c>
      <c r="X232" s="82">
        <f t="shared" si="61"/>
        <v>0</v>
      </c>
      <c r="Y232" s="82">
        <f t="shared" si="62"/>
        <v>318400239334251.19</v>
      </c>
      <c r="Z232" s="81">
        <f t="shared" si="67"/>
        <v>332320387026485.5</v>
      </c>
      <c r="AA232" s="80">
        <f t="shared" si="51"/>
        <v>1043.7190239597187</v>
      </c>
      <c r="AB232" s="52">
        <f t="shared" si="63"/>
        <v>2.4265884592477315E-2</v>
      </c>
      <c r="AC232" s="48">
        <f t="shared" si="52"/>
        <v>1.1111111111111112E-2</v>
      </c>
      <c r="AD232" s="48">
        <f t="shared" si="53"/>
        <v>4.2462845010615709E-2</v>
      </c>
      <c r="AE232" s="48">
        <f t="shared" si="54"/>
        <v>1.9537275064267352E-2</v>
      </c>
      <c r="AF232" s="48" t="e">
        <f>(#REF!-#REF!)/#REF!</f>
        <v>#REF!</v>
      </c>
    </row>
    <row r="233" spans="1:32" x14ac:dyDescent="0.3">
      <c r="A233" s="48">
        <v>20181210</v>
      </c>
      <c r="B233" s="48" t="s">
        <v>88</v>
      </c>
      <c r="C233" s="79">
        <v>0.2</v>
      </c>
      <c r="D233" s="79">
        <f t="shared" si="55"/>
        <v>0.20802291705805798</v>
      </c>
      <c r="E233" s="49">
        <v>40950</v>
      </c>
      <c r="F233" s="49">
        <v>40200</v>
      </c>
      <c r="G233" s="49">
        <v>6419324700</v>
      </c>
      <c r="H233" s="49">
        <f t="shared" si="56"/>
        <v>0.26451284996816199</v>
      </c>
      <c r="I233" s="49">
        <f t="shared" si="64"/>
        <v>0.26451284996816199</v>
      </c>
      <c r="J233" s="48">
        <v>0.3</v>
      </c>
      <c r="K233" s="48">
        <f t="shared" si="57"/>
        <v>0.29170790900260923</v>
      </c>
      <c r="L233" s="48">
        <v>245500</v>
      </c>
      <c r="M233" s="48">
        <v>244500</v>
      </c>
      <c r="N233" s="51">
        <v>125456133</v>
      </c>
      <c r="O233" s="48">
        <f t="shared" si="58"/>
        <v>3.1205305104364398</v>
      </c>
      <c r="P233" s="48">
        <f t="shared" si="65"/>
        <v>3.1205305104364398</v>
      </c>
      <c r="Q233" s="49">
        <v>0.5</v>
      </c>
      <c r="R233" s="49">
        <f t="shared" si="59"/>
        <v>0.50026917393933279</v>
      </c>
      <c r="S233" s="49">
        <v>198300</v>
      </c>
      <c r="T233" s="49">
        <v>195300</v>
      </c>
      <c r="U233" s="49">
        <v>15956260</v>
      </c>
      <c r="V233" s="49">
        <f t="shared" si="60"/>
        <v>52.677042589668197</v>
      </c>
      <c r="W233" s="49">
        <f t="shared" si="66"/>
        <v>52.677042589668197</v>
      </c>
      <c r="X233" s="82">
        <f t="shared" si="61"/>
        <v>0</v>
      </c>
      <c r="Y233" s="82">
        <f t="shared" si="62"/>
        <v>318400239334251.19</v>
      </c>
      <c r="Z233" s="81">
        <f t="shared" si="67"/>
        <v>328133816169511.19</v>
      </c>
      <c r="AA233" s="80">
        <f t="shared" si="51"/>
        <v>1030.5702560262268</v>
      </c>
      <c r="AB233" s="52">
        <f t="shared" si="63"/>
        <v>-1.2597995851035975E-2</v>
      </c>
      <c r="AC233" s="48">
        <f t="shared" si="52"/>
        <v>-1.8315018315018316E-2</v>
      </c>
      <c r="AD233" s="48">
        <f t="shared" si="53"/>
        <v>-4.0733197556008143E-3</v>
      </c>
      <c r="AE233" s="48">
        <f t="shared" si="54"/>
        <v>-1.5128593040847202E-2</v>
      </c>
      <c r="AF233" s="48" t="e">
        <f>(#REF!-#REF!)/#REF!</f>
        <v>#REF!</v>
      </c>
    </row>
    <row r="234" spans="1:32" x14ac:dyDescent="0.3">
      <c r="A234" s="48">
        <v>20181211</v>
      </c>
      <c r="B234" s="48" t="s">
        <v>88</v>
      </c>
      <c r="C234" s="79">
        <v>0.2</v>
      </c>
      <c r="D234" s="79">
        <f t="shared" si="55"/>
        <v>0.21443939851918564</v>
      </c>
      <c r="E234" s="49">
        <v>40200</v>
      </c>
      <c r="F234" s="49">
        <v>40250</v>
      </c>
      <c r="G234" s="49">
        <v>6419324700</v>
      </c>
      <c r="H234" s="49">
        <f t="shared" si="56"/>
        <v>0.26451284996816199</v>
      </c>
      <c r="I234" s="49">
        <f t="shared" si="64"/>
        <v>0.26451284996816199</v>
      </c>
      <c r="J234" s="48">
        <v>0.3</v>
      </c>
      <c r="K234" s="48">
        <f t="shared" si="57"/>
        <v>0.27023748364350436</v>
      </c>
      <c r="L234" s="48">
        <v>244500</v>
      </c>
      <c r="M234" s="48">
        <v>220000</v>
      </c>
      <c r="N234" s="51">
        <v>125456133</v>
      </c>
      <c r="O234" s="48">
        <f t="shared" si="58"/>
        <v>3.1205305104364398</v>
      </c>
      <c r="P234" s="48">
        <f t="shared" si="65"/>
        <v>3.1205305104364398</v>
      </c>
      <c r="Q234" s="49">
        <v>0.5</v>
      </c>
      <c r="R234" s="49">
        <f t="shared" si="59"/>
        <v>0.51532311783731011</v>
      </c>
      <c r="S234" s="49">
        <v>195300</v>
      </c>
      <c r="T234" s="49">
        <v>195400</v>
      </c>
      <c r="U234" s="49">
        <v>15956260</v>
      </c>
      <c r="V234" s="49">
        <f t="shared" si="60"/>
        <v>52.677042589668197</v>
      </c>
      <c r="W234" s="49">
        <f t="shared" si="66"/>
        <v>52.677042589668197</v>
      </c>
      <c r="X234" s="82">
        <f t="shared" si="61"/>
        <v>0</v>
      </c>
      <c r="Y234" s="82">
        <f t="shared" si="62"/>
        <v>318400239334251.19</v>
      </c>
      <c r="Z234" s="81">
        <f t="shared" si="67"/>
        <v>318711271298510.87</v>
      </c>
      <c r="AA234" s="80">
        <f t="shared" si="51"/>
        <v>1000.9768584499496</v>
      </c>
      <c r="AB234" s="52">
        <f t="shared" si="63"/>
        <v>-2.8715555686990524E-2</v>
      </c>
      <c r="AC234" s="48">
        <f t="shared" si="52"/>
        <v>1.2437810945273632E-3</v>
      </c>
      <c r="AD234" s="48">
        <f t="shared" si="53"/>
        <v>-0.10020449897750511</v>
      </c>
      <c r="AE234" s="48">
        <f t="shared" si="54"/>
        <v>5.1203277009728623E-4</v>
      </c>
      <c r="AF234" s="48" t="e">
        <f>(#REF!-#REF!)/#REF!</f>
        <v>#REF!</v>
      </c>
    </row>
    <row r="235" spans="1:32" s="47" customFormat="1" x14ac:dyDescent="0.3">
      <c r="A235" s="65">
        <v>20181212</v>
      </c>
      <c r="B235" s="48" t="s">
        <v>88</v>
      </c>
      <c r="C235" s="79">
        <v>0.2</v>
      </c>
      <c r="D235" s="79">
        <f t="shared" si="55"/>
        <v>0.20941247765562257</v>
      </c>
      <c r="E235" s="49">
        <v>40250</v>
      </c>
      <c r="F235" s="49">
        <v>40450</v>
      </c>
      <c r="G235" s="49">
        <v>5969782550</v>
      </c>
      <c r="H235" s="49">
        <f t="shared" si="56"/>
        <v>0.26451284996816199</v>
      </c>
      <c r="I235" s="49">
        <f t="shared" si="64"/>
        <v>0.24185362409514299</v>
      </c>
      <c r="J235" s="48">
        <v>0.3</v>
      </c>
      <c r="K235" s="48">
        <f t="shared" si="57"/>
        <v>0.27035627079011471</v>
      </c>
      <c r="L235" s="48">
        <v>220000</v>
      </c>
      <c r="M235" s="48">
        <v>226500</v>
      </c>
      <c r="N235" s="51">
        <v>125456133</v>
      </c>
      <c r="O235" s="48">
        <f t="shared" si="58"/>
        <v>3.1205305104364398</v>
      </c>
      <c r="P235" s="48">
        <f t="shared" si="65"/>
        <v>2.6534042873163202</v>
      </c>
      <c r="Q235" s="49">
        <v>0.5</v>
      </c>
      <c r="R235" s="49">
        <f t="shared" si="59"/>
        <v>0.52023125155426275</v>
      </c>
      <c r="S235" s="49">
        <v>195400</v>
      </c>
      <c r="T235" s="49">
        <v>203000</v>
      </c>
      <c r="U235" s="49">
        <v>15956260</v>
      </c>
      <c r="V235" s="49">
        <f t="shared" si="60"/>
        <v>52.677042589668197</v>
      </c>
      <c r="W235" s="49">
        <f t="shared" si="66"/>
        <v>44.791579567354198</v>
      </c>
      <c r="X235" s="82">
        <f t="shared" si="61"/>
        <v>1</v>
      </c>
      <c r="Y235" s="82">
        <f t="shared" si="62"/>
        <v>270737477908487.19</v>
      </c>
      <c r="Z235" s="81">
        <f t="shared" si="67"/>
        <v>278886237057419.97</v>
      </c>
      <c r="AA235" s="80">
        <f t="shared" si="51"/>
        <v>1030.0983787390055</v>
      </c>
      <c r="AB235" s="52">
        <f t="shared" si="63"/>
        <v>2.9093100448047957E-2</v>
      </c>
      <c r="AC235" s="48">
        <f t="shared" si="52"/>
        <v>4.9689440993788822E-3</v>
      </c>
      <c r="AD235" s="48">
        <f t="shared" si="53"/>
        <v>2.9545454545454545E-2</v>
      </c>
      <c r="AE235" s="48">
        <f t="shared" si="54"/>
        <v>3.8894575230296824E-2</v>
      </c>
      <c r="AF235" s="48" t="e">
        <f>(#REF!-#REF!)/#REF!</f>
        <v>#REF!</v>
      </c>
    </row>
    <row r="236" spans="1:32" x14ac:dyDescent="0.3">
      <c r="A236" s="48">
        <v>20181213</v>
      </c>
      <c r="B236" s="48" t="s">
        <v>88</v>
      </c>
      <c r="C236" s="79">
        <v>0.2</v>
      </c>
      <c r="D236" s="79">
        <f t="shared" si="55"/>
        <v>0.20836486161143492</v>
      </c>
      <c r="E236" s="49">
        <v>40450</v>
      </c>
      <c r="F236" s="49">
        <v>40000</v>
      </c>
      <c r="G236" s="49">
        <v>5969782550</v>
      </c>
      <c r="H236" s="49">
        <f t="shared" si="56"/>
        <v>0.24185362409514299</v>
      </c>
      <c r="I236" s="49">
        <f t="shared" si="64"/>
        <v>0.24185362409514299</v>
      </c>
      <c r="J236" s="48">
        <v>0.3</v>
      </c>
      <c r="K236" s="48">
        <f t="shared" si="57"/>
        <v>0.26122092537883584</v>
      </c>
      <c r="L236" s="48">
        <v>226500</v>
      </c>
      <c r="M236" s="48">
        <v>217500</v>
      </c>
      <c r="N236" s="51">
        <v>125456133</v>
      </c>
      <c r="O236" s="48">
        <f t="shared" si="58"/>
        <v>2.6534042873163202</v>
      </c>
      <c r="P236" s="48">
        <f t="shared" si="65"/>
        <v>2.6534042873163202</v>
      </c>
      <c r="Q236" s="49">
        <v>0.5</v>
      </c>
      <c r="R236" s="49">
        <f t="shared" si="59"/>
        <v>0.53041421300972924</v>
      </c>
      <c r="S236" s="49">
        <v>203000</v>
      </c>
      <c r="T236" s="49">
        <v>205700</v>
      </c>
      <c r="U236" s="49">
        <v>15956260</v>
      </c>
      <c r="V236" s="49">
        <f t="shared" si="60"/>
        <v>44.791579567354198</v>
      </c>
      <c r="W236" s="49">
        <f t="shared" si="66"/>
        <v>44.791579567354198</v>
      </c>
      <c r="X236" s="82">
        <f t="shared" si="61"/>
        <v>0</v>
      </c>
      <c r="Y236" s="82">
        <f t="shared" si="62"/>
        <v>270737477908487.19</v>
      </c>
      <c r="Z236" s="81">
        <f t="shared" si="67"/>
        <v>277170254833065.12</v>
      </c>
      <c r="AA236" s="80">
        <f t="shared" si="51"/>
        <v>1023.7602011153857</v>
      </c>
      <c r="AB236" s="52">
        <f t="shared" si="63"/>
        <v>-6.1529828164361127E-3</v>
      </c>
      <c r="AC236" s="48">
        <f t="shared" si="52"/>
        <v>-1.1124845488257108E-2</v>
      </c>
      <c r="AD236" s="48">
        <f t="shared" si="53"/>
        <v>-3.9735099337748346E-2</v>
      </c>
      <c r="AE236" s="48">
        <f t="shared" si="54"/>
        <v>1.3300492610837438E-2</v>
      </c>
      <c r="AF236" s="48" t="e">
        <f>(#REF!-#REF!)/#REF!</f>
        <v>#REF!</v>
      </c>
    </row>
    <row r="237" spans="1:32" x14ac:dyDescent="0.3">
      <c r="A237" s="48">
        <v>20181214</v>
      </c>
      <c r="B237" s="48" t="s">
        <v>88</v>
      </c>
      <c r="C237" s="79">
        <v>0.2</v>
      </c>
      <c r="D237" s="79">
        <f t="shared" si="55"/>
        <v>0.20973442456846689</v>
      </c>
      <c r="E237" s="49">
        <v>40000</v>
      </c>
      <c r="F237" s="49">
        <v>38950</v>
      </c>
      <c r="G237" s="49">
        <v>5969782550</v>
      </c>
      <c r="H237" s="49">
        <f t="shared" si="56"/>
        <v>0.24185362409514299</v>
      </c>
      <c r="I237" s="49">
        <f t="shared" si="64"/>
        <v>0.24185362409514299</v>
      </c>
      <c r="J237" s="48">
        <v>0.3</v>
      </c>
      <c r="K237" s="48">
        <f t="shared" si="57"/>
        <v>0.25823184818191736</v>
      </c>
      <c r="L237" s="48">
        <v>217500</v>
      </c>
      <c r="M237" s="48">
        <v>208000</v>
      </c>
      <c r="N237" s="51">
        <v>125456133</v>
      </c>
      <c r="O237" s="48">
        <f t="shared" si="58"/>
        <v>2.6534042873163202</v>
      </c>
      <c r="P237" s="48">
        <f t="shared" si="65"/>
        <v>2.6534042873163202</v>
      </c>
      <c r="Q237" s="49">
        <v>0.5</v>
      </c>
      <c r="R237" s="49">
        <f t="shared" si="59"/>
        <v>0.53203372724961562</v>
      </c>
      <c r="S237" s="49">
        <v>205700</v>
      </c>
      <c r="T237" s="49">
        <v>199600</v>
      </c>
      <c r="U237" s="49">
        <v>15956260</v>
      </c>
      <c r="V237" s="49">
        <f t="shared" si="60"/>
        <v>44.791579567354198</v>
      </c>
      <c r="W237" s="49">
        <f t="shared" si="66"/>
        <v>44.791579567354198</v>
      </c>
      <c r="X237" s="82">
        <f t="shared" si="61"/>
        <v>0</v>
      </c>
      <c r="Y237" s="82">
        <f t="shared" si="62"/>
        <v>270737477908487.19</v>
      </c>
      <c r="Z237" s="81">
        <f t="shared" si="67"/>
        <v>268132127974648.62</v>
      </c>
      <c r="AA237" s="80">
        <f t="shared" si="51"/>
        <v>990.37684049520772</v>
      </c>
      <c r="AB237" s="52">
        <f t="shared" si="63"/>
        <v>-3.2608574335871679E-2</v>
      </c>
      <c r="AC237" s="48">
        <f t="shared" si="52"/>
        <v>-2.6249999999999999E-2</v>
      </c>
      <c r="AD237" s="48">
        <f t="shared" si="53"/>
        <v>-4.3678160919540229E-2</v>
      </c>
      <c r="AE237" s="48">
        <f t="shared" si="54"/>
        <v>-2.9654837141468156E-2</v>
      </c>
      <c r="AF237" s="48" t="e">
        <f>(#REF!-#REF!)/#REF!</f>
        <v>#REF!</v>
      </c>
    </row>
    <row r="238" spans="1:32" x14ac:dyDescent="0.3">
      <c r="A238" s="48">
        <v>20181217</v>
      </c>
      <c r="B238" s="48" t="s">
        <v>88</v>
      </c>
      <c r="C238" s="79">
        <v>0.2</v>
      </c>
      <c r="D238" s="79">
        <f t="shared" si="55"/>
        <v>0.20758469355562986</v>
      </c>
      <c r="E238" s="49">
        <v>38950</v>
      </c>
      <c r="F238" s="49">
        <v>39150</v>
      </c>
      <c r="G238" s="49">
        <v>5969782550</v>
      </c>
      <c r="H238" s="49">
        <f t="shared" si="56"/>
        <v>0.24185362409514299</v>
      </c>
      <c r="I238" s="49">
        <f t="shared" si="64"/>
        <v>0.24185362409514299</v>
      </c>
      <c r="J238" s="48">
        <v>0.3</v>
      </c>
      <c r="K238" s="48">
        <f t="shared" si="57"/>
        <v>0.26222558872065771</v>
      </c>
      <c r="L238" s="48">
        <v>208000</v>
      </c>
      <c r="M238" s="48">
        <v>214500</v>
      </c>
      <c r="N238" s="51">
        <v>125456133</v>
      </c>
      <c r="O238" s="48">
        <f t="shared" si="58"/>
        <v>2.6534042873163202</v>
      </c>
      <c r="P238" s="48">
        <f t="shared" si="65"/>
        <v>2.6534042873163202</v>
      </c>
      <c r="Q238" s="49">
        <v>0.5</v>
      </c>
      <c r="R238" s="49">
        <f t="shared" si="59"/>
        <v>0.53018971772371237</v>
      </c>
      <c r="S238" s="49">
        <v>199600</v>
      </c>
      <c r="T238" s="49">
        <v>202000</v>
      </c>
      <c r="U238" s="49">
        <v>15956260</v>
      </c>
      <c r="V238" s="49">
        <f t="shared" si="60"/>
        <v>44.791579567354198</v>
      </c>
      <c r="W238" s="49">
        <f t="shared" si="66"/>
        <v>44.791579567354198</v>
      </c>
      <c r="X238" s="82">
        <f t="shared" si="61"/>
        <v>0</v>
      </c>
      <c r="Y238" s="82">
        <f t="shared" si="62"/>
        <v>270737477908487.19</v>
      </c>
      <c r="Z238" s="81">
        <f t="shared" si="67"/>
        <v>272299943265753.97</v>
      </c>
      <c r="AA238" s="80">
        <f t="shared" si="51"/>
        <v>1005.7711454259572</v>
      </c>
      <c r="AB238" s="52">
        <f t="shared" si="63"/>
        <v>1.5543886227238573E-2</v>
      </c>
      <c r="AC238" s="48">
        <f t="shared" si="52"/>
        <v>5.1347881899871627E-3</v>
      </c>
      <c r="AD238" s="48">
        <f t="shared" si="53"/>
        <v>3.125E-2</v>
      </c>
      <c r="AE238" s="48">
        <f t="shared" si="54"/>
        <v>1.2024048096192385E-2</v>
      </c>
      <c r="AF238" s="48" t="e">
        <f>(#REF!-#REF!)/#REF!</f>
        <v>#REF!</v>
      </c>
    </row>
    <row r="239" spans="1:32" x14ac:dyDescent="0.3">
      <c r="A239" s="48">
        <v>20181218</v>
      </c>
      <c r="B239" s="48" t="s">
        <v>88</v>
      </c>
      <c r="C239" s="79">
        <v>0.2</v>
      </c>
      <c r="D239" s="79">
        <f t="shared" si="55"/>
        <v>0.19876842624412591</v>
      </c>
      <c r="E239" s="49">
        <v>39150</v>
      </c>
      <c r="F239" s="49">
        <v>38900</v>
      </c>
      <c r="G239" s="49">
        <v>5969782550</v>
      </c>
      <c r="H239" s="49">
        <f t="shared" si="56"/>
        <v>0.24185362409514299</v>
      </c>
      <c r="I239" s="49">
        <f t="shared" si="64"/>
        <v>0.24185362409514299</v>
      </c>
      <c r="J239" s="48">
        <v>0.3</v>
      </c>
      <c r="K239" s="48">
        <f t="shared" si="57"/>
        <v>0.2574147632272612</v>
      </c>
      <c r="L239" s="48">
        <v>214500</v>
      </c>
      <c r="M239" s="48">
        <v>218500</v>
      </c>
      <c r="N239" s="51">
        <v>125456133</v>
      </c>
      <c r="O239" s="48">
        <f t="shared" si="58"/>
        <v>2.6534042873163202</v>
      </c>
      <c r="P239" s="48">
        <f t="shared" si="65"/>
        <v>2.6534042873163202</v>
      </c>
      <c r="Q239" s="49">
        <v>0.5</v>
      </c>
      <c r="R239" s="49">
        <f t="shared" si="59"/>
        <v>0.54381681052861286</v>
      </c>
      <c r="S239" s="49">
        <v>202000</v>
      </c>
      <c r="T239" s="49">
        <v>215000</v>
      </c>
      <c r="U239" s="49">
        <v>15956260</v>
      </c>
      <c r="V239" s="49">
        <f t="shared" si="60"/>
        <v>44.791579567354198</v>
      </c>
      <c r="W239" s="49">
        <f t="shared" si="66"/>
        <v>44.791579567354198</v>
      </c>
      <c r="X239" s="82">
        <f t="shared" si="61"/>
        <v>0</v>
      </c>
      <c r="Y239" s="82">
        <f t="shared" si="62"/>
        <v>270737477908487.19</v>
      </c>
      <c r="Z239" s="81">
        <f t="shared" si="67"/>
        <v>282561712406285</v>
      </c>
      <c r="AA239" s="80">
        <f t="shared" si="51"/>
        <v>1043.6741694912093</v>
      </c>
      <c r="AB239" s="52">
        <f t="shared" si="63"/>
        <v>3.7685535360233155E-2</v>
      </c>
      <c r="AC239" s="48">
        <f t="shared" si="52"/>
        <v>-6.3856960408684551E-3</v>
      </c>
      <c r="AD239" s="48">
        <f t="shared" si="53"/>
        <v>1.8648018648018648E-2</v>
      </c>
      <c r="AE239" s="48">
        <f t="shared" si="54"/>
        <v>6.4356435643564358E-2</v>
      </c>
      <c r="AF239" s="48" t="e">
        <f>(#REF!-#REF!)/#REF!</f>
        <v>#REF!</v>
      </c>
    </row>
    <row r="240" spans="1:32" x14ac:dyDescent="0.3">
      <c r="A240" s="48">
        <v>20181219</v>
      </c>
      <c r="B240" s="48" t="s">
        <v>88</v>
      </c>
      <c r="C240" s="79">
        <v>0.2</v>
      </c>
      <c r="D240" s="79">
        <f t="shared" si="55"/>
        <v>0.19711578861526546</v>
      </c>
      <c r="E240" s="49">
        <v>38900</v>
      </c>
      <c r="F240" s="49">
        <v>39100</v>
      </c>
      <c r="G240" s="49">
        <v>5969782550</v>
      </c>
      <c r="H240" s="49">
        <f t="shared" si="56"/>
        <v>0.24185362409514299</v>
      </c>
      <c r="I240" s="49">
        <f t="shared" si="64"/>
        <v>0.24185362409514299</v>
      </c>
      <c r="J240" s="48">
        <v>0.3</v>
      </c>
      <c r="K240" s="48">
        <f t="shared" si="57"/>
        <v>0.26210506436279463</v>
      </c>
      <c r="L240" s="48">
        <v>218500</v>
      </c>
      <c r="M240" s="48">
        <v>225500</v>
      </c>
      <c r="N240" s="51">
        <v>125456133</v>
      </c>
      <c r="O240" s="48">
        <f t="shared" si="58"/>
        <v>2.6534042873163202</v>
      </c>
      <c r="P240" s="48">
        <f t="shared" si="65"/>
        <v>2.6534042873163202</v>
      </c>
      <c r="Q240" s="49">
        <v>0.5</v>
      </c>
      <c r="R240" s="49">
        <f t="shared" si="59"/>
        <v>0.54077914702193985</v>
      </c>
      <c r="S240" s="49">
        <v>215000</v>
      </c>
      <c r="T240" s="49">
        <v>216700</v>
      </c>
      <c r="U240" s="49">
        <v>15956260</v>
      </c>
      <c r="V240" s="49">
        <f t="shared" si="60"/>
        <v>44.791579567354198</v>
      </c>
      <c r="W240" s="49">
        <f t="shared" si="66"/>
        <v>44.791579567354198</v>
      </c>
      <c r="X240" s="82">
        <f t="shared" si="61"/>
        <v>0</v>
      </c>
      <c r="Y240" s="82">
        <f t="shared" si="62"/>
        <v>270737477908487.19</v>
      </c>
      <c r="Z240" s="81">
        <f t="shared" si="67"/>
        <v>286395676355405.37</v>
      </c>
      <c r="AA240" s="80">
        <f t="shared" si="51"/>
        <v>1057.8353561091044</v>
      </c>
      <c r="AB240" s="52">
        <f t="shared" si="63"/>
        <v>1.356858973025904E-2</v>
      </c>
      <c r="AC240" s="48">
        <f t="shared" si="52"/>
        <v>5.1413881748071976E-3</v>
      </c>
      <c r="AD240" s="48">
        <f t="shared" si="53"/>
        <v>3.2036613272311214E-2</v>
      </c>
      <c r="AE240" s="48">
        <f t="shared" si="54"/>
        <v>7.9069767441860457E-3</v>
      </c>
      <c r="AF240" s="48" t="e">
        <f>(#REF!-#REF!)/#REF!</f>
        <v>#REF!</v>
      </c>
    </row>
    <row r="241" spans="1:32" x14ac:dyDescent="0.3">
      <c r="A241" s="48">
        <v>20181220</v>
      </c>
      <c r="B241" s="48" t="s">
        <v>88</v>
      </c>
      <c r="C241" s="79">
        <v>0.2</v>
      </c>
      <c r="D241" s="79">
        <f t="shared" si="55"/>
        <v>0.19188204585795451</v>
      </c>
      <c r="E241" s="49">
        <v>39100</v>
      </c>
      <c r="F241" s="49">
        <v>38650</v>
      </c>
      <c r="G241" s="49">
        <v>5969782550</v>
      </c>
      <c r="H241" s="49">
        <f t="shared" si="56"/>
        <v>0.24185362409514299</v>
      </c>
      <c r="I241" s="49">
        <f t="shared" si="64"/>
        <v>0.24185362409514299</v>
      </c>
      <c r="J241" s="48">
        <v>0.3</v>
      </c>
      <c r="K241" s="48">
        <f t="shared" si="57"/>
        <v>0.25639943987638014</v>
      </c>
      <c r="L241" s="48">
        <v>225500</v>
      </c>
      <c r="M241" s="48">
        <v>224000</v>
      </c>
      <c r="N241" s="51">
        <v>125456133</v>
      </c>
      <c r="O241" s="48">
        <f t="shared" si="58"/>
        <v>2.6534042873163202</v>
      </c>
      <c r="P241" s="48">
        <f t="shared" si="65"/>
        <v>2.6534042873163202</v>
      </c>
      <c r="Q241" s="49">
        <v>0.5</v>
      </c>
      <c r="R241" s="49">
        <f t="shared" si="59"/>
        <v>0.55171851426566543</v>
      </c>
      <c r="S241" s="49">
        <v>216700</v>
      </c>
      <c r="T241" s="49">
        <v>224500</v>
      </c>
      <c r="U241" s="49">
        <v>15956260</v>
      </c>
      <c r="V241" s="49">
        <f t="shared" si="60"/>
        <v>44.791579567354198</v>
      </c>
      <c r="W241" s="49">
        <f t="shared" si="66"/>
        <v>44.791579567354198</v>
      </c>
      <c r="X241" s="82">
        <f t="shared" si="61"/>
        <v>0</v>
      </c>
      <c r="Y241" s="82">
        <f t="shared" si="62"/>
        <v>270737477908487.19</v>
      </c>
      <c r="Z241" s="81">
        <f t="shared" si="67"/>
        <v>290821338995718.62</v>
      </c>
      <c r="AA241" s="80">
        <f t="shared" si="51"/>
        <v>1074.1820498675845</v>
      </c>
      <c r="AB241" s="52">
        <f t="shared" si="63"/>
        <v>1.5452965968736375E-2</v>
      </c>
      <c r="AC241" s="48">
        <f t="shared" si="52"/>
        <v>-1.1508951406649617E-2</v>
      </c>
      <c r="AD241" s="48">
        <f t="shared" si="53"/>
        <v>-6.6518847006651885E-3</v>
      </c>
      <c r="AE241" s="48">
        <f t="shared" si="54"/>
        <v>3.599446239040148E-2</v>
      </c>
      <c r="AF241" s="48" t="e">
        <f>(#REF!-#REF!)/#REF!</f>
        <v>#REF!</v>
      </c>
    </row>
    <row r="242" spans="1:32" x14ac:dyDescent="0.3">
      <c r="A242" s="48">
        <v>20181221</v>
      </c>
      <c r="B242" s="48" t="s">
        <v>88</v>
      </c>
      <c r="C242" s="79">
        <v>0.2</v>
      </c>
      <c r="D242" s="79">
        <f t="shared" si="55"/>
        <v>0.19097299457153277</v>
      </c>
      <c r="E242" s="49">
        <v>38650</v>
      </c>
      <c r="F242" s="49">
        <v>38650</v>
      </c>
      <c r="G242" s="49">
        <v>5969782550</v>
      </c>
      <c r="H242" s="49">
        <f t="shared" si="56"/>
        <v>0.24185362409514299</v>
      </c>
      <c r="I242" s="49">
        <f t="shared" si="64"/>
        <v>0.24185362409514299</v>
      </c>
      <c r="J242" s="48">
        <v>0.3</v>
      </c>
      <c r="K242" s="48">
        <f t="shared" si="57"/>
        <v>0.2506278637910403</v>
      </c>
      <c r="L242" s="48">
        <v>224000</v>
      </c>
      <c r="M242" s="48">
        <v>220000</v>
      </c>
      <c r="N242" s="51">
        <v>125456133</v>
      </c>
      <c r="O242" s="48">
        <f t="shared" si="58"/>
        <v>2.6534042873163202</v>
      </c>
      <c r="P242" s="48">
        <f t="shared" si="65"/>
        <v>2.6534042873163202</v>
      </c>
      <c r="Q242" s="49">
        <v>0.5</v>
      </c>
      <c r="R242" s="49">
        <f t="shared" si="59"/>
        <v>0.55839914163742688</v>
      </c>
      <c r="S242" s="49">
        <v>224500</v>
      </c>
      <c r="T242" s="49">
        <v>228300</v>
      </c>
      <c r="U242" s="49">
        <v>15956260</v>
      </c>
      <c r="V242" s="49">
        <f t="shared" si="60"/>
        <v>44.791579567354198</v>
      </c>
      <c r="W242" s="49">
        <f t="shared" si="66"/>
        <v>44.791579567354198</v>
      </c>
      <c r="X242" s="82">
        <f t="shared" si="61"/>
        <v>0</v>
      </c>
      <c r="Y242" s="82">
        <f t="shared" si="62"/>
        <v>270737477908487.19</v>
      </c>
      <c r="Z242" s="81">
        <f t="shared" si="67"/>
        <v>292205678770701.44</v>
      </c>
      <c r="AA242" s="80">
        <f t="shared" si="51"/>
        <v>1079.2952679771613</v>
      </c>
      <c r="AB242" s="52">
        <f t="shared" si="63"/>
        <v>4.760103848511622E-3</v>
      </c>
      <c r="AC242" s="48">
        <f t="shared" si="52"/>
        <v>0</v>
      </c>
      <c r="AD242" s="48">
        <f t="shared" si="53"/>
        <v>-1.7857142857142856E-2</v>
      </c>
      <c r="AE242" s="48">
        <f t="shared" si="54"/>
        <v>1.6926503340757237E-2</v>
      </c>
      <c r="AF242" s="48" t="e">
        <f>(#REF!-#REF!)/#REF!</f>
        <v>#REF!</v>
      </c>
    </row>
    <row r="243" spans="1:32" x14ac:dyDescent="0.3">
      <c r="A243" s="48">
        <v>20181224</v>
      </c>
      <c r="B243" s="48" t="s">
        <v>88</v>
      </c>
      <c r="C243" s="79">
        <v>0.2</v>
      </c>
      <c r="D243" s="79">
        <f t="shared" si="55"/>
        <v>0.19433883270681826</v>
      </c>
      <c r="E243" s="49">
        <v>38650</v>
      </c>
      <c r="F243" s="49">
        <v>38800</v>
      </c>
      <c r="G243" s="49">
        <v>5969782550</v>
      </c>
      <c r="H243" s="49">
        <f t="shared" si="56"/>
        <v>0.24185362409514299</v>
      </c>
      <c r="I243" s="49">
        <f t="shared" si="64"/>
        <v>0.24185362409514299</v>
      </c>
      <c r="J243" s="48">
        <v>0.3</v>
      </c>
      <c r="K243" s="48">
        <f t="shared" si="57"/>
        <v>0.24308836697530795</v>
      </c>
      <c r="L243" s="48">
        <v>220000</v>
      </c>
      <c r="M243" s="48">
        <v>210500</v>
      </c>
      <c r="N243" s="51">
        <v>125456133</v>
      </c>
      <c r="O243" s="48">
        <f t="shared" si="58"/>
        <v>2.6534042873163202</v>
      </c>
      <c r="P243" s="48">
        <f t="shared" si="65"/>
        <v>2.6534042873163202</v>
      </c>
      <c r="Q243" s="49">
        <v>0.5</v>
      </c>
      <c r="R243" s="49">
        <f t="shared" si="59"/>
        <v>0.56257280031787371</v>
      </c>
      <c r="S243" s="49">
        <v>228300</v>
      </c>
      <c r="T243" s="49">
        <v>226900</v>
      </c>
      <c r="U243" s="49">
        <v>15956260</v>
      </c>
      <c r="V243" s="49">
        <f t="shared" si="60"/>
        <v>44.791579567354198</v>
      </c>
      <c r="W243" s="49">
        <f t="shared" si="66"/>
        <v>44.791579567354198</v>
      </c>
      <c r="X243" s="82">
        <f t="shared" si="61"/>
        <v>0</v>
      </c>
      <c r="Y243" s="82">
        <f t="shared" si="62"/>
        <v>270737477908487.19</v>
      </c>
      <c r="Z243" s="81">
        <f t="shared" si="67"/>
        <v>288259246786138.62</v>
      </c>
      <c r="AA243" s="80">
        <f t="shared" si="51"/>
        <v>1064.7186677404673</v>
      </c>
      <c r="AB243" s="52">
        <f t="shared" si="63"/>
        <v>-1.3505664917825342E-2</v>
      </c>
      <c r="AC243" s="48">
        <f t="shared" si="52"/>
        <v>3.8809831824062097E-3</v>
      </c>
      <c r="AD243" s="48">
        <f t="shared" si="53"/>
        <v>-4.3181818181818182E-2</v>
      </c>
      <c r="AE243" s="48">
        <f t="shared" si="54"/>
        <v>-6.1322820849759093E-3</v>
      </c>
      <c r="AF243" s="48" t="e">
        <f>(#REF!-#REF!)/#REF!</f>
        <v>#REF!</v>
      </c>
    </row>
    <row r="244" spans="1:32" x14ac:dyDescent="0.3">
      <c r="A244" s="48">
        <v>20181226</v>
      </c>
      <c r="B244" s="48" t="s">
        <v>88</v>
      </c>
      <c r="C244" s="79">
        <v>0.2</v>
      </c>
      <c r="D244" s="79">
        <f t="shared" si="55"/>
        <v>0.18588966273974836</v>
      </c>
      <c r="E244" s="49">
        <v>38800</v>
      </c>
      <c r="F244" s="49">
        <v>38350</v>
      </c>
      <c r="G244" s="49">
        <v>5969782550</v>
      </c>
      <c r="H244" s="49">
        <f t="shared" si="56"/>
        <v>0.24185362409514299</v>
      </c>
      <c r="I244" s="49">
        <f t="shared" si="64"/>
        <v>0.24185362409514299</v>
      </c>
      <c r="J244" s="48">
        <v>0.3</v>
      </c>
      <c r="K244" s="48">
        <f t="shared" si="57"/>
        <v>0.25480557736866077</v>
      </c>
      <c r="L244" s="48">
        <v>210500</v>
      </c>
      <c r="M244" s="48">
        <v>228000</v>
      </c>
      <c r="N244" s="51">
        <v>125456133</v>
      </c>
      <c r="O244" s="48">
        <f t="shared" si="58"/>
        <v>2.6534042873163202</v>
      </c>
      <c r="P244" s="48">
        <f t="shared" si="65"/>
        <v>2.6534042873163202</v>
      </c>
      <c r="Q244" s="49">
        <v>0.5</v>
      </c>
      <c r="R244" s="49">
        <f t="shared" si="59"/>
        <v>0.55930475989159079</v>
      </c>
      <c r="S244" s="49">
        <v>226900</v>
      </c>
      <c r="T244" s="49">
        <v>233100</v>
      </c>
      <c r="U244" s="49">
        <v>15956260</v>
      </c>
      <c r="V244" s="49">
        <f t="shared" si="60"/>
        <v>44.791579567354198</v>
      </c>
      <c r="W244" s="49">
        <f t="shared" si="66"/>
        <v>44.791579567354198</v>
      </c>
      <c r="X244" s="82">
        <f t="shared" si="61"/>
        <v>0</v>
      </c>
      <c r="Y244" s="82">
        <f t="shared" si="62"/>
        <v>270737477908487.19</v>
      </c>
      <c r="Z244" s="81">
        <f t="shared" si="67"/>
        <v>297866210665706.31</v>
      </c>
      <c r="AA244" s="80">
        <f t="shared" si="51"/>
        <v>1100.2030932946382</v>
      </c>
      <c r="AB244" s="52">
        <f t="shared" si="63"/>
        <v>3.3327513294639156E-2</v>
      </c>
      <c r="AC244" s="48">
        <f t="shared" si="52"/>
        <v>-1.1597938144329897E-2</v>
      </c>
      <c r="AD244" s="48">
        <f t="shared" si="53"/>
        <v>8.3135391923990498E-2</v>
      </c>
      <c r="AE244" s="48">
        <f t="shared" si="54"/>
        <v>2.7324812692816218E-2</v>
      </c>
      <c r="AF244" s="48" t="e">
        <f>(#REF!-#REF!)/#REF!</f>
        <v>#REF!</v>
      </c>
    </row>
    <row r="245" spans="1:32" s="47" customFormat="1" x14ac:dyDescent="0.3">
      <c r="A245" s="48">
        <v>20181227</v>
      </c>
      <c r="B245" s="48" t="s">
        <v>88</v>
      </c>
      <c r="C245" s="79">
        <v>0.2</v>
      </c>
      <c r="D245" s="79">
        <f t="shared" si="55"/>
        <v>0.18113528381169239</v>
      </c>
      <c r="E245" s="49">
        <v>38350</v>
      </c>
      <c r="F245" s="49">
        <v>38250</v>
      </c>
      <c r="G245" s="49">
        <v>5969782550</v>
      </c>
      <c r="H245" s="49">
        <f t="shared" si="56"/>
        <v>0.24185362409514299</v>
      </c>
      <c r="I245" s="49">
        <f t="shared" si="64"/>
        <v>0.211727316315971</v>
      </c>
      <c r="J245" s="48">
        <v>0.3</v>
      </c>
      <c r="K245" s="48">
        <f t="shared" si="57"/>
        <v>0.24782637239106597</v>
      </c>
      <c r="L245" s="48">
        <v>224000</v>
      </c>
      <c r="M245" s="48">
        <v>223000</v>
      </c>
      <c r="N245" s="51">
        <v>125456133</v>
      </c>
      <c r="O245" s="48">
        <f t="shared" si="58"/>
        <v>2.6534042873163202</v>
      </c>
      <c r="P245" s="48">
        <f t="shared" si="65"/>
        <v>2.3643651450430299</v>
      </c>
      <c r="Q245" s="49">
        <v>0.5</v>
      </c>
      <c r="R245" s="49">
        <f t="shared" si="59"/>
        <v>0.57103834379724172</v>
      </c>
      <c r="S245" s="49">
        <v>233100</v>
      </c>
      <c r="T245" s="49">
        <v>243600</v>
      </c>
      <c r="U245" s="49">
        <v>15956260</v>
      </c>
      <c r="V245" s="49">
        <f t="shared" si="60"/>
        <v>44.791579567354198</v>
      </c>
      <c r="W245" s="49">
        <f t="shared" si="66"/>
        <v>39.2121514442075</v>
      </c>
      <c r="X245" s="82">
        <f t="shared" si="61"/>
        <v>1</v>
      </c>
      <c r="Y245" s="82">
        <f t="shared" si="62"/>
        <v>237013275439561.94</v>
      </c>
      <c r="Z245" s="81">
        <f t="shared" si="67"/>
        <v>266909350556405.94</v>
      </c>
      <c r="AA245" s="80">
        <f t="shared" si="51"/>
        <v>1126.1367113778715</v>
      </c>
      <c r="AB245" s="52">
        <f t="shared" si="63"/>
        <v>2.3571664396591755E-2</v>
      </c>
      <c r="AC245" s="48">
        <f t="shared" si="52"/>
        <v>-2.6075619295958278E-3</v>
      </c>
      <c r="AD245" s="48">
        <f t="shared" si="53"/>
        <v>-4.464285714285714E-3</v>
      </c>
      <c r="AE245" s="48">
        <f t="shared" si="54"/>
        <v>4.5045045045045043E-2</v>
      </c>
      <c r="AF245" s="48" t="e">
        <f>(#REF!-#REF!)/#REF!</f>
        <v>#REF!</v>
      </c>
    </row>
    <row r="246" spans="1:32" x14ac:dyDescent="0.3">
      <c r="A246" s="48">
        <v>20181228</v>
      </c>
      <c r="B246" s="48" t="s">
        <v>88</v>
      </c>
      <c r="C246" s="79">
        <v>0.2</v>
      </c>
      <c r="D246" s="79">
        <f t="shared" si="55"/>
        <v>0.17863000883765701</v>
      </c>
      <c r="E246" s="49">
        <v>38250</v>
      </c>
      <c r="F246" s="49">
        <v>38700</v>
      </c>
      <c r="G246" s="49">
        <v>5969782550</v>
      </c>
      <c r="H246" s="49">
        <f t="shared" si="56"/>
        <v>0.211727316315971</v>
      </c>
      <c r="I246" s="49">
        <f t="shared" si="64"/>
        <v>0.211727316315971</v>
      </c>
      <c r="J246" s="48">
        <v>0.3</v>
      </c>
      <c r="K246" s="48">
        <f t="shared" si="57"/>
        <v>0.24101524301305802</v>
      </c>
      <c r="L246" s="48">
        <v>223000</v>
      </c>
      <c r="M246" s="48">
        <v>222500</v>
      </c>
      <c r="N246" s="51">
        <v>125456133</v>
      </c>
      <c r="O246" s="48">
        <f t="shared" si="58"/>
        <v>2.3643651450430299</v>
      </c>
      <c r="P246" s="48">
        <f t="shared" si="65"/>
        <v>2.3643651450430299</v>
      </c>
      <c r="Q246" s="49">
        <v>0.5</v>
      </c>
      <c r="R246" s="49">
        <f t="shared" si="59"/>
        <v>0.58035474814928489</v>
      </c>
      <c r="S246" s="49">
        <v>243600</v>
      </c>
      <c r="T246" s="49">
        <v>254000</v>
      </c>
      <c r="U246" s="49">
        <v>15956260</v>
      </c>
      <c r="V246" s="49">
        <f t="shared" si="60"/>
        <v>39.2121514442075</v>
      </c>
      <c r="W246" s="49">
        <f t="shared" si="66"/>
        <v>39.2121514442075</v>
      </c>
      <c r="X246" s="82">
        <f t="shared" si="61"/>
        <v>0</v>
      </c>
      <c r="Y246" s="82">
        <f t="shared" si="62"/>
        <v>237013275439561.94</v>
      </c>
      <c r="Z246" s="81">
        <f t="shared" si="67"/>
        <v>273836887769065.81</v>
      </c>
      <c r="AA246" s="80">
        <f t="shared" si="51"/>
        <v>1155.365188980285</v>
      </c>
      <c r="AB246" s="52">
        <f t="shared" si="63"/>
        <v>2.5954644144982462E-2</v>
      </c>
      <c r="AC246" s="48">
        <f t="shared" si="52"/>
        <v>1.1764705882352941E-2</v>
      </c>
      <c r="AD246" s="48">
        <f t="shared" si="53"/>
        <v>-2.242152466367713E-3</v>
      </c>
      <c r="AE246" s="48">
        <f t="shared" si="54"/>
        <v>4.2692939244663386E-2</v>
      </c>
      <c r="AF246" s="48" t="e">
        <f>(#REF!-#REF!)/#REF!</f>
        <v>#REF!</v>
      </c>
    </row>
    <row r="247" spans="1:32" s="107" customFormat="1" x14ac:dyDescent="0.3">
      <c r="A247" s="99">
        <v>20190102</v>
      </c>
      <c r="B247" s="99" t="s">
        <v>89</v>
      </c>
      <c r="C247" s="100">
        <v>0.25</v>
      </c>
      <c r="D247" s="100">
        <f t="shared" si="55"/>
        <v>0.2495381358491898</v>
      </c>
      <c r="E247" s="99">
        <v>38700</v>
      </c>
      <c r="F247" s="99">
        <v>38750</v>
      </c>
      <c r="G247" s="99">
        <v>5969782550</v>
      </c>
      <c r="H247" s="99">
        <f t="shared" si="56"/>
        <v>0.211727316315971</v>
      </c>
      <c r="I247" s="101">
        <f t="shared" si="64"/>
        <v>0.284591610106607</v>
      </c>
      <c r="J247" s="101">
        <v>0.25</v>
      </c>
      <c r="K247" s="101">
        <f t="shared" si="57"/>
        <v>0.24025557044198612</v>
      </c>
      <c r="L247" s="99">
        <v>222500</v>
      </c>
      <c r="M247" s="99">
        <v>214500</v>
      </c>
      <c r="N247" s="102">
        <v>125456133</v>
      </c>
      <c r="O247" s="99">
        <f t="shared" si="58"/>
        <v>2.3643651450430299</v>
      </c>
      <c r="P247" s="101">
        <f t="shared" si="65"/>
        <v>2.35542704712624</v>
      </c>
      <c r="Q247" s="101">
        <v>0.5</v>
      </c>
      <c r="R247" s="101">
        <f t="shared" si="59"/>
        <v>0.51020629370882409</v>
      </c>
      <c r="S247" s="99">
        <v>254000</v>
      </c>
      <c r="T247" s="99">
        <v>260000</v>
      </c>
      <c r="U247" s="99">
        <v>15956260</v>
      </c>
      <c r="V247" s="99">
        <f t="shared" si="60"/>
        <v>39.2121514442075</v>
      </c>
      <c r="W247" s="101">
        <f t="shared" si="66"/>
        <v>32.445669845696102</v>
      </c>
      <c r="X247" s="103">
        <f t="shared" si="61"/>
        <v>0</v>
      </c>
      <c r="Y247" s="103">
        <f t="shared" si="62"/>
        <v>227631459581726.81</v>
      </c>
      <c r="Z247" s="104">
        <f t="shared" si="67"/>
        <v>263824658931318.44</v>
      </c>
      <c r="AA247" s="105">
        <f t="shared" si="51"/>
        <v>1158.9991094205375</v>
      </c>
      <c r="AB247" s="106">
        <f t="shared" si="63"/>
        <v>3.1452569931241926E-3</v>
      </c>
      <c r="AC247" s="99">
        <f t="shared" si="52"/>
        <v>1.2919896640826874E-3</v>
      </c>
      <c r="AD247" s="99">
        <f t="shared" si="53"/>
        <v>-3.5955056179775284E-2</v>
      </c>
      <c r="AE247" s="99">
        <f t="shared" si="54"/>
        <v>2.3622047244094488E-2</v>
      </c>
      <c r="AF247" s="99" t="e">
        <f>(#REF!-#REF!)/#REF!</f>
        <v>#REF!</v>
      </c>
    </row>
    <row r="248" spans="1:32" x14ac:dyDescent="0.3">
      <c r="A248" s="48">
        <v>20190103</v>
      </c>
      <c r="B248" s="48" t="s">
        <v>88</v>
      </c>
      <c r="C248" s="79">
        <v>0.25</v>
      </c>
      <c r="D248" s="79">
        <f t="shared" si="55"/>
        <v>0.2503144296992677</v>
      </c>
      <c r="E248" s="49">
        <v>38750</v>
      </c>
      <c r="F248" s="49">
        <v>37600</v>
      </c>
      <c r="G248" s="49">
        <v>5969782550</v>
      </c>
      <c r="H248" s="49">
        <f t="shared" si="56"/>
        <v>0.284591610106607</v>
      </c>
      <c r="I248" s="49">
        <f t="shared" si="64"/>
        <v>0.284591610106607</v>
      </c>
      <c r="J248" s="48">
        <v>0.25</v>
      </c>
      <c r="K248" s="48">
        <f t="shared" si="57"/>
        <v>0.24374240430081598</v>
      </c>
      <c r="L248" s="48">
        <v>214500</v>
      </c>
      <c r="M248" s="48">
        <v>210500</v>
      </c>
      <c r="N248" s="51">
        <v>125456133</v>
      </c>
      <c r="O248" s="48">
        <f t="shared" si="58"/>
        <v>2.35542704712624</v>
      </c>
      <c r="P248" s="48">
        <f t="shared" si="65"/>
        <v>2.35542704712624</v>
      </c>
      <c r="Q248" s="49">
        <v>0.5</v>
      </c>
      <c r="R248" s="49">
        <f t="shared" si="59"/>
        <v>0.50594316599991629</v>
      </c>
      <c r="S248" s="49">
        <v>260000</v>
      </c>
      <c r="T248" s="49">
        <v>249400</v>
      </c>
      <c r="U248" s="49">
        <v>15956260</v>
      </c>
      <c r="V248" s="49">
        <f t="shared" si="60"/>
        <v>32.445669845696102</v>
      </c>
      <c r="W248" s="49">
        <f t="shared" si="66"/>
        <v>32.445669845696102</v>
      </c>
      <c r="X248" s="82">
        <f t="shared" si="61"/>
        <v>0</v>
      </c>
      <c r="Y248" s="82">
        <f t="shared" si="62"/>
        <v>227631459581726.81</v>
      </c>
      <c r="Z248" s="81">
        <f t="shared" si="67"/>
        <v>255201112957979.59</v>
      </c>
      <c r="AA248" s="80">
        <f t="shared" si="51"/>
        <v>1121.1153037761653</v>
      </c>
      <c r="AB248" s="52">
        <f t="shared" si="63"/>
        <v>-3.2686656388642828E-2</v>
      </c>
      <c r="AC248" s="48">
        <f t="shared" si="52"/>
        <v>-2.9677419354838711E-2</v>
      </c>
      <c r="AD248" s="48">
        <f t="shared" si="53"/>
        <v>-1.8648018648018648E-2</v>
      </c>
      <c r="AE248" s="48">
        <f t="shared" si="54"/>
        <v>-4.0769230769230766E-2</v>
      </c>
      <c r="AF248" s="48" t="e">
        <f>(#REF!-#REF!)/#REF!</f>
        <v>#REF!</v>
      </c>
    </row>
    <row r="249" spans="1:32" x14ac:dyDescent="0.3">
      <c r="A249" s="48">
        <v>20190104</v>
      </c>
      <c r="B249" s="48" t="s">
        <v>88</v>
      </c>
      <c r="C249" s="79">
        <v>0.25</v>
      </c>
      <c r="D249" s="79">
        <f t="shared" si="55"/>
        <v>0.24448981739742326</v>
      </c>
      <c r="E249" s="49">
        <v>37600</v>
      </c>
      <c r="F249" s="49">
        <v>37450</v>
      </c>
      <c r="G249" s="49">
        <v>5969782550</v>
      </c>
      <c r="H249" s="49">
        <f t="shared" si="56"/>
        <v>0.284591610106607</v>
      </c>
      <c r="I249" s="49">
        <f t="shared" si="64"/>
        <v>0.284591610106607</v>
      </c>
      <c r="J249" s="48">
        <v>0.25</v>
      </c>
      <c r="K249" s="48">
        <f t="shared" si="57"/>
        <v>0.24981159062380204</v>
      </c>
      <c r="L249" s="48">
        <v>210500</v>
      </c>
      <c r="M249" s="48">
        <v>220000</v>
      </c>
      <c r="N249" s="51">
        <v>125456133</v>
      </c>
      <c r="O249" s="48">
        <f t="shared" si="58"/>
        <v>2.35542704712624</v>
      </c>
      <c r="P249" s="48">
        <f t="shared" si="65"/>
        <v>2.35542704712624</v>
      </c>
      <c r="Q249" s="49">
        <v>0.5</v>
      </c>
      <c r="R249" s="49">
        <f t="shared" si="59"/>
        <v>0.50569859197877476</v>
      </c>
      <c r="S249" s="49">
        <v>249400</v>
      </c>
      <c r="T249" s="49">
        <v>254200</v>
      </c>
      <c r="U249" s="49">
        <v>15956260</v>
      </c>
      <c r="V249" s="49">
        <f t="shared" si="60"/>
        <v>32.445669845696102</v>
      </c>
      <c r="W249" s="49">
        <f t="shared" si="66"/>
        <v>32.445669845696102</v>
      </c>
      <c r="X249" s="82">
        <f t="shared" si="61"/>
        <v>0</v>
      </c>
      <c r="Y249" s="82">
        <f t="shared" si="62"/>
        <v>227631459581726.81</v>
      </c>
      <c r="Z249" s="81">
        <f t="shared" si="67"/>
        <v>260238562169182.62</v>
      </c>
      <c r="AA249" s="80">
        <f t="shared" si="51"/>
        <v>1143.2451500656871</v>
      </c>
      <c r="AB249" s="52">
        <f t="shared" si="63"/>
        <v>1.9739134962285795E-2</v>
      </c>
      <c r="AC249" s="48">
        <f t="shared" si="52"/>
        <v>-3.9893617021276593E-3</v>
      </c>
      <c r="AD249" s="48">
        <f t="shared" si="53"/>
        <v>4.5130641330166268E-2</v>
      </c>
      <c r="AE249" s="48">
        <f t="shared" si="54"/>
        <v>1.9246190858059342E-2</v>
      </c>
      <c r="AF249" s="48" t="e">
        <f>(#REF!-#REF!)/#REF!</f>
        <v>#REF!</v>
      </c>
    </row>
    <row r="250" spans="1:32" x14ac:dyDescent="0.3">
      <c r="A250" s="48">
        <v>20190107</v>
      </c>
      <c r="B250" s="48" t="s">
        <v>88</v>
      </c>
      <c r="C250" s="79">
        <v>0.25</v>
      </c>
      <c r="D250" s="79">
        <f t="shared" si="55"/>
        <v>0.2513849651213324</v>
      </c>
      <c r="E250" s="49">
        <v>37450</v>
      </c>
      <c r="F250" s="49">
        <v>38750</v>
      </c>
      <c r="G250" s="49">
        <v>5969782550</v>
      </c>
      <c r="H250" s="49">
        <f t="shared" si="56"/>
        <v>0.284591610106607</v>
      </c>
      <c r="I250" s="49">
        <f t="shared" si="64"/>
        <v>0.284591610106607</v>
      </c>
      <c r="J250" s="48">
        <v>0.25</v>
      </c>
      <c r="K250" s="48">
        <f t="shared" si="57"/>
        <v>0.2437262428929019</v>
      </c>
      <c r="L250" s="48">
        <v>220000</v>
      </c>
      <c r="M250" s="48">
        <v>216000</v>
      </c>
      <c r="N250" s="51">
        <v>125456133</v>
      </c>
      <c r="O250" s="48">
        <f t="shared" si="58"/>
        <v>2.35542704712624</v>
      </c>
      <c r="P250" s="48">
        <f t="shared" si="65"/>
        <v>2.35542704712624</v>
      </c>
      <c r="Q250" s="49">
        <v>0.5</v>
      </c>
      <c r="R250" s="49">
        <f t="shared" si="59"/>
        <v>0.50488879198576564</v>
      </c>
      <c r="S250" s="49">
        <v>254200</v>
      </c>
      <c r="T250" s="49">
        <v>255400</v>
      </c>
      <c r="U250" s="49">
        <v>15956260</v>
      </c>
      <c r="V250" s="49">
        <f t="shared" si="60"/>
        <v>32.445669845696102</v>
      </c>
      <c r="W250" s="49">
        <f t="shared" si="66"/>
        <v>32.445669845696102</v>
      </c>
      <c r="X250" s="82">
        <f t="shared" si="61"/>
        <v>0</v>
      </c>
      <c r="Y250" s="82">
        <f t="shared" si="62"/>
        <v>227631459581726.81</v>
      </c>
      <c r="Z250" s="81">
        <f t="shared" si="67"/>
        <v>261886439982574.94</v>
      </c>
      <c r="AA250" s="80">
        <f t="shared" si="51"/>
        <v>1150.4843858743941</v>
      </c>
      <c r="AB250" s="52">
        <f t="shared" si="63"/>
        <v>6.3321815170535077E-3</v>
      </c>
      <c r="AC250" s="48">
        <f t="shared" si="52"/>
        <v>3.4712950600801068E-2</v>
      </c>
      <c r="AD250" s="48">
        <f t="shared" si="53"/>
        <v>-1.8181818181818181E-2</v>
      </c>
      <c r="AE250" s="48">
        <f t="shared" si="54"/>
        <v>4.7206923682140047E-3</v>
      </c>
      <c r="AF250" s="48" t="e">
        <f>(#REF!-#REF!)/#REF!</f>
        <v>#REF!</v>
      </c>
    </row>
    <row r="251" spans="1:32" x14ac:dyDescent="0.3">
      <c r="A251" s="48">
        <v>20190108</v>
      </c>
      <c r="B251" s="48" t="s">
        <v>88</v>
      </c>
      <c r="C251" s="79">
        <v>0.25</v>
      </c>
      <c r="D251" s="79">
        <f t="shared" si="55"/>
        <v>0.24675844838709285</v>
      </c>
      <c r="E251" s="49">
        <v>38750</v>
      </c>
      <c r="F251" s="49">
        <v>38100</v>
      </c>
      <c r="G251" s="49">
        <v>5969782550</v>
      </c>
      <c r="H251" s="49">
        <f t="shared" si="56"/>
        <v>0.284591610106607</v>
      </c>
      <c r="I251" s="49">
        <f t="shared" si="64"/>
        <v>0.284591610106607</v>
      </c>
      <c r="J251" s="48">
        <v>0.25</v>
      </c>
      <c r="K251" s="48">
        <f t="shared" si="57"/>
        <v>0.24050598270381693</v>
      </c>
      <c r="L251" s="48">
        <v>216000</v>
      </c>
      <c r="M251" s="48">
        <v>213500</v>
      </c>
      <c r="N251" s="51">
        <v>125456133</v>
      </c>
      <c r="O251" s="48">
        <f t="shared" si="58"/>
        <v>2.35542704712624</v>
      </c>
      <c r="P251" s="48">
        <f t="shared" si="65"/>
        <v>2.35542704712624</v>
      </c>
      <c r="Q251" s="49">
        <v>0.5</v>
      </c>
      <c r="R251" s="49">
        <f t="shared" si="59"/>
        <v>0.51273556890909011</v>
      </c>
      <c r="S251" s="49">
        <v>255400</v>
      </c>
      <c r="T251" s="49">
        <v>259800</v>
      </c>
      <c r="U251" s="49">
        <v>15956260</v>
      </c>
      <c r="V251" s="49">
        <f t="shared" si="60"/>
        <v>32.445669845696102</v>
      </c>
      <c r="W251" s="49">
        <f t="shared" si="66"/>
        <v>32.445669845696102</v>
      </c>
      <c r="X251" s="82">
        <f t="shared" si="61"/>
        <v>0</v>
      </c>
      <c r="Y251" s="82">
        <f t="shared" si="62"/>
        <v>227631459581726.81</v>
      </c>
      <c r="Z251" s="81">
        <f t="shared" si="67"/>
        <v>262321296335506.94</v>
      </c>
      <c r="AA251" s="80">
        <f t="shared" si="51"/>
        <v>1152.3947384844028</v>
      </c>
      <c r="AB251" s="52">
        <f t="shared" si="63"/>
        <v>1.6604767813139395E-3</v>
      </c>
      <c r="AC251" s="48">
        <f t="shared" si="52"/>
        <v>-1.6774193548387096E-2</v>
      </c>
      <c r="AD251" s="48">
        <f t="shared" si="53"/>
        <v>-1.1574074074074073E-2</v>
      </c>
      <c r="AE251" s="48">
        <f t="shared" si="54"/>
        <v>1.7227877838684416E-2</v>
      </c>
      <c r="AF251" s="48" t="e">
        <f>(#REF!-#REF!)/#REF!</f>
        <v>#REF!</v>
      </c>
    </row>
    <row r="252" spans="1:32" x14ac:dyDescent="0.3">
      <c r="A252" s="48">
        <v>20190109</v>
      </c>
      <c r="B252" s="48" t="s">
        <v>88</v>
      </c>
      <c r="C252" s="79">
        <v>0.25</v>
      </c>
      <c r="D252" s="79">
        <f t="shared" si="55"/>
        <v>0.26210773658207254</v>
      </c>
      <c r="E252" s="49">
        <v>38100</v>
      </c>
      <c r="F252" s="49">
        <v>39600</v>
      </c>
      <c r="G252" s="49">
        <v>5969782550</v>
      </c>
      <c r="H252" s="49">
        <f t="shared" si="56"/>
        <v>0.284591610106607</v>
      </c>
      <c r="I252" s="49">
        <f t="shared" si="64"/>
        <v>0.284591610106607</v>
      </c>
      <c r="J252" s="48">
        <v>0.25</v>
      </c>
      <c r="K252" s="48">
        <f t="shared" si="57"/>
        <v>0.24636520858306721</v>
      </c>
      <c r="L252" s="48">
        <v>213500</v>
      </c>
      <c r="M252" s="48">
        <v>214000</v>
      </c>
      <c r="N252" s="51">
        <v>125456133</v>
      </c>
      <c r="O252" s="48">
        <f t="shared" si="58"/>
        <v>2.35542704712624</v>
      </c>
      <c r="P252" s="48">
        <f t="shared" si="65"/>
        <v>2.35542704712624</v>
      </c>
      <c r="Q252" s="49">
        <v>0.5</v>
      </c>
      <c r="R252" s="49">
        <f t="shared" si="59"/>
        <v>0.49152705483486026</v>
      </c>
      <c r="S252" s="49">
        <v>259800</v>
      </c>
      <c r="T252" s="49">
        <v>243700</v>
      </c>
      <c r="U252" s="49">
        <v>15956260</v>
      </c>
      <c r="V252" s="49">
        <f t="shared" si="60"/>
        <v>32.445669845696102</v>
      </c>
      <c r="W252" s="49">
        <f t="shared" si="66"/>
        <v>32.445669845696102</v>
      </c>
      <c r="X252" s="82">
        <f t="shared" si="61"/>
        <v>0</v>
      </c>
      <c r="Y252" s="82">
        <f t="shared" si="62"/>
        <v>227631459581726.81</v>
      </c>
      <c r="Z252" s="81">
        <f t="shared" si="67"/>
        <v>256682316904484.59</v>
      </c>
      <c r="AA252" s="80">
        <f t="shared" si="51"/>
        <v>1127.6223303059198</v>
      </c>
      <c r="AB252" s="52">
        <f t="shared" si="63"/>
        <v>-2.149646067549987E-2</v>
      </c>
      <c r="AC252" s="48">
        <f t="shared" si="52"/>
        <v>3.937007874015748E-2</v>
      </c>
      <c r="AD252" s="48">
        <f t="shared" si="53"/>
        <v>2.34192037470726E-3</v>
      </c>
      <c r="AE252" s="48">
        <f t="shared" si="54"/>
        <v>-6.19707467282525E-2</v>
      </c>
      <c r="AF252" s="48" t="e">
        <f>(#REF!-#REF!)/#REF!</f>
        <v>#REF!</v>
      </c>
    </row>
    <row r="253" spans="1:32" x14ac:dyDescent="0.3">
      <c r="A253" s="48">
        <v>20190110</v>
      </c>
      <c r="B253" s="48" t="s">
        <v>88</v>
      </c>
      <c r="C253" s="79">
        <v>0.25</v>
      </c>
      <c r="D253" s="79">
        <f t="shared" si="55"/>
        <v>0.25941148827676302</v>
      </c>
      <c r="E253" s="49">
        <v>39600</v>
      </c>
      <c r="F253" s="49">
        <v>39800</v>
      </c>
      <c r="G253" s="49">
        <v>5969782550</v>
      </c>
      <c r="H253" s="49">
        <f t="shared" si="56"/>
        <v>0.284591610106607</v>
      </c>
      <c r="I253" s="49">
        <f t="shared" si="64"/>
        <v>0.284591610106607</v>
      </c>
      <c r="J253" s="48">
        <v>0.25</v>
      </c>
      <c r="K253" s="48">
        <f t="shared" si="57"/>
        <v>0.24543979731254811</v>
      </c>
      <c r="L253" s="48">
        <v>214000</v>
      </c>
      <c r="M253" s="48">
        <v>216500</v>
      </c>
      <c r="N253" s="51">
        <v>125456133</v>
      </c>
      <c r="O253" s="48">
        <f t="shared" si="58"/>
        <v>2.35542704712624</v>
      </c>
      <c r="P253" s="48">
        <f t="shared" si="65"/>
        <v>2.35542704712624</v>
      </c>
      <c r="Q253" s="49">
        <v>0.5</v>
      </c>
      <c r="R253" s="49">
        <f t="shared" si="59"/>
        <v>0.49514871441068881</v>
      </c>
      <c r="S253" s="49">
        <v>243700</v>
      </c>
      <c r="T253" s="49">
        <v>249300</v>
      </c>
      <c r="U253" s="49">
        <v>15956260</v>
      </c>
      <c r="V253" s="49">
        <f t="shared" si="60"/>
        <v>32.445669845696102</v>
      </c>
      <c r="W253" s="49">
        <f t="shared" si="66"/>
        <v>32.445669845696102</v>
      </c>
      <c r="X253" s="82">
        <f t="shared" si="61"/>
        <v>0</v>
      </c>
      <c r="Y253" s="82">
        <f t="shared" si="62"/>
        <v>227631459581726.81</v>
      </c>
      <c r="Z253" s="81">
        <f t="shared" si="67"/>
        <v>260660048478322.62</v>
      </c>
      <c r="AA253" s="80">
        <f t="shared" si="51"/>
        <v>1145.0967671923991</v>
      </c>
      <c r="AB253" s="52">
        <f t="shared" si="63"/>
        <v>1.5496710571294267E-2</v>
      </c>
      <c r="AC253" s="48">
        <f t="shared" si="52"/>
        <v>5.0505050505050509E-3</v>
      </c>
      <c r="AD253" s="48">
        <f t="shared" si="53"/>
        <v>1.1682242990654205E-2</v>
      </c>
      <c r="AE253" s="48">
        <f t="shared" si="54"/>
        <v>2.2979072630283134E-2</v>
      </c>
      <c r="AF253" s="48" t="e">
        <f>(#REF!-#REF!)/#REF!</f>
        <v>#REF!</v>
      </c>
    </row>
    <row r="254" spans="1:32" x14ac:dyDescent="0.3">
      <c r="A254" s="48">
        <v>20190111</v>
      </c>
      <c r="B254" s="48" t="s">
        <v>88</v>
      </c>
      <c r="C254" s="79">
        <v>0.25</v>
      </c>
      <c r="D254" s="79">
        <f t="shared" si="55"/>
        <v>0.26308718236516476</v>
      </c>
      <c r="E254" s="49">
        <v>39800</v>
      </c>
      <c r="F254" s="49">
        <v>40500</v>
      </c>
      <c r="G254" s="49">
        <v>5969782550</v>
      </c>
      <c r="H254" s="49">
        <f t="shared" si="56"/>
        <v>0.284591610106607</v>
      </c>
      <c r="I254" s="49">
        <f t="shared" si="64"/>
        <v>0.284591610106607</v>
      </c>
      <c r="J254" s="48">
        <v>0.25</v>
      </c>
      <c r="K254" s="48">
        <f t="shared" si="57"/>
        <v>0.24461524336863899</v>
      </c>
      <c r="L254" s="48">
        <v>216500</v>
      </c>
      <c r="M254" s="48">
        <v>216500</v>
      </c>
      <c r="N254" s="51">
        <v>125456133</v>
      </c>
      <c r="O254" s="48">
        <f t="shared" si="58"/>
        <v>2.35542704712624</v>
      </c>
      <c r="P254" s="48">
        <f t="shared" si="65"/>
        <v>2.35542704712624</v>
      </c>
      <c r="Q254" s="49">
        <v>0.5</v>
      </c>
      <c r="R254" s="49">
        <f t="shared" si="59"/>
        <v>0.49229757426619625</v>
      </c>
      <c r="S254" s="49">
        <v>249300</v>
      </c>
      <c r="T254" s="49">
        <v>248700</v>
      </c>
      <c r="U254" s="49">
        <v>15956260</v>
      </c>
      <c r="V254" s="49">
        <f t="shared" si="60"/>
        <v>32.445669845696102</v>
      </c>
      <c r="W254" s="49">
        <f t="shared" si="66"/>
        <v>32.445669845696102</v>
      </c>
      <c r="X254" s="82">
        <f t="shared" si="61"/>
        <v>0</v>
      </c>
      <c r="Y254" s="82">
        <f t="shared" si="62"/>
        <v>227631459581726.81</v>
      </c>
      <c r="Z254" s="81">
        <f t="shared" si="67"/>
        <v>261538686571486.94</v>
      </c>
      <c r="AA254" s="80">
        <f t="shared" si="51"/>
        <v>1148.9566822268976</v>
      </c>
      <c r="AB254" s="52">
        <f t="shared" si="63"/>
        <v>3.3708199560832019E-3</v>
      </c>
      <c r="AC254" s="48">
        <f t="shared" si="52"/>
        <v>1.7587939698492462E-2</v>
      </c>
      <c r="AD254" s="48">
        <f t="shared" si="53"/>
        <v>0</v>
      </c>
      <c r="AE254" s="48">
        <f t="shared" si="54"/>
        <v>-2.4067388688327317E-3</v>
      </c>
      <c r="AF254" s="48" t="e">
        <f>(#REF!-#REF!)/#REF!</f>
        <v>#REF!</v>
      </c>
    </row>
    <row r="255" spans="1:32" x14ac:dyDescent="0.3">
      <c r="A255" s="48">
        <v>20190114</v>
      </c>
      <c r="B255" s="48" t="s">
        <v>88</v>
      </c>
      <c r="C255" s="79">
        <v>0.25</v>
      </c>
      <c r="D255" s="79">
        <f t="shared" si="55"/>
        <v>0.26515876176812392</v>
      </c>
      <c r="E255" s="49">
        <v>40500</v>
      </c>
      <c r="F255" s="49">
        <v>40050</v>
      </c>
      <c r="G255" s="49">
        <v>5969782550</v>
      </c>
      <c r="H255" s="49">
        <f t="shared" si="56"/>
        <v>0.284591610106607</v>
      </c>
      <c r="I255" s="49">
        <f t="shared" si="64"/>
        <v>0.284591610106607</v>
      </c>
      <c r="J255" s="48">
        <v>0.25</v>
      </c>
      <c r="K255" s="48">
        <f t="shared" si="57"/>
        <v>0.24297795182650522</v>
      </c>
      <c r="L255" s="48">
        <v>216500</v>
      </c>
      <c r="M255" s="48">
        <v>211000</v>
      </c>
      <c r="N255" s="51">
        <v>125456133</v>
      </c>
      <c r="O255" s="48">
        <f t="shared" si="58"/>
        <v>2.35542704712624</v>
      </c>
      <c r="P255" s="48">
        <f t="shared" si="65"/>
        <v>2.35542704712624</v>
      </c>
      <c r="Q255" s="49">
        <v>0.5</v>
      </c>
      <c r="R255" s="49">
        <f t="shared" si="59"/>
        <v>0.4918632864053708</v>
      </c>
      <c r="S255" s="49">
        <v>248700</v>
      </c>
      <c r="T255" s="49">
        <v>243800</v>
      </c>
      <c r="U255" s="49">
        <v>15956260</v>
      </c>
      <c r="V255" s="49">
        <f t="shared" si="60"/>
        <v>32.445669845696102</v>
      </c>
      <c r="W255" s="49">
        <f t="shared" si="66"/>
        <v>32.445669845696102</v>
      </c>
      <c r="X255" s="82">
        <f t="shared" si="61"/>
        <v>0</v>
      </c>
      <c r="Y255" s="82">
        <f t="shared" si="62"/>
        <v>227631459581726.81</v>
      </c>
      <c r="Z255" s="81">
        <f t="shared" si="67"/>
        <v>256612107264740.47</v>
      </c>
      <c r="AA255" s="80">
        <f t="shared" si="51"/>
        <v>1127.3138947325895</v>
      </c>
      <c r="AB255" s="52">
        <f t="shared" si="63"/>
        <v>-1.8836904671079711E-2</v>
      </c>
      <c r="AC255" s="48">
        <f t="shared" si="52"/>
        <v>-1.1111111111111112E-2</v>
      </c>
      <c r="AD255" s="48">
        <f t="shared" si="53"/>
        <v>-2.5404157043879907E-2</v>
      </c>
      <c r="AE255" s="48">
        <f t="shared" si="54"/>
        <v>-1.9702452754322478E-2</v>
      </c>
      <c r="AF255" s="48" t="e">
        <f>(#REF!-#REF!)/#REF!</f>
        <v>#REF!</v>
      </c>
    </row>
    <row r="256" spans="1:32" x14ac:dyDescent="0.3">
      <c r="A256" s="48">
        <v>20190115</v>
      </c>
      <c r="B256" s="48" t="s">
        <v>88</v>
      </c>
      <c r="C256" s="79">
        <v>0.25</v>
      </c>
      <c r="D256" s="79">
        <f t="shared" si="55"/>
        <v>0.26952867593294505</v>
      </c>
      <c r="E256" s="49">
        <v>40050</v>
      </c>
      <c r="F256" s="49">
        <v>41100</v>
      </c>
      <c r="G256" s="49">
        <v>5969782550</v>
      </c>
      <c r="H256" s="49">
        <f t="shared" si="56"/>
        <v>0.284591610106607</v>
      </c>
      <c r="I256" s="49">
        <f t="shared" si="64"/>
        <v>0.284591610106607</v>
      </c>
      <c r="J256" s="48">
        <v>0.25</v>
      </c>
      <c r="K256" s="48">
        <f t="shared" si="57"/>
        <v>0.23668035210481736</v>
      </c>
      <c r="L256" s="48">
        <v>211000</v>
      </c>
      <c r="M256" s="48">
        <v>207500</v>
      </c>
      <c r="N256" s="51">
        <v>125456133</v>
      </c>
      <c r="O256" s="48">
        <f t="shared" si="58"/>
        <v>2.35542704712624</v>
      </c>
      <c r="P256" s="48">
        <f t="shared" si="65"/>
        <v>2.35542704712624</v>
      </c>
      <c r="Q256" s="49">
        <v>0.5</v>
      </c>
      <c r="R256" s="49">
        <f t="shared" si="59"/>
        <v>0.49379097196223759</v>
      </c>
      <c r="S256" s="49">
        <v>243800</v>
      </c>
      <c r="T256" s="49">
        <v>247100</v>
      </c>
      <c r="U256" s="49">
        <v>15956260</v>
      </c>
      <c r="V256" s="49">
        <f t="shared" si="60"/>
        <v>32.445669845696102</v>
      </c>
      <c r="W256" s="49">
        <f t="shared" si="66"/>
        <v>32.445669845696102</v>
      </c>
      <c r="X256" s="82">
        <f t="shared" si="61"/>
        <v>0</v>
      </c>
      <c r="Y256" s="82">
        <f t="shared" si="62"/>
        <v>227631459581726.81</v>
      </c>
      <c r="Z256" s="81">
        <f t="shared" si="67"/>
        <v>259070193197865.5</v>
      </c>
      <c r="AA256" s="80">
        <f t="shared" si="51"/>
        <v>1138.1124281938332</v>
      </c>
      <c r="AB256" s="52">
        <f t="shared" si="63"/>
        <v>9.5789943792055389E-3</v>
      </c>
      <c r="AC256" s="48">
        <f t="shared" si="52"/>
        <v>2.6217228464419477E-2</v>
      </c>
      <c r="AD256" s="48">
        <f t="shared" si="53"/>
        <v>-1.6587677725118485E-2</v>
      </c>
      <c r="AE256" s="48">
        <f t="shared" si="54"/>
        <v>1.3535684987694831E-2</v>
      </c>
      <c r="AF256" s="48" t="e">
        <f>(#REF!-#REF!)/#REF!</f>
        <v>#REF!</v>
      </c>
    </row>
    <row r="257" spans="1:32" x14ac:dyDescent="0.3">
      <c r="A257" s="48">
        <v>20190116</v>
      </c>
      <c r="B257" s="48" t="s">
        <v>88</v>
      </c>
      <c r="C257" s="79">
        <v>0.25</v>
      </c>
      <c r="D257" s="79">
        <f t="shared" si="55"/>
        <v>0.27176459926690683</v>
      </c>
      <c r="E257" s="49">
        <v>41100</v>
      </c>
      <c r="F257" s="49">
        <v>41450</v>
      </c>
      <c r="G257" s="49">
        <v>5969782550</v>
      </c>
      <c r="H257" s="49">
        <f t="shared" si="56"/>
        <v>0.284591610106607</v>
      </c>
      <c r="I257" s="49">
        <f t="shared" si="64"/>
        <v>0.284591610106607</v>
      </c>
      <c r="J257" s="48">
        <v>0.25</v>
      </c>
      <c r="K257" s="48">
        <f t="shared" si="57"/>
        <v>0.23035660436254474</v>
      </c>
      <c r="L257" s="48">
        <v>207500</v>
      </c>
      <c r="M257" s="48">
        <v>202000</v>
      </c>
      <c r="N257" s="51">
        <v>125456133</v>
      </c>
      <c r="O257" s="48">
        <f t="shared" si="58"/>
        <v>2.35542704712624</v>
      </c>
      <c r="P257" s="48">
        <f t="shared" si="65"/>
        <v>2.35542704712624</v>
      </c>
      <c r="Q257" s="49">
        <v>0.5</v>
      </c>
      <c r="R257" s="49">
        <f t="shared" si="59"/>
        <v>0.49787879637054844</v>
      </c>
      <c r="S257" s="49">
        <v>247100</v>
      </c>
      <c r="T257" s="49">
        <v>249200</v>
      </c>
      <c r="U257" s="49">
        <v>15956260</v>
      </c>
      <c r="V257" s="49">
        <f t="shared" si="60"/>
        <v>32.445669845696102</v>
      </c>
      <c r="W257" s="49">
        <f t="shared" si="66"/>
        <v>32.445669845696102</v>
      </c>
      <c r="X257" s="82">
        <f t="shared" si="61"/>
        <v>0</v>
      </c>
      <c r="Y257" s="82">
        <f t="shared" si="62"/>
        <v>227631459581726.81</v>
      </c>
      <c r="Z257" s="81">
        <f t="shared" si="67"/>
        <v>259126754720956.28</v>
      </c>
      <c r="AA257" s="80">
        <f t="shared" si="51"/>
        <v>1138.3609066914657</v>
      </c>
      <c r="AB257" s="52">
        <f t="shared" si="63"/>
        <v>2.1832508939985485E-4</v>
      </c>
      <c r="AC257" s="48">
        <f t="shared" si="52"/>
        <v>8.5158150851581509E-3</v>
      </c>
      <c r="AD257" s="48">
        <f t="shared" si="53"/>
        <v>-2.6506024096385541E-2</v>
      </c>
      <c r="AE257" s="48">
        <f t="shared" si="54"/>
        <v>8.4985835694051E-3</v>
      </c>
      <c r="AF257" s="48" t="e">
        <f>(#REF!-#REF!)/#REF!</f>
        <v>#REF!</v>
      </c>
    </row>
    <row r="258" spans="1:32" x14ac:dyDescent="0.3">
      <c r="A258" s="48">
        <v>20190117</v>
      </c>
      <c r="B258" s="48" t="s">
        <v>88</v>
      </c>
      <c r="C258" s="79">
        <v>0.25</v>
      </c>
      <c r="D258" s="79">
        <f t="shared" si="55"/>
        <v>0.27295379200387282</v>
      </c>
      <c r="E258" s="49">
        <v>41450</v>
      </c>
      <c r="F258" s="49">
        <v>41950</v>
      </c>
      <c r="G258" s="49">
        <v>5969782550</v>
      </c>
      <c r="H258" s="49">
        <f t="shared" si="56"/>
        <v>0.284591610106607</v>
      </c>
      <c r="I258" s="49">
        <f t="shared" si="64"/>
        <v>0.284591610106607</v>
      </c>
      <c r="J258" s="48">
        <v>0.25</v>
      </c>
      <c r="K258" s="48">
        <f t="shared" si="57"/>
        <v>0.22125081461156249</v>
      </c>
      <c r="L258" s="48">
        <v>202000</v>
      </c>
      <c r="M258" s="48">
        <v>195500</v>
      </c>
      <c r="N258" s="51">
        <v>125456133</v>
      </c>
      <c r="O258" s="48">
        <f t="shared" si="58"/>
        <v>2.35542704712624</v>
      </c>
      <c r="P258" s="48">
        <f t="shared" si="65"/>
        <v>2.35542704712624</v>
      </c>
      <c r="Q258" s="49">
        <v>0.5</v>
      </c>
      <c r="R258" s="49">
        <f t="shared" si="59"/>
        <v>0.5057953933845647</v>
      </c>
      <c r="S258" s="49">
        <v>249200</v>
      </c>
      <c r="T258" s="49">
        <v>255100</v>
      </c>
      <c r="U258" s="49">
        <v>15956260</v>
      </c>
      <c r="V258" s="49">
        <f t="shared" si="60"/>
        <v>32.445669845696102</v>
      </c>
      <c r="W258" s="49">
        <f t="shared" si="66"/>
        <v>32.445669845696102</v>
      </c>
      <c r="X258" s="82">
        <f t="shared" si="61"/>
        <v>0</v>
      </c>
      <c r="Y258" s="82">
        <f t="shared" si="62"/>
        <v>227631459581726.81</v>
      </c>
      <c r="Z258" s="81">
        <f t="shared" si="67"/>
        <v>261109959846276.56</v>
      </c>
      <c r="AA258" s="80">
        <f t="shared" si="51"/>
        <v>1147.0732574753356</v>
      </c>
      <c r="AB258" s="52">
        <f t="shared" si="63"/>
        <v>7.6534170601408333E-3</v>
      </c>
      <c r="AC258" s="48">
        <f t="shared" si="52"/>
        <v>1.2062726176115802E-2</v>
      </c>
      <c r="AD258" s="48">
        <f t="shared" si="53"/>
        <v>-3.2178217821782179E-2</v>
      </c>
      <c r="AE258" s="48">
        <f t="shared" si="54"/>
        <v>2.3675762439807384E-2</v>
      </c>
      <c r="AF258" s="48" t="e">
        <f>(#REF!-#REF!)/#REF!</f>
        <v>#REF!</v>
      </c>
    </row>
    <row r="259" spans="1:32" x14ac:dyDescent="0.3">
      <c r="A259" s="48">
        <v>20190118</v>
      </c>
      <c r="B259" s="48" t="s">
        <v>88</v>
      </c>
      <c r="C259" s="79">
        <v>0.25</v>
      </c>
      <c r="D259" s="79">
        <f t="shared" si="55"/>
        <v>0.26978155677539223</v>
      </c>
      <c r="E259" s="49">
        <v>41950</v>
      </c>
      <c r="F259" s="49">
        <v>42300</v>
      </c>
      <c r="G259" s="49">
        <v>5969782550</v>
      </c>
      <c r="H259" s="49">
        <f t="shared" si="56"/>
        <v>0.284591610106607</v>
      </c>
      <c r="I259" s="49">
        <f t="shared" si="64"/>
        <v>0.284591610106607</v>
      </c>
      <c r="J259" s="48">
        <v>0.25</v>
      </c>
      <c r="K259" s="48">
        <f t="shared" si="57"/>
        <v>0.22297126418452895</v>
      </c>
      <c r="L259" s="48">
        <v>195500</v>
      </c>
      <c r="M259" s="48">
        <v>201000</v>
      </c>
      <c r="N259" s="51">
        <v>125456133</v>
      </c>
      <c r="O259" s="48">
        <f t="shared" si="58"/>
        <v>2.35542704712624</v>
      </c>
      <c r="P259" s="48">
        <f t="shared" si="65"/>
        <v>2.35542704712624</v>
      </c>
      <c r="Q259" s="49">
        <v>0.5</v>
      </c>
      <c r="R259" s="49">
        <f t="shared" si="59"/>
        <v>0.50724717904007877</v>
      </c>
      <c r="S259" s="49">
        <v>255100</v>
      </c>
      <c r="T259" s="49">
        <v>261000</v>
      </c>
      <c r="U259" s="49">
        <v>15956260</v>
      </c>
      <c r="V259" s="49">
        <f t="shared" si="60"/>
        <v>32.445669845696102</v>
      </c>
      <c r="W259" s="49">
        <f t="shared" si="66"/>
        <v>32.445669845696102</v>
      </c>
      <c r="X259" s="82">
        <f t="shared" si="61"/>
        <v>0</v>
      </c>
      <c r="Y259" s="82">
        <f t="shared" si="62"/>
        <v>227631459581726.81</v>
      </c>
      <c r="Z259" s="81">
        <f t="shared" si="67"/>
        <v>266384355694166.06</v>
      </c>
      <c r="AA259" s="80">
        <f t="shared" ref="AA259:AA322" si="68">Z259/Y259*1000</f>
        <v>1170.2440259516316</v>
      </c>
      <c r="AB259" s="52">
        <f t="shared" si="63"/>
        <v>2.0199902948913599E-2</v>
      </c>
      <c r="AC259" s="48">
        <f t="shared" ref="AC259:AC322" si="69">(F259-E259)/E259</f>
        <v>8.3432657926102508E-3</v>
      </c>
      <c r="AD259" s="48">
        <f t="shared" ref="AD259:AD322" si="70">(M259-L259)/L259</f>
        <v>2.8132992327365727E-2</v>
      </c>
      <c r="AE259" s="48">
        <f t="shared" ref="AE259:AE322" si="71">(T259-S259)/S259</f>
        <v>2.3128185025480204E-2</v>
      </c>
      <c r="AF259" s="48" t="e">
        <f>(#REF!-#REF!)/#REF!</f>
        <v>#REF!</v>
      </c>
    </row>
    <row r="260" spans="1:32" x14ac:dyDescent="0.3">
      <c r="A260" s="48">
        <v>20190121</v>
      </c>
      <c r="B260" s="48" t="s">
        <v>88</v>
      </c>
      <c r="C260" s="79">
        <v>0.25</v>
      </c>
      <c r="D260" s="79">
        <f t="shared" ref="D260:D323" si="72">F260*G260*I260/Z260</f>
        <v>0.27491461987082361</v>
      </c>
      <c r="E260" s="49">
        <v>42300</v>
      </c>
      <c r="F260" s="49">
        <v>42750</v>
      </c>
      <c r="G260" s="49">
        <v>5969782550</v>
      </c>
      <c r="H260" s="49">
        <f t="shared" ref="H260:H323" si="73">I259</f>
        <v>0.284591610106607</v>
      </c>
      <c r="I260" s="49">
        <f t="shared" si="64"/>
        <v>0.284591610106607</v>
      </c>
      <c r="J260" s="48">
        <v>0.25</v>
      </c>
      <c r="K260" s="48">
        <f t="shared" ref="K260:K323" si="74">M260*N260*P260/Z260</f>
        <v>0.22146640554277364</v>
      </c>
      <c r="L260" s="48">
        <v>201000</v>
      </c>
      <c r="M260" s="48">
        <v>198000</v>
      </c>
      <c r="N260" s="51">
        <v>125456133</v>
      </c>
      <c r="O260" s="48">
        <f t="shared" ref="O260:O323" si="75">P259</f>
        <v>2.35542704712624</v>
      </c>
      <c r="P260" s="48">
        <f t="shared" si="65"/>
        <v>2.35542704712624</v>
      </c>
      <c r="Q260" s="49">
        <v>0.5</v>
      </c>
      <c r="R260" s="49">
        <f t="shared" ref="R260:R323" si="76">T260*U260*W260/Z260</f>
        <v>0.50361897458640281</v>
      </c>
      <c r="S260" s="49">
        <v>261000</v>
      </c>
      <c r="T260" s="49">
        <v>257000</v>
      </c>
      <c r="U260" s="49">
        <v>15956260</v>
      </c>
      <c r="V260" s="49">
        <f t="shared" ref="V260:V323" si="77">W259</f>
        <v>32.445669845696102</v>
      </c>
      <c r="W260" s="49">
        <f t="shared" si="66"/>
        <v>32.445669845696102</v>
      </c>
      <c r="X260" s="82">
        <f t="shared" ref="X260:X323" si="78">IF(Z259&lt;&gt;(E260*G260*H260+L260*N260*O260+S260*U260*V260),1,0)</f>
        <v>0</v>
      </c>
      <c r="Y260" s="82">
        <f t="shared" ref="Y260:Y323" si="79">IF(AND(X260=0,B260="N"),Y259,Y259*(E260*G260*I260+L260*N260*P260+S260*U260*W260)/Z259)</f>
        <v>227631459581726.81</v>
      </c>
      <c r="Z260" s="81">
        <f t="shared" si="67"/>
        <v>264191528724300.37</v>
      </c>
      <c r="AA260" s="80">
        <f t="shared" si="68"/>
        <v>1160.6107925932238</v>
      </c>
      <c r="AB260" s="52">
        <f t="shared" ref="AB260:AB323" si="80">(AA260-AA259)/AA259</f>
        <v>-8.2318158817979211E-3</v>
      </c>
      <c r="AC260" s="48">
        <f t="shared" si="69"/>
        <v>1.0638297872340425E-2</v>
      </c>
      <c r="AD260" s="48">
        <f t="shared" si="70"/>
        <v>-1.4925373134328358E-2</v>
      </c>
      <c r="AE260" s="48">
        <f t="shared" si="71"/>
        <v>-1.532567049808429E-2</v>
      </c>
      <c r="AF260" s="48" t="e">
        <f>(#REF!-#REF!)/#REF!</f>
        <v>#REF!</v>
      </c>
    </row>
    <row r="261" spans="1:32" x14ac:dyDescent="0.3">
      <c r="A261" s="48">
        <v>20190122</v>
      </c>
      <c r="B261" s="48" t="s">
        <v>88</v>
      </c>
      <c r="C261" s="79">
        <v>0.25</v>
      </c>
      <c r="D261" s="79">
        <f t="shared" si="72"/>
        <v>0.27144309918272291</v>
      </c>
      <c r="E261" s="49">
        <v>42750</v>
      </c>
      <c r="F261" s="49">
        <v>42150</v>
      </c>
      <c r="G261" s="49">
        <v>5969782550</v>
      </c>
      <c r="H261" s="49">
        <f t="shared" si="73"/>
        <v>0.284591610106607</v>
      </c>
      <c r="I261" s="49">
        <f t="shared" ref="I261:I324" si="81">IF(B261="Y",ROUND(C261*(E261*G261+L261*N261+S261*U261)/(E261*G261),17),IF(X261=0,H261,ROUND(F260*G260*I260/Z260*(E261*G261+L261*N261+S261*U261)/(E261*G261),17)))</f>
        <v>0.284591610106607</v>
      </c>
      <c r="J261" s="48">
        <v>0.25</v>
      </c>
      <c r="K261" s="48">
        <f t="shared" si="74"/>
        <v>0.22402277448644062</v>
      </c>
      <c r="L261" s="48">
        <v>198000</v>
      </c>
      <c r="M261" s="48">
        <v>200000</v>
      </c>
      <c r="N261" s="51">
        <v>125456133</v>
      </c>
      <c r="O261" s="48">
        <f t="shared" si="75"/>
        <v>2.35542704712624</v>
      </c>
      <c r="P261" s="48">
        <f t="shared" ref="P261:P324" si="82">IF(B261="Y",ROUND(J261*(E261*G261+L261*N261+S261*U261)/(L261*N261),17),IF(X261=0,O261,ROUND(M260*N260*P260/Z260*(E261*G261+L261*N261+S261*U261)/(L261*N261),17)))</f>
        <v>2.35542704712624</v>
      </c>
      <c r="Q261" s="49">
        <v>0.5</v>
      </c>
      <c r="R261" s="49">
        <f t="shared" si="76"/>
        <v>0.50453412633083639</v>
      </c>
      <c r="S261" s="49">
        <v>257000</v>
      </c>
      <c r="T261" s="49">
        <v>257100</v>
      </c>
      <c r="U261" s="49">
        <v>15956260</v>
      </c>
      <c r="V261" s="49">
        <f t="shared" si="77"/>
        <v>32.445669845696102</v>
      </c>
      <c r="W261" s="49">
        <f t="shared" ref="W261:W324" si="83">IF(B261="Y",ROUND(Q261*(E261*G261+L261*N261+S261*U261)/(S261*U261),17),IF(X261=0,V261,ROUND(T260*U260*W260/Z260*(E261*G261+L261*N261+S261*U261)/(S261*U261),17)))</f>
        <v>32.445669845696102</v>
      </c>
      <c r="X261" s="82">
        <f t="shared" si="78"/>
        <v>0</v>
      </c>
      <c r="Y261" s="82">
        <f t="shared" si="79"/>
        <v>227631459581726.81</v>
      </c>
      <c r="Z261" s="81">
        <f t="shared" ref="Z261:Z324" si="84">F261*G261*I261+M261*N261*P261+T261*U261*W261</f>
        <v>263814935399751.22</v>
      </c>
      <c r="AA261" s="80">
        <f t="shared" si="68"/>
        <v>1158.9563933057038</v>
      </c>
      <c r="AB261" s="52">
        <f t="shared" si="80"/>
        <v>-1.4254557152819601E-3</v>
      </c>
      <c r="AC261" s="48">
        <f t="shared" si="69"/>
        <v>-1.4035087719298246E-2</v>
      </c>
      <c r="AD261" s="48">
        <f t="shared" si="70"/>
        <v>1.0101010101010102E-2</v>
      </c>
      <c r="AE261" s="48">
        <f t="shared" si="71"/>
        <v>3.8910505836575878E-4</v>
      </c>
      <c r="AF261" s="48" t="e">
        <f>(#REF!-#REF!)/#REF!</f>
        <v>#REF!</v>
      </c>
    </row>
    <row r="262" spans="1:32" x14ac:dyDescent="0.3">
      <c r="A262" s="48">
        <v>20190123</v>
      </c>
      <c r="B262" s="48" t="s">
        <v>88</v>
      </c>
      <c r="C262" s="79">
        <v>0.25</v>
      </c>
      <c r="D262" s="79">
        <f t="shared" si="72"/>
        <v>0.27353260316516298</v>
      </c>
      <c r="E262" s="49">
        <v>42150</v>
      </c>
      <c r="F262" s="49">
        <v>42000</v>
      </c>
      <c r="G262" s="49">
        <v>5969782550</v>
      </c>
      <c r="H262" s="49">
        <f t="shared" si="73"/>
        <v>0.284591610106607</v>
      </c>
      <c r="I262" s="49">
        <f t="shared" si="81"/>
        <v>0.284591610106607</v>
      </c>
      <c r="J262" s="48">
        <v>0.25</v>
      </c>
      <c r="K262" s="48">
        <f t="shared" si="74"/>
        <v>0.22655348833583286</v>
      </c>
      <c r="L262" s="48">
        <v>200000</v>
      </c>
      <c r="M262" s="48">
        <v>200000</v>
      </c>
      <c r="N262" s="51">
        <v>125456133</v>
      </c>
      <c r="O262" s="48">
        <f t="shared" si="75"/>
        <v>2.35542704712624</v>
      </c>
      <c r="P262" s="48">
        <f t="shared" si="82"/>
        <v>2.35542704712624</v>
      </c>
      <c r="Q262" s="49">
        <v>0.5</v>
      </c>
      <c r="R262" s="49">
        <f t="shared" si="76"/>
        <v>0.49991390849900424</v>
      </c>
      <c r="S262" s="49">
        <v>257100</v>
      </c>
      <c r="T262" s="49">
        <v>251900</v>
      </c>
      <c r="U262" s="49">
        <v>15956260</v>
      </c>
      <c r="V262" s="49">
        <f t="shared" si="77"/>
        <v>32.445669845696102</v>
      </c>
      <c r="W262" s="49">
        <f t="shared" si="83"/>
        <v>32.445669845696102</v>
      </c>
      <c r="X262" s="82">
        <f t="shared" si="78"/>
        <v>0</v>
      </c>
      <c r="Y262" s="82">
        <f t="shared" si="79"/>
        <v>227631459581726.81</v>
      </c>
      <c r="Z262" s="81">
        <f t="shared" si="84"/>
        <v>260867992867120.75</v>
      </c>
      <c r="AA262" s="80">
        <f t="shared" si="68"/>
        <v>1146.0102805933157</v>
      </c>
      <c r="AB262" s="52">
        <f t="shared" si="80"/>
        <v>-1.1170491648492355E-2</v>
      </c>
      <c r="AC262" s="48">
        <f t="shared" si="69"/>
        <v>-3.5587188612099642E-3</v>
      </c>
      <c r="AD262" s="48">
        <f t="shared" si="70"/>
        <v>0</v>
      </c>
      <c r="AE262" s="48">
        <f t="shared" si="71"/>
        <v>-2.0225593154414623E-2</v>
      </c>
      <c r="AF262" s="48" t="e">
        <f>(#REF!-#REF!)/#REF!</f>
        <v>#REF!</v>
      </c>
    </row>
    <row r="263" spans="1:32" x14ac:dyDescent="0.3">
      <c r="A263" s="48">
        <v>20190124</v>
      </c>
      <c r="B263" s="48" t="s">
        <v>88</v>
      </c>
      <c r="C263" s="79">
        <v>0.25</v>
      </c>
      <c r="D263" s="79">
        <f t="shared" si="72"/>
        <v>0.27079839304765679</v>
      </c>
      <c r="E263" s="49">
        <v>42000</v>
      </c>
      <c r="F263" s="49">
        <v>43050</v>
      </c>
      <c r="G263" s="49">
        <v>5969782550</v>
      </c>
      <c r="H263" s="49">
        <f t="shared" si="73"/>
        <v>0.284591610106607</v>
      </c>
      <c r="I263" s="49">
        <f t="shared" si="81"/>
        <v>0.284591610106607</v>
      </c>
      <c r="J263" s="48">
        <v>0.25</v>
      </c>
      <c r="K263" s="48">
        <f t="shared" si="74"/>
        <v>0.22757115396796665</v>
      </c>
      <c r="L263" s="48">
        <v>200000</v>
      </c>
      <c r="M263" s="48">
        <v>208000</v>
      </c>
      <c r="N263" s="51">
        <v>125456133</v>
      </c>
      <c r="O263" s="48">
        <f t="shared" si="75"/>
        <v>2.35542704712624</v>
      </c>
      <c r="P263" s="48">
        <f t="shared" si="82"/>
        <v>2.35542704712624</v>
      </c>
      <c r="Q263" s="49">
        <v>0.5</v>
      </c>
      <c r="R263" s="49">
        <f t="shared" si="76"/>
        <v>0.50163045298437647</v>
      </c>
      <c r="S263" s="49">
        <v>251900</v>
      </c>
      <c r="T263" s="49">
        <v>261700</v>
      </c>
      <c r="U263" s="49">
        <v>15956260</v>
      </c>
      <c r="V263" s="49">
        <f t="shared" si="77"/>
        <v>32.445669845696102</v>
      </c>
      <c r="W263" s="49">
        <f t="shared" si="83"/>
        <v>32.445669845696102</v>
      </c>
      <c r="X263" s="82">
        <f t="shared" si="78"/>
        <v>0</v>
      </c>
      <c r="Y263" s="82">
        <f t="shared" si="79"/>
        <v>227631459581726.81</v>
      </c>
      <c r="Z263" s="81">
        <f t="shared" si="84"/>
        <v>270089485678109.12</v>
      </c>
      <c r="AA263" s="80">
        <f t="shared" si="68"/>
        <v>1186.520906092677</v>
      </c>
      <c r="AB263" s="52">
        <f t="shared" si="80"/>
        <v>3.5349268837612954E-2</v>
      </c>
      <c r="AC263" s="48">
        <f t="shared" si="69"/>
        <v>2.5000000000000001E-2</v>
      </c>
      <c r="AD263" s="48">
        <f t="shared" si="70"/>
        <v>0.04</v>
      </c>
      <c r="AE263" s="48">
        <f t="shared" si="71"/>
        <v>3.8904327113934101E-2</v>
      </c>
      <c r="AF263" s="48" t="e">
        <f>(#REF!-#REF!)/#REF!</f>
        <v>#REF!</v>
      </c>
    </row>
    <row r="264" spans="1:32" x14ac:dyDescent="0.3">
      <c r="A264" s="48">
        <v>20190125</v>
      </c>
      <c r="B264" s="48" t="s">
        <v>88</v>
      </c>
      <c r="C264" s="79">
        <v>0.25</v>
      </c>
      <c r="D264" s="79">
        <f t="shared" si="72"/>
        <v>0.27910363682273076</v>
      </c>
      <c r="E264" s="49">
        <v>43050</v>
      </c>
      <c r="F264" s="49">
        <v>44750</v>
      </c>
      <c r="G264" s="49">
        <v>5969782550</v>
      </c>
      <c r="H264" s="49">
        <f t="shared" si="73"/>
        <v>0.284591610106607</v>
      </c>
      <c r="I264" s="49">
        <f t="shared" si="81"/>
        <v>0.284591610106607</v>
      </c>
      <c r="J264" s="48">
        <v>0.25</v>
      </c>
      <c r="K264" s="48">
        <f t="shared" si="74"/>
        <v>0.22618274210942391</v>
      </c>
      <c r="L264" s="48">
        <v>208000</v>
      </c>
      <c r="M264" s="48">
        <v>208500</v>
      </c>
      <c r="N264" s="51">
        <v>125456133</v>
      </c>
      <c r="O264" s="48">
        <f t="shared" si="75"/>
        <v>2.35542704712624</v>
      </c>
      <c r="P264" s="48">
        <f t="shared" si="82"/>
        <v>2.35542704712624</v>
      </c>
      <c r="Q264" s="49">
        <v>0.5</v>
      </c>
      <c r="R264" s="49">
        <f t="shared" si="76"/>
        <v>0.49471362106784528</v>
      </c>
      <c r="S264" s="49">
        <v>261700</v>
      </c>
      <c r="T264" s="49">
        <v>260300</v>
      </c>
      <c r="U264" s="49">
        <v>15956260</v>
      </c>
      <c r="V264" s="49">
        <f t="shared" si="77"/>
        <v>32.445669845696102</v>
      </c>
      <c r="W264" s="49">
        <f t="shared" si="83"/>
        <v>32.445669845696102</v>
      </c>
      <c r="X264" s="82">
        <f t="shared" si="78"/>
        <v>0</v>
      </c>
      <c r="Y264" s="82">
        <f t="shared" si="79"/>
        <v>227631459581726.81</v>
      </c>
      <c r="Z264" s="81">
        <f t="shared" si="84"/>
        <v>272400655948466.62</v>
      </c>
      <c r="AA264" s="80">
        <f t="shared" si="68"/>
        <v>1196.6740293674841</v>
      </c>
      <c r="AB264" s="52">
        <f t="shared" si="80"/>
        <v>8.5570538392300485E-3</v>
      </c>
      <c r="AC264" s="48">
        <f t="shared" si="69"/>
        <v>3.9488966318234613E-2</v>
      </c>
      <c r="AD264" s="48">
        <f t="shared" si="70"/>
        <v>2.403846153846154E-3</v>
      </c>
      <c r="AE264" s="48">
        <f t="shared" si="71"/>
        <v>-5.349636988918609E-3</v>
      </c>
      <c r="AF264" s="48" t="e">
        <f>(#REF!-#REF!)/#REF!</f>
        <v>#REF!</v>
      </c>
    </row>
    <row r="265" spans="1:32" x14ac:dyDescent="0.3">
      <c r="A265" s="48">
        <v>20190128</v>
      </c>
      <c r="B265" s="48" t="s">
        <v>88</v>
      </c>
      <c r="C265" s="79">
        <v>0.25</v>
      </c>
      <c r="D265" s="79">
        <f t="shared" si="72"/>
        <v>0.27842865042654574</v>
      </c>
      <c r="E265" s="49">
        <v>44750</v>
      </c>
      <c r="F265" s="49">
        <v>45050</v>
      </c>
      <c r="G265" s="49">
        <v>5969782550</v>
      </c>
      <c r="H265" s="49">
        <f t="shared" si="73"/>
        <v>0.284591610106607</v>
      </c>
      <c r="I265" s="49">
        <f t="shared" si="81"/>
        <v>0.284591610106607</v>
      </c>
      <c r="J265" s="48">
        <v>0.25</v>
      </c>
      <c r="K265" s="48">
        <f t="shared" si="74"/>
        <v>0.22682061936555301</v>
      </c>
      <c r="L265" s="48">
        <v>208500</v>
      </c>
      <c r="M265" s="48">
        <v>211000</v>
      </c>
      <c r="N265" s="51">
        <v>125456133</v>
      </c>
      <c r="O265" s="48">
        <f t="shared" si="75"/>
        <v>2.35542704712624</v>
      </c>
      <c r="P265" s="48">
        <f t="shared" si="82"/>
        <v>2.35542704712624</v>
      </c>
      <c r="Q265" s="49">
        <v>0.5</v>
      </c>
      <c r="R265" s="49">
        <f t="shared" si="76"/>
        <v>0.49475073020790128</v>
      </c>
      <c r="S265" s="49">
        <v>260300</v>
      </c>
      <c r="T265" s="49">
        <v>262700</v>
      </c>
      <c r="U265" s="49">
        <v>15956260</v>
      </c>
      <c r="V265" s="49">
        <f t="shared" si="77"/>
        <v>32.445669845696102</v>
      </c>
      <c r="W265" s="49">
        <f t="shared" si="83"/>
        <v>32.445669845696102</v>
      </c>
      <c r="X265" s="82">
        <f t="shared" si="78"/>
        <v>0</v>
      </c>
      <c r="Y265" s="82">
        <f t="shared" si="79"/>
        <v>227631459581726.81</v>
      </c>
      <c r="Z265" s="81">
        <f t="shared" si="84"/>
        <v>274891605584511.03</v>
      </c>
      <c r="AA265" s="80">
        <f t="shared" si="68"/>
        <v>1207.6169352409586</v>
      </c>
      <c r="AB265" s="52">
        <f t="shared" si="80"/>
        <v>9.1444333251374244E-3</v>
      </c>
      <c r="AC265" s="48">
        <f t="shared" si="69"/>
        <v>6.7039106145251395E-3</v>
      </c>
      <c r="AD265" s="48">
        <f t="shared" si="70"/>
        <v>1.1990407673860911E-2</v>
      </c>
      <c r="AE265" s="48">
        <f t="shared" si="71"/>
        <v>9.2201306185170952E-3</v>
      </c>
      <c r="AF265" s="48" t="e">
        <f>(#REF!-#REF!)/#REF!</f>
        <v>#REF!</v>
      </c>
    </row>
    <row r="266" spans="1:32" x14ac:dyDescent="0.3">
      <c r="A266" s="48">
        <v>20190129</v>
      </c>
      <c r="B266" s="48" t="s">
        <v>88</v>
      </c>
      <c r="C266" s="79">
        <v>0.25</v>
      </c>
      <c r="D266" s="79">
        <f t="shared" si="72"/>
        <v>0.27683483725487285</v>
      </c>
      <c r="E266" s="49">
        <v>45050</v>
      </c>
      <c r="F266" s="49">
        <v>45500</v>
      </c>
      <c r="G266" s="49">
        <v>5969782550</v>
      </c>
      <c r="H266" s="49">
        <f t="shared" si="73"/>
        <v>0.284591610106607</v>
      </c>
      <c r="I266" s="49">
        <f t="shared" si="81"/>
        <v>0.284591610106607</v>
      </c>
      <c r="J266" s="48">
        <v>0.25</v>
      </c>
      <c r="K266" s="48">
        <f t="shared" si="74"/>
        <v>0.22276265973292803</v>
      </c>
      <c r="L266" s="48">
        <v>211000</v>
      </c>
      <c r="M266" s="48">
        <v>210500</v>
      </c>
      <c r="N266" s="51">
        <v>125456133</v>
      </c>
      <c r="O266" s="48">
        <f t="shared" si="75"/>
        <v>2.35542704712624</v>
      </c>
      <c r="P266" s="48">
        <f t="shared" si="82"/>
        <v>2.35542704712624</v>
      </c>
      <c r="Q266" s="49">
        <v>0.5</v>
      </c>
      <c r="R266" s="49">
        <f t="shared" si="76"/>
        <v>0.50040250301219913</v>
      </c>
      <c r="S266" s="49">
        <v>262700</v>
      </c>
      <c r="T266" s="49">
        <v>269900</v>
      </c>
      <c r="U266" s="49">
        <v>15956260</v>
      </c>
      <c r="V266" s="49">
        <f t="shared" si="77"/>
        <v>32.445669845696102</v>
      </c>
      <c r="W266" s="49">
        <f t="shared" si="83"/>
        <v>32.445669845696102</v>
      </c>
      <c r="X266" s="82">
        <f t="shared" si="78"/>
        <v>0</v>
      </c>
      <c r="Y266" s="82">
        <f t="shared" si="79"/>
        <v>227631459581726.81</v>
      </c>
      <c r="Z266" s="81">
        <f t="shared" si="84"/>
        <v>279235904828924.91</v>
      </c>
      <c r="AA266" s="80">
        <f t="shared" si="68"/>
        <v>1226.701728056488</v>
      </c>
      <c r="AB266" s="52">
        <f t="shared" si="80"/>
        <v>1.5803681000648953E-2</v>
      </c>
      <c r="AC266" s="48">
        <f t="shared" si="69"/>
        <v>9.9889012208657056E-3</v>
      </c>
      <c r="AD266" s="48">
        <f t="shared" si="70"/>
        <v>-2.3696682464454978E-3</v>
      </c>
      <c r="AE266" s="48">
        <f t="shared" si="71"/>
        <v>2.7407689379520365E-2</v>
      </c>
      <c r="AF266" s="48" t="e">
        <f>(#REF!-#REF!)/#REF!</f>
        <v>#REF!</v>
      </c>
    </row>
    <row r="267" spans="1:32" x14ac:dyDescent="0.3">
      <c r="A267" s="48">
        <v>20190130</v>
      </c>
      <c r="B267" s="48" t="s">
        <v>88</v>
      </c>
      <c r="C267" s="79">
        <v>0.25</v>
      </c>
      <c r="D267" s="79">
        <f t="shared" si="72"/>
        <v>0.27761551695567432</v>
      </c>
      <c r="E267" s="49">
        <v>45500</v>
      </c>
      <c r="F267" s="49">
        <v>46400</v>
      </c>
      <c r="G267" s="49">
        <v>5969782550</v>
      </c>
      <c r="H267" s="49">
        <f t="shared" si="73"/>
        <v>0.284591610106607</v>
      </c>
      <c r="I267" s="49">
        <f t="shared" si="81"/>
        <v>0.284591610106607</v>
      </c>
      <c r="J267" s="48">
        <v>0.25</v>
      </c>
      <c r="K267" s="48">
        <f t="shared" si="74"/>
        <v>0.22374078930934568</v>
      </c>
      <c r="L267" s="48">
        <v>210500</v>
      </c>
      <c r="M267" s="48">
        <v>215000</v>
      </c>
      <c r="N267" s="51">
        <v>125456133</v>
      </c>
      <c r="O267" s="48">
        <f t="shared" si="75"/>
        <v>2.35542704712624</v>
      </c>
      <c r="P267" s="48">
        <f t="shared" si="82"/>
        <v>2.35542704712624</v>
      </c>
      <c r="Q267" s="49">
        <v>0.5</v>
      </c>
      <c r="R267" s="49">
        <f t="shared" si="76"/>
        <v>0.49864369373497996</v>
      </c>
      <c r="S267" s="49">
        <v>269900</v>
      </c>
      <c r="T267" s="49">
        <v>273500</v>
      </c>
      <c r="U267" s="49">
        <v>15956260</v>
      </c>
      <c r="V267" s="49">
        <f t="shared" si="77"/>
        <v>32.445669845696102</v>
      </c>
      <c r="W267" s="49">
        <f t="shared" si="83"/>
        <v>32.445669845696102</v>
      </c>
      <c r="X267" s="82">
        <f t="shared" si="78"/>
        <v>0</v>
      </c>
      <c r="Y267" s="82">
        <f t="shared" si="79"/>
        <v>227631459581726.81</v>
      </c>
      <c r="Z267" s="81">
        <f t="shared" si="84"/>
        <v>283958483872214.44</v>
      </c>
      <c r="AA267" s="80">
        <f t="shared" si="68"/>
        <v>1247.4483289523716</v>
      </c>
      <c r="AB267" s="52">
        <f t="shared" si="80"/>
        <v>1.6912506456441746E-2</v>
      </c>
      <c r="AC267" s="48">
        <f t="shared" si="69"/>
        <v>1.9780219780219779E-2</v>
      </c>
      <c r="AD267" s="48">
        <f t="shared" si="70"/>
        <v>2.1377672209026127E-2</v>
      </c>
      <c r="AE267" s="48">
        <f t="shared" si="71"/>
        <v>1.333827343460541E-2</v>
      </c>
      <c r="AF267" s="48" t="e">
        <f>(#REF!-#REF!)/#REF!</f>
        <v>#REF!</v>
      </c>
    </row>
    <row r="268" spans="1:32" x14ac:dyDescent="0.3">
      <c r="A268" s="48">
        <v>20190131</v>
      </c>
      <c r="B268" s="48" t="s">
        <v>88</v>
      </c>
      <c r="C268" s="79">
        <v>0.25</v>
      </c>
      <c r="D268" s="79">
        <f t="shared" si="72"/>
        <v>0.27413913442093335</v>
      </c>
      <c r="E268" s="49">
        <v>46400</v>
      </c>
      <c r="F268" s="49">
        <v>46150</v>
      </c>
      <c r="G268" s="49">
        <v>5969782550</v>
      </c>
      <c r="H268" s="49">
        <f t="shared" si="73"/>
        <v>0.284591610106607</v>
      </c>
      <c r="I268" s="49">
        <f t="shared" si="81"/>
        <v>0.284591610106607</v>
      </c>
      <c r="J268" s="48">
        <v>0.25</v>
      </c>
      <c r="K268" s="48">
        <f t="shared" si="74"/>
        <v>0.22626865555238609</v>
      </c>
      <c r="L268" s="48">
        <v>215000</v>
      </c>
      <c r="M268" s="48">
        <v>219000</v>
      </c>
      <c r="N268" s="51">
        <v>125456133</v>
      </c>
      <c r="O268" s="48">
        <f t="shared" si="75"/>
        <v>2.35542704712624</v>
      </c>
      <c r="P268" s="48">
        <f t="shared" si="82"/>
        <v>2.35542704712624</v>
      </c>
      <c r="Q268" s="49">
        <v>0.5</v>
      </c>
      <c r="R268" s="49">
        <f t="shared" si="76"/>
        <v>0.49959221002668047</v>
      </c>
      <c r="S268" s="49">
        <v>273500</v>
      </c>
      <c r="T268" s="49">
        <v>276000</v>
      </c>
      <c r="U268" s="49">
        <v>15956260</v>
      </c>
      <c r="V268" s="49">
        <f t="shared" si="77"/>
        <v>32.445669845696102</v>
      </c>
      <c r="W268" s="49">
        <f t="shared" si="83"/>
        <v>32.445669845696102</v>
      </c>
      <c r="X268" s="82">
        <f t="shared" si="78"/>
        <v>0</v>
      </c>
      <c r="Y268" s="82">
        <f t="shared" si="79"/>
        <v>227631459581726.81</v>
      </c>
      <c r="Z268" s="81">
        <f t="shared" si="84"/>
        <v>286010036300656.25</v>
      </c>
      <c r="AA268" s="80">
        <f t="shared" si="68"/>
        <v>1256.4609339420842</v>
      </c>
      <c r="AB268" s="52">
        <f t="shared" si="80"/>
        <v>7.2248323081097387E-3</v>
      </c>
      <c r="AC268" s="48">
        <f t="shared" si="69"/>
        <v>-5.387931034482759E-3</v>
      </c>
      <c r="AD268" s="48">
        <f t="shared" si="70"/>
        <v>1.8604651162790697E-2</v>
      </c>
      <c r="AE268" s="48">
        <f t="shared" si="71"/>
        <v>9.140767824497258E-3</v>
      </c>
      <c r="AF268" s="48" t="e">
        <f>(#REF!-#REF!)/#REF!</f>
        <v>#REF!</v>
      </c>
    </row>
    <row r="269" spans="1:32" x14ac:dyDescent="0.3">
      <c r="A269" s="48">
        <v>20190201</v>
      </c>
      <c r="B269" s="48" t="s">
        <v>88</v>
      </c>
      <c r="C269" s="79">
        <v>0.25</v>
      </c>
      <c r="D269" s="79">
        <f t="shared" si="72"/>
        <v>0.27518381649914897</v>
      </c>
      <c r="E269" s="49">
        <v>46150</v>
      </c>
      <c r="F269" s="49">
        <v>46350</v>
      </c>
      <c r="G269" s="49">
        <v>5969782550</v>
      </c>
      <c r="H269" s="49">
        <f t="shared" si="73"/>
        <v>0.284591610106607</v>
      </c>
      <c r="I269" s="49">
        <f t="shared" si="81"/>
        <v>0.284591610106607</v>
      </c>
      <c r="J269" s="48">
        <v>0.25</v>
      </c>
      <c r="K269" s="48">
        <f t="shared" si="74"/>
        <v>0.22150391024150951</v>
      </c>
      <c r="L269" s="48">
        <v>219000</v>
      </c>
      <c r="M269" s="48">
        <v>214500</v>
      </c>
      <c r="N269" s="51">
        <v>125456133</v>
      </c>
      <c r="O269" s="48">
        <f t="shared" si="75"/>
        <v>2.35542704712624</v>
      </c>
      <c r="P269" s="48">
        <f t="shared" si="82"/>
        <v>2.35542704712624</v>
      </c>
      <c r="Q269" s="49">
        <v>0.5</v>
      </c>
      <c r="R269" s="49">
        <f t="shared" si="76"/>
        <v>0.50331227325934147</v>
      </c>
      <c r="S269" s="49">
        <v>276000</v>
      </c>
      <c r="T269" s="49">
        <v>278200</v>
      </c>
      <c r="U269" s="49">
        <v>15956260</v>
      </c>
      <c r="V269" s="49">
        <f t="shared" si="77"/>
        <v>32.445669845696102</v>
      </c>
      <c r="W269" s="49">
        <f t="shared" si="83"/>
        <v>32.445669845696102</v>
      </c>
      <c r="X269" s="82">
        <f t="shared" si="78"/>
        <v>0</v>
      </c>
      <c r="Y269" s="82">
        <f t="shared" si="79"/>
        <v>227631459581726.81</v>
      </c>
      <c r="Z269" s="81">
        <f t="shared" si="84"/>
        <v>286159029242852.69</v>
      </c>
      <c r="AA269" s="80">
        <f t="shared" si="68"/>
        <v>1257.1154697539189</v>
      </c>
      <c r="AB269" s="52">
        <f t="shared" si="80"/>
        <v>5.2093606267651681E-4</v>
      </c>
      <c r="AC269" s="48">
        <f t="shared" si="69"/>
        <v>4.3336944745395447E-3</v>
      </c>
      <c r="AD269" s="48">
        <f t="shared" si="70"/>
        <v>-2.0547945205479451E-2</v>
      </c>
      <c r="AE269" s="48">
        <f t="shared" si="71"/>
        <v>7.9710144927536229E-3</v>
      </c>
      <c r="AF269" s="48" t="e">
        <f>(#REF!-#REF!)/#REF!</f>
        <v>#REF!</v>
      </c>
    </row>
    <row r="270" spans="1:32" x14ac:dyDescent="0.3">
      <c r="A270" s="48">
        <v>20190207</v>
      </c>
      <c r="B270" s="48" t="s">
        <v>88</v>
      </c>
      <c r="C270" s="79">
        <v>0.25</v>
      </c>
      <c r="D270" s="79">
        <f t="shared" si="72"/>
        <v>0.26983983454009469</v>
      </c>
      <c r="E270" s="49">
        <v>46350</v>
      </c>
      <c r="F270" s="49">
        <v>46200</v>
      </c>
      <c r="G270" s="49">
        <v>5969782550</v>
      </c>
      <c r="H270" s="49">
        <f t="shared" si="73"/>
        <v>0.284591610106607</v>
      </c>
      <c r="I270" s="49">
        <f t="shared" si="81"/>
        <v>0.284591610106607</v>
      </c>
      <c r="J270" s="48">
        <v>0.25</v>
      </c>
      <c r="K270" s="48">
        <f t="shared" si="74"/>
        <v>0.21739963438826332</v>
      </c>
      <c r="L270" s="48">
        <v>214500</v>
      </c>
      <c r="M270" s="48">
        <v>214000</v>
      </c>
      <c r="N270" s="51">
        <v>125456133</v>
      </c>
      <c r="O270" s="48">
        <f t="shared" si="75"/>
        <v>2.35542704712624</v>
      </c>
      <c r="P270" s="48">
        <f t="shared" si="82"/>
        <v>2.35542704712624</v>
      </c>
      <c r="Q270" s="49">
        <v>0.5</v>
      </c>
      <c r="R270" s="49">
        <f t="shared" si="76"/>
        <v>0.51276053107164199</v>
      </c>
      <c r="S270" s="49">
        <v>278200</v>
      </c>
      <c r="T270" s="49">
        <v>288100</v>
      </c>
      <c r="U270" s="49">
        <v>15956260</v>
      </c>
      <c r="V270" s="49">
        <f t="shared" si="77"/>
        <v>32.445669845696102</v>
      </c>
      <c r="W270" s="49">
        <f t="shared" si="83"/>
        <v>32.445669845696102</v>
      </c>
      <c r="X270" s="82">
        <f t="shared" si="78"/>
        <v>0</v>
      </c>
      <c r="Y270" s="82">
        <f t="shared" si="79"/>
        <v>227631459581726.81</v>
      </c>
      <c r="Z270" s="81">
        <f t="shared" si="84"/>
        <v>290881779639148.69</v>
      </c>
      <c r="AA270" s="80">
        <f t="shared" si="68"/>
        <v>1277.8628234148498</v>
      </c>
      <c r="AB270" s="52">
        <f t="shared" si="80"/>
        <v>1.650393632097473E-2</v>
      </c>
      <c r="AC270" s="48">
        <f t="shared" si="69"/>
        <v>-3.2362459546925568E-3</v>
      </c>
      <c r="AD270" s="48">
        <f t="shared" si="70"/>
        <v>-2.331002331002331E-3</v>
      </c>
      <c r="AE270" s="48">
        <f t="shared" si="71"/>
        <v>3.5585909417685122E-2</v>
      </c>
      <c r="AF270" s="48" t="e">
        <f>(#REF!-#REF!)/#REF!</f>
        <v>#REF!</v>
      </c>
    </row>
    <row r="271" spans="1:32" x14ac:dyDescent="0.3">
      <c r="A271" s="48">
        <v>20190208</v>
      </c>
      <c r="B271" s="48" t="s">
        <v>88</v>
      </c>
      <c r="C271" s="79">
        <v>0.25</v>
      </c>
      <c r="D271" s="79">
        <f t="shared" si="72"/>
        <v>0.26303150113142509</v>
      </c>
      <c r="E271" s="49">
        <v>46200</v>
      </c>
      <c r="F271" s="49">
        <v>44800</v>
      </c>
      <c r="G271" s="49">
        <v>5969782550</v>
      </c>
      <c r="H271" s="49">
        <f t="shared" si="73"/>
        <v>0.284591610106607</v>
      </c>
      <c r="I271" s="49">
        <f t="shared" si="81"/>
        <v>0.284591610106607</v>
      </c>
      <c r="J271" s="48">
        <v>0.25</v>
      </c>
      <c r="K271" s="48">
        <f t="shared" si="74"/>
        <v>0.21955794594342082</v>
      </c>
      <c r="L271" s="48">
        <v>214000</v>
      </c>
      <c r="M271" s="48">
        <v>215000</v>
      </c>
      <c r="N271" s="51">
        <v>125456133</v>
      </c>
      <c r="O271" s="48">
        <f t="shared" si="75"/>
        <v>2.35542704712624</v>
      </c>
      <c r="P271" s="48">
        <f t="shared" si="82"/>
        <v>2.35542704712624</v>
      </c>
      <c r="Q271" s="49">
        <v>0.5</v>
      </c>
      <c r="R271" s="49">
        <f t="shared" si="76"/>
        <v>0.51741055292515425</v>
      </c>
      <c r="S271" s="49">
        <v>288100</v>
      </c>
      <c r="T271" s="49">
        <v>289200</v>
      </c>
      <c r="U271" s="49">
        <v>15956260</v>
      </c>
      <c r="V271" s="49">
        <f t="shared" si="77"/>
        <v>32.445669845696102</v>
      </c>
      <c r="W271" s="49">
        <f t="shared" si="83"/>
        <v>32.445669845696102</v>
      </c>
      <c r="X271" s="82">
        <f t="shared" si="78"/>
        <v>0</v>
      </c>
      <c r="Y271" s="82">
        <f t="shared" si="79"/>
        <v>227631459581726.81</v>
      </c>
      <c r="Z271" s="81">
        <f t="shared" si="84"/>
        <v>289368235067322.87</v>
      </c>
      <c r="AA271" s="80">
        <f t="shared" si="68"/>
        <v>1271.2137223872196</v>
      </c>
      <c r="AB271" s="52">
        <f t="shared" si="80"/>
        <v>-5.2032979642225715E-3</v>
      </c>
      <c r="AC271" s="48">
        <f t="shared" si="69"/>
        <v>-3.0303030303030304E-2</v>
      </c>
      <c r="AD271" s="48">
        <f t="shared" si="70"/>
        <v>4.6728971962616819E-3</v>
      </c>
      <c r="AE271" s="48">
        <f t="shared" si="71"/>
        <v>3.8181187087816732E-3</v>
      </c>
      <c r="AF271" s="48" t="e">
        <f>(#REF!-#REF!)/#REF!</f>
        <v>#REF!</v>
      </c>
    </row>
    <row r="272" spans="1:32" x14ac:dyDescent="0.3">
      <c r="A272" s="48">
        <v>20190211</v>
      </c>
      <c r="B272" s="48" t="s">
        <v>88</v>
      </c>
      <c r="C272" s="79">
        <v>0.25</v>
      </c>
      <c r="D272" s="79">
        <f t="shared" si="72"/>
        <v>0.26338500554266631</v>
      </c>
      <c r="E272" s="49">
        <v>44800</v>
      </c>
      <c r="F272" s="49">
        <v>45000</v>
      </c>
      <c r="G272" s="49">
        <v>5969782550</v>
      </c>
      <c r="H272" s="49">
        <f t="shared" si="73"/>
        <v>0.284591610106607</v>
      </c>
      <c r="I272" s="49">
        <f t="shared" si="81"/>
        <v>0.284591610106607</v>
      </c>
      <c r="J272" s="48">
        <v>0.25</v>
      </c>
      <c r="K272" s="48">
        <f t="shared" si="74"/>
        <v>0.21938491270661692</v>
      </c>
      <c r="L272" s="48">
        <v>215000</v>
      </c>
      <c r="M272" s="48">
        <v>215500</v>
      </c>
      <c r="N272" s="51">
        <v>125456133</v>
      </c>
      <c r="O272" s="48">
        <f t="shared" si="75"/>
        <v>2.35542704712624</v>
      </c>
      <c r="P272" s="48">
        <f t="shared" si="82"/>
        <v>2.35542704712624</v>
      </c>
      <c r="Q272" s="49">
        <v>0.5</v>
      </c>
      <c r="R272" s="49">
        <f t="shared" si="76"/>
        <v>0.51723008175071683</v>
      </c>
      <c r="S272" s="49">
        <v>289200</v>
      </c>
      <c r="T272" s="49">
        <v>290000</v>
      </c>
      <c r="U272" s="49">
        <v>15956260</v>
      </c>
      <c r="V272" s="49">
        <f t="shared" si="77"/>
        <v>32.445669845696102</v>
      </c>
      <c r="W272" s="49">
        <f t="shared" si="83"/>
        <v>32.445669845696102</v>
      </c>
      <c r="X272" s="82">
        <f t="shared" si="78"/>
        <v>0</v>
      </c>
      <c r="Y272" s="82">
        <f t="shared" si="79"/>
        <v>227631459581726.81</v>
      </c>
      <c r="Z272" s="81">
        <f t="shared" si="84"/>
        <v>290269945692494.75</v>
      </c>
      <c r="AA272" s="80">
        <f t="shared" si="68"/>
        <v>1275.1749965750178</v>
      </c>
      <c r="AB272" s="52">
        <f t="shared" si="80"/>
        <v>3.116135483779434E-3</v>
      </c>
      <c r="AC272" s="48">
        <f t="shared" si="69"/>
        <v>4.464285714285714E-3</v>
      </c>
      <c r="AD272" s="48">
        <f t="shared" si="70"/>
        <v>2.3255813953488372E-3</v>
      </c>
      <c r="AE272" s="48">
        <f t="shared" si="71"/>
        <v>2.7662517289073307E-3</v>
      </c>
      <c r="AF272" s="48" t="e">
        <f>(#REF!-#REF!)/#REF!</f>
        <v>#REF!</v>
      </c>
    </row>
    <row r="273" spans="1:32" x14ac:dyDescent="0.3">
      <c r="A273" s="48">
        <v>20190212</v>
      </c>
      <c r="B273" s="48" t="s">
        <v>88</v>
      </c>
      <c r="C273" s="79">
        <v>0.25</v>
      </c>
      <c r="D273" s="79">
        <f t="shared" si="72"/>
        <v>0.27391116314321684</v>
      </c>
      <c r="E273" s="49">
        <v>45000</v>
      </c>
      <c r="F273" s="49">
        <v>46050</v>
      </c>
      <c r="G273" s="49">
        <v>5969782550</v>
      </c>
      <c r="H273" s="49">
        <f t="shared" si="73"/>
        <v>0.284591610106607</v>
      </c>
      <c r="I273" s="49">
        <f t="shared" si="81"/>
        <v>0.284591610106607</v>
      </c>
      <c r="J273" s="48">
        <v>0.25</v>
      </c>
      <c r="K273" s="48">
        <f t="shared" si="74"/>
        <v>0.21984671550454693</v>
      </c>
      <c r="L273" s="48">
        <v>215500</v>
      </c>
      <c r="M273" s="48">
        <v>212500</v>
      </c>
      <c r="N273" s="51">
        <v>125456133</v>
      </c>
      <c r="O273" s="48">
        <f t="shared" si="75"/>
        <v>2.35542704712624</v>
      </c>
      <c r="P273" s="48">
        <f t="shared" si="82"/>
        <v>2.35542704712624</v>
      </c>
      <c r="Q273" s="49">
        <v>0.5</v>
      </c>
      <c r="R273" s="49">
        <f t="shared" si="76"/>
        <v>0.50624212135223623</v>
      </c>
      <c r="S273" s="49">
        <v>290000</v>
      </c>
      <c r="T273" s="49">
        <v>279300</v>
      </c>
      <c r="U273" s="49">
        <v>15956260</v>
      </c>
      <c r="V273" s="49">
        <f t="shared" si="77"/>
        <v>32.445669845696102</v>
      </c>
      <c r="W273" s="49">
        <f t="shared" si="83"/>
        <v>32.445669845696102</v>
      </c>
      <c r="X273" s="82">
        <f t="shared" si="78"/>
        <v>0</v>
      </c>
      <c r="Y273" s="82">
        <f t="shared" si="79"/>
        <v>227631459581726.81</v>
      </c>
      <c r="Z273" s="81">
        <f t="shared" si="84"/>
        <v>285627821395018.62</v>
      </c>
      <c r="AA273" s="80">
        <f t="shared" si="68"/>
        <v>1254.7818386784509</v>
      </c>
      <c r="AB273" s="52">
        <f t="shared" si="80"/>
        <v>-1.5992438646727475E-2</v>
      </c>
      <c r="AC273" s="48">
        <f t="shared" si="69"/>
        <v>2.3333333333333334E-2</v>
      </c>
      <c r="AD273" s="48">
        <f t="shared" si="70"/>
        <v>-1.3921113689095127E-2</v>
      </c>
      <c r="AE273" s="48">
        <f t="shared" si="71"/>
        <v>-3.689655172413793E-2</v>
      </c>
      <c r="AF273" s="48" t="e">
        <f>(#REF!-#REF!)/#REF!</f>
        <v>#REF!</v>
      </c>
    </row>
    <row r="274" spans="1:32" x14ac:dyDescent="0.3">
      <c r="A274" s="48">
        <v>20190213</v>
      </c>
      <c r="B274" s="48" t="s">
        <v>88</v>
      </c>
      <c r="C274" s="79">
        <v>0.25</v>
      </c>
      <c r="D274" s="79">
        <f t="shared" si="72"/>
        <v>0.27306767887092115</v>
      </c>
      <c r="E274" s="49">
        <v>46050</v>
      </c>
      <c r="F274" s="49">
        <v>46200</v>
      </c>
      <c r="G274" s="49">
        <v>5969782550</v>
      </c>
      <c r="H274" s="49">
        <f t="shared" si="73"/>
        <v>0.284591610106607</v>
      </c>
      <c r="I274" s="49">
        <f t="shared" si="81"/>
        <v>0.284591610106607</v>
      </c>
      <c r="J274" s="48">
        <v>0.25</v>
      </c>
      <c r="K274" s="48">
        <f t="shared" si="74"/>
        <v>0.21794410861701266</v>
      </c>
      <c r="L274" s="48">
        <v>212500</v>
      </c>
      <c r="M274" s="48">
        <v>212000</v>
      </c>
      <c r="N274" s="51">
        <v>125456133</v>
      </c>
      <c r="O274" s="48">
        <f t="shared" si="75"/>
        <v>2.35542704712624</v>
      </c>
      <c r="P274" s="48">
        <f t="shared" si="82"/>
        <v>2.35542704712624</v>
      </c>
      <c r="Q274" s="49">
        <v>0.5</v>
      </c>
      <c r="R274" s="49">
        <f t="shared" si="76"/>
        <v>0.50898821251206605</v>
      </c>
      <c r="S274" s="49">
        <v>279300</v>
      </c>
      <c r="T274" s="49">
        <v>282600</v>
      </c>
      <c r="U274" s="49">
        <v>15956260</v>
      </c>
      <c r="V274" s="49">
        <f t="shared" si="77"/>
        <v>32.445669845696102</v>
      </c>
      <c r="W274" s="49">
        <f t="shared" si="83"/>
        <v>32.445669845696102</v>
      </c>
      <c r="X274" s="82">
        <f t="shared" si="78"/>
        <v>0</v>
      </c>
      <c r="Y274" s="82">
        <f t="shared" si="79"/>
        <v>227631459581726.81</v>
      </c>
      <c r="Z274" s="81">
        <f t="shared" si="84"/>
        <v>287443360609730.12</v>
      </c>
      <c r="AA274" s="80">
        <f t="shared" si="68"/>
        <v>1262.7576220699361</v>
      </c>
      <c r="AB274" s="52">
        <f t="shared" si="80"/>
        <v>6.3563108308018245E-3</v>
      </c>
      <c r="AC274" s="48">
        <f t="shared" si="69"/>
        <v>3.2573289902280132E-3</v>
      </c>
      <c r="AD274" s="48">
        <f t="shared" si="70"/>
        <v>-2.352941176470588E-3</v>
      </c>
      <c r="AE274" s="48">
        <f t="shared" si="71"/>
        <v>1.1815252416756176E-2</v>
      </c>
      <c r="AF274" s="48" t="e">
        <f>(#REF!-#REF!)/#REF!</f>
        <v>#REF!</v>
      </c>
    </row>
    <row r="275" spans="1:32" s="47" customFormat="1" x14ac:dyDescent="0.3">
      <c r="A275" s="48">
        <v>20190214</v>
      </c>
      <c r="B275" s="48" t="s">
        <v>88</v>
      </c>
      <c r="C275" s="79">
        <v>0.25</v>
      </c>
      <c r="D275" s="79">
        <f t="shared" si="72"/>
        <v>0.28048639496599026</v>
      </c>
      <c r="E275" s="49">
        <v>46200</v>
      </c>
      <c r="F275" s="49">
        <v>47500</v>
      </c>
      <c r="G275" s="49">
        <v>5969782550</v>
      </c>
      <c r="H275" s="49">
        <f t="shared" si="73"/>
        <v>0.284591610106607</v>
      </c>
      <c r="I275" s="49">
        <f t="shared" si="81"/>
        <v>0.284591610106607</v>
      </c>
      <c r="J275" s="48">
        <v>0.25</v>
      </c>
      <c r="K275" s="48">
        <f t="shared" si="74"/>
        <v>0.21568425139099698</v>
      </c>
      <c r="L275" s="48">
        <v>212000</v>
      </c>
      <c r="M275" s="48">
        <v>210000</v>
      </c>
      <c r="N275" s="51">
        <v>125456133</v>
      </c>
      <c r="O275" s="48">
        <f t="shared" si="75"/>
        <v>2.35542704712624</v>
      </c>
      <c r="P275" s="48">
        <f t="shared" si="82"/>
        <v>2.35542704712624</v>
      </c>
      <c r="Q275" s="49">
        <v>0.5</v>
      </c>
      <c r="R275" s="49">
        <f t="shared" si="76"/>
        <v>0.50382935364301273</v>
      </c>
      <c r="S275" s="49">
        <v>282600</v>
      </c>
      <c r="T275" s="49">
        <v>280000</v>
      </c>
      <c r="U275" s="49">
        <v>15956260</v>
      </c>
      <c r="V275" s="49">
        <f t="shared" si="77"/>
        <v>32.445669845696102</v>
      </c>
      <c r="W275" s="49">
        <f t="shared" si="83"/>
        <v>32.445669845696102</v>
      </c>
      <c r="X275" s="82">
        <f t="shared" si="78"/>
        <v>0</v>
      </c>
      <c r="Y275" s="82">
        <f t="shared" si="79"/>
        <v>227631459581726.81</v>
      </c>
      <c r="Z275" s="81">
        <f t="shared" si="84"/>
        <v>287714940093972.62</v>
      </c>
      <c r="AA275" s="80">
        <f t="shared" si="68"/>
        <v>1263.9506886378945</v>
      </c>
      <c r="AB275" s="52">
        <f t="shared" si="80"/>
        <v>9.4481042688353972E-4</v>
      </c>
      <c r="AC275" s="48">
        <f t="shared" si="69"/>
        <v>2.813852813852814E-2</v>
      </c>
      <c r="AD275" s="48">
        <f t="shared" si="70"/>
        <v>-9.433962264150943E-3</v>
      </c>
      <c r="AE275" s="48">
        <f t="shared" si="71"/>
        <v>-9.200283085633405E-3</v>
      </c>
      <c r="AF275" s="48" t="e">
        <f>(#REF!-#REF!)/#REF!</f>
        <v>#REF!</v>
      </c>
    </row>
    <row r="276" spans="1:32" x14ac:dyDescent="0.3">
      <c r="A276" s="48">
        <v>20190215</v>
      </c>
      <c r="B276" s="48" t="s">
        <v>88</v>
      </c>
      <c r="C276" s="79">
        <v>0.25</v>
      </c>
      <c r="D276" s="79">
        <f t="shared" si="72"/>
        <v>0.27209249909661126</v>
      </c>
      <c r="E276" s="49">
        <v>47500</v>
      </c>
      <c r="F276" s="49">
        <v>46050</v>
      </c>
      <c r="G276" s="49">
        <v>5969782550</v>
      </c>
      <c r="H276" s="49">
        <f t="shared" si="73"/>
        <v>0.284591610106607</v>
      </c>
      <c r="I276" s="49">
        <f t="shared" si="81"/>
        <v>0.284591610106607</v>
      </c>
      <c r="J276" s="48">
        <v>0.25</v>
      </c>
      <c r="K276" s="48">
        <f t="shared" si="74"/>
        <v>0.21530390760415641</v>
      </c>
      <c r="L276" s="48">
        <v>210000</v>
      </c>
      <c r="M276" s="48">
        <v>209500</v>
      </c>
      <c r="N276" s="51">
        <v>125456133</v>
      </c>
      <c r="O276" s="48">
        <f t="shared" si="75"/>
        <v>2.35542704712624</v>
      </c>
      <c r="P276" s="48">
        <f t="shared" si="82"/>
        <v>2.35542704712624</v>
      </c>
      <c r="Q276" s="49">
        <v>0.5</v>
      </c>
      <c r="R276" s="49">
        <f t="shared" si="76"/>
        <v>0.51260359329923222</v>
      </c>
      <c r="S276" s="49">
        <v>280000</v>
      </c>
      <c r="T276" s="49">
        <v>284700</v>
      </c>
      <c r="U276" s="49">
        <v>15956260</v>
      </c>
      <c r="V276" s="49">
        <f t="shared" si="77"/>
        <v>32.445669845696102</v>
      </c>
      <c r="W276" s="49">
        <f t="shared" si="83"/>
        <v>32.445669845696102</v>
      </c>
      <c r="X276" s="82">
        <f t="shared" si="78"/>
        <v>0</v>
      </c>
      <c r="Y276" s="82">
        <f t="shared" si="79"/>
        <v>227631459581726.81</v>
      </c>
      <c r="Z276" s="81">
        <f t="shared" si="84"/>
        <v>287536955425563.69</v>
      </c>
      <c r="AA276" s="80">
        <f t="shared" si="68"/>
        <v>1263.1687902626172</v>
      </c>
      <c r="AB276" s="52">
        <f t="shared" si="80"/>
        <v>-6.1861462025853981E-4</v>
      </c>
      <c r="AC276" s="48">
        <f t="shared" si="69"/>
        <v>-3.0526315789473683E-2</v>
      </c>
      <c r="AD276" s="48">
        <f t="shared" si="70"/>
        <v>-2.3809523809523812E-3</v>
      </c>
      <c r="AE276" s="48">
        <f t="shared" si="71"/>
        <v>1.6785714285714286E-2</v>
      </c>
      <c r="AF276" s="48" t="e">
        <f>(#REF!-#REF!)/#REF!</f>
        <v>#REF!</v>
      </c>
    </row>
    <row r="277" spans="1:32" x14ac:dyDescent="0.3">
      <c r="A277" s="48">
        <v>20190218</v>
      </c>
      <c r="B277" s="48" t="s">
        <v>88</v>
      </c>
      <c r="C277" s="79">
        <v>0.25</v>
      </c>
      <c r="D277" s="79">
        <f t="shared" si="72"/>
        <v>0.27499934396524084</v>
      </c>
      <c r="E277" s="49">
        <v>46050</v>
      </c>
      <c r="F277" s="49">
        <v>46200</v>
      </c>
      <c r="G277" s="49">
        <v>5969782550</v>
      </c>
      <c r="H277" s="49">
        <f t="shared" si="73"/>
        <v>0.284591610106607</v>
      </c>
      <c r="I277" s="49">
        <f t="shared" si="81"/>
        <v>0.284591610106607</v>
      </c>
      <c r="J277" s="48">
        <v>0.25</v>
      </c>
      <c r="K277" s="48">
        <f t="shared" si="74"/>
        <v>0.21948583273781977</v>
      </c>
      <c r="L277" s="48">
        <v>209500</v>
      </c>
      <c r="M277" s="48">
        <v>212000</v>
      </c>
      <c r="N277" s="51">
        <v>125456133</v>
      </c>
      <c r="O277" s="48">
        <f t="shared" si="75"/>
        <v>2.35542704712624</v>
      </c>
      <c r="P277" s="48">
        <f t="shared" si="82"/>
        <v>2.35542704712624</v>
      </c>
      <c r="Q277" s="49">
        <v>0.5</v>
      </c>
      <c r="R277" s="49">
        <f t="shared" si="76"/>
        <v>0.50551482329693931</v>
      </c>
      <c r="S277" s="49">
        <v>284700</v>
      </c>
      <c r="T277" s="49">
        <v>278700</v>
      </c>
      <c r="U277" s="49">
        <v>15956260</v>
      </c>
      <c r="V277" s="49">
        <f t="shared" si="77"/>
        <v>32.445669845696102</v>
      </c>
      <c r="W277" s="49">
        <f t="shared" si="83"/>
        <v>32.445669845696102</v>
      </c>
      <c r="X277" s="82">
        <f t="shared" si="78"/>
        <v>0</v>
      </c>
      <c r="Y277" s="82">
        <f t="shared" si="79"/>
        <v>227631459581726.81</v>
      </c>
      <c r="Z277" s="81">
        <f t="shared" si="84"/>
        <v>285424285588395</v>
      </c>
      <c r="AA277" s="80">
        <f t="shared" si="68"/>
        <v>1253.8876924694971</v>
      </c>
      <c r="AB277" s="52">
        <f t="shared" si="80"/>
        <v>-7.3474723763484948E-3</v>
      </c>
      <c r="AC277" s="48">
        <f t="shared" si="69"/>
        <v>3.2573289902280132E-3</v>
      </c>
      <c r="AD277" s="48">
        <f t="shared" si="70"/>
        <v>1.1933174224343675E-2</v>
      </c>
      <c r="AE277" s="48">
        <f t="shared" si="71"/>
        <v>-2.107481559536354E-2</v>
      </c>
      <c r="AF277" s="48" t="e">
        <f>(#REF!-#REF!)/#REF!</f>
        <v>#REF!</v>
      </c>
    </row>
    <row r="278" spans="1:32" x14ac:dyDescent="0.3">
      <c r="A278" s="48">
        <v>20190219</v>
      </c>
      <c r="B278" s="48" t="s">
        <v>88</v>
      </c>
      <c r="C278" s="79">
        <v>0.25</v>
      </c>
      <c r="D278" s="79">
        <f t="shared" si="72"/>
        <v>0.26840336927608027</v>
      </c>
      <c r="E278" s="49">
        <v>46200</v>
      </c>
      <c r="F278" s="49">
        <v>45950</v>
      </c>
      <c r="G278" s="49">
        <v>5969782550</v>
      </c>
      <c r="H278" s="49">
        <f t="shared" si="73"/>
        <v>0.284591610106607</v>
      </c>
      <c r="I278" s="49">
        <f t="shared" si="81"/>
        <v>0.284591610106607</v>
      </c>
      <c r="J278" s="48">
        <v>0.25</v>
      </c>
      <c r="K278" s="48">
        <f t="shared" si="74"/>
        <v>0.21843481400756781</v>
      </c>
      <c r="L278" s="48">
        <v>212000</v>
      </c>
      <c r="M278" s="48">
        <v>215000</v>
      </c>
      <c r="N278" s="51">
        <v>125456133</v>
      </c>
      <c r="O278" s="48">
        <f t="shared" si="75"/>
        <v>2.35542704712624</v>
      </c>
      <c r="P278" s="48">
        <f t="shared" si="82"/>
        <v>2.35542704712624</v>
      </c>
      <c r="Q278" s="49">
        <v>0.5</v>
      </c>
      <c r="R278" s="49">
        <f t="shared" si="76"/>
        <v>0.51316181671635186</v>
      </c>
      <c r="S278" s="49">
        <v>278700</v>
      </c>
      <c r="T278" s="49">
        <v>288300</v>
      </c>
      <c r="U278" s="49">
        <v>15956260</v>
      </c>
      <c r="V278" s="49">
        <f t="shared" si="77"/>
        <v>32.445669845696102</v>
      </c>
      <c r="W278" s="49">
        <f t="shared" si="83"/>
        <v>32.445669845696102</v>
      </c>
      <c r="X278" s="82">
        <f t="shared" si="78"/>
        <v>0</v>
      </c>
      <c r="Y278" s="82">
        <f t="shared" si="79"/>
        <v>227631459581726.81</v>
      </c>
      <c r="Z278" s="81">
        <f t="shared" si="84"/>
        <v>290856087209858.5</v>
      </c>
      <c r="AA278" s="80">
        <f t="shared" si="68"/>
        <v>1277.7499548801691</v>
      </c>
      <c r="AB278" s="52">
        <f t="shared" si="80"/>
        <v>1.903062176459832E-2</v>
      </c>
      <c r="AC278" s="48">
        <f t="shared" si="69"/>
        <v>-5.411255411255411E-3</v>
      </c>
      <c r="AD278" s="48">
        <f t="shared" si="70"/>
        <v>1.4150943396226415E-2</v>
      </c>
      <c r="AE278" s="48">
        <f t="shared" si="71"/>
        <v>3.4445640473627553E-2</v>
      </c>
      <c r="AF278" s="48" t="e">
        <f>(#REF!-#REF!)/#REF!</f>
        <v>#REF!</v>
      </c>
    </row>
    <row r="279" spans="1:32" s="73" customFormat="1" x14ac:dyDescent="0.3">
      <c r="A279" s="48">
        <v>20190220</v>
      </c>
      <c r="B279" s="48" t="s">
        <v>88</v>
      </c>
      <c r="C279" s="79">
        <v>0.25</v>
      </c>
      <c r="D279" s="79">
        <f t="shared" si="72"/>
        <v>0.27174618399626804</v>
      </c>
      <c r="E279" s="49">
        <v>45950</v>
      </c>
      <c r="F279" s="49">
        <v>46900</v>
      </c>
      <c r="G279" s="49">
        <v>5969782550</v>
      </c>
      <c r="H279" s="49">
        <f t="shared" si="73"/>
        <v>0.284591610106607</v>
      </c>
      <c r="I279" s="49">
        <f t="shared" si="81"/>
        <v>0.29929771677029099</v>
      </c>
      <c r="J279" s="48">
        <v>0.25</v>
      </c>
      <c r="K279" s="48">
        <f t="shared" si="74"/>
        <v>0.2151639163374103</v>
      </c>
      <c r="L279" s="48">
        <v>215000</v>
      </c>
      <c r="M279" s="48">
        <v>213500</v>
      </c>
      <c r="N279" s="51">
        <v>125461438</v>
      </c>
      <c r="O279" s="48">
        <f t="shared" si="75"/>
        <v>2.35542704712624</v>
      </c>
      <c r="P279" s="48">
        <f t="shared" si="82"/>
        <v>2.4770376326489298</v>
      </c>
      <c r="Q279" s="49">
        <v>0.5</v>
      </c>
      <c r="R279" s="49">
        <f t="shared" si="76"/>
        <v>0.51308989966632168</v>
      </c>
      <c r="S279" s="49">
        <v>288300</v>
      </c>
      <c r="T279" s="49">
        <v>290600</v>
      </c>
      <c r="U279" s="49">
        <v>15956260</v>
      </c>
      <c r="V279" s="49">
        <f t="shared" si="77"/>
        <v>32.445669845696102</v>
      </c>
      <c r="W279" s="49">
        <f t="shared" si="83"/>
        <v>34.122281047785798</v>
      </c>
      <c r="X279" s="82">
        <f t="shared" si="78"/>
        <v>1</v>
      </c>
      <c r="Y279" s="82">
        <f t="shared" si="79"/>
        <v>239394183448972.72</v>
      </c>
      <c r="Z279" s="81">
        <f t="shared" si="84"/>
        <v>308369420390770.62</v>
      </c>
      <c r="AA279" s="80">
        <f t="shared" si="68"/>
        <v>1288.1241137443931</v>
      </c>
      <c r="AB279" s="52">
        <f t="shared" si="80"/>
        <v>8.1190837257332695E-3</v>
      </c>
      <c r="AC279" s="48">
        <f t="shared" si="69"/>
        <v>2.0674646354733407E-2</v>
      </c>
      <c r="AD279" s="48">
        <f t="shared" si="70"/>
        <v>-6.9767441860465115E-3</v>
      </c>
      <c r="AE279" s="48">
        <f t="shared" si="71"/>
        <v>7.9778009018383628E-3</v>
      </c>
      <c r="AF279" s="48" t="e">
        <f>(#REF!-#REF!)/#REF!</f>
        <v>#REF!</v>
      </c>
    </row>
    <row r="280" spans="1:32" x14ac:dyDescent="0.3">
      <c r="A280" s="48">
        <v>20190221</v>
      </c>
      <c r="B280" s="48" t="s">
        <v>88</v>
      </c>
      <c r="C280" s="79">
        <v>0.25</v>
      </c>
      <c r="D280" s="79">
        <f t="shared" si="72"/>
        <v>0.27527315100810662</v>
      </c>
      <c r="E280" s="49">
        <v>46900</v>
      </c>
      <c r="F280" s="49">
        <v>46950</v>
      </c>
      <c r="G280" s="49">
        <v>5969782550</v>
      </c>
      <c r="H280" s="49">
        <f t="shared" si="73"/>
        <v>0.29929771677029099</v>
      </c>
      <c r="I280" s="49">
        <f t="shared" si="81"/>
        <v>0.29929771677029099</v>
      </c>
      <c r="J280" s="48">
        <v>0.25</v>
      </c>
      <c r="K280" s="48">
        <f t="shared" si="74"/>
        <v>0.21160567382300982</v>
      </c>
      <c r="L280" s="48">
        <v>213500</v>
      </c>
      <c r="M280" s="48">
        <v>207500</v>
      </c>
      <c r="N280" s="51">
        <v>125461438</v>
      </c>
      <c r="O280" s="48">
        <f t="shared" si="75"/>
        <v>2.4770376326489298</v>
      </c>
      <c r="P280" s="48">
        <f t="shared" si="82"/>
        <v>2.4770376326489298</v>
      </c>
      <c r="Q280" s="49">
        <v>0.5</v>
      </c>
      <c r="R280" s="49">
        <f t="shared" si="76"/>
        <v>0.51312117516888367</v>
      </c>
      <c r="S280" s="49">
        <v>290600</v>
      </c>
      <c r="T280" s="49">
        <v>287200</v>
      </c>
      <c r="U280" s="49">
        <v>15956260</v>
      </c>
      <c r="V280" s="49">
        <f t="shared" si="77"/>
        <v>34.122281047785798</v>
      </c>
      <c r="W280" s="49">
        <f t="shared" si="83"/>
        <v>34.122281047785798</v>
      </c>
      <c r="X280" s="82">
        <f t="shared" si="78"/>
        <v>0</v>
      </c>
      <c r="Y280" s="82">
        <f t="shared" si="79"/>
        <v>239394183448972.72</v>
      </c>
      <c r="Z280" s="81">
        <f t="shared" si="84"/>
        <v>304742943725027.37</v>
      </c>
      <c r="AA280" s="80">
        <f t="shared" si="68"/>
        <v>1272.9755557740352</v>
      </c>
      <c r="AB280" s="52">
        <f t="shared" si="80"/>
        <v>-1.1760169543230694E-2</v>
      </c>
      <c r="AC280" s="48">
        <f t="shared" si="69"/>
        <v>1.0660980810234541E-3</v>
      </c>
      <c r="AD280" s="48">
        <f t="shared" si="70"/>
        <v>-2.8103044496487119E-2</v>
      </c>
      <c r="AE280" s="48">
        <f t="shared" si="71"/>
        <v>-1.1699931176875429E-2</v>
      </c>
      <c r="AF280" s="48" t="e">
        <f>(#REF!-#REF!)/#REF!</f>
        <v>#REF!</v>
      </c>
    </row>
    <row r="281" spans="1:32" x14ac:dyDescent="0.3">
      <c r="A281" s="48">
        <v>20190222</v>
      </c>
      <c r="B281" s="48" t="s">
        <v>88</v>
      </c>
      <c r="C281" s="79">
        <v>0.25</v>
      </c>
      <c r="D281" s="79">
        <f t="shared" si="72"/>
        <v>0.27611478941363854</v>
      </c>
      <c r="E281" s="49">
        <v>46950</v>
      </c>
      <c r="F281" s="49">
        <v>47150</v>
      </c>
      <c r="G281" s="49">
        <v>5969782550</v>
      </c>
      <c r="H281" s="49">
        <f t="shared" si="73"/>
        <v>0.29929771677029099</v>
      </c>
      <c r="I281" s="49">
        <f t="shared" si="81"/>
        <v>0.29929771677029099</v>
      </c>
      <c r="J281" s="48">
        <v>0.25</v>
      </c>
      <c r="K281" s="48">
        <f t="shared" si="74"/>
        <v>0.21084303897565387</v>
      </c>
      <c r="L281" s="48">
        <v>207500</v>
      </c>
      <c r="M281" s="48">
        <v>207000</v>
      </c>
      <c r="N281" s="51">
        <v>125461438</v>
      </c>
      <c r="O281" s="48">
        <f t="shared" si="75"/>
        <v>2.4770376326489298</v>
      </c>
      <c r="P281" s="48">
        <f t="shared" si="82"/>
        <v>2.4770376326489298</v>
      </c>
      <c r="Q281" s="49">
        <v>0.5</v>
      </c>
      <c r="R281" s="49">
        <f t="shared" si="76"/>
        <v>0.51304217161070764</v>
      </c>
      <c r="S281" s="49">
        <v>287200</v>
      </c>
      <c r="T281" s="49">
        <v>287500</v>
      </c>
      <c r="U281" s="49">
        <v>15956260</v>
      </c>
      <c r="V281" s="49">
        <f t="shared" si="77"/>
        <v>34.122281047785798</v>
      </c>
      <c r="W281" s="49">
        <f t="shared" si="83"/>
        <v>34.122281047785798</v>
      </c>
      <c r="X281" s="82">
        <f t="shared" si="78"/>
        <v>0</v>
      </c>
      <c r="Y281" s="82">
        <f t="shared" si="79"/>
        <v>239394183448972.72</v>
      </c>
      <c r="Z281" s="81">
        <f t="shared" si="84"/>
        <v>305108245027164.75</v>
      </c>
      <c r="AA281" s="80">
        <f t="shared" si="68"/>
        <v>1274.5014963665526</v>
      </c>
      <c r="AB281" s="52">
        <f t="shared" si="80"/>
        <v>1.1987194770519544E-3</v>
      </c>
      <c r="AC281" s="48">
        <f t="shared" si="69"/>
        <v>4.2598509052183178E-3</v>
      </c>
      <c r="AD281" s="48">
        <f t="shared" si="70"/>
        <v>-2.4096385542168677E-3</v>
      </c>
      <c r="AE281" s="48">
        <f t="shared" si="71"/>
        <v>1.0445682451253482E-3</v>
      </c>
      <c r="AF281" s="48" t="e">
        <f>(#REF!-#REF!)/#REF!</f>
        <v>#REF!</v>
      </c>
    </row>
    <row r="282" spans="1:32" x14ac:dyDescent="0.3">
      <c r="A282" s="48">
        <v>20190225</v>
      </c>
      <c r="B282" s="48" t="s">
        <v>88</v>
      </c>
      <c r="C282" s="79">
        <v>0.25</v>
      </c>
      <c r="D282" s="79">
        <f t="shared" si="72"/>
        <v>0.28006274696004518</v>
      </c>
      <c r="E282" s="49">
        <v>47150</v>
      </c>
      <c r="F282" s="49">
        <v>47350</v>
      </c>
      <c r="G282" s="49">
        <v>5969782550</v>
      </c>
      <c r="H282" s="49">
        <f t="shared" si="73"/>
        <v>0.29929771677029099</v>
      </c>
      <c r="I282" s="49">
        <f t="shared" si="81"/>
        <v>0.29929771677029099</v>
      </c>
      <c r="J282" s="48">
        <v>0.25</v>
      </c>
      <c r="K282" s="48">
        <f t="shared" si="74"/>
        <v>0.20986812284329329</v>
      </c>
      <c r="L282" s="48">
        <v>207000</v>
      </c>
      <c r="M282" s="48">
        <v>204000</v>
      </c>
      <c r="N282" s="51">
        <v>125461438</v>
      </c>
      <c r="O282" s="48">
        <f t="shared" si="75"/>
        <v>2.4770376326489298</v>
      </c>
      <c r="P282" s="48">
        <f t="shared" si="82"/>
        <v>2.4770376326489298</v>
      </c>
      <c r="Q282" s="49">
        <v>0.5</v>
      </c>
      <c r="R282" s="49">
        <f t="shared" si="76"/>
        <v>0.51006913019666145</v>
      </c>
      <c r="S282" s="49">
        <v>287500</v>
      </c>
      <c r="T282" s="49">
        <v>283000</v>
      </c>
      <c r="U282" s="49">
        <v>15956260</v>
      </c>
      <c r="V282" s="49">
        <f t="shared" si="77"/>
        <v>34.122281047785798</v>
      </c>
      <c r="W282" s="49">
        <f t="shared" si="83"/>
        <v>34.122281047785798</v>
      </c>
      <c r="X282" s="82">
        <f t="shared" si="78"/>
        <v>0</v>
      </c>
      <c r="Y282" s="82">
        <f t="shared" si="79"/>
        <v>239394183448972.72</v>
      </c>
      <c r="Z282" s="81">
        <f t="shared" si="84"/>
        <v>302083187427552.12</v>
      </c>
      <c r="AA282" s="80">
        <f t="shared" si="68"/>
        <v>1261.8651926935463</v>
      </c>
      <c r="AB282" s="52">
        <f t="shared" si="80"/>
        <v>-9.9147028928807442E-3</v>
      </c>
      <c r="AC282" s="48">
        <f t="shared" si="69"/>
        <v>4.2417815482502655E-3</v>
      </c>
      <c r="AD282" s="48">
        <f t="shared" si="70"/>
        <v>-1.4492753623188406E-2</v>
      </c>
      <c r="AE282" s="48">
        <f t="shared" si="71"/>
        <v>-1.5652173913043479E-2</v>
      </c>
      <c r="AF282" s="48" t="e">
        <f>(#REF!-#REF!)/#REF!</f>
        <v>#REF!</v>
      </c>
    </row>
    <row r="283" spans="1:32" x14ac:dyDescent="0.3">
      <c r="A283" s="48">
        <v>20190226</v>
      </c>
      <c r="B283" s="48" t="s">
        <v>88</v>
      </c>
      <c r="C283" s="79">
        <v>0.25</v>
      </c>
      <c r="D283" s="79">
        <f t="shared" si="72"/>
        <v>0.27810970039481381</v>
      </c>
      <c r="E283" s="49">
        <v>47350</v>
      </c>
      <c r="F283" s="49">
        <v>46750</v>
      </c>
      <c r="G283" s="49">
        <v>5969782550</v>
      </c>
      <c r="H283" s="49">
        <f t="shared" si="73"/>
        <v>0.29929771677029099</v>
      </c>
      <c r="I283" s="49">
        <f t="shared" si="81"/>
        <v>0.29929771677029099</v>
      </c>
      <c r="J283" s="48">
        <v>0.25</v>
      </c>
      <c r="K283" s="48">
        <f t="shared" si="74"/>
        <v>0.21159664823693919</v>
      </c>
      <c r="L283" s="48">
        <v>204000</v>
      </c>
      <c r="M283" s="48">
        <v>204500</v>
      </c>
      <c r="N283" s="51">
        <v>125461438</v>
      </c>
      <c r="O283" s="48">
        <f t="shared" si="75"/>
        <v>2.4770376326489298</v>
      </c>
      <c r="P283" s="48">
        <f t="shared" si="82"/>
        <v>2.4770376326489298</v>
      </c>
      <c r="Q283" s="49">
        <v>0.5</v>
      </c>
      <c r="R283" s="49">
        <f t="shared" si="76"/>
        <v>0.51029365136824689</v>
      </c>
      <c r="S283" s="49">
        <v>283000</v>
      </c>
      <c r="T283" s="49">
        <v>281500</v>
      </c>
      <c r="U283" s="49">
        <v>15956260</v>
      </c>
      <c r="V283" s="49">
        <f t="shared" si="77"/>
        <v>34.122281047785798</v>
      </c>
      <c r="W283" s="49">
        <f t="shared" si="83"/>
        <v>34.122281047785798</v>
      </c>
      <c r="X283" s="82">
        <f t="shared" si="78"/>
        <v>0</v>
      </c>
      <c r="Y283" s="82">
        <f t="shared" si="79"/>
        <v>239394183448972.72</v>
      </c>
      <c r="Z283" s="81">
        <f t="shared" si="84"/>
        <v>300349832424852.87</v>
      </c>
      <c r="AA283" s="80">
        <f t="shared" si="68"/>
        <v>1254.6246032283946</v>
      </c>
      <c r="AB283" s="52">
        <f t="shared" si="80"/>
        <v>-5.7380055390038607E-3</v>
      </c>
      <c r="AC283" s="48">
        <f t="shared" si="69"/>
        <v>-1.2671594508975714E-2</v>
      </c>
      <c r="AD283" s="48">
        <f t="shared" si="70"/>
        <v>2.4509803921568627E-3</v>
      </c>
      <c r="AE283" s="48">
        <f t="shared" si="71"/>
        <v>-5.3003533568904597E-3</v>
      </c>
      <c r="AF283" s="48" t="e">
        <f>(#REF!-#REF!)/#REF!</f>
        <v>#REF!</v>
      </c>
    </row>
    <row r="284" spans="1:32" x14ac:dyDescent="0.3">
      <c r="A284" s="48">
        <v>20190227</v>
      </c>
      <c r="B284" s="48" t="s">
        <v>88</v>
      </c>
      <c r="C284" s="79">
        <v>0.25</v>
      </c>
      <c r="D284" s="79">
        <f t="shared" si="72"/>
        <v>0.28082897363894538</v>
      </c>
      <c r="E284" s="49">
        <v>46750</v>
      </c>
      <c r="F284" s="49">
        <v>46750</v>
      </c>
      <c r="G284" s="49">
        <v>5969782550</v>
      </c>
      <c r="H284" s="49">
        <f t="shared" si="73"/>
        <v>0.29929771677029099</v>
      </c>
      <c r="I284" s="49">
        <f t="shared" si="81"/>
        <v>0.29929771677029099</v>
      </c>
      <c r="J284" s="48">
        <v>0.25</v>
      </c>
      <c r="K284" s="48">
        <f t="shared" si="74"/>
        <v>0.2115759379116747</v>
      </c>
      <c r="L284" s="48">
        <v>204500</v>
      </c>
      <c r="M284" s="48">
        <v>202500</v>
      </c>
      <c r="N284" s="51">
        <v>125461438</v>
      </c>
      <c r="O284" s="48">
        <f t="shared" si="75"/>
        <v>2.4770376326489298</v>
      </c>
      <c r="P284" s="48">
        <f t="shared" si="82"/>
        <v>2.4770376326489298</v>
      </c>
      <c r="Q284" s="49">
        <v>0.5</v>
      </c>
      <c r="R284" s="49">
        <f t="shared" si="76"/>
        <v>0.50759508844937995</v>
      </c>
      <c r="S284" s="49">
        <v>281500</v>
      </c>
      <c r="T284" s="49">
        <v>277300</v>
      </c>
      <c r="U284" s="49">
        <v>15956260</v>
      </c>
      <c r="V284" s="49">
        <f t="shared" si="77"/>
        <v>34.122281047785798</v>
      </c>
      <c r="W284" s="49">
        <f t="shared" si="83"/>
        <v>34.122281047785798</v>
      </c>
      <c r="X284" s="82">
        <f t="shared" si="78"/>
        <v>0</v>
      </c>
      <c r="Y284" s="82">
        <f t="shared" si="79"/>
        <v>239394183448972.72</v>
      </c>
      <c r="Z284" s="81">
        <f t="shared" si="84"/>
        <v>297441538267703.87</v>
      </c>
      <c r="AA284" s="80">
        <f t="shared" si="68"/>
        <v>1242.476045083627</v>
      </c>
      <c r="AB284" s="52">
        <f t="shared" si="80"/>
        <v>-9.6830224064687817E-3</v>
      </c>
      <c r="AC284" s="48">
        <f t="shared" si="69"/>
        <v>0</v>
      </c>
      <c r="AD284" s="48">
        <f t="shared" si="70"/>
        <v>-9.7799511002444987E-3</v>
      </c>
      <c r="AE284" s="48">
        <f t="shared" si="71"/>
        <v>-1.4920071047957371E-2</v>
      </c>
      <c r="AF284" s="48" t="e">
        <f>(#REF!-#REF!)/#REF!</f>
        <v>#REF!</v>
      </c>
    </row>
    <row r="285" spans="1:32" x14ac:dyDescent="0.3">
      <c r="A285" s="48">
        <v>20190228</v>
      </c>
      <c r="B285" s="48" t="s">
        <v>88</v>
      </c>
      <c r="C285" s="79">
        <v>0.25</v>
      </c>
      <c r="D285" s="79">
        <f t="shared" si="72"/>
        <v>0.27280152836623156</v>
      </c>
      <c r="E285" s="49">
        <v>46750</v>
      </c>
      <c r="F285" s="49">
        <v>45100</v>
      </c>
      <c r="G285" s="49">
        <v>5969782550</v>
      </c>
      <c r="H285" s="49">
        <f t="shared" si="73"/>
        <v>0.29929771677029099</v>
      </c>
      <c r="I285" s="49">
        <f t="shared" si="81"/>
        <v>0.29929771677029099</v>
      </c>
      <c r="J285" s="48">
        <v>0.25</v>
      </c>
      <c r="K285" s="48">
        <f t="shared" si="74"/>
        <v>0.21515156986667411</v>
      </c>
      <c r="L285" s="48">
        <v>202500</v>
      </c>
      <c r="M285" s="48">
        <v>204500</v>
      </c>
      <c r="N285" s="51">
        <v>125461438</v>
      </c>
      <c r="O285" s="48">
        <f t="shared" si="75"/>
        <v>2.4770376326489298</v>
      </c>
      <c r="P285" s="48">
        <f t="shared" si="82"/>
        <v>2.4770376326489298</v>
      </c>
      <c r="Q285" s="49">
        <v>0.5</v>
      </c>
      <c r="R285" s="49">
        <f t="shared" si="76"/>
        <v>0.51204690176709444</v>
      </c>
      <c r="S285" s="49">
        <v>277300</v>
      </c>
      <c r="T285" s="49">
        <v>277800</v>
      </c>
      <c r="U285" s="49">
        <v>15956260</v>
      </c>
      <c r="V285" s="49">
        <f t="shared" si="77"/>
        <v>34.122281047785798</v>
      </c>
      <c r="W285" s="49">
        <f t="shared" si="83"/>
        <v>34.122281047785798</v>
      </c>
      <c r="X285" s="82">
        <f t="shared" si="78"/>
        <v>0</v>
      </c>
      <c r="Y285" s="82">
        <f t="shared" si="79"/>
        <v>239394183448972.72</v>
      </c>
      <c r="Z285" s="81">
        <f t="shared" si="84"/>
        <v>295387190895274.37</v>
      </c>
      <c r="AA285" s="80">
        <f t="shared" si="68"/>
        <v>1233.8946027827642</v>
      </c>
      <c r="AB285" s="52">
        <f t="shared" si="80"/>
        <v>-6.9067265600965605E-3</v>
      </c>
      <c r="AC285" s="48">
        <f t="shared" si="69"/>
        <v>-3.5294117647058823E-2</v>
      </c>
      <c r="AD285" s="48">
        <f t="shared" si="70"/>
        <v>9.876543209876543E-3</v>
      </c>
      <c r="AE285" s="48">
        <f t="shared" si="71"/>
        <v>1.8031013342949874E-3</v>
      </c>
      <c r="AF285" s="48" t="e">
        <f>(#REF!-#REF!)/#REF!</f>
        <v>#REF!</v>
      </c>
    </row>
    <row r="286" spans="1:32" x14ac:dyDescent="0.3">
      <c r="A286" s="48">
        <v>20190304</v>
      </c>
      <c r="B286" s="48" t="s">
        <v>88</v>
      </c>
      <c r="C286" s="79">
        <v>0.25</v>
      </c>
      <c r="D286" s="79">
        <f t="shared" si="72"/>
        <v>0.26451614236315873</v>
      </c>
      <c r="E286" s="49">
        <v>45100</v>
      </c>
      <c r="F286" s="49">
        <v>44850</v>
      </c>
      <c r="G286" s="49">
        <v>5969782550</v>
      </c>
      <c r="H286" s="49">
        <f t="shared" si="73"/>
        <v>0.29929771677029099</v>
      </c>
      <c r="I286" s="49">
        <f t="shared" si="81"/>
        <v>0.29929771677029099</v>
      </c>
      <c r="J286" s="48">
        <v>0.25</v>
      </c>
      <c r="K286" s="48">
        <f t="shared" si="74"/>
        <v>0.21285741507514455</v>
      </c>
      <c r="L286" s="48">
        <v>204500</v>
      </c>
      <c r="M286" s="48">
        <v>207500</v>
      </c>
      <c r="N286" s="51">
        <v>125461438</v>
      </c>
      <c r="O286" s="48">
        <f t="shared" si="75"/>
        <v>2.4770376326489298</v>
      </c>
      <c r="P286" s="48">
        <f t="shared" si="82"/>
        <v>2.4770376326489298</v>
      </c>
      <c r="Q286" s="49">
        <v>0.5</v>
      </c>
      <c r="R286" s="49">
        <f t="shared" si="76"/>
        <v>0.52262644256169677</v>
      </c>
      <c r="S286" s="49">
        <v>277800</v>
      </c>
      <c r="T286" s="49">
        <v>290800</v>
      </c>
      <c r="U286" s="49">
        <v>15956260</v>
      </c>
      <c r="V286" s="49">
        <f t="shared" si="77"/>
        <v>34.122281047785798</v>
      </c>
      <c r="W286" s="49">
        <f t="shared" si="83"/>
        <v>34.122281047785798</v>
      </c>
      <c r="X286" s="82">
        <f t="shared" si="78"/>
        <v>0</v>
      </c>
      <c r="Y286" s="82">
        <f t="shared" si="79"/>
        <v>239394183448972.72</v>
      </c>
      <c r="Z286" s="81">
        <f t="shared" si="84"/>
        <v>302950855280173.69</v>
      </c>
      <c r="AA286" s="80">
        <f t="shared" si="68"/>
        <v>1265.489624332281</v>
      </c>
      <c r="AB286" s="52">
        <f t="shared" si="80"/>
        <v>2.5605932207063323E-2</v>
      </c>
      <c r="AC286" s="48">
        <f t="shared" si="69"/>
        <v>-5.5432372505543242E-3</v>
      </c>
      <c r="AD286" s="48">
        <f t="shared" si="70"/>
        <v>1.4669926650366748E-2</v>
      </c>
      <c r="AE286" s="48">
        <f t="shared" si="71"/>
        <v>4.679625629949604E-2</v>
      </c>
      <c r="AF286" s="48" t="e">
        <f>(#REF!-#REF!)/#REF!</f>
        <v>#REF!</v>
      </c>
    </row>
    <row r="287" spans="1:32" x14ac:dyDescent="0.3">
      <c r="A287" s="48">
        <v>20190305</v>
      </c>
      <c r="B287" s="48" t="s">
        <v>88</v>
      </c>
      <c r="C287" s="79">
        <v>0.25</v>
      </c>
      <c r="D287" s="79">
        <f t="shared" si="72"/>
        <v>0.25789160444738174</v>
      </c>
      <c r="E287" s="49">
        <v>44850</v>
      </c>
      <c r="F287" s="49">
        <v>44250</v>
      </c>
      <c r="G287" s="49">
        <v>5969782550</v>
      </c>
      <c r="H287" s="49">
        <f t="shared" si="73"/>
        <v>0.29929771677029099</v>
      </c>
      <c r="I287" s="49">
        <f t="shared" si="81"/>
        <v>0.29929771677029099</v>
      </c>
      <c r="J287" s="48">
        <v>0.25</v>
      </c>
      <c r="K287" s="48">
        <f t="shared" si="74"/>
        <v>0.21287476105822309</v>
      </c>
      <c r="L287" s="48">
        <v>207500</v>
      </c>
      <c r="M287" s="48">
        <v>210000</v>
      </c>
      <c r="N287" s="51">
        <v>125461438</v>
      </c>
      <c r="O287" s="48">
        <f t="shared" si="75"/>
        <v>2.4770376326489298</v>
      </c>
      <c r="P287" s="48">
        <f t="shared" si="82"/>
        <v>2.4770376326489298</v>
      </c>
      <c r="Q287" s="49">
        <v>0.5</v>
      </c>
      <c r="R287" s="49">
        <f t="shared" si="76"/>
        <v>0.52923363449439509</v>
      </c>
      <c r="S287" s="49">
        <v>290800</v>
      </c>
      <c r="T287" s="49">
        <v>298000</v>
      </c>
      <c r="U287" s="49">
        <v>15956260</v>
      </c>
      <c r="V287" s="49">
        <f t="shared" si="77"/>
        <v>34.122281047785798</v>
      </c>
      <c r="W287" s="49">
        <f t="shared" si="83"/>
        <v>34.122281047785798</v>
      </c>
      <c r="X287" s="82">
        <f t="shared" si="78"/>
        <v>0</v>
      </c>
      <c r="Y287" s="82">
        <f t="shared" si="79"/>
        <v>239394183448972.72</v>
      </c>
      <c r="Z287" s="81">
        <f t="shared" si="84"/>
        <v>306575882381485.37</v>
      </c>
      <c r="AA287" s="80">
        <f t="shared" si="68"/>
        <v>1280.6321271662498</v>
      </c>
      <c r="AB287" s="52">
        <f t="shared" si="80"/>
        <v>1.1965726579511518E-2</v>
      </c>
      <c r="AC287" s="48">
        <f t="shared" si="69"/>
        <v>-1.3377926421404682E-2</v>
      </c>
      <c r="AD287" s="48">
        <f t="shared" si="70"/>
        <v>1.2048192771084338E-2</v>
      </c>
      <c r="AE287" s="48">
        <f t="shared" si="71"/>
        <v>2.4759284731774415E-2</v>
      </c>
      <c r="AF287" s="48" t="e">
        <f>(#REF!-#REF!)/#REF!</f>
        <v>#REF!</v>
      </c>
    </row>
    <row r="288" spans="1:32" x14ac:dyDescent="0.3">
      <c r="A288" s="48">
        <v>20190306</v>
      </c>
      <c r="B288" s="48" t="s">
        <v>88</v>
      </c>
      <c r="C288" s="79">
        <v>0.25</v>
      </c>
      <c r="D288" s="79">
        <f t="shared" si="72"/>
        <v>0.25673078160010093</v>
      </c>
      <c r="E288" s="49">
        <v>44250</v>
      </c>
      <c r="F288" s="49">
        <v>44000</v>
      </c>
      <c r="G288" s="49">
        <v>5969782550</v>
      </c>
      <c r="H288" s="49">
        <f t="shared" si="73"/>
        <v>0.29929771677029099</v>
      </c>
      <c r="I288" s="49">
        <f t="shared" si="81"/>
        <v>0.29929771677029099</v>
      </c>
      <c r="J288" s="48">
        <v>0.25</v>
      </c>
      <c r="K288" s="48">
        <f t="shared" si="74"/>
        <v>0.21413549982757307</v>
      </c>
      <c r="L288" s="48">
        <v>210000</v>
      </c>
      <c r="M288" s="48">
        <v>211000</v>
      </c>
      <c r="N288" s="51">
        <v>125461438</v>
      </c>
      <c r="O288" s="48">
        <f t="shared" si="75"/>
        <v>2.4770376326489298</v>
      </c>
      <c r="P288" s="48">
        <f t="shared" si="82"/>
        <v>2.4770376326489298</v>
      </c>
      <c r="Q288" s="49">
        <v>0.5</v>
      </c>
      <c r="R288" s="49">
        <f t="shared" si="76"/>
        <v>0.52913371857232583</v>
      </c>
      <c r="S288" s="49">
        <v>298000</v>
      </c>
      <c r="T288" s="49">
        <v>297600</v>
      </c>
      <c r="U288" s="49">
        <v>15956260</v>
      </c>
      <c r="V288" s="49">
        <f t="shared" si="77"/>
        <v>34.122281047785798</v>
      </c>
      <c r="W288" s="49">
        <f t="shared" si="83"/>
        <v>34.122281047785798</v>
      </c>
      <c r="X288" s="82">
        <f t="shared" si="78"/>
        <v>0</v>
      </c>
      <c r="Y288" s="82">
        <f t="shared" si="79"/>
        <v>239394183448972.72</v>
      </c>
      <c r="Z288" s="81">
        <f t="shared" si="84"/>
        <v>306222183917873.5</v>
      </c>
      <c r="AA288" s="80">
        <f t="shared" si="68"/>
        <v>1279.1546540776556</v>
      </c>
      <c r="AB288" s="52">
        <f t="shared" si="80"/>
        <v>-1.1537060934614896E-3</v>
      </c>
      <c r="AC288" s="48">
        <f t="shared" si="69"/>
        <v>-5.6497175141242938E-3</v>
      </c>
      <c r="AD288" s="48">
        <f t="shared" si="70"/>
        <v>4.7619047619047623E-3</v>
      </c>
      <c r="AE288" s="48">
        <f t="shared" si="71"/>
        <v>-1.3422818791946308E-3</v>
      </c>
      <c r="AF288" s="48" t="e">
        <f>(#REF!-#REF!)/#REF!</f>
        <v>#REF!</v>
      </c>
    </row>
    <row r="289" spans="1:32" x14ac:dyDescent="0.3">
      <c r="A289" s="48">
        <v>20190307</v>
      </c>
      <c r="B289" s="48" t="s">
        <v>88</v>
      </c>
      <c r="C289" s="79">
        <v>0.25</v>
      </c>
      <c r="D289" s="79">
        <f t="shared" si="72"/>
        <v>0.26617439517349356</v>
      </c>
      <c r="E289" s="49">
        <v>44000</v>
      </c>
      <c r="F289" s="49">
        <v>44450</v>
      </c>
      <c r="G289" s="49">
        <v>5969782550</v>
      </c>
      <c r="H289" s="49">
        <f t="shared" si="73"/>
        <v>0.29929771677029099</v>
      </c>
      <c r="I289" s="49">
        <f t="shared" si="81"/>
        <v>0.29929771677029099</v>
      </c>
      <c r="J289" s="48">
        <v>0.25</v>
      </c>
      <c r="K289" s="48">
        <f t="shared" si="74"/>
        <v>0.21559853513432195</v>
      </c>
      <c r="L289" s="48">
        <v>211000</v>
      </c>
      <c r="M289" s="48">
        <v>207000</v>
      </c>
      <c r="N289" s="51">
        <v>125461438</v>
      </c>
      <c r="O289" s="48">
        <f t="shared" si="75"/>
        <v>2.4770376326489298</v>
      </c>
      <c r="P289" s="48">
        <f t="shared" si="82"/>
        <v>2.4770376326489298</v>
      </c>
      <c r="Q289" s="49">
        <v>0.5</v>
      </c>
      <c r="R289" s="49">
        <f t="shared" si="76"/>
        <v>0.51822706969218457</v>
      </c>
      <c r="S289" s="49">
        <v>297600</v>
      </c>
      <c r="T289" s="49">
        <v>284000</v>
      </c>
      <c r="U289" s="49">
        <v>15956260</v>
      </c>
      <c r="V289" s="49">
        <f t="shared" si="77"/>
        <v>34.122281047785798</v>
      </c>
      <c r="W289" s="49">
        <f t="shared" si="83"/>
        <v>34.122281047785798</v>
      </c>
      <c r="X289" s="82">
        <f t="shared" si="78"/>
        <v>0</v>
      </c>
      <c r="Y289" s="82">
        <f t="shared" si="79"/>
        <v>239394183448972.72</v>
      </c>
      <c r="Z289" s="81">
        <f t="shared" si="84"/>
        <v>298378416894053</v>
      </c>
      <c r="AA289" s="80">
        <f t="shared" si="68"/>
        <v>1246.3895847229426</v>
      </c>
      <c r="AB289" s="52">
        <f t="shared" si="80"/>
        <v>-2.5614627011882694E-2</v>
      </c>
      <c r="AC289" s="48">
        <f t="shared" si="69"/>
        <v>1.0227272727272727E-2</v>
      </c>
      <c r="AD289" s="48">
        <f t="shared" si="70"/>
        <v>-1.8957345971563982E-2</v>
      </c>
      <c r="AE289" s="48">
        <f t="shared" si="71"/>
        <v>-4.5698924731182797E-2</v>
      </c>
      <c r="AF289" s="48" t="e">
        <f>(#REF!-#REF!)/#REF!</f>
        <v>#REF!</v>
      </c>
    </row>
    <row r="290" spans="1:32" x14ac:dyDescent="0.3">
      <c r="A290" s="48">
        <v>20190308</v>
      </c>
      <c r="B290" s="48" t="s">
        <v>88</v>
      </c>
      <c r="C290" s="79">
        <v>0.25</v>
      </c>
      <c r="D290" s="79">
        <f t="shared" si="72"/>
        <v>0.26479651228886986</v>
      </c>
      <c r="E290" s="49">
        <v>44450</v>
      </c>
      <c r="F290" s="49">
        <v>43800</v>
      </c>
      <c r="G290" s="49">
        <v>5969782550</v>
      </c>
      <c r="H290" s="49">
        <f t="shared" si="73"/>
        <v>0.29929771677029099</v>
      </c>
      <c r="I290" s="49">
        <f t="shared" si="81"/>
        <v>0.29929771677029099</v>
      </c>
      <c r="J290" s="48">
        <v>0.25</v>
      </c>
      <c r="K290" s="48">
        <f t="shared" si="74"/>
        <v>0.21661389926318039</v>
      </c>
      <c r="L290" s="48">
        <v>207000</v>
      </c>
      <c r="M290" s="48">
        <v>206000</v>
      </c>
      <c r="N290" s="51">
        <v>125461438</v>
      </c>
      <c r="O290" s="48">
        <f t="shared" si="75"/>
        <v>2.4770376326489298</v>
      </c>
      <c r="P290" s="48">
        <f t="shared" si="82"/>
        <v>2.4770376326489298</v>
      </c>
      <c r="Q290" s="49">
        <v>0.5</v>
      </c>
      <c r="R290" s="49">
        <f t="shared" si="76"/>
        <v>0.51858958844794967</v>
      </c>
      <c r="S290" s="49">
        <v>284000</v>
      </c>
      <c r="T290" s="49">
        <v>281500</v>
      </c>
      <c r="U290" s="49">
        <v>15956260</v>
      </c>
      <c r="V290" s="49">
        <f t="shared" si="77"/>
        <v>34.122281047785798</v>
      </c>
      <c r="W290" s="49">
        <f t="shared" si="83"/>
        <v>34.122281047785798</v>
      </c>
      <c r="X290" s="82">
        <f t="shared" si="78"/>
        <v>0</v>
      </c>
      <c r="Y290" s="82">
        <f t="shared" si="79"/>
        <v>239394183448972.72</v>
      </c>
      <c r="Z290" s="81">
        <f t="shared" si="84"/>
        <v>295545101733762.37</v>
      </c>
      <c r="AA290" s="80">
        <f t="shared" si="68"/>
        <v>1234.5542296634719</v>
      </c>
      <c r="AB290" s="52">
        <f t="shared" si="80"/>
        <v>-9.4957108150911865E-3</v>
      </c>
      <c r="AC290" s="48">
        <f t="shared" si="69"/>
        <v>-1.4623172103487065E-2</v>
      </c>
      <c r="AD290" s="48">
        <f t="shared" si="70"/>
        <v>-4.830917874396135E-3</v>
      </c>
      <c r="AE290" s="48">
        <f t="shared" si="71"/>
        <v>-8.8028169014084511E-3</v>
      </c>
      <c r="AF290" s="48" t="e">
        <f>(#REF!-#REF!)/#REF!</f>
        <v>#REF!</v>
      </c>
    </row>
    <row r="291" spans="1:32" x14ac:dyDescent="0.3">
      <c r="A291" s="48">
        <v>20190311</v>
      </c>
      <c r="B291" s="48" t="s">
        <v>88</v>
      </c>
      <c r="C291" s="79">
        <v>0.25</v>
      </c>
      <c r="D291" s="79">
        <f t="shared" si="72"/>
        <v>0.26122507464894201</v>
      </c>
      <c r="E291" s="49">
        <v>43800</v>
      </c>
      <c r="F291" s="49">
        <v>43650</v>
      </c>
      <c r="G291" s="49">
        <v>5969782550</v>
      </c>
      <c r="H291" s="49">
        <f t="shared" si="73"/>
        <v>0.29929771677029099</v>
      </c>
      <c r="I291" s="49">
        <f t="shared" si="81"/>
        <v>0.29929771677029099</v>
      </c>
      <c r="J291" s="48">
        <v>0.25</v>
      </c>
      <c r="K291" s="48">
        <f t="shared" si="74"/>
        <v>0.21338575540650243</v>
      </c>
      <c r="L291" s="48">
        <v>206000</v>
      </c>
      <c r="M291" s="48">
        <v>205000</v>
      </c>
      <c r="N291" s="51">
        <v>125461438</v>
      </c>
      <c r="O291" s="48">
        <f t="shared" si="75"/>
        <v>2.4770376326489298</v>
      </c>
      <c r="P291" s="48">
        <f t="shared" si="82"/>
        <v>2.4770376326489298</v>
      </c>
      <c r="Q291" s="49">
        <v>0.5</v>
      </c>
      <c r="R291" s="49">
        <f t="shared" si="76"/>
        <v>0.52538916994455565</v>
      </c>
      <c r="S291" s="49">
        <v>281500</v>
      </c>
      <c r="T291" s="49">
        <v>288100</v>
      </c>
      <c r="U291" s="49">
        <v>15956260</v>
      </c>
      <c r="V291" s="49">
        <f t="shared" si="77"/>
        <v>34.122281047785798</v>
      </c>
      <c r="W291" s="49">
        <f t="shared" si="83"/>
        <v>34.122281047785798</v>
      </c>
      <c r="X291" s="82">
        <f t="shared" si="78"/>
        <v>0</v>
      </c>
      <c r="Y291" s="82">
        <f t="shared" si="79"/>
        <v>239394183448972.72</v>
      </c>
      <c r="Z291" s="81">
        <f t="shared" si="84"/>
        <v>298559780009429.75</v>
      </c>
      <c r="AA291" s="80">
        <f t="shared" si="68"/>
        <v>1247.1471767110343</v>
      </c>
      <c r="AB291" s="52">
        <f t="shared" si="80"/>
        <v>1.0200400067476233E-2</v>
      </c>
      <c r="AC291" s="48">
        <f t="shared" si="69"/>
        <v>-3.4246575342465752E-3</v>
      </c>
      <c r="AD291" s="48">
        <f t="shared" si="70"/>
        <v>-4.8543689320388345E-3</v>
      </c>
      <c r="AE291" s="48">
        <f t="shared" si="71"/>
        <v>2.3445825932504442E-2</v>
      </c>
      <c r="AF291" s="48" t="e">
        <f>(#REF!-#REF!)/#REF!</f>
        <v>#REF!</v>
      </c>
    </row>
    <row r="292" spans="1:32" x14ac:dyDescent="0.3">
      <c r="A292" s="48">
        <v>20190312</v>
      </c>
      <c r="B292" s="48" t="s">
        <v>88</v>
      </c>
      <c r="C292" s="79">
        <v>0.25</v>
      </c>
      <c r="D292" s="79">
        <f t="shared" si="72"/>
        <v>0.25827713195964358</v>
      </c>
      <c r="E292" s="49">
        <v>43650</v>
      </c>
      <c r="F292" s="49">
        <v>44650</v>
      </c>
      <c r="G292" s="49">
        <v>5969782550</v>
      </c>
      <c r="H292" s="49">
        <f t="shared" si="73"/>
        <v>0.29929771677029099</v>
      </c>
      <c r="I292" s="49">
        <f t="shared" si="81"/>
        <v>0.29929771677029099</v>
      </c>
      <c r="J292" s="48">
        <v>0.25</v>
      </c>
      <c r="K292" s="48">
        <f t="shared" si="74"/>
        <v>0.21027697838913711</v>
      </c>
      <c r="L292" s="48">
        <v>205000</v>
      </c>
      <c r="M292" s="48">
        <v>209000</v>
      </c>
      <c r="N292" s="51">
        <v>125461438</v>
      </c>
      <c r="O292" s="48">
        <f t="shared" si="75"/>
        <v>2.4770376326489298</v>
      </c>
      <c r="P292" s="48">
        <f t="shared" si="82"/>
        <v>2.4770376326489298</v>
      </c>
      <c r="Q292" s="49">
        <v>0.5</v>
      </c>
      <c r="R292" s="49">
        <f t="shared" si="76"/>
        <v>0.53144588965121931</v>
      </c>
      <c r="S292" s="49">
        <v>288100</v>
      </c>
      <c r="T292" s="49">
        <v>301500</v>
      </c>
      <c r="U292" s="49">
        <v>15956260</v>
      </c>
      <c r="V292" s="49">
        <f t="shared" si="77"/>
        <v>34.122281047785798</v>
      </c>
      <c r="W292" s="49">
        <f t="shared" si="83"/>
        <v>34.122281047785798</v>
      </c>
      <c r="X292" s="82">
        <f t="shared" si="78"/>
        <v>0</v>
      </c>
      <c r="Y292" s="82">
        <f t="shared" si="79"/>
        <v>239394183448972.72</v>
      </c>
      <c r="Z292" s="81">
        <f t="shared" si="84"/>
        <v>308885430551515.56</v>
      </c>
      <c r="AA292" s="80">
        <f t="shared" si="68"/>
        <v>1290.2795970285345</v>
      </c>
      <c r="AB292" s="52">
        <f t="shared" si="80"/>
        <v>3.4584867867198027E-2</v>
      </c>
      <c r="AC292" s="48">
        <f t="shared" si="69"/>
        <v>2.2909507445589918E-2</v>
      </c>
      <c r="AD292" s="48">
        <f t="shared" si="70"/>
        <v>1.9512195121951219E-2</v>
      </c>
      <c r="AE292" s="48">
        <f t="shared" si="71"/>
        <v>4.6511627906976744E-2</v>
      </c>
      <c r="AF292" s="48" t="e">
        <f>(#REF!-#REF!)/#REF!</f>
        <v>#REF!</v>
      </c>
    </row>
    <row r="293" spans="1:32" x14ac:dyDescent="0.3">
      <c r="A293" s="48">
        <v>20190313</v>
      </c>
      <c r="B293" s="48" t="s">
        <v>88</v>
      </c>
      <c r="C293" s="79">
        <v>0.25</v>
      </c>
      <c r="D293" s="79">
        <f t="shared" si="72"/>
        <v>0.25046269646638303</v>
      </c>
      <c r="E293" s="49">
        <v>44650</v>
      </c>
      <c r="F293" s="49">
        <v>43850</v>
      </c>
      <c r="G293" s="49">
        <v>5969782550</v>
      </c>
      <c r="H293" s="49">
        <f t="shared" si="73"/>
        <v>0.29929771677029099</v>
      </c>
      <c r="I293" s="49">
        <f t="shared" si="81"/>
        <v>0.29929771677029099</v>
      </c>
      <c r="J293" s="48">
        <v>0.25</v>
      </c>
      <c r="K293" s="48">
        <f t="shared" si="74"/>
        <v>0.20614485729431734</v>
      </c>
      <c r="L293" s="48">
        <v>209000</v>
      </c>
      <c r="M293" s="48">
        <v>207500</v>
      </c>
      <c r="N293" s="51">
        <v>125461438</v>
      </c>
      <c r="O293" s="48">
        <f t="shared" si="75"/>
        <v>2.4770376326489298</v>
      </c>
      <c r="P293" s="48">
        <f t="shared" si="82"/>
        <v>2.4770376326489298</v>
      </c>
      <c r="Q293" s="49">
        <v>0.5</v>
      </c>
      <c r="R293" s="49">
        <f t="shared" si="76"/>
        <v>0.54339244623929961</v>
      </c>
      <c r="S293" s="49">
        <v>301500</v>
      </c>
      <c r="T293" s="49">
        <v>312200</v>
      </c>
      <c r="U293" s="49">
        <v>15956260</v>
      </c>
      <c r="V293" s="49">
        <f t="shared" si="77"/>
        <v>34.122281047785798</v>
      </c>
      <c r="W293" s="49">
        <f t="shared" si="83"/>
        <v>34.122281047785798</v>
      </c>
      <c r="X293" s="82">
        <f t="shared" si="78"/>
        <v>0</v>
      </c>
      <c r="Y293" s="82">
        <f t="shared" si="79"/>
        <v>239394183448972.72</v>
      </c>
      <c r="Z293" s="81">
        <f t="shared" si="84"/>
        <v>312815642340642.56</v>
      </c>
      <c r="AA293" s="80">
        <f t="shared" si="68"/>
        <v>1306.69692067652</v>
      </c>
      <c r="AB293" s="52">
        <f t="shared" si="80"/>
        <v>1.2723849687923471E-2</v>
      </c>
      <c r="AC293" s="48">
        <f t="shared" si="69"/>
        <v>-1.7917133258678612E-2</v>
      </c>
      <c r="AD293" s="48">
        <f t="shared" si="70"/>
        <v>-7.1770334928229667E-3</v>
      </c>
      <c r="AE293" s="48">
        <f t="shared" si="71"/>
        <v>3.5489220563847429E-2</v>
      </c>
      <c r="AF293" s="48" t="e">
        <f>(#REF!-#REF!)/#REF!</f>
        <v>#REF!</v>
      </c>
    </row>
    <row r="294" spans="1:32" x14ac:dyDescent="0.3">
      <c r="A294" s="48">
        <v>20190314</v>
      </c>
      <c r="B294" s="48" t="s">
        <v>88</v>
      </c>
      <c r="C294" s="79">
        <v>0.25</v>
      </c>
      <c r="D294" s="79">
        <f t="shared" si="72"/>
        <v>0.2532200214725574</v>
      </c>
      <c r="E294" s="49">
        <v>43850</v>
      </c>
      <c r="F294" s="49">
        <v>43850</v>
      </c>
      <c r="G294" s="49">
        <v>5969782550</v>
      </c>
      <c r="H294" s="49">
        <f t="shared" si="73"/>
        <v>0.29929771677029099</v>
      </c>
      <c r="I294" s="49">
        <f t="shared" si="81"/>
        <v>0.29929771677029099</v>
      </c>
      <c r="J294" s="48">
        <v>0.25</v>
      </c>
      <c r="K294" s="48">
        <f t="shared" si="74"/>
        <v>0.20690768120979525</v>
      </c>
      <c r="L294" s="48">
        <v>207500</v>
      </c>
      <c r="M294" s="48">
        <v>206000</v>
      </c>
      <c r="N294" s="51">
        <v>125461438</v>
      </c>
      <c r="O294" s="48">
        <f t="shared" si="75"/>
        <v>2.4770376326489298</v>
      </c>
      <c r="P294" s="48">
        <f t="shared" si="82"/>
        <v>2.4770376326489298</v>
      </c>
      <c r="Q294" s="49">
        <v>0.5</v>
      </c>
      <c r="R294" s="49">
        <f t="shared" si="76"/>
        <v>0.53987229731764741</v>
      </c>
      <c r="S294" s="49">
        <v>312200</v>
      </c>
      <c r="T294" s="49">
        <v>306800</v>
      </c>
      <c r="U294" s="49">
        <v>15956260</v>
      </c>
      <c r="V294" s="49">
        <f t="shared" si="77"/>
        <v>34.122281047785798</v>
      </c>
      <c r="W294" s="49">
        <f t="shared" si="83"/>
        <v>34.122281047785798</v>
      </c>
      <c r="X294" s="82">
        <f t="shared" si="78"/>
        <v>0</v>
      </c>
      <c r="Y294" s="82">
        <f t="shared" si="79"/>
        <v>239394183448972.72</v>
      </c>
      <c r="Z294" s="81">
        <f t="shared" si="84"/>
        <v>309409377749349.87</v>
      </c>
      <c r="AA294" s="80">
        <f t="shared" si="68"/>
        <v>1292.468234990768</v>
      </c>
      <c r="AB294" s="52">
        <f t="shared" si="80"/>
        <v>-1.0889048149271935E-2</v>
      </c>
      <c r="AC294" s="48">
        <f t="shared" si="69"/>
        <v>0</v>
      </c>
      <c r="AD294" s="48">
        <f t="shared" si="70"/>
        <v>-7.2289156626506026E-3</v>
      </c>
      <c r="AE294" s="48">
        <f t="shared" si="71"/>
        <v>-1.729660474055093E-2</v>
      </c>
      <c r="AF294" s="48" t="e">
        <f>(#REF!-#REF!)/#REF!</f>
        <v>#REF!</v>
      </c>
    </row>
    <row r="295" spans="1:32" x14ac:dyDescent="0.3">
      <c r="A295" s="48">
        <v>20190315</v>
      </c>
      <c r="B295" s="48" t="s">
        <v>88</v>
      </c>
      <c r="C295" s="79">
        <v>0.25</v>
      </c>
      <c r="D295" s="79">
        <f t="shared" si="72"/>
        <v>0.25608102384186038</v>
      </c>
      <c r="E295" s="49">
        <v>43850</v>
      </c>
      <c r="F295" s="49">
        <v>44200</v>
      </c>
      <c r="G295" s="49">
        <v>5969782550</v>
      </c>
      <c r="H295" s="49">
        <f t="shared" si="73"/>
        <v>0.29929771677029099</v>
      </c>
      <c r="I295" s="49">
        <f t="shared" si="81"/>
        <v>0.29929771677029099</v>
      </c>
      <c r="J295" s="48">
        <v>0.25</v>
      </c>
      <c r="K295" s="48">
        <f t="shared" si="74"/>
        <v>0.20456537001413755</v>
      </c>
      <c r="L295" s="48">
        <v>206000</v>
      </c>
      <c r="M295" s="48">
        <v>203000</v>
      </c>
      <c r="N295" s="51">
        <v>125461438</v>
      </c>
      <c r="O295" s="48">
        <f t="shared" si="75"/>
        <v>2.4770376326489298</v>
      </c>
      <c r="P295" s="48">
        <f t="shared" si="82"/>
        <v>2.4770376326489298</v>
      </c>
      <c r="Q295" s="49">
        <v>0.5</v>
      </c>
      <c r="R295" s="49">
        <f t="shared" si="76"/>
        <v>0.53935360614400207</v>
      </c>
      <c r="S295" s="49">
        <v>306800</v>
      </c>
      <c r="T295" s="49">
        <v>305500</v>
      </c>
      <c r="U295" s="49">
        <v>15956260</v>
      </c>
      <c r="V295" s="49">
        <f t="shared" si="77"/>
        <v>34.122281047785798</v>
      </c>
      <c r="W295" s="49">
        <f t="shared" si="83"/>
        <v>34.122281047785798</v>
      </c>
      <c r="X295" s="82">
        <f t="shared" si="78"/>
        <v>0</v>
      </c>
      <c r="Y295" s="82">
        <f t="shared" si="79"/>
        <v>239394183448972.72</v>
      </c>
      <c r="Z295" s="81">
        <f t="shared" si="84"/>
        <v>308394616254974.69</v>
      </c>
      <c r="AA295" s="80">
        <f t="shared" si="68"/>
        <v>1288.2293621837705</v>
      </c>
      <c r="AB295" s="52">
        <f t="shared" si="80"/>
        <v>-3.279672716310729E-3</v>
      </c>
      <c r="AC295" s="48">
        <f t="shared" si="69"/>
        <v>7.98175598631699E-3</v>
      </c>
      <c r="AD295" s="48">
        <f t="shared" si="70"/>
        <v>-1.4563106796116505E-2</v>
      </c>
      <c r="AE295" s="48">
        <f t="shared" si="71"/>
        <v>-4.2372881355932203E-3</v>
      </c>
      <c r="AF295" s="48" t="e">
        <f>(#REF!-#REF!)/#REF!</f>
        <v>#REF!</v>
      </c>
    </row>
    <row r="296" spans="1:32" x14ac:dyDescent="0.3">
      <c r="A296" s="48">
        <v>20190318</v>
      </c>
      <c r="B296" s="48" t="s">
        <v>88</v>
      </c>
      <c r="C296" s="79">
        <v>0.25</v>
      </c>
      <c r="D296" s="79">
        <f t="shared" si="72"/>
        <v>0.25721778771240544</v>
      </c>
      <c r="E296" s="49">
        <v>44200</v>
      </c>
      <c r="F296" s="49">
        <v>43700</v>
      </c>
      <c r="G296" s="49">
        <v>5969782550</v>
      </c>
      <c r="H296" s="49">
        <f t="shared" si="73"/>
        <v>0.29929771677029099</v>
      </c>
      <c r="I296" s="49">
        <f t="shared" si="81"/>
        <v>0.29929771677029099</v>
      </c>
      <c r="J296" s="48">
        <v>0.25</v>
      </c>
      <c r="K296" s="48">
        <f t="shared" si="74"/>
        <v>0.20577687555894222</v>
      </c>
      <c r="L296" s="48">
        <v>203000</v>
      </c>
      <c r="M296" s="48">
        <v>201000</v>
      </c>
      <c r="N296" s="51">
        <v>125461438</v>
      </c>
      <c r="O296" s="48">
        <f t="shared" si="75"/>
        <v>2.4770376326489298</v>
      </c>
      <c r="P296" s="48">
        <f t="shared" si="82"/>
        <v>2.4770376326489298</v>
      </c>
      <c r="Q296" s="49">
        <v>0.5</v>
      </c>
      <c r="R296" s="49">
        <f t="shared" si="76"/>
        <v>0.53700533672865225</v>
      </c>
      <c r="S296" s="49">
        <v>305500</v>
      </c>
      <c r="T296" s="49">
        <v>299400</v>
      </c>
      <c r="U296" s="49">
        <v>15956260</v>
      </c>
      <c r="V296" s="49">
        <f t="shared" si="77"/>
        <v>34.122281047785798</v>
      </c>
      <c r="W296" s="49">
        <f t="shared" si="83"/>
        <v>34.122281047785798</v>
      </c>
      <c r="X296" s="82">
        <f t="shared" si="78"/>
        <v>0</v>
      </c>
      <c r="Y296" s="82">
        <f t="shared" si="79"/>
        <v>239394183448972.72</v>
      </c>
      <c r="Z296" s="81">
        <f t="shared" si="84"/>
        <v>303558469376846.69</v>
      </c>
      <c r="AA296" s="80">
        <f t="shared" si="68"/>
        <v>1268.0277565789343</v>
      </c>
      <c r="AB296" s="52">
        <f t="shared" si="80"/>
        <v>-1.568168386613315E-2</v>
      </c>
      <c r="AC296" s="48">
        <f t="shared" si="69"/>
        <v>-1.1312217194570135E-2</v>
      </c>
      <c r="AD296" s="48">
        <f t="shared" si="70"/>
        <v>-9.852216748768473E-3</v>
      </c>
      <c r="AE296" s="48">
        <f t="shared" si="71"/>
        <v>-1.9967266775777415E-2</v>
      </c>
      <c r="AF296" s="48" t="e">
        <f>(#REF!-#REF!)/#REF!</f>
        <v>#REF!</v>
      </c>
    </row>
    <row r="297" spans="1:32" x14ac:dyDescent="0.3">
      <c r="A297" s="48">
        <v>20190319</v>
      </c>
      <c r="B297" s="48" t="s">
        <v>88</v>
      </c>
      <c r="C297" s="79">
        <v>0.25</v>
      </c>
      <c r="D297" s="79">
        <f t="shared" si="72"/>
        <v>0.26206225322951798</v>
      </c>
      <c r="E297" s="49">
        <v>43700</v>
      </c>
      <c r="F297" s="49">
        <v>43900</v>
      </c>
      <c r="G297" s="49">
        <v>5969782550</v>
      </c>
      <c r="H297" s="49">
        <f t="shared" si="73"/>
        <v>0.29929771677029099</v>
      </c>
      <c r="I297" s="49">
        <f t="shared" si="81"/>
        <v>0.29929771677029099</v>
      </c>
      <c r="J297" s="48">
        <v>0.25</v>
      </c>
      <c r="K297" s="48">
        <f t="shared" si="74"/>
        <v>0.21077395178996317</v>
      </c>
      <c r="L297" s="48">
        <v>201000</v>
      </c>
      <c r="M297" s="48">
        <v>203000</v>
      </c>
      <c r="N297" s="51">
        <v>125461438</v>
      </c>
      <c r="O297" s="48">
        <f t="shared" si="75"/>
        <v>2.4770376326489298</v>
      </c>
      <c r="P297" s="48">
        <f t="shared" si="82"/>
        <v>2.4770376326489298</v>
      </c>
      <c r="Q297" s="49">
        <v>0.5</v>
      </c>
      <c r="R297" s="49">
        <f t="shared" si="76"/>
        <v>0.5271637949805188</v>
      </c>
      <c r="S297" s="49">
        <v>299400</v>
      </c>
      <c r="T297" s="49">
        <v>289800</v>
      </c>
      <c r="U297" s="49">
        <v>15956260</v>
      </c>
      <c r="V297" s="49">
        <f t="shared" si="77"/>
        <v>34.122281047785798</v>
      </c>
      <c r="W297" s="49">
        <f t="shared" si="83"/>
        <v>34.122281047785798</v>
      </c>
      <c r="X297" s="82">
        <f t="shared" si="78"/>
        <v>0</v>
      </c>
      <c r="Y297" s="82">
        <f t="shared" si="79"/>
        <v>239394183448972.72</v>
      </c>
      <c r="Z297" s="81">
        <f t="shared" si="84"/>
        <v>299310508954318.44</v>
      </c>
      <c r="AA297" s="80">
        <f t="shared" si="68"/>
        <v>1250.2831298660897</v>
      </c>
      <c r="AB297" s="52">
        <f t="shared" si="80"/>
        <v>-1.3993878778110166E-2</v>
      </c>
      <c r="AC297" s="48">
        <f t="shared" si="69"/>
        <v>4.5766590389016018E-3</v>
      </c>
      <c r="AD297" s="48">
        <f t="shared" si="70"/>
        <v>9.9502487562189053E-3</v>
      </c>
      <c r="AE297" s="48">
        <f t="shared" si="71"/>
        <v>-3.2064128256513023E-2</v>
      </c>
      <c r="AF297" s="48" t="e">
        <f>(#REF!-#REF!)/#REF!</f>
        <v>#REF!</v>
      </c>
    </row>
    <row r="298" spans="1:32" x14ac:dyDescent="0.3">
      <c r="A298" s="48">
        <v>20190320</v>
      </c>
      <c r="B298" s="48" t="s">
        <v>88</v>
      </c>
      <c r="C298" s="79">
        <v>0.25</v>
      </c>
      <c r="D298" s="79">
        <f t="shared" si="72"/>
        <v>0.26094003244039304</v>
      </c>
      <c r="E298" s="49">
        <v>43900</v>
      </c>
      <c r="F298" s="49">
        <v>44050</v>
      </c>
      <c r="G298" s="49">
        <v>5969782550</v>
      </c>
      <c r="H298" s="49">
        <f t="shared" si="73"/>
        <v>0.29929771677029099</v>
      </c>
      <c r="I298" s="49">
        <f t="shared" si="81"/>
        <v>0.29929771677029099</v>
      </c>
      <c r="J298" s="48">
        <v>0.25</v>
      </c>
      <c r="K298" s="48">
        <f t="shared" si="74"/>
        <v>0.20709604564211576</v>
      </c>
      <c r="L298" s="48">
        <v>203000</v>
      </c>
      <c r="M298" s="48">
        <v>201000</v>
      </c>
      <c r="N298" s="51">
        <v>125461438</v>
      </c>
      <c r="O298" s="48">
        <f t="shared" si="75"/>
        <v>2.4770376326489298</v>
      </c>
      <c r="P298" s="48">
        <f t="shared" si="82"/>
        <v>2.4770376326489298</v>
      </c>
      <c r="Q298" s="49">
        <v>0.5</v>
      </c>
      <c r="R298" s="49">
        <f t="shared" si="76"/>
        <v>0.53196392191749109</v>
      </c>
      <c r="S298" s="49">
        <v>289800</v>
      </c>
      <c r="T298" s="49">
        <v>294700</v>
      </c>
      <c r="U298" s="49">
        <v>15956260</v>
      </c>
      <c r="V298" s="49">
        <f t="shared" si="77"/>
        <v>34.122281047785798</v>
      </c>
      <c r="W298" s="49">
        <f t="shared" si="83"/>
        <v>34.122281047785798</v>
      </c>
      <c r="X298" s="82">
        <f t="shared" si="78"/>
        <v>0</v>
      </c>
      <c r="Y298" s="82">
        <f t="shared" si="79"/>
        <v>239394183448972.72</v>
      </c>
      <c r="Z298" s="81">
        <f t="shared" si="84"/>
        <v>301624848432737</v>
      </c>
      <c r="AA298" s="80">
        <f t="shared" si="68"/>
        <v>1259.9506140341493</v>
      </c>
      <c r="AB298" s="52">
        <f t="shared" si="80"/>
        <v>7.7322359529038024E-3</v>
      </c>
      <c r="AC298" s="48">
        <f t="shared" si="69"/>
        <v>3.4168564920273349E-3</v>
      </c>
      <c r="AD298" s="48">
        <f t="shared" si="70"/>
        <v>-9.852216748768473E-3</v>
      </c>
      <c r="AE298" s="48">
        <f t="shared" si="71"/>
        <v>1.6908212560386472E-2</v>
      </c>
      <c r="AF298" s="48" t="e">
        <f>(#REF!-#REF!)/#REF!</f>
        <v>#REF!</v>
      </c>
    </row>
    <row r="299" spans="1:32" x14ac:dyDescent="0.3">
      <c r="A299" s="48">
        <v>20190321</v>
      </c>
      <c r="B299" s="48" t="s">
        <v>88</v>
      </c>
      <c r="C299" s="79">
        <v>0.25</v>
      </c>
      <c r="D299" s="79">
        <f t="shared" si="72"/>
        <v>0.2747161454953031</v>
      </c>
      <c r="E299" s="49">
        <v>44050</v>
      </c>
      <c r="F299" s="49">
        <v>45850</v>
      </c>
      <c r="G299" s="49">
        <v>5969782550</v>
      </c>
      <c r="H299" s="49">
        <f t="shared" si="73"/>
        <v>0.29929771677029099</v>
      </c>
      <c r="I299" s="49">
        <f t="shared" si="81"/>
        <v>0.29929771677029099</v>
      </c>
      <c r="J299" s="48">
        <v>0.25</v>
      </c>
      <c r="K299" s="48">
        <f t="shared" si="74"/>
        <v>0.20894893936495182</v>
      </c>
      <c r="L299" s="48">
        <v>201000</v>
      </c>
      <c r="M299" s="48">
        <v>200500</v>
      </c>
      <c r="N299" s="51">
        <v>125461438</v>
      </c>
      <c r="O299" s="48">
        <f t="shared" si="75"/>
        <v>2.4770376326489298</v>
      </c>
      <c r="P299" s="48">
        <f t="shared" si="82"/>
        <v>2.4770376326489298</v>
      </c>
      <c r="Q299" s="49">
        <v>0.5</v>
      </c>
      <c r="R299" s="49">
        <f t="shared" si="76"/>
        <v>0.51633491513974494</v>
      </c>
      <c r="S299" s="49">
        <v>294700</v>
      </c>
      <c r="T299" s="49">
        <v>282800</v>
      </c>
      <c r="U299" s="49">
        <v>15956260</v>
      </c>
      <c r="V299" s="49">
        <f t="shared" si="77"/>
        <v>34.122281047785798</v>
      </c>
      <c r="W299" s="49">
        <f t="shared" si="83"/>
        <v>34.122281047785798</v>
      </c>
      <c r="X299" s="82">
        <f t="shared" si="78"/>
        <v>0</v>
      </c>
      <c r="Y299" s="82">
        <f t="shared" si="79"/>
        <v>239394183448972.72</v>
      </c>
      <c r="Z299" s="81">
        <f t="shared" si="84"/>
        <v>298206476737865.75</v>
      </c>
      <c r="AA299" s="80">
        <f t="shared" si="68"/>
        <v>1245.6713544229822</v>
      </c>
      <c r="AB299" s="52">
        <f t="shared" si="80"/>
        <v>-1.1333189929919064E-2</v>
      </c>
      <c r="AC299" s="48">
        <f t="shared" si="69"/>
        <v>4.0862656072644721E-2</v>
      </c>
      <c r="AD299" s="48">
        <f t="shared" si="70"/>
        <v>-2.4875621890547263E-3</v>
      </c>
      <c r="AE299" s="48">
        <f t="shared" si="71"/>
        <v>-4.0380047505938245E-2</v>
      </c>
      <c r="AF299" s="48" t="e">
        <f>(#REF!-#REF!)/#REF!</f>
        <v>#REF!</v>
      </c>
    </row>
    <row r="300" spans="1:32" x14ac:dyDescent="0.3">
      <c r="A300" s="48">
        <v>20190322</v>
      </c>
      <c r="B300" s="48" t="s">
        <v>88</v>
      </c>
      <c r="C300" s="79">
        <v>0.25</v>
      </c>
      <c r="D300" s="79">
        <f t="shared" si="72"/>
        <v>0.27879505708759866</v>
      </c>
      <c r="E300" s="49">
        <v>45850</v>
      </c>
      <c r="F300" s="49">
        <v>46550</v>
      </c>
      <c r="G300" s="49">
        <v>5969782550</v>
      </c>
      <c r="H300" s="49">
        <f t="shared" si="73"/>
        <v>0.29929771677029099</v>
      </c>
      <c r="I300" s="49">
        <f t="shared" si="81"/>
        <v>0.29929771677029099</v>
      </c>
      <c r="J300" s="48">
        <v>0.25</v>
      </c>
      <c r="K300" s="48">
        <f t="shared" si="74"/>
        <v>0.20782090611794635</v>
      </c>
      <c r="L300" s="48">
        <v>200500</v>
      </c>
      <c r="M300" s="48">
        <v>199500</v>
      </c>
      <c r="N300" s="51">
        <v>125461438</v>
      </c>
      <c r="O300" s="48">
        <f t="shared" si="75"/>
        <v>2.4770376326489298</v>
      </c>
      <c r="P300" s="48">
        <f t="shared" si="82"/>
        <v>2.4770376326489298</v>
      </c>
      <c r="Q300" s="49">
        <v>0.5</v>
      </c>
      <c r="R300" s="49">
        <f t="shared" si="76"/>
        <v>0.51338403679445499</v>
      </c>
      <c r="S300" s="49">
        <v>282800</v>
      </c>
      <c r="T300" s="49">
        <v>281300</v>
      </c>
      <c r="U300" s="49">
        <v>15956260</v>
      </c>
      <c r="V300" s="49">
        <f t="shared" si="77"/>
        <v>34.122281047785798</v>
      </c>
      <c r="W300" s="49">
        <f t="shared" si="83"/>
        <v>34.122281047785798</v>
      </c>
      <c r="X300" s="82">
        <f t="shared" si="78"/>
        <v>0</v>
      </c>
      <c r="Y300" s="82">
        <f t="shared" si="79"/>
        <v>239394183448972.72</v>
      </c>
      <c r="Z300" s="81">
        <f t="shared" si="84"/>
        <v>298329727652987.25</v>
      </c>
      <c r="AA300" s="80">
        <f t="shared" si="68"/>
        <v>1246.1861994929245</v>
      </c>
      <c r="AB300" s="52">
        <f t="shared" si="80"/>
        <v>4.1330730462275494E-4</v>
      </c>
      <c r="AC300" s="48">
        <f t="shared" si="69"/>
        <v>1.5267175572519083E-2</v>
      </c>
      <c r="AD300" s="48">
        <f t="shared" si="70"/>
        <v>-4.9875311720698253E-3</v>
      </c>
      <c r="AE300" s="48">
        <f t="shared" si="71"/>
        <v>-5.3041018387553042E-3</v>
      </c>
      <c r="AF300" s="48" t="e">
        <f>(#REF!-#REF!)/#REF!</f>
        <v>#REF!</v>
      </c>
    </row>
    <row r="301" spans="1:32" x14ac:dyDescent="0.3">
      <c r="A301" s="48">
        <v>20190325</v>
      </c>
      <c r="B301" s="48" t="s">
        <v>88</v>
      </c>
      <c r="C301" s="79">
        <v>0.25</v>
      </c>
      <c r="D301" s="79">
        <f t="shared" si="72"/>
        <v>0.27970509813531219</v>
      </c>
      <c r="E301" s="49">
        <v>46550</v>
      </c>
      <c r="F301" s="49">
        <v>45500</v>
      </c>
      <c r="G301" s="49">
        <v>5969782550</v>
      </c>
      <c r="H301" s="49">
        <f t="shared" si="73"/>
        <v>0.29929771677029099</v>
      </c>
      <c r="I301" s="49">
        <f t="shared" si="81"/>
        <v>0.29929771677029099</v>
      </c>
      <c r="J301" s="48">
        <v>0.25</v>
      </c>
      <c r="K301" s="48">
        <f t="shared" si="74"/>
        <v>0.21170695492990635</v>
      </c>
      <c r="L301" s="48">
        <v>199500</v>
      </c>
      <c r="M301" s="48">
        <v>198000</v>
      </c>
      <c r="N301" s="51">
        <v>125461438</v>
      </c>
      <c r="O301" s="48">
        <f t="shared" si="75"/>
        <v>2.4770376326489298</v>
      </c>
      <c r="P301" s="48">
        <f t="shared" si="82"/>
        <v>2.4770376326489298</v>
      </c>
      <c r="Q301" s="49">
        <v>0.5</v>
      </c>
      <c r="R301" s="49">
        <f t="shared" si="76"/>
        <v>0.50858794693478138</v>
      </c>
      <c r="S301" s="49">
        <v>281300</v>
      </c>
      <c r="T301" s="49">
        <v>271500</v>
      </c>
      <c r="U301" s="49">
        <v>15956260</v>
      </c>
      <c r="V301" s="49">
        <f t="shared" si="77"/>
        <v>34.122281047785798</v>
      </c>
      <c r="W301" s="49">
        <f t="shared" si="83"/>
        <v>34.122281047785798</v>
      </c>
      <c r="X301" s="82">
        <f t="shared" si="78"/>
        <v>0</v>
      </c>
      <c r="Y301" s="82">
        <f t="shared" si="79"/>
        <v>239394183448972.72</v>
      </c>
      <c r="Z301" s="81">
        <f t="shared" si="84"/>
        <v>290651742112480.12</v>
      </c>
      <c r="AA301" s="80">
        <f t="shared" si="68"/>
        <v>1214.1136343625201</v>
      </c>
      <c r="AB301" s="52">
        <f t="shared" si="80"/>
        <v>-2.5736575435881745E-2</v>
      </c>
      <c r="AC301" s="48">
        <f t="shared" si="69"/>
        <v>-2.2556390977443608E-2</v>
      </c>
      <c r="AD301" s="48">
        <f t="shared" si="70"/>
        <v>-7.5187969924812026E-3</v>
      </c>
      <c r="AE301" s="48">
        <f t="shared" si="71"/>
        <v>-3.4838250977603978E-2</v>
      </c>
      <c r="AF301" s="48" t="e">
        <f>(#REF!-#REF!)/#REF!</f>
        <v>#REF!</v>
      </c>
    </row>
    <row r="302" spans="1:32" x14ac:dyDescent="0.3">
      <c r="A302" s="48">
        <v>20190326</v>
      </c>
      <c r="B302" s="48" t="s">
        <v>88</v>
      </c>
      <c r="C302" s="79">
        <v>0.25</v>
      </c>
      <c r="D302" s="79">
        <f t="shared" si="72"/>
        <v>0.27263204311249445</v>
      </c>
      <c r="E302" s="49">
        <v>45500</v>
      </c>
      <c r="F302" s="49">
        <v>45250</v>
      </c>
      <c r="G302" s="49">
        <v>5969782550</v>
      </c>
      <c r="H302" s="49">
        <f t="shared" si="73"/>
        <v>0.29929771677029099</v>
      </c>
      <c r="I302" s="49">
        <f t="shared" si="81"/>
        <v>0.29929771677029099</v>
      </c>
      <c r="J302" s="48">
        <v>0.25</v>
      </c>
      <c r="K302" s="48">
        <f t="shared" si="74"/>
        <v>0.20172977224431582</v>
      </c>
      <c r="L302" s="48">
        <v>198000</v>
      </c>
      <c r="M302" s="48">
        <v>192500</v>
      </c>
      <c r="N302" s="51">
        <v>125461438</v>
      </c>
      <c r="O302" s="48">
        <f t="shared" si="75"/>
        <v>2.4770376326489298</v>
      </c>
      <c r="P302" s="48">
        <f t="shared" si="82"/>
        <v>2.4770376326489298</v>
      </c>
      <c r="Q302" s="49">
        <v>0.5</v>
      </c>
      <c r="R302" s="49">
        <f t="shared" si="76"/>
        <v>0.52563818464318968</v>
      </c>
      <c r="S302" s="49">
        <v>271500</v>
      </c>
      <c r="T302" s="49">
        <v>286300</v>
      </c>
      <c r="U302" s="49">
        <v>15956260</v>
      </c>
      <c r="V302" s="49">
        <f t="shared" si="77"/>
        <v>34.122281047785798</v>
      </c>
      <c r="W302" s="49">
        <f t="shared" si="83"/>
        <v>34.122281047785798</v>
      </c>
      <c r="X302" s="82">
        <f t="shared" si="78"/>
        <v>0</v>
      </c>
      <c r="Y302" s="82">
        <f t="shared" si="79"/>
        <v>239394183448972.72</v>
      </c>
      <c r="Z302" s="81">
        <f t="shared" si="84"/>
        <v>296553873697460.06</v>
      </c>
      <c r="AA302" s="80">
        <f t="shared" si="68"/>
        <v>1238.7680829374497</v>
      </c>
      <c r="AB302" s="52">
        <f t="shared" si="80"/>
        <v>2.0306541230693441E-2</v>
      </c>
      <c r="AC302" s="48">
        <f t="shared" si="69"/>
        <v>-5.4945054945054949E-3</v>
      </c>
      <c r="AD302" s="48">
        <f t="shared" si="70"/>
        <v>-2.7777777777777776E-2</v>
      </c>
      <c r="AE302" s="48">
        <f t="shared" si="71"/>
        <v>5.4511970534069983E-2</v>
      </c>
      <c r="AF302" s="48" t="e">
        <f>(#REF!-#REF!)/#REF!</f>
        <v>#REF!</v>
      </c>
    </row>
    <row r="303" spans="1:32" x14ac:dyDescent="0.3">
      <c r="A303" s="48">
        <v>20190327</v>
      </c>
      <c r="B303" s="48" t="s">
        <v>88</v>
      </c>
      <c r="C303" s="79">
        <v>0.25</v>
      </c>
      <c r="D303" s="79">
        <f t="shared" si="72"/>
        <v>0.2846233767015463</v>
      </c>
      <c r="E303" s="49">
        <v>45250</v>
      </c>
      <c r="F303" s="49">
        <v>45350</v>
      </c>
      <c r="G303" s="49">
        <v>5969782550</v>
      </c>
      <c r="H303" s="49">
        <f t="shared" si="73"/>
        <v>0.29929771677029099</v>
      </c>
      <c r="I303" s="49">
        <f t="shared" si="81"/>
        <v>0.29929771677029099</v>
      </c>
      <c r="J303" s="48">
        <v>0.25</v>
      </c>
      <c r="K303" s="48">
        <f t="shared" si="74"/>
        <v>0.19976772083673969</v>
      </c>
      <c r="L303" s="48">
        <v>192500</v>
      </c>
      <c r="M303" s="48">
        <v>183000</v>
      </c>
      <c r="N303" s="51">
        <v>125461438</v>
      </c>
      <c r="O303" s="48">
        <f t="shared" si="75"/>
        <v>2.4770376326489298</v>
      </c>
      <c r="P303" s="48">
        <f t="shared" si="82"/>
        <v>2.4770376326489298</v>
      </c>
      <c r="Q303" s="49">
        <v>0.5</v>
      </c>
      <c r="R303" s="49">
        <f t="shared" si="76"/>
        <v>0.51560890246171409</v>
      </c>
      <c r="S303" s="49">
        <v>286300</v>
      </c>
      <c r="T303" s="49">
        <v>269600</v>
      </c>
      <c r="U303" s="49">
        <v>15956260</v>
      </c>
      <c r="V303" s="49">
        <f t="shared" si="77"/>
        <v>34.122281047785798</v>
      </c>
      <c r="W303" s="49">
        <f t="shared" si="83"/>
        <v>34.122281047785798</v>
      </c>
      <c r="X303" s="82">
        <f t="shared" si="78"/>
        <v>0</v>
      </c>
      <c r="Y303" s="82">
        <f t="shared" si="79"/>
        <v>239394183448972.72</v>
      </c>
      <c r="Z303" s="81">
        <f t="shared" si="84"/>
        <v>284687658641307.87</v>
      </c>
      <c r="AA303" s="80">
        <f t="shared" si="68"/>
        <v>1189.2003996913716</v>
      </c>
      <c r="AB303" s="52">
        <f t="shared" si="80"/>
        <v>-4.0013690963477122E-2</v>
      </c>
      <c r="AC303" s="48">
        <f t="shared" si="69"/>
        <v>2.2099447513812156E-3</v>
      </c>
      <c r="AD303" s="48">
        <f t="shared" si="70"/>
        <v>-4.9350649350649353E-2</v>
      </c>
      <c r="AE303" s="48">
        <f t="shared" si="71"/>
        <v>-5.8330422633601116E-2</v>
      </c>
      <c r="AF303" s="48" t="e">
        <f>(#REF!-#REF!)/#REF!</f>
        <v>#REF!</v>
      </c>
    </row>
    <row r="304" spans="1:32" x14ac:dyDescent="0.3">
      <c r="A304" s="48">
        <v>20190328</v>
      </c>
      <c r="B304" s="48" t="s">
        <v>88</v>
      </c>
      <c r="C304" s="79">
        <v>0.25</v>
      </c>
      <c r="D304" s="79">
        <f t="shared" si="72"/>
        <v>0.28276577705754452</v>
      </c>
      <c r="E304" s="49">
        <v>45350</v>
      </c>
      <c r="F304" s="49">
        <v>44850</v>
      </c>
      <c r="G304" s="49">
        <v>5969782550</v>
      </c>
      <c r="H304" s="49">
        <f t="shared" si="73"/>
        <v>0.29929771677029099</v>
      </c>
      <c r="I304" s="49">
        <f t="shared" si="81"/>
        <v>0.29929771677029099</v>
      </c>
      <c r="J304" s="48">
        <v>0.25</v>
      </c>
      <c r="K304" s="48">
        <f t="shared" si="74"/>
        <v>0.19793498135046059</v>
      </c>
      <c r="L304" s="48">
        <v>183000</v>
      </c>
      <c r="M304" s="48">
        <v>180500</v>
      </c>
      <c r="N304" s="51">
        <v>125461438</v>
      </c>
      <c r="O304" s="48">
        <f t="shared" si="75"/>
        <v>2.4770376326489298</v>
      </c>
      <c r="P304" s="48">
        <f t="shared" si="82"/>
        <v>2.4770376326489298</v>
      </c>
      <c r="Q304" s="49">
        <v>0.5</v>
      </c>
      <c r="R304" s="49">
        <f t="shared" si="76"/>
        <v>0.51929924159199492</v>
      </c>
      <c r="S304" s="49">
        <v>269600</v>
      </c>
      <c r="T304" s="49">
        <v>270300</v>
      </c>
      <c r="U304" s="49">
        <v>15956260</v>
      </c>
      <c r="V304" s="49">
        <f t="shared" si="77"/>
        <v>34.122281047785798</v>
      </c>
      <c r="W304" s="49">
        <f t="shared" si="83"/>
        <v>34.122281047785798</v>
      </c>
      <c r="X304" s="82">
        <f t="shared" si="78"/>
        <v>0</v>
      </c>
      <c r="Y304" s="82">
        <f t="shared" si="79"/>
        <v>239394183448972.72</v>
      </c>
      <c r="Z304" s="81">
        <f t="shared" si="84"/>
        <v>283398480531196.31</v>
      </c>
      <c r="AA304" s="80">
        <f t="shared" si="68"/>
        <v>1183.8152307973814</v>
      </c>
      <c r="AB304" s="52">
        <f t="shared" si="80"/>
        <v>-4.5283947897996873E-3</v>
      </c>
      <c r="AC304" s="48">
        <f t="shared" si="69"/>
        <v>-1.1025358324145534E-2</v>
      </c>
      <c r="AD304" s="48">
        <f t="shared" si="70"/>
        <v>-1.3661202185792349E-2</v>
      </c>
      <c r="AE304" s="48">
        <f t="shared" si="71"/>
        <v>2.5964391691394658E-3</v>
      </c>
      <c r="AF304" s="48" t="e">
        <f>(#REF!-#REF!)/#REF!</f>
        <v>#REF!</v>
      </c>
    </row>
    <row r="305" spans="1:32" x14ac:dyDescent="0.3">
      <c r="A305" s="48">
        <v>20190329</v>
      </c>
      <c r="B305" s="48" t="s">
        <v>88</v>
      </c>
      <c r="C305" s="79">
        <v>0.25</v>
      </c>
      <c r="D305" s="79">
        <f t="shared" si="72"/>
        <v>0.27665270362826766</v>
      </c>
      <c r="E305" s="49">
        <v>44850</v>
      </c>
      <c r="F305" s="49">
        <v>44650</v>
      </c>
      <c r="G305" s="49">
        <v>5969782550</v>
      </c>
      <c r="H305" s="49">
        <f t="shared" si="73"/>
        <v>0.29929771677029099</v>
      </c>
      <c r="I305" s="49">
        <f t="shared" si="81"/>
        <v>0.29929771677029099</v>
      </c>
      <c r="J305" s="48">
        <v>0.25</v>
      </c>
      <c r="K305" s="48">
        <f t="shared" si="74"/>
        <v>0.19506213803791514</v>
      </c>
      <c r="L305" s="48">
        <v>180500</v>
      </c>
      <c r="M305" s="48">
        <v>181000</v>
      </c>
      <c r="N305" s="51">
        <v>125461438</v>
      </c>
      <c r="O305" s="48">
        <f t="shared" si="75"/>
        <v>2.4770376326489298</v>
      </c>
      <c r="P305" s="48">
        <f t="shared" si="82"/>
        <v>2.4770376326489298</v>
      </c>
      <c r="Q305" s="49">
        <v>0.5</v>
      </c>
      <c r="R305" s="49">
        <f t="shared" si="76"/>
        <v>0.52828515833381728</v>
      </c>
      <c r="S305" s="49">
        <v>270300</v>
      </c>
      <c r="T305" s="49">
        <v>279800</v>
      </c>
      <c r="U305" s="49">
        <v>15956260</v>
      </c>
      <c r="V305" s="49">
        <f t="shared" si="77"/>
        <v>34.122281047785798</v>
      </c>
      <c r="W305" s="49">
        <f t="shared" si="83"/>
        <v>34.122281047785798</v>
      </c>
      <c r="X305" s="82">
        <f t="shared" si="78"/>
        <v>0</v>
      </c>
      <c r="Y305" s="82">
        <f t="shared" si="79"/>
        <v>239394183448972.72</v>
      </c>
      <c r="Z305" s="81">
        <f t="shared" si="84"/>
        <v>288368926313336.06</v>
      </c>
      <c r="AA305" s="80">
        <f t="shared" si="68"/>
        <v>1204.5778312521213</v>
      </c>
      <c r="AB305" s="52">
        <f t="shared" si="80"/>
        <v>1.753871711952449E-2</v>
      </c>
      <c r="AC305" s="48">
        <f t="shared" si="69"/>
        <v>-4.459308807134894E-3</v>
      </c>
      <c r="AD305" s="48">
        <f t="shared" si="70"/>
        <v>2.7700831024930748E-3</v>
      </c>
      <c r="AE305" s="48">
        <f t="shared" si="71"/>
        <v>3.5146133925268219E-2</v>
      </c>
      <c r="AF305" s="48" t="e">
        <f>(#REF!-#REF!)/#REF!</f>
        <v>#REF!</v>
      </c>
    </row>
    <row r="306" spans="1:32" x14ac:dyDescent="0.3">
      <c r="A306" s="48">
        <v>20190401</v>
      </c>
      <c r="B306" s="48" t="s">
        <v>88</v>
      </c>
      <c r="C306" s="79">
        <v>0.25</v>
      </c>
      <c r="D306" s="79">
        <f t="shared" si="72"/>
        <v>0.28073001182781571</v>
      </c>
      <c r="E306" s="49">
        <v>44650</v>
      </c>
      <c r="F306" s="49">
        <v>45050</v>
      </c>
      <c r="G306" s="49">
        <v>5969782550</v>
      </c>
      <c r="H306" s="49">
        <f t="shared" si="73"/>
        <v>0.29929771677029099</v>
      </c>
      <c r="I306" s="49">
        <f t="shared" si="81"/>
        <v>0.29929771677029099</v>
      </c>
      <c r="J306" s="48">
        <v>0.25</v>
      </c>
      <c r="K306" s="48">
        <f t="shared" si="74"/>
        <v>0.1972633418855986</v>
      </c>
      <c r="L306" s="48">
        <v>181000</v>
      </c>
      <c r="M306" s="48">
        <v>182000</v>
      </c>
      <c r="N306" s="51">
        <v>125461438</v>
      </c>
      <c r="O306" s="48">
        <f t="shared" si="75"/>
        <v>2.4770376326489298</v>
      </c>
      <c r="P306" s="48">
        <f t="shared" si="82"/>
        <v>2.4770376326489298</v>
      </c>
      <c r="Q306" s="49">
        <v>0.5</v>
      </c>
      <c r="R306" s="49">
        <f t="shared" si="76"/>
        <v>0.52200664628658566</v>
      </c>
      <c r="S306" s="49">
        <v>279800</v>
      </c>
      <c r="T306" s="49">
        <v>274900</v>
      </c>
      <c r="U306" s="49">
        <v>15956260</v>
      </c>
      <c r="V306" s="49">
        <f t="shared" si="77"/>
        <v>34.122281047785798</v>
      </c>
      <c r="W306" s="49">
        <f t="shared" si="83"/>
        <v>34.122281047785798</v>
      </c>
      <c r="X306" s="82">
        <f t="shared" si="78"/>
        <v>0</v>
      </c>
      <c r="Y306" s="82">
        <f t="shared" si="79"/>
        <v>239394183448972.72</v>
      </c>
      <c r="Z306" s="81">
        <f t="shared" si="84"/>
        <v>286726522389301.81</v>
      </c>
      <c r="AA306" s="80">
        <f t="shared" si="68"/>
        <v>1197.7171636269854</v>
      </c>
      <c r="AB306" s="52">
        <f t="shared" si="80"/>
        <v>-5.6954955065082209E-3</v>
      </c>
      <c r="AC306" s="48">
        <f t="shared" si="69"/>
        <v>8.9585666293393058E-3</v>
      </c>
      <c r="AD306" s="48">
        <f t="shared" si="70"/>
        <v>5.5248618784530384E-3</v>
      </c>
      <c r="AE306" s="48">
        <f t="shared" si="71"/>
        <v>-1.7512508934953538E-2</v>
      </c>
      <c r="AF306" s="48" t="e">
        <f>(#REF!-#REF!)/#REF!</f>
        <v>#REF!</v>
      </c>
    </row>
    <row r="307" spans="1:32" x14ac:dyDescent="0.3">
      <c r="A307" s="48">
        <v>20190402</v>
      </c>
      <c r="B307" s="48" t="s">
        <v>88</v>
      </c>
      <c r="C307" s="79">
        <v>0.25</v>
      </c>
      <c r="D307" s="79">
        <f t="shared" si="72"/>
        <v>0.280320829916479</v>
      </c>
      <c r="E307" s="49">
        <v>45050</v>
      </c>
      <c r="F307" s="49">
        <v>45750</v>
      </c>
      <c r="G307" s="49">
        <v>5969782550</v>
      </c>
      <c r="H307" s="49">
        <f t="shared" si="73"/>
        <v>0.29929771677029099</v>
      </c>
      <c r="I307" s="49">
        <f t="shared" si="81"/>
        <v>0.29929771677029099</v>
      </c>
      <c r="J307" s="48">
        <v>0.25</v>
      </c>
      <c r="K307" s="48">
        <f t="shared" si="74"/>
        <v>0.20248778165416506</v>
      </c>
      <c r="L307" s="48">
        <v>182000</v>
      </c>
      <c r="M307" s="48">
        <v>190000</v>
      </c>
      <c r="N307" s="51">
        <v>125461438</v>
      </c>
      <c r="O307" s="48">
        <f t="shared" si="75"/>
        <v>2.4770376326489298</v>
      </c>
      <c r="P307" s="48">
        <f t="shared" si="82"/>
        <v>2.4770376326489298</v>
      </c>
      <c r="Q307" s="49">
        <v>0.5</v>
      </c>
      <c r="R307" s="49">
        <f t="shared" si="76"/>
        <v>0.51719138842935597</v>
      </c>
      <c r="S307" s="49">
        <v>274900</v>
      </c>
      <c r="T307" s="49">
        <v>277000</v>
      </c>
      <c r="U307" s="49">
        <v>15956260</v>
      </c>
      <c r="V307" s="49">
        <f t="shared" si="77"/>
        <v>34.122281047785798</v>
      </c>
      <c r="W307" s="49">
        <f t="shared" si="83"/>
        <v>34.122281047785798</v>
      </c>
      <c r="X307" s="82">
        <f t="shared" si="78"/>
        <v>0</v>
      </c>
      <c r="Y307" s="82">
        <f t="shared" si="79"/>
        <v>239394183448972.72</v>
      </c>
      <c r="Z307" s="81">
        <f t="shared" si="84"/>
        <v>291606797992263.12</v>
      </c>
      <c r="AA307" s="80">
        <f t="shared" si="68"/>
        <v>1218.1031042235813</v>
      </c>
      <c r="AB307" s="52">
        <f t="shared" si="80"/>
        <v>1.7020663321599402E-2</v>
      </c>
      <c r="AC307" s="48">
        <f t="shared" si="69"/>
        <v>1.5538290788013319E-2</v>
      </c>
      <c r="AD307" s="48">
        <f t="shared" si="70"/>
        <v>4.3956043956043959E-2</v>
      </c>
      <c r="AE307" s="48">
        <f t="shared" si="71"/>
        <v>7.6391415060021823E-3</v>
      </c>
      <c r="AF307" s="48" t="e">
        <f>(#REF!-#REF!)/#REF!</f>
        <v>#REF!</v>
      </c>
    </row>
    <row r="308" spans="1:32" x14ac:dyDescent="0.3">
      <c r="A308" s="48">
        <v>20190403</v>
      </c>
      <c r="B308" s="48" t="s">
        <v>88</v>
      </c>
      <c r="C308" s="79">
        <v>0.25</v>
      </c>
      <c r="D308" s="79">
        <f t="shared" si="72"/>
        <v>0.28169622414659207</v>
      </c>
      <c r="E308" s="49">
        <v>45750</v>
      </c>
      <c r="F308" s="49">
        <v>46600</v>
      </c>
      <c r="G308" s="49">
        <v>5969782550</v>
      </c>
      <c r="H308" s="49">
        <f t="shared" si="73"/>
        <v>0.29929771677029099</v>
      </c>
      <c r="I308" s="49">
        <f t="shared" si="81"/>
        <v>0.29929771677029099</v>
      </c>
      <c r="J308" s="48">
        <v>0.25</v>
      </c>
      <c r="K308" s="48">
        <f t="shared" si="74"/>
        <v>0.20344968796938262</v>
      </c>
      <c r="L308" s="48">
        <v>190000</v>
      </c>
      <c r="M308" s="48">
        <v>193500</v>
      </c>
      <c r="N308" s="51">
        <v>125461438</v>
      </c>
      <c r="O308" s="48">
        <f t="shared" si="75"/>
        <v>2.4770376326489298</v>
      </c>
      <c r="P308" s="48">
        <f t="shared" si="82"/>
        <v>2.4770376326489298</v>
      </c>
      <c r="Q308" s="49">
        <v>0.5</v>
      </c>
      <c r="R308" s="49">
        <f t="shared" si="76"/>
        <v>0.5148540878840252</v>
      </c>
      <c r="S308" s="49">
        <v>277000</v>
      </c>
      <c r="T308" s="49">
        <v>279500</v>
      </c>
      <c r="U308" s="49">
        <v>15956260</v>
      </c>
      <c r="V308" s="49">
        <f t="shared" si="77"/>
        <v>34.122281047785798</v>
      </c>
      <c r="W308" s="49">
        <f t="shared" si="83"/>
        <v>34.122281047785798</v>
      </c>
      <c r="X308" s="82">
        <f t="shared" si="78"/>
        <v>0</v>
      </c>
      <c r="Y308" s="82">
        <f t="shared" si="79"/>
        <v>239394183448972.72</v>
      </c>
      <c r="Z308" s="81">
        <f t="shared" si="84"/>
        <v>295574393368350.5</v>
      </c>
      <c r="AA308" s="80">
        <f t="shared" si="68"/>
        <v>1234.6765869996698</v>
      </c>
      <c r="AB308" s="52">
        <f t="shared" si="80"/>
        <v>1.3605976964201544E-2</v>
      </c>
      <c r="AC308" s="48">
        <f t="shared" si="69"/>
        <v>1.8579234972677595E-2</v>
      </c>
      <c r="AD308" s="48">
        <f t="shared" si="70"/>
        <v>1.8421052631578946E-2</v>
      </c>
      <c r="AE308" s="48">
        <f t="shared" si="71"/>
        <v>9.0252707581227436E-3</v>
      </c>
      <c r="AF308" s="48" t="e">
        <f>(#REF!-#REF!)/#REF!</f>
        <v>#REF!</v>
      </c>
    </row>
    <row r="309" spans="1:32" x14ac:dyDescent="0.3">
      <c r="A309" s="48">
        <v>20190404</v>
      </c>
      <c r="B309" s="48" t="s">
        <v>88</v>
      </c>
      <c r="C309" s="79">
        <v>0.25</v>
      </c>
      <c r="D309" s="79">
        <f t="shared" si="72"/>
        <v>0.28699567786580493</v>
      </c>
      <c r="E309" s="49">
        <v>46600</v>
      </c>
      <c r="F309" s="49">
        <v>46950</v>
      </c>
      <c r="G309" s="49">
        <v>5969782550</v>
      </c>
      <c r="H309" s="49">
        <f t="shared" si="73"/>
        <v>0.29929771677029099</v>
      </c>
      <c r="I309" s="49">
        <f t="shared" si="81"/>
        <v>0.29929771677029099</v>
      </c>
      <c r="J309" s="48">
        <v>0.25</v>
      </c>
      <c r="K309" s="48">
        <f t="shared" si="74"/>
        <v>0.20466870576451415</v>
      </c>
      <c r="L309" s="48">
        <v>193500</v>
      </c>
      <c r="M309" s="48">
        <v>192500</v>
      </c>
      <c r="N309" s="51">
        <v>125461438</v>
      </c>
      <c r="O309" s="48">
        <f t="shared" si="75"/>
        <v>2.4770376326489298</v>
      </c>
      <c r="P309" s="48">
        <f t="shared" si="82"/>
        <v>2.4770376326489298</v>
      </c>
      <c r="Q309" s="49">
        <v>0.5</v>
      </c>
      <c r="R309" s="49">
        <f t="shared" si="76"/>
        <v>0.50833561636968083</v>
      </c>
      <c r="S309" s="49">
        <v>279500</v>
      </c>
      <c r="T309" s="49">
        <v>272900</v>
      </c>
      <c r="U309" s="49">
        <v>15956260</v>
      </c>
      <c r="V309" s="49">
        <f t="shared" si="77"/>
        <v>34.122281047785798</v>
      </c>
      <c r="W309" s="49">
        <f t="shared" si="83"/>
        <v>34.122281047785798</v>
      </c>
      <c r="X309" s="82">
        <f t="shared" si="78"/>
        <v>0</v>
      </c>
      <c r="Y309" s="82">
        <f t="shared" si="79"/>
        <v>239394183448972.72</v>
      </c>
      <c r="Z309" s="81">
        <f t="shared" si="84"/>
        <v>292295518143304.62</v>
      </c>
      <c r="AA309" s="80">
        <f t="shared" si="68"/>
        <v>1220.9800335671393</v>
      </c>
      <c r="AB309" s="52">
        <f t="shared" si="80"/>
        <v>-1.1093231682487634E-2</v>
      </c>
      <c r="AC309" s="48">
        <f t="shared" si="69"/>
        <v>7.5107296137339056E-3</v>
      </c>
      <c r="AD309" s="48">
        <f t="shared" si="70"/>
        <v>-5.1679586563307496E-3</v>
      </c>
      <c r="AE309" s="48">
        <f t="shared" si="71"/>
        <v>-2.3613595706618962E-2</v>
      </c>
      <c r="AF309" s="48" t="e">
        <f>(#REF!-#REF!)/#REF!</f>
        <v>#REF!</v>
      </c>
    </row>
    <row r="310" spans="1:32" x14ac:dyDescent="0.3">
      <c r="A310" s="48">
        <v>20190405</v>
      </c>
      <c r="B310" s="48" t="s">
        <v>88</v>
      </c>
      <c r="C310" s="79">
        <v>0.25</v>
      </c>
      <c r="D310" s="79">
        <f t="shared" si="72"/>
        <v>0.29094409859535814</v>
      </c>
      <c r="E310" s="49">
        <v>46950</v>
      </c>
      <c r="F310" s="49">
        <v>46850</v>
      </c>
      <c r="G310" s="49">
        <v>5969782550</v>
      </c>
      <c r="H310" s="49">
        <f t="shared" si="73"/>
        <v>0.29929771677029099</v>
      </c>
      <c r="I310" s="49">
        <f t="shared" si="81"/>
        <v>0.29929771677029099</v>
      </c>
      <c r="J310" s="48">
        <v>0.25</v>
      </c>
      <c r="K310" s="48">
        <f t="shared" si="74"/>
        <v>0.20738728960012906</v>
      </c>
      <c r="L310" s="48">
        <v>192500</v>
      </c>
      <c r="M310" s="48">
        <v>192000</v>
      </c>
      <c r="N310" s="51">
        <v>125461438</v>
      </c>
      <c r="O310" s="48">
        <f t="shared" si="75"/>
        <v>2.4770376326489298</v>
      </c>
      <c r="P310" s="48">
        <f t="shared" si="82"/>
        <v>2.4770376326489298</v>
      </c>
      <c r="Q310" s="49">
        <v>0.5</v>
      </c>
      <c r="R310" s="49">
        <f t="shared" si="76"/>
        <v>0.50166861180451294</v>
      </c>
      <c r="S310" s="49">
        <v>272900</v>
      </c>
      <c r="T310" s="49">
        <v>265100</v>
      </c>
      <c r="U310" s="49">
        <v>15956260</v>
      </c>
      <c r="V310" s="49">
        <f t="shared" si="77"/>
        <v>34.122281047785798</v>
      </c>
      <c r="W310" s="49">
        <f t="shared" si="83"/>
        <v>34.122281047785798</v>
      </c>
      <c r="X310" s="82">
        <f t="shared" si="78"/>
        <v>0</v>
      </c>
      <c r="Y310" s="82">
        <f t="shared" si="79"/>
        <v>239394183448972.72</v>
      </c>
      <c r="Z310" s="81">
        <f t="shared" si="84"/>
        <v>287714638455041.37</v>
      </c>
      <c r="AA310" s="80">
        <f t="shared" si="68"/>
        <v>1201.844732858216</v>
      </c>
      <c r="AB310" s="52">
        <f t="shared" si="80"/>
        <v>-1.5672083230565851E-2</v>
      </c>
      <c r="AC310" s="48">
        <f t="shared" si="69"/>
        <v>-2.1299254526091589E-3</v>
      </c>
      <c r="AD310" s="48">
        <f t="shared" si="70"/>
        <v>-2.5974025974025974E-3</v>
      </c>
      <c r="AE310" s="48">
        <f t="shared" si="71"/>
        <v>-2.8581898131183583E-2</v>
      </c>
      <c r="AF310" s="48" t="e">
        <f>(#REF!-#REF!)/#REF!</f>
        <v>#REF!</v>
      </c>
    </row>
    <row r="311" spans="1:32" x14ac:dyDescent="0.3">
      <c r="A311" s="48">
        <v>20190408</v>
      </c>
      <c r="B311" s="48" t="s">
        <v>88</v>
      </c>
      <c r="C311" s="79">
        <v>0.25</v>
      </c>
      <c r="D311" s="79">
        <f t="shared" si="72"/>
        <v>0.28567915200379146</v>
      </c>
      <c r="E311" s="49">
        <v>46850</v>
      </c>
      <c r="F311" s="49">
        <v>46650</v>
      </c>
      <c r="G311" s="49">
        <v>5969782550</v>
      </c>
      <c r="H311" s="49">
        <f t="shared" si="73"/>
        <v>0.29929771677029099</v>
      </c>
      <c r="I311" s="49">
        <f t="shared" si="81"/>
        <v>0.29929771677029099</v>
      </c>
      <c r="J311" s="48">
        <v>0.25</v>
      </c>
      <c r="K311" s="48">
        <f t="shared" si="74"/>
        <v>0.20823542393755862</v>
      </c>
      <c r="L311" s="48">
        <v>192000</v>
      </c>
      <c r="M311" s="48">
        <v>195500</v>
      </c>
      <c r="N311" s="51">
        <v>125461438</v>
      </c>
      <c r="O311" s="48">
        <f t="shared" si="75"/>
        <v>2.4770376326489298</v>
      </c>
      <c r="P311" s="48">
        <f t="shared" si="82"/>
        <v>2.4770376326489298</v>
      </c>
      <c r="Q311" s="49">
        <v>0.5</v>
      </c>
      <c r="R311" s="49">
        <f t="shared" si="76"/>
        <v>0.50608542405865009</v>
      </c>
      <c r="S311" s="49">
        <v>265100</v>
      </c>
      <c r="T311" s="49">
        <v>271200</v>
      </c>
      <c r="U311" s="49">
        <v>15956260</v>
      </c>
      <c r="V311" s="49">
        <f t="shared" si="77"/>
        <v>34.122281047785798</v>
      </c>
      <c r="W311" s="49">
        <f t="shared" si="83"/>
        <v>34.122281047785798</v>
      </c>
      <c r="X311" s="82">
        <f t="shared" si="78"/>
        <v>0</v>
      </c>
      <c r="Y311" s="82">
        <f t="shared" si="79"/>
        <v>239394183448972.72</v>
      </c>
      <c r="Z311" s="81">
        <f t="shared" si="84"/>
        <v>291766224787446.62</v>
      </c>
      <c r="AA311" s="80">
        <f t="shared" si="68"/>
        <v>1218.7690635751687</v>
      </c>
      <c r="AB311" s="52">
        <f t="shared" si="80"/>
        <v>1.40819610505788E-2</v>
      </c>
      <c r="AC311" s="48">
        <f t="shared" si="69"/>
        <v>-4.2689434364994666E-3</v>
      </c>
      <c r="AD311" s="48">
        <f t="shared" si="70"/>
        <v>1.8229166666666668E-2</v>
      </c>
      <c r="AE311" s="48">
        <f t="shared" si="71"/>
        <v>2.3010184835910975E-2</v>
      </c>
      <c r="AF311" s="48" t="e">
        <f>(#REF!-#REF!)/#REF!</f>
        <v>#REF!</v>
      </c>
    </row>
    <row r="312" spans="1:32" x14ac:dyDescent="0.3">
      <c r="A312" s="48">
        <v>20190409</v>
      </c>
      <c r="B312" s="48" t="s">
        <v>88</v>
      </c>
      <c r="C312" s="79">
        <v>0.25</v>
      </c>
      <c r="D312" s="79">
        <f t="shared" si="72"/>
        <v>0.28312354960143998</v>
      </c>
      <c r="E312" s="49">
        <v>46650</v>
      </c>
      <c r="F312" s="49">
        <v>46650</v>
      </c>
      <c r="G312" s="49">
        <v>5969782550</v>
      </c>
      <c r="H312" s="49">
        <f t="shared" si="73"/>
        <v>0.29929771677029099</v>
      </c>
      <c r="I312" s="49">
        <f t="shared" si="81"/>
        <v>0.29929771677029099</v>
      </c>
      <c r="J312" s="48">
        <v>0.25</v>
      </c>
      <c r="K312" s="48">
        <f t="shared" si="74"/>
        <v>0.21587313993311244</v>
      </c>
      <c r="L312" s="48">
        <v>195500</v>
      </c>
      <c r="M312" s="48">
        <v>204500</v>
      </c>
      <c r="N312" s="51">
        <v>125461438</v>
      </c>
      <c r="O312" s="48">
        <f t="shared" si="75"/>
        <v>2.4770376326489298</v>
      </c>
      <c r="P312" s="48">
        <f t="shared" si="82"/>
        <v>2.4770376326489298</v>
      </c>
      <c r="Q312" s="49">
        <v>0.5</v>
      </c>
      <c r="R312" s="49">
        <f t="shared" si="76"/>
        <v>0.50100331046544755</v>
      </c>
      <c r="S312" s="49">
        <v>271200</v>
      </c>
      <c r="T312" s="49">
        <v>270900</v>
      </c>
      <c r="U312" s="49">
        <v>15956260</v>
      </c>
      <c r="V312" s="49">
        <f t="shared" si="77"/>
        <v>34.122281047785798</v>
      </c>
      <c r="W312" s="49">
        <f t="shared" si="83"/>
        <v>34.122281047785798</v>
      </c>
      <c r="X312" s="82">
        <f t="shared" si="78"/>
        <v>0</v>
      </c>
      <c r="Y312" s="82">
        <f t="shared" si="79"/>
        <v>239394183448972.72</v>
      </c>
      <c r="Z312" s="81">
        <f t="shared" si="84"/>
        <v>294399839921339.5</v>
      </c>
      <c r="AA312" s="80">
        <f t="shared" si="68"/>
        <v>1229.7702295013835</v>
      </c>
      <c r="AB312" s="52">
        <f t="shared" si="80"/>
        <v>9.026456492047516E-3</v>
      </c>
      <c r="AC312" s="48">
        <f t="shared" si="69"/>
        <v>0</v>
      </c>
      <c r="AD312" s="48">
        <f t="shared" si="70"/>
        <v>4.6035805626598467E-2</v>
      </c>
      <c r="AE312" s="48">
        <f t="shared" si="71"/>
        <v>-1.1061946902654867E-3</v>
      </c>
      <c r="AF312" s="48" t="e">
        <f>(#REF!-#REF!)/#REF!</f>
        <v>#REF!</v>
      </c>
    </row>
    <row r="313" spans="1:32" x14ac:dyDescent="0.3">
      <c r="A313" s="48">
        <v>20190410</v>
      </c>
      <c r="B313" s="48" t="s">
        <v>88</v>
      </c>
      <c r="C313" s="79">
        <v>0.25</v>
      </c>
      <c r="D313" s="79">
        <f t="shared" si="72"/>
        <v>0.27937885209033775</v>
      </c>
      <c r="E313" s="49">
        <v>46650</v>
      </c>
      <c r="F313" s="49">
        <v>46700</v>
      </c>
      <c r="G313" s="49">
        <v>5969782550</v>
      </c>
      <c r="H313" s="49">
        <f t="shared" si="73"/>
        <v>0.29929771677029099</v>
      </c>
      <c r="I313" s="49">
        <f t="shared" si="81"/>
        <v>0.29929771677029099</v>
      </c>
      <c r="J313" s="48">
        <v>0.25</v>
      </c>
      <c r="K313" s="48">
        <f t="shared" si="74"/>
        <v>0.213830387974558</v>
      </c>
      <c r="L313" s="48">
        <v>204500</v>
      </c>
      <c r="M313" s="48">
        <v>205500</v>
      </c>
      <c r="N313" s="51">
        <v>125461438</v>
      </c>
      <c r="O313" s="48">
        <f t="shared" si="75"/>
        <v>2.4770376326489298</v>
      </c>
      <c r="P313" s="48">
        <f t="shared" si="82"/>
        <v>2.4770376326489298</v>
      </c>
      <c r="Q313" s="49">
        <v>0.5</v>
      </c>
      <c r="R313" s="49">
        <f t="shared" si="76"/>
        <v>0.50679075993510425</v>
      </c>
      <c r="S313" s="49">
        <v>270900</v>
      </c>
      <c r="T313" s="49">
        <v>278000</v>
      </c>
      <c r="U313" s="49">
        <v>15956260</v>
      </c>
      <c r="V313" s="49">
        <f t="shared" si="77"/>
        <v>34.122281047785798</v>
      </c>
      <c r="W313" s="49">
        <f t="shared" si="83"/>
        <v>34.122281047785798</v>
      </c>
      <c r="X313" s="82">
        <f t="shared" si="78"/>
        <v>0</v>
      </c>
      <c r="Y313" s="82">
        <f t="shared" si="79"/>
        <v>239394183448972.72</v>
      </c>
      <c r="Z313" s="81">
        <f t="shared" si="84"/>
        <v>298665644055213.19</v>
      </c>
      <c r="AA313" s="80">
        <f t="shared" si="68"/>
        <v>1247.5893931603157</v>
      </c>
      <c r="AB313" s="52">
        <f t="shared" si="80"/>
        <v>1.4489831703079267E-2</v>
      </c>
      <c r="AC313" s="48">
        <f t="shared" si="69"/>
        <v>1.0718113612004287E-3</v>
      </c>
      <c r="AD313" s="48">
        <f t="shared" si="70"/>
        <v>4.8899755501222494E-3</v>
      </c>
      <c r="AE313" s="48">
        <f t="shared" si="71"/>
        <v>2.6208933185677373E-2</v>
      </c>
      <c r="AF313" s="48" t="e">
        <f>(#REF!-#REF!)/#REF!</f>
        <v>#REF!</v>
      </c>
    </row>
    <row r="314" spans="1:32" x14ac:dyDescent="0.3">
      <c r="A314" s="48">
        <v>20190411</v>
      </c>
      <c r="B314" s="48" t="s">
        <v>88</v>
      </c>
      <c r="C314" s="79">
        <v>0.25</v>
      </c>
      <c r="D314" s="79">
        <f t="shared" si="72"/>
        <v>0.27574314607865741</v>
      </c>
      <c r="E314" s="49">
        <v>46700</v>
      </c>
      <c r="F314" s="49">
        <v>46250</v>
      </c>
      <c r="G314" s="49">
        <v>5969782550</v>
      </c>
      <c r="H314" s="49">
        <f t="shared" si="73"/>
        <v>0.29929771677029099</v>
      </c>
      <c r="I314" s="49">
        <f t="shared" si="81"/>
        <v>0.29929771677029099</v>
      </c>
      <c r="J314" s="48">
        <v>0.25</v>
      </c>
      <c r="K314" s="48">
        <f t="shared" si="74"/>
        <v>0.21828607864516167</v>
      </c>
      <c r="L314" s="48">
        <v>205500</v>
      </c>
      <c r="M314" s="48">
        <v>210500</v>
      </c>
      <c r="N314" s="51">
        <v>125461438</v>
      </c>
      <c r="O314" s="48">
        <f t="shared" si="75"/>
        <v>2.4770376326489298</v>
      </c>
      <c r="P314" s="48">
        <f t="shared" si="82"/>
        <v>2.4770376326489298</v>
      </c>
      <c r="Q314" s="49">
        <v>0.5</v>
      </c>
      <c r="R314" s="49">
        <f t="shared" si="76"/>
        <v>0.50597077527618106</v>
      </c>
      <c r="S314" s="49">
        <v>278000</v>
      </c>
      <c r="T314" s="49">
        <v>278500</v>
      </c>
      <c r="U314" s="49">
        <v>15956260</v>
      </c>
      <c r="V314" s="49">
        <f t="shared" si="77"/>
        <v>34.122281047785798</v>
      </c>
      <c r="W314" s="49">
        <f t="shared" si="83"/>
        <v>34.122281047785798</v>
      </c>
      <c r="X314" s="82">
        <f t="shared" si="78"/>
        <v>0</v>
      </c>
      <c r="Y314" s="82">
        <f t="shared" si="79"/>
        <v>239394183448972.72</v>
      </c>
      <c r="Z314" s="81">
        <f t="shared" si="84"/>
        <v>299687705537096.62</v>
      </c>
      <c r="AA314" s="80">
        <f t="shared" si="68"/>
        <v>1251.8587595549311</v>
      </c>
      <c r="AB314" s="52">
        <f t="shared" si="80"/>
        <v>3.4220925714994457E-3</v>
      </c>
      <c r="AC314" s="48">
        <f t="shared" si="69"/>
        <v>-9.6359743040685224E-3</v>
      </c>
      <c r="AD314" s="48">
        <f t="shared" si="70"/>
        <v>2.4330900243309004E-2</v>
      </c>
      <c r="AE314" s="48">
        <f t="shared" si="71"/>
        <v>1.7985611510791368E-3</v>
      </c>
      <c r="AF314" s="48" t="e">
        <f>(#REF!-#REF!)/#REF!</f>
        <v>#REF!</v>
      </c>
    </row>
    <row r="315" spans="1:32" x14ac:dyDescent="0.3">
      <c r="A315" s="48">
        <v>20190412</v>
      </c>
      <c r="B315" s="48" t="s">
        <v>88</v>
      </c>
      <c r="C315" s="79">
        <v>0.25</v>
      </c>
      <c r="D315" s="79">
        <f t="shared" si="72"/>
        <v>0.28099849647162572</v>
      </c>
      <c r="E315" s="49">
        <v>46250</v>
      </c>
      <c r="F315" s="49">
        <v>46850</v>
      </c>
      <c r="G315" s="49">
        <v>5969782550</v>
      </c>
      <c r="H315" s="49">
        <f t="shared" si="73"/>
        <v>0.29929771677029099</v>
      </c>
      <c r="I315" s="49">
        <f t="shared" si="81"/>
        <v>0.29929771677029099</v>
      </c>
      <c r="J315" s="48">
        <v>0.25</v>
      </c>
      <c r="K315" s="48">
        <f t="shared" si="74"/>
        <v>0.21803270193051663</v>
      </c>
      <c r="L315" s="48">
        <v>210500</v>
      </c>
      <c r="M315" s="48">
        <v>209000</v>
      </c>
      <c r="N315" s="51">
        <v>125461438</v>
      </c>
      <c r="O315" s="48">
        <f t="shared" si="75"/>
        <v>2.4770376326489298</v>
      </c>
      <c r="P315" s="48">
        <f t="shared" si="82"/>
        <v>2.4770376326489298</v>
      </c>
      <c r="Q315" s="49">
        <v>0.5</v>
      </c>
      <c r="R315" s="49">
        <f t="shared" si="76"/>
        <v>0.50096880159785762</v>
      </c>
      <c r="S315" s="49">
        <v>278500</v>
      </c>
      <c r="T315" s="49">
        <v>274100</v>
      </c>
      <c r="U315" s="49">
        <v>15956260</v>
      </c>
      <c r="V315" s="49">
        <f t="shared" si="77"/>
        <v>34.122281047785798</v>
      </c>
      <c r="W315" s="49">
        <f t="shared" si="83"/>
        <v>34.122281047785798</v>
      </c>
      <c r="X315" s="82">
        <f t="shared" si="78"/>
        <v>0</v>
      </c>
      <c r="Y315" s="82">
        <f t="shared" si="79"/>
        <v>239394183448972.72</v>
      </c>
      <c r="Z315" s="81">
        <f t="shared" si="84"/>
        <v>297897950306093.56</v>
      </c>
      <c r="AA315" s="80">
        <f t="shared" si="68"/>
        <v>1244.382574439579</v>
      </c>
      <c r="AB315" s="52">
        <f t="shared" si="80"/>
        <v>-5.9720675821368944E-3</v>
      </c>
      <c r="AC315" s="48">
        <f t="shared" si="69"/>
        <v>1.2972972972972972E-2</v>
      </c>
      <c r="AD315" s="48">
        <f t="shared" si="70"/>
        <v>-7.1258907363420431E-3</v>
      </c>
      <c r="AE315" s="48">
        <f t="shared" si="71"/>
        <v>-1.5798922800718134E-2</v>
      </c>
      <c r="AF315" s="48" t="e">
        <f>(#REF!-#REF!)/#REF!</f>
        <v>#REF!</v>
      </c>
    </row>
    <row r="316" spans="1:32" x14ac:dyDescent="0.3">
      <c r="A316" s="48">
        <v>20190415</v>
      </c>
      <c r="B316" s="48" t="s">
        <v>88</v>
      </c>
      <c r="C316" s="79">
        <v>0.25</v>
      </c>
      <c r="D316" s="79">
        <f t="shared" si="72"/>
        <v>0.28648268316513464</v>
      </c>
      <c r="E316" s="49">
        <v>46850</v>
      </c>
      <c r="F316" s="49">
        <v>47050</v>
      </c>
      <c r="G316" s="49">
        <v>5969782550</v>
      </c>
      <c r="H316" s="49">
        <f t="shared" si="73"/>
        <v>0.29929771677029099</v>
      </c>
      <c r="I316" s="49">
        <f t="shared" si="81"/>
        <v>0.29929771677029099</v>
      </c>
      <c r="J316" s="48">
        <v>0.25</v>
      </c>
      <c r="K316" s="48">
        <f t="shared" si="74"/>
        <v>0.21551827934736947</v>
      </c>
      <c r="L316" s="48">
        <v>209000</v>
      </c>
      <c r="M316" s="48">
        <v>203500</v>
      </c>
      <c r="N316" s="51">
        <v>125461438</v>
      </c>
      <c r="O316" s="48">
        <f t="shared" si="75"/>
        <v>2.4770376326489298</v>
      </c>
      <c r="P316" s="48">
        <f t="shared" si="82"/>
        <v>2.4770376326489298</v>
      </c>
      <c r="Q316" s="49">
        <v>0.5</v>
      </c>
      <c r="R316" s="49">
        <f t="shared" si="76"/>
        <v>0.49799903748749597</v>
      </c>
      <c r="S316" s="49">
        <v>274100</v>
      </c>
      <c r="T316" s="49">
        <v>268400</v>
      </c>
      <c r="U316" s="49">
        <v>15956260</v>
      </c>
      <c r="V316" s="49">
        <f t="shared" si="77"/>
        <v>34.122281047785798</v>
      </c>
      <c r="W316" s="49">
        <f t="shared" si="83"/>
        <v>34.122281047785798</v>
      </c>
      <c r="X316" s="82">
        <f t="shared" si="78"/>
        <v>0</v>
      </c>
      <c r="Y316" s="82">
        <f t="shared" si="79"/>
        <v>239394183448972.72</v>
      </c>
      <c r="Z316" s="81">
        <f t="shared" si="84"/>
        <v>293442604162220.37</v>
      </c>
      <c r="AA316" s="80">
        <f t="shared" si="68"/>
        <v>1225.7716538245306</v>
      </c>
      <c r="AB316" s="52">
        <f t="shared" si="80"/>
        <v>-1.4955947630036525E-2</v>
      </c>
      <c r="AC316" s="48">
        <f t="shared" si="69"/>
        <v>4.2689434364994666E-3</v>
      </c>
      <c r="AD316" s="48">
        <f t="shared" si="70"/>
        <v>-2.6315789473684209E-2</v>
      </c>
      <c r="AE316" s="48">
        <f t="shared" si="71"/>
        <v>-2.0795330171470266E-2</v>
      </c>
      <c r="AF316" s="48" t="e">
        <f>(#REF!-#REF!)/#REF!</f>
        <v>#REF!</v>
      </c>
    </row>
    <row r="317" spans="1:32" x14ac:dyDescent="0.3">
      <c r="A317" s="48">
        <v>20190416</v>
      </c>
      <c r="B317" s="48" t="s">
        <v>88</v>
      </c>
      <c r="C317" s="79">
        <v>0.25</v>
      </c>
      <c r="D317" s="79">
        <f t="shared" si="72"/>
        <v>0.28504291513269098</v>
      </c>
      <c r="E317" s="49">
        <v>47050</v>
      </c>
      <c r="F317" s="49">
        <v>47250</v>
      </c>
      <c r="G317" s="49">
        <v>5969782550</v>
      </c>
      <c r="H317" s="49">
        <f t="shared" si="73"/>
        <v>0.29929771677029099</v>
      </c>
      <c r="I317" s="49">
        <f t="shared" si="81"/>
        <v>0.29929771677029099</v>
      </c>
      <c r="J317" s="48">
        <v>0.25</v>
      </c>
      <c r="K317" s="48">
        <f t="shared" si="74"/>
        <v>0.21824923128490387</v>
      </c>
      <c r="L317" s="48">
        <v>203500</v>
      </c>
      <c r="M317" s="48">
        <v>208000</v>
      </c>
      <c r="N317" s="51">
        <v>125461438</v>
      </c>
      <c r="O317" s="48">
        <f t="shared" si="75"/>
        <v>2.4770376326489298</v>
      </c>
      <c r="P317" s="48">
        <f t="shared" si="82"/>
        <v>2.4770376326489298</v>
      </c>
      <c r="Q317" s="49">
        <v>0.5</v>
      </c>
      <c r="R317" s="49">
        <f t="shared" si="76"/>
        <v>0.49670785358240505</v>
      </c>
      <c r="S317" s="49">
        <v>268400</v>
      </c>
      <c r="T317" s="49">
        <v>270200</v>
      </c>
      <c r="U317" s="49">
        <v>15956260</v>
      </c>
      <c r="V317" s="49">
        <f t="shared" si="77"/>
        <v>34.122281047785798</v>
      </c>
      <c r="W317" s="49">
        <f t="shared" si="83"/>
        <v>34.122281047785798</v>
      </c>
      <c r="X317" s="82">
        <f t="shared" si="78"/>
        <v>0</v>
      </c>
      <c r="Y317" s="82">
        <f t="shared" si="79"/>
        <v>239394183448972.72</v>
      </c>
      <c r="Z317" s="81">
        <f t="shared" si="84"/>
        <v>296178464963506.37</v>
      </c>
      <c r="AA317" s="80">
        <f t="shared" si="68"/>
        <v>1237.1999214702614</v>
      </c>
      <c r="AB317" s="52">
        <f t="shared" si="80"/>
        <v>9.3233251153046672E-3</v>
      </c>
      <c r="AC317" s="48">
        <f t="shared" si="69"/>
        <v>4.2507970244420826E-3</v>
      </c>
      <c r="AD317" s="48">
        <f t="shared" si="70"/>
        <v>2.2113022113022112E-2</v>
      </c>
      <c r="AE317" s="48">
        <f t="shared" si="71"/>
        <v>6.7064083457526085E-3</v>
      </c>
      <c r="AF317" s="48" t="e">
        <f>(#REF!-#REF!)/#REF!</f>
        <v>#REF!</v>
      </c>
    </row>
    <row r="318" spans="1:32" x14ac:dyDescent="0.3">
      <c r="A318" s="48">
        <v>20190417</v>
      </c>
      <c r="B318" s="48" t="s">
        <v>88</v>
      </c>
      <c r="C318" s="79">
        <v>0.25</v>
      </c>
      <c r="D318" s="79">
        <f t="shared" si="72"/>
        <v>0.28597651591020928</v>
      </c>
      <c r="E318" s="49">
        <v>47250</v>
      </c>
      <c r="F318" s="49">
        <v>47050</v>
      </c>
      <c r="G318" s="49">
        <v>5969782550</v>
      </c>
      <c r="H318" s="49">
        <f t="shared" si="73"/>
        <v>0.29929771677029099</v>
      </c>
      <c r="I318" s="49">
        <f t="shared" si="81"/>
        <v>0.29929771677029099</v>
      </c>
      <c r="J318" s="48">
        <v>0.25</v>
      </c>
      <c r="K318" s="48">
        <f t="shared" si="74"/>
        <v>0.22042342791471459</v>
      </c>
      <c r="L318" s="48">
        <v>208000</v>
      </c>
      <c r="M318" s="48">
        <v>208500</v>
      </c>
      <c r="N318" s="51">
        <v>125461438</v>
      </c>
      <c r="O318" s="48">
        <f t="shared" si="75"/>
        <v>2.4770376326489298</v>
      </c>
      <c r="P318" s="48">
        <f t="shared" si="82"/>
        <v>2.4770376326489298</v>
      </c>
      <c r="Q318" s="49">
        <v>0.5</v>
      </c>
      <c r="R318" s="49">
        <f t="shared" si="76"/>
        <v>0.49360005617507607</v>
      </c>
      <c r="S318" s="49">
        <v>270200</v>
      </c>
      <c r="T318" s="49">
        <v>266500</v>
      </c>
      <c r="U318" s="49">
        <v>15956260</v>
      </c>
      <c r="V318" s="49">
        <f t="shared" si="77"/>
        <v>34.122281047785798</v>
      </c>
      <c r="W318" s="49">
        <f t="shared" si="83"/>
        <v>34.122281047785798</v>
      </c>
      <c r="X318" s="82">
        <f t="shared" si="78"/>
        <v>0</v>
      </c>
      <c r="Y318" s="82">
        <f t="shared" si="79"/>
        <v>239394183448972.72</v>
      </c>
      <c r="Z318" s="81">
        <f t="shared" si="84"/>
        <v>293961986101517.75</v>
      </c>
      <c r="AA318" s="80">
        <f t="shared" si="68"/>
        <v>1227.9412217388995</v>
      </c>
      <c r="AB318" s="52">
        <f t="shared" si="80"/>
        <v>-7.48359223977247E-3</v>
      </c>
      <c r="AC318" s="48">
        <f t="shared" si="69"/>
        <v>-4.2328042328042331E-3</v>
      </c>
      <c r="AD318" s="48">
        <f t="shared" si="70"/>
        <v>2.403846153846154E-3</v>
      </c>
      <c r="AE318" s="48">
        <f t="shared" si="71"/>
        <v>-1.3693560325684678E-2</v>
      </c>
      <c r="AF318" s="48" t="e">
        <f>(#REF!-#REF!)/#REF!</f>
        <v>#REF!</v>
      </c>
    </row>
    <row r="319" spans="1:32" x14ac:dyDescent="0.3">
      <c r="A319" s="48">
        <v>20190418</v>
      </c>
      <c r="B319" s="48" t="s">
        <v>88</v>
      </c>
      <c r="C319" s="79">
        <v>0.25</v>
      </c>
      <c r="D319" s="79">
        <f t="shared" si="72"/>
        <v>0.28596187506779519</v>
      </c>
      <c r="E319" s="49">
        <v>47050</v>
      </c>
      <c r="F319" s="49">
        <v>45600</v>
      </c>
      <c r="G319" s="49">
        <v>5969782550</v>
      </c>
      <c r="H319" s="49">
        <f t="shared" si="73"/>
        <v>0.29929771677029099</v>
      </c>
      <c r="I319" s="49">
        <f t="shared" si="81"/>
        <v>0.29929771677029099</v>
      </c>
      <c r="J319" s="48">
        <v>0.25</v>
      </c>
      <c r="K319" s="48">
        <f t="shared" si="74"/>
        <v>0.22196712487706127</v>
      </c>
      <c r="L319" s="48">
        <v>208500</v>
      </c>
      <c r="M319" s="48">
        <v>203500</v>
      </c>
      <c r="N319" s="51">
        <v>125461438</v>
      </c>
      <c r="O319" s="48">
        <f t="shared" si="75"/>
        <v>2.4770376326489298</v>
      </c>
      <c r="P319" s="48">
        <f t="shared" si="82"/>
        <v>2.4770376326489298</v>
      </c>
      <c r="Q319" s="49">
        <v>0.5</v>
      </c>
      <c r="R319" s="49">
        <f t="shared" si="76"/>
        <v>0.4920710000551437</v>
      </c>
      <c r="S319" s="49">
        <v>266500</v>
      </c>
      <c r="T319" s="49">
        <v>257500</v>
      </c>
      <c r="U319" s="49">
        <v>15956260</v>
      </c>
      <c r="V319" s="49">
        <f t="shared" si="77"/>
        <v>34.122281047785798</v>
      </c>
      <c r="W319" s="49">
        <f t="shared" si="83"/>
        <v>34.122281047785798</v>
      </c>
      <c r="X319" s="82">
        <f t="shared" si="78"/>
        <v>0</v>
      </c>
      <c r="Y319" s="82">
        <f t="shared" si="79"/>
        <v>239394183448972.72</v>
      </c>
      <c r="Z319" s="81">
        <f t="shared" si="84"/>
        <v>284917170375028.87</v>
      </c>
      <c r="AA319" s="80">
        <f t="shared" si="68"/>
        <v>1190.1591186143394</v>
      </c>
      <c r="AB319" s="52">
        <f t="shared" si="80"/>
        <v>-3.0768657697683999E-2</v>
      </c>
      <c r="AC319" s="48">
        <f t="shared" si="69"/>
        <v>-3.0818278427205102E-2</v>
      </c>
      <c r="AD319" s="48">
        <f t="shared" si="70"/>
        <v>-2.3980815347721823E-2</v>
      </c>
      <c r="AE319" s="48">
        <f t="shared" si="71"/>
        <v>-3.3771106941838651E-2</v>
      </c>
      <c r="AF319" s="48" t="e">
        <f>(#REF!-#REF!)/#REF!</f>
        <v>#REF!</v>
      </c>
    </row>
    <row r="320" spans="1:32" x14ac:dyDescent="0.3">
      <c r="A320" s="48">
        <v>20190419</v>
      </c>
      <c r="B320" s="48" t="s">
        <v>88</v>
      </c>
      <c r="C320" s="79">
        <v>0.25</v>
      </c>
      <c r="D320" s="79">
        <f t="shared" si="72"/>
        <v>0.27808004327923136</v>
      </c>
      <c r="E320" s="49">
        <v>45600</v>
      </c>
      <c r="F320" s="49">
        <v>45300</v>
      </c>
      <c r="G320" s="49">
        <v>5969782550</v>
      </c>
      <c r="H320" s="49">
        <f t="shared" si="73"/>
        <v>0.29929771677029099</v>
      </c>
      <c r="I320" s="49">
        <f t="shared" si="81"/>
        <v>0.29929771677029099</v>
      </c>
      <c r="J320" s="48">
        <v>0.25</v>
      </c>
      <c r="K320" s="48">
        <f t="shared" si="74"/>
        <v>0.23276038327549761</v>
      </c>
      <c r="L320" s="48">
        <v>203500</v>
      </c>
      <c r="M320" s="48">
        <v>218000</v>
      </c>
      <c r="N320" s="51">
        <v>125461438</v>
      </c>
      <c r="O320" s="48">
        <f t="shared" si="75"/>
        <v>2.4770376326489298</v>
      </c>
      <c r="P320" s="48">
        <f t="shared" si="82"/>
        <v>2.4770376326489298</v>
      </c>
      <c r="Q320" s="49">
        <v>0.5</v>
      </c>
      <c r="R320" s="49">
        <f t="shared" si="76"/>
        <v>0.48915957344527089</v>
      </c>
      <c r="S320" s="49">
        <v>257500</v>
      </c>
      <c r="T320" s="49">
        <v>261500</v>
      </c>
      <c r="U320" s="49">
        <v>15956260</v>
      </c>
      <c r="V320" s="49">
        <f t="shared" si="77"/>
        <v>34.122281047785798</v>
      </c>
      <c r="W320" s="49">
        <f t="shared" si="83"/>
        <v>34.122281047785798</v>
      </c>
      <c r="X320" s="82">
        <f t="shared" si="78"/>
        <v>0</v>
      </c>
      <c r="Y320" s="82">
        <f t="shared" si="79"/>
        <v>239394183448972.72</v>
      </c>
      <c r="Z320" s="81">
        <f t="shared" si="84"/>
        <v>291065207840643.75</v>
      </c>
      <c r="AA320" s="80">
        <f t="shared" si="68"/>
        <v>1215.8407679219358</v>
      </c>
      <c r="AB320" s="52">
        <f t="shared" si="80"/>
        <v>2.1578332599339063E-2</v>
      </c>
      <c r="AC320" s="48">
        <f t="shared" si="69"/>
        <v>-6.5789473684210523E-3</v>
      </c>
      <c r="AD320" s="48">
        <f t="shared" si="70"/>
        <v>7.125307125307126E-2</v>
      </c>
      <c r="AE320" s="48">
        <f t="shared" si="71"/>
        <v>1.5533980582524271E-2</v>
      </c>
      <c r="AF320" s="48" t="e">
        <f>(#REF!-#REF!)/#REF!</f>
        <v>#REF!</v>
      </c>
    </row>
    <row r="321" spans="1:32" x14ac:dyDescent="0.3">
      <c r="A321" s="48">
        <v>20190422</v>
      </c>
      <c r="B321" s="48" t="s">
        <v>88</v>
      </c>
      <c r="C321" s="79">
        <v>0.25</v>
      </c>
      <c r="D321" s="79">
        <f t="shared" si="72"/>
        <v>0.27870444667278982</v>
      </c>
      <c r="E321" s="49">
        <v>45300</v>
      </c>
      <c r="F321" s="49">
        <v>45350</v>
      </c>
      <c r="G321" s="49">
        <v>5969782550</v>
      </c>
      <c r="H321" s="49">
        <f t="shared" si="73"/>
        <v>0.29929771677029099</v>
      </c>
      <c r="I321" s="49">
        <f t="shared" si="81"/>
        <v>0.29929771677029099</v>
      </c>
      <c r="J321" s="48">
        <v>0.25</v>
      </c>
      <c r="K321" s="48">
        <f t="shared" si="74"/>
        <v>0.23569813708759557</v>
      </c>
      <c r="L321" s="48">
        <v>218000</v>
      </c>
      <c r="M321" s="48">
        <v>220500</v>
      </c>
      <c r="N321" s="51">
        <v>125461438</v>
      </c>
      <c r="O321" s="48">
        <f t="shared" si="75"/>
        <v>2.4770376326489298</v>
      </c>
      <c r="P321" s="48">
        <f t="shared" si="82"/>
        <v>2.4770376326489298</v>
      </c>
      <c r="Q321" s="49">
        <v>0.5</v>
      </c>
      <c r="R321" s="49">
        <f t="shared" si="76"/>
        <v>0.48559741623961455</v>
      </c>
      <c r="S321" s="49">
        <v>261500</v>
      </c>
      <c r="T321" s="49">
        <v>259300</v>
      </c>
      <c r="U321" s="49">
        <v>15956260</v>
      </c>
      <c r="V321" s="49">
        <f t="shared" si="77"/>
        <v>34.122281047785798</v>
      </c>
      <c r="W321" s="49">
        <f t="shared" si="83"/>
        <v>34.122281047785798</v>
      </c>
      <c r="X321" s="82">
        <f t="shared" si="78"/>
        <v>0</v>
      </c>
      <c r="Y321" s="82">
        <f t="shared" si="79"/>
        <v>239394183448972.72</v>
      </c>
      <c r="Z321" s="81">
        <f t="shared" si="84"/>
        <v>290733655939394.44</v>
      </c>
      <c r="AA321" s="80">
        <f t="shared" si="68"/>
        <v>1214.4558056957337</v>
      </c>
      <c r="AB321" s="52">
        <f t="shared" si="80"/>
        <v>-1.1390983611852606E-3</v>
      </c>
      <c r="AC321" s="48">
        <f t="shared" si="69"/>
        <v>1.1037527593818985E-3</v>
      </c>
      <c r="AD321" s="48">
        <f t="shared" si="70"/>
        <v>1.1467889908256881E-2</v>
      </c>
      <c r="AE321" s="48">
        <f t="shared" si="71"/>
        <v>-8.4130019120458883E-3</v>
      </c>
      <c r="AF321" s="48" t="e">
        <f>(#REF!-#REF!)/#REF!</f>
        <v>#REF!</v>
      </c>
    </row>
    <row r="322" spans="1:32" x14ac:dyDescent="0.3">
      <c r="A322" s="48">
        <v>20190423</v>
      </c>
      <c r="B322" s="48" t="s">
        <v>88</v>
      </c>
      <c r="C322" s="79">
        <v>0.25</v>
      </c>
      <c r="D322" s="79">
        <f t="shared" si="72"/>
        <v>0.27774175125581374</v>
      </c>
      <c r="E322" s="49">
        <v>45350</v>
      </c>
      <c r="F322" s="49">
        <v>45200</v>
      </c>
      <c r="G322" s="49">
        <v>5969782550</v>
      </c>
      <c r="H322" s="49">
        <f t="shared" si="73"/>
        <v>0.29929771677029099</v>
      </c>
      <c r="I322" s="49">
        <f t="shared" si="81"/>
        <v>0.29929771677029099</v>
      </c>
      <c r="J322" s="48">
        <v>0.25</v>
      </c>
      <c r="K322" s="48">
        <f t="shared" si="74"/>
        <v>0.23673224409390414</v>
      </c>
      <c r="L322" s="48">
        <v>220500</v>
      </c>
      <c r="M322" s="48">
        <v>221500</v>
      </c>
      <c r="N322" s="51">
        <v>125461438</v>
      </c>
      <c r="O322" s="48">
        <f t="shared" si="75"/>
        <v>2.4770376326489298</v>
      </c>
      <c r="P322" s="48">
        <f t="shared" si="82"/>
        <v>2.4770376326489298</v>
      </c>
      <c r="Q322" s="49">
        <v>0.5</v>
      </c>
      <c r="R322" s="49">
        <f t="shared" si="76"/>
        <v>0.48552600465028223</v>
      </c>
      <c r="S322" s="49">
        <v>259300</v>
      </c>
      <c r="T322" s="49">
        <v>259300</v>
      </c>
      <c r="U322" s="49">
        <v>15956260</v>
      </c>
      <c r="V322" s="49">
        <f t="shared" si="77"/>
        <v>34.122281047785798</v>
      </c>
      <c r="W322" s="49">
        <f t="shared" si="83"/>
        <v>34.122281047785798</v>
      </c>
      <c r="X322" s="82">
        <f t="shared" si="78"/>
        <v>0</v>
      </c>
      <c r="Y322" s="82">
        <f t="shared" si="79"/>
        <v>239394183448972.72</v>
      </c>
      <c r="Z322" s="81">
        <f t="shared" si="84"/>
        <v>290776417299742.12</v>
      </c>
      <c r="AA322" s="80">
        <f t="shared" si="68"/>
        <v>1214.6344289176166</v>
      </c>
      <c r="AB322" s="52">
        <f t="shared" si="80"/>
        <v>1.4708087445019491E-4</v>
      </c>
      <c r="AC322" s="48">
        <f t="shared" si="69"/>
        <v>-3.3076074972436605E-3</v>
      </c>
      <c r="AD322" s="48">
        <f t="shared" si="70"/>
        <v>4.5351473922902496E-3</v>
      </c>
      <c r="AE322" s="48">
        <f t="shared" si="71"/>
        <v>0</v>
      </c>
      <c r="AF322" s="48" t="e">
        <f>(#REF!-#REF!)/#REF!</f>
        <v>#REF!</v>
      </c>
    </row>
    <row r="323" spans="1:32" s="73" customFormat="1" x14ac:dyDescent="0.3">
      <c r="A323" s="48">
        <v>20190424</v>
      </c>
      <c r="B323" s="48" t="s">
        <v>88</v>
      </c>
      <c r="C323" s="79">
        <v>0.25</v>
      </c>
      <c r="D323" s="79">
        <f t="shared" si="72"/>
        <v>0.27698610133475493</v>
      </c>
      <c r="E323" s="49">
        <v>45200</v>
      </c>
      <c r="F323" s="49">
        <v>44750</v>
      </c>
      <c r="G323" s="49">
        <v>5969782550</v>
      </c>
      <c r="H323" s="49">
        <f t="shared" si="73"/>
        <v>0.29929771677029099</v>
      </c>
      <c r="I323" s="49">
        <f t="shared" si="81"/>
        <v>0.31117271974055599</v>
      </c>
      <c r="J323" s="48">
        <v>0.25</v>
      </c>
      <c r="K323" s="48">
        <f t="shared" si="74"/>
        <v>0.23469421304583971</v>
      </c>
      <c r="L323" s="48">
        <v>221500</v>
      </c>
      <c r="M323" s="48">
        <v>218000</v>
      </c>
      <c r="N323" s="51">
        <v>127953489</v>
      </c>
      <c r="O323" s="48">
        <f t="shared" si="75"/>
        <v>2.4770376326489298</v>
      </c>
      <c r="P323" s="48">
        <f t="shared" si="82"/>
        <v>2.5251596732190902</v>
      </c>
      <c r="Q323" s="49">
        <v>0.5</v>
      </c>
      <c r="R323" s="49">
        <f t="shared" si="76"/>
        <v>0.48831968561940542</v>
      </c>
      <c r="S323" s="49">
        <v>259300</v>
      </c>
      <c r="T323" s="49">
        <v>258900</v>
      </c>
      <c r="U323" s="49">
        <v>15956260</v>
      </c>
      <c r="V323" s="49">
        <f t="shared" si="77"/>
        <v>34.122281047785798</v>
      </c>
      <c r="W323" s="49">
        <f t="shared" si="83"/>
        <v>35.476124281764299</v>
      </c>
      <c r="X323" s="82">
        <f t="shared" si="78"/>
        <v>1</v>
      </c>
      <c r="Y323" s="82">
        <f t="shared" si="79"/>
        <v>248892440469431.75</v>
      </c>
      <c r="Z323" s="81">
        <f t="shared" si="84"/>
        <v>300120105257166.06</v>
      </c>
      <c r="AA323" s="80">
        <f t="shared" ref="AA323:AA380" si="85">Z323/Y323*1000</f>
        <v>1205.8225018450328</v>
      </c>
      <c r="AB323" s="52">
        <f t="shared" si="80"/>
        <v>-7.254797709329101E-3</v>
      </c>
      <c r="AC323" s="48">
        <f t="shared" ref="AC323:AC380" si="86">(F323-E323)/E323</f>
        <v>-9.9557522123893804E-3</v>
      </c>
      <c r="AD323" s="48">
        <f t="shared" ref="AD323:AD380" si="87">(M323-L323)/L323</f>
        <v>-1.580135440180587E-2</v>
      </c>
      <c r="AE323" s="48">
        <f t="shared" ref="AE323:AE380" si="88">(T323-S323)/S323</f>
        <v>-1.5426147319706903E-3</v>
      </c>
      <c r="AF323" s="48" t="e">
        <f>(#REF!-#REF!)/#REF!</f>
        <v>#REF!</v>
      </c>
    </row>
    <row r="324" spans="1:32" x14ac:dyDescent="0.3">
      <c r="A324" s="48">
        <v>20190425</v>
      </c>
      <c r="B324" s="48" t="s">
        <v>88</v>
      </c>
      <c r="C324" s="79">
        <v>0.25</v>
      </c>
      <c r="D324" s="79">
        <f t="shared" ref="D324:D380" si="89">F324*G324*I324/Z324</f>
        <v>0.28099842732868496</v>
      </c>
      <c r="E324" s="49">
        <v>44750</v>
      </c>
      <c r="F324" s="49">
        <v>44650</v>
      </c>
      <c r="G324" s="49">
        <v>5969782550</v>
      </c>
      <c r="H324" s="49">
        <f t="shared" ref="H324:H380" si="90">I323</f>
        <v>0.31117271974055599</v>
      </c>
      <c r="I324" s="49">
        <f t="shared" si="81"/>
        <v>0.31117271974055599</v>
      </c>
      <c r="J324" s="48">
        <v>0.25</v>
      </c>
      <c r="K324" s="48">
        <f t="shared" ref="K324:K380" si="91">M324*N324*P324/Z324</f>
        <v>0.23151212829942291</v>
      </c>
      <c r="L324" s="48">
        <v>218000</v>
      </c>
      <c r="M324" s="48">
        <v>211500</v>
      </c>
      <c r="N324" s="51">
        <v>127953489</v>
      </c>
      <c r="O324" s="48">
        <f t="shared" ref="O324:O380" si="92">P323</f>
        <v>2.5251596732190902</v>
      </c>
      <c r="P324" s="48">
        <f t="shared" si="82"/>
        <v>2.5251596732190902</v>
      </c>
      <c r="Q324" s="49">
        <v>0.5</v>
      </c>
      <c r="R324" s="49">
        <f t="shared" ref="R324:R380" si="93">T324*U324*W324/Z324</f>
        <v>0.48748944437189218</v>
      </c>
      <c r="S324" s="49">
        <v>258900</v>
      </c>
      <c r="T324" s="49">
        <v>254200</v>
      </c>
      <c r="U324" s="49">
        <v>15956260</v>
      </c>
      <c r="V324" s="49">
        <f t="shared" ref="V324:V380" si="94">W323</f>
        <v>35.476124281764299</v>
      </c>
      <c r="W324" s="49">
        <f t="shared" si="83"/>
        <v>35.476124281764299</v>
      </c>
      <c r="X324" s="82">
        <f t="shared" ref="X324:X380" si="95">IF(Z323&lt;&gt;(E324*G324*H324+L324*N324*O324+S324*U324*V324),1,0)</f>
        <v>0</v>
      </c>
      <c r="Y324" s="82">
        <f t="shared" ref="Y324:Y387" si="96">IF(AND(X324=0,B324="N"),Y323,Y323*(E324*G324*I324+L324*N324*P324+S324*U324*W324)/Z323)</f>
        <v>248892440469431.75</v>
      </c>
      <c r="Z324" s="81">
        <f t="shared" si="84"/>
        <v>295173661036562.56</v>
      </c>
      <c r="AA324" s="80">
        <f t="shared" si="85"/>
        <v>1185.9486791958832</v>
      </c>
      <c r="AB324" s="52">
        <f t="shared" ref="AB324:AB380" si="97">(AA324-AA323)/AA323</f>
        <v>-1.648154899974133E-2</v>
      </c>
      <c r="AC324" s="48">
        <f t="shared" si="86"/>
        <v>-2.2346368715083797E-3</v>
      </c>
      <c r="AD324" s="48">
        <f t="shared" si="87"/>
        <v>-2.9816513761467892E-2</v>
      </c>
      <c r="AE324" s="48">
        <f t="shared" si="88"/>
        <v>-1.8153727307840865E-2</v>
      </c>
      <c r="AF324" s="48" t="e">
        <f>(#REF!-#REF!)/#REF!</f>
        <v>#REF!</v>
      </c>
    </row>
    <row r="325" spans="1:32" x14ac:dyDescent="0.3">
      <c r="A325" s="48">
        <v>20190426</v>
      </c>
      <c r="B325" s="48" t="s">
        <v>88</v>
      </c>
      <c r="C325" s="79">
        <v>0.25</v>
      </c>
      <c r="D325" s="79">
        <f t="shared" si="89"/>
        <v>0.28174826672057302</v>
      </c>
      <c r="E325" s="49">
        <v>44650</v>
      </c>
      <c r="F325" s="49">
        <v>44850</v>
      </c>
      <c r="G325" s="49">
        <v>5969782550</v>
      </c>
      <c r="H325" s="49">
        <f t="shared" si="90"/>
        <v>0.31117271974055599</v>
      </c>
      <c r="I325" s="49">
        <f t="shared" ref="I325:I380" si="98">IF(B325="Y",ROUND(C325*(E325*G325+L325*N325+S325*U325)/(E325*G325),17),IF(X325=0,H325,ROUND(F324*G324*I324/Z324*(E325*G325+L325*N325+S325*U325)/(E325*G325),17)))</f>
        <v>0.31117271974055599</v>
      </c>
      <c r="J325" s="48">
        <v>0.25</v>
      </c>
      <c r="K325" s="48">
        <f t="shared" si="91"/>
        <v>0.23164109874185071</v>
      </c>
      <c r="L325" s="48">
        <v>211500</v>
      </c>
      <c r="M325" s="48">
        <v>212000</v>
      </c>
      <c r="N325" s="51">
        <v>127953489</v>
      </c>
      <c r="O325" s="48">
        <f t="shared" si="92"/>
        <v>2.5251596732190902</v>
      </c>
      <c r="P325" s="48">
        <f t="shared" ref="P325:P380" si="99">IF(B325="Y",ROUND(J325*(E325*G325+L325*N325+S325*U325)/(L325*N325),17),IF(X325=0,O325,ROUND(M324*N324*P324/Z324*(E325*G325+L325*N325+S325*U325)/(L325*N325),17)))</f>
        <v>2.5251596732190902</v>
      </c>
      <c r="Q325" s="49">
        <v>0.5</v>
      </c>
      <c r="R325" s="49">
        <f t="shared" si="93"/>
        <v>0.48661063453757636</v>
      </c>
      <c r="S325" s="49">
        <v>254200</v>
      </c>
      <c r="T325" s="49">
        <v>254200</v>
      </c>
      <c r="U325" s="49">
        <v>15956260</v>
      </c>
      <c r="V325" s="49">
        <f t="shared" si="94"/>
        <v>35.476124281764299</v>
      </c>
      <c r="W325" s="49">
        <f t="shared" ref="W325:W380" si="100">IF(B325="Y",ROUND(Q325*(E325*G325+L325*N325+S325*U325)/(S325*U325),17),IF(X325=0,V325,ROUND(T324*U324*W324/Z324*(E325*G325+L325*N325+S325*U325)/(S325*U325),17)))</f>
        <v>35.476124281764299</v>
      </c>
      <c r="X325" s="82">
        <f t="shared" si="95"/>
        <v>0</v>
      </c>
      <c r="Y325" s="82">
        <f t="shared" si="96"/>
        <v>248892440469431.75</v>
      </c>
      <c r="Z325" s="81">
        <f t="shared" ref="Z325:Z380" si="101">F325*G325*I325+M325*N325*P325+T325*U325*W325</f>
        <v>295706739226266.44</v>
      </c>
      <c r="AA325" s="80">
        <f t="shared" si="85"/>
        <v>1188.0904806451297</v>
      </c>
      <c r="AB325" s="52">
        <f t="shared" si="97"/>
        <v>1.8059815629616505E-3</v>
      </c>
      <c r="AC325" s="48">
        <f t="shared" si="86"/>
        <v>4.4792833146696529E-3</v>
      </c>
      <c r="AD325" s="48">
        <f t="shared" si="87"/>
        <v>2.3640661938534278E-3</v>
      </c>
      <c r="AE325" s="48">
        <f t="shared" si="88"/>
        <v>0</v>
      </c>
      <c r="AF325" s="48" t="e">
        <f>(#REF!-#REF!)/#REF!</f>
        <v>#REF!</v>
      </c>
    </row>
    <row r="326" spans="1:32" x14ac:dyDescent="0.3">
      <c r="A326" s="48">
        <v>20190429</v>
      </c>
      <c r="B326" s="48" t="s">
        <v>88</v>
      </c>
      <c r="C326" s="79">
        <v>0.25</v>
      </c>
      <c r="D326" s="79">
        <f t="shared" si="89"/>
        <v>0.28406953042489352</v>
      </c>
      <c r="E326" s="49">
        <v>44850</v>
      </c>
      <c r="F326" s="49">
        <v>46150</v>
      </c>
      <c r="G326" s="49">
        <v>5969782550</v>
      </c>
      <c r="H326" s="49">
        <f t="shared" si="90"/>
        <v>0.31117271974055599</v>
      </c>
      <c r="I326" s="49">
        <f t="shared" si="98"/>
        <v>0.31117271974055599</v>
      </c>
      <c r="J326" s="48">
        <v>0.25</v>
      </c>
      <c r="K326" s="48">
        <f t="shared" si="91"/>
        <v>0.23125314557831902</v>
      </c>
      <c r="L326" s="48">
        <v>212000</v>
      </c>
      <c r="M326" s="48">
        <v>216000</v>
      </c>
      <c r="N326" s="51">
        <v>127953489</v>
      </c>
      <c r="O326" s="48">
        <f t="shared" si="92"/>
        <v>2.5251596732190902</v>
      </c>
      <c r="P326" s="48">
        <f t="shared" si="99"/>
        <v>2.5251596732190902</v>
      </c>
      <c r="Q326" s="49">
        <v>0.5</v>
      </c>
      <c r="R326" s="49">
        <f t="shared" si="93"/>
        <v>0.48467732399678748</v>
      </c>
      <c r="S326" s="49">
        <v>254200</v>
      </c>
      <c r="T326" s="49">
        <v>258400</v>
      </c>
      <c r="U326" s="49">
        <v>15956260</v>
      </c>
      <c r="V326" s="49">
        <f t="shared" si="94"/>
        <v>35.476124281764299</v>
      </c>
      <c r="W326" s="49">
        <f t="shared" si="100"/>
        <v>35.476124281764299</v>
      </c>
      <c r="X326" s="82">
        <f t="shared" si="95"/>
        <v>0</v>
      </c>
      <c r="Y326" s="82">
        <f t="shared" si="96"/>
        <v>248892440469431.75</v>
      </c>
      <c r="Z326" s="81">
        <f t="shared" si="101"/>
        <v>301791553006089.56</v>
      </c>
      <c r="AA326" s="80">
        <f t="shared" si="85"/>
        <v>1212.5380442928911</v>
      </c>
      <c r="AB326" s="52">
        <f t="shared" si="97"/>
        <v>2.0577190076033976E-2</v>
      </c>
      <c r="AC326" s="48">
        <f t="shared" si="86"/>
        <v>2.8985507246376812E-2</v>
      </c>
      <c r="AD326" s="48">
        <f t="shared" si="87"/>
        <v>1.8867924528301886E-2</v>
      </c>
      <c r="AE326" s="48">
        <f t="shared" si="88"/>
        <v>1.6522423288749016E-2</v>
      </c>
      <c r="AF326" s="48" t="e">
        <f>(#REF!-#REF!)/#REF!</f>
        <v>#REF!</v>
      </c>
    </row>
    <row r="327" spans="1:32" x14ac:dyDescent="0.3">
      <c r="A327" s="48">
        <v>20190430</v>
      </c>
      <c r="B327" s="48" t="s">
        <v>88</v>
      </c>
      <c r="C327" s="79">
        <v>0.25</v>
      </c>
      <c r="D327" s="79">
        <f t="shared" si="89"/>
        <v>0.28294876390042278</v>
      </c>
      <c r="E327" s="49">
        <v>46150</v>
      </c>
      <c r="F327" s="49">
        <v>45850</v>
      </c>
      <c r="G327" s="49">
        <v>5969782550</v>
      </c>
      <c r="H327" s="49">
        <f t="shared" si="90"/>
        <v>0.31117271974055599</v>
      </c>
      <c r="I327" s="49">
        <f t="shared" si="98"/>
        <v>0.31117271974055599</v>
      </c>
      <c r="J327" s="48">
        <v>0.25</v>
      </c>
      <c r="K327" s="48">
        <f t="shared" si="91"/>
        <v>0.22755441790348407</v>
      </c>
      <c r="L327" s="48">
        <v>216000</v>
      </c>
      <c r="M327" s="48">
        <v>212000</v>
      </c>
      <c r="N327" s="51">
        <v>127953489</v>
      </c>
      <c r="O327" s="48">
        <f t="shared" si="92"/>
        <v>2.5251596732190902</v>
      </c>
      <c r="P327" s="48">
        <f t="shared" si="99"/>
        <v>2.5251596732190902</v>
      </c>
      <c r="Q327" s="49">
        <v>0.5</v>
      </c>
      <c r="R327" s="49">
        <f t="shared" si="93"/>
        <v>0.48949681819609303</v>
      </c>
      <c r="S327" s="49">
        <v>258400</v>
      </c>
      <c r="T327" s="49">
        <v>260300</v>
      </c>
      <c r="U327" s="49">
        <v>15956260</v>
      </c>
      <c r="V327" s="49">
        <f t="shared" si="94"/>
        <v>35.476124281764299</v>
      </c>
      <c r="W327" s="49">
        <f t="shared" si="100"/>
        <v>35.476124281764299</v>
      </c>
      <c r="X327" s="82">
        <f t="shared" si="95"/>
        <v>0</v>
      </c>
      <c r="Y327" s="82">
        <f t="shared" si="96"/>
        <v>248892440469431.75</v>
      </c>
      <c r="Z327" s="81">
        <f t="shared" si="101"/>
        <v>301017376901885.75</v>
      </c>
      <c r="AA327" s="80">
        <f t="shared" si="85"/>
        <v>1209.427559688603</v>
      </c>
      <c r="AB327" s="52">
        <f t="shared" si="97"/>
        <v>-2.5652676375214497E-3</v>
      </c>
      <c r="AC327" s="48">
        <f t="shared" si="86"/>
        <v>-6.5005417118093175E-3</v>
      </c>
      <c r="AD327" s="48">
        <f t="shared" si="87"/>
        <v>-1.8518518518518517E-2</v>
      </c>
      <c r="AE327" s="48">
        <f t="shared" si="88"/>
        <v>7.3529411764705881E-3</v>
      </c>
      <c r="AF327" s="48" t="e">
        <f>(#REF!-#REF!)/#REF!</f>
        <v>#REF!</v>
      </c>
    </row>
    <row r="328" spans="1:32" x14ac:dyDescent="0.3">
      <c r="A328" s="48">
        <v>20190502</v>
      </c>
      <c r="B328" s="48" t="s">
        <v>88</v>
      </c>
      <c r="C328" s="79">
        <v>0.25</v>
      </c>
      <c r="D328" s="79">
        <f t="shared" si="89"/>
        <v>0.29046183619902027</v>
      </c>
      <c r="E328" s="49">
        <v>45850</v>
      </c>
      <c r="F328" s="49">
        <v>45900</v>
      </c>
      <c r="G328" s="49">
        <v>5969782550</v>
      </c>
      <c r="H328" s="49">
        <f t="shared" si="90"/>
        <v>0.31117271974055599</v>
      </c>
      <c r="I328" s="49">
        <f t="shared" si="98"/>
        <v>0.31117271974055599</v>
      </c>
      <c r="J328" s="48">
        <v>0.25</v>
      </c>
      <c r="K328" s="48">
        <f t="shared" si="91"/>
        <v>0.22783880185128716</v>
      </c>
      <c r="L328" s="48">
        <v>212000</v>
      </c>
      <c r="M328" s="48">
        <v>207000</v>
      </c>
      <c r="N328" s="51">
        <v>127953489</v>
      </c>
      <c r="O328" s="48">
        <f t="shared" si="92"/>
        <v>2.5251596732190902</v>
      </c>
      <c r="P328" s="48">
        <f t="shared" si="99"/>
        <v>2.5251596732190902</v>
      </c>
      <c r="Q328" s="49">
        <v>0.5</v>
      </c>
      <c r="R328" s="49">
        <f t="shared" si="93"/>
        <v>0.48169936194969248</v>
      </c>
      <c r="S328" s="49">
        <v>260300</v>
      </c>
      <c r="T328" s="49">
        <v>249800</v>
      </c>
      <c r="U328" s="49">
        <v>15956260</v>
      </c>
      <c r="V328" s="49">
        <f t="shared" si="94"/>
        <v>35.476124281764299</v>
      </c>
      <c r="W328" s="49">
        <f t="shared" si="100"/>
        <v>35.476124281764299</v>
      </c>
      <c r="X328" s="82">
        <f t="shared" si="95"/>
        <v>0</v>
      </c>
      <c r="Y328" s="82">
        <f t="shared" si="96"/>
        <v>248892440469431.75</v>
      </c>
      <c r="Z328" s="81">
        <f t="shared" si="101"/>
        <v>293551047863413</v>
      </c>
      <c r="AA328" s="80">
        <f t="shared" si="85"/>
        <v>1179.4293442972853</v>
      </c>
      <c r="AB328" s="52">
        <f t="shared" si="97"/>
        <v>-2.4803647933276347E-2</v>
      </c>
      <c r="AC328" s="48">
        <f t="shared" si="86"/>
        <v>1.0905125408942203E-3</v>
      </c>
      <c r="AD328" s="48">
        <f t="shared" si="87"/>
        <v>-2.358490566037736E-2</v>
      </c>
      <c r="AE328" s="48">
        <f t="shared" si="88"/>
        <v>-4.0338071456012294E-2</v>
      </c>
      <c r="AF328" s="48" t="e">
        <f>(#REF!-#REF!)/#REF!</f>
        <v>#REF!</v>
      </c>
    </row>
    <row r="329" spans="1:32" x14ac:dyDescent="0.3">
      <c r="A329" s="48">
        <v>20190503</v>
      </c>
      <c r="B329" s="48" t="s">
        <v>88</v>
      </c>
      <c r="C329" s="79">
        <v>0.25</v>
      </c>
      <c r="D329" s="79">
        <f t="shared" si="89"/>
        <v>0.28956628060837858</v>
      </c>
      <c r="E329" s="49">
        <v>45900</v>
      </c>
      <c r="F329" s="49">
        <v>45300</v>
      </c>
      <c r="G329" s="49">
        <v>5969782550</v>
      </c>
      <c r="H329" s="49">
        <f t="shared" si="90"/>
        <v>0.31117271974055599</v>
      </c>
      <c r="I329" s="49">
        <f t="shared" si="98"/>
        <v>0.31117271974055599</v>
      </c>
      <c r="J329" s="48">
        <v>0.25</v>
      </c>
      <c r="K329" s="48">
        <f t="shared" si="91"/>
        <v>0.22736522853156743</v>
      </c>
      <c r="L329" s="48">
        <v>207000</v>
      </c>
      <c r="M329" s="48">
        <v>204500</v>
      </c>
      <c r="N329" s="51">
        <v>127953489</v>
      </c>
      <c r="O329" s="48">
        <f t="shared" si="92"/>
        <v>2.5251596732190902</v>
      </c>
      <c r="P329" s="48">
        <f t="shared" si="99"/>
        <v>2.5251596732190902</v>
      </c>
      <c r="Q329" s="49">
        <v>0.5</v>
      </c>
      <c r="R329" s="49">
        <f t="shared" si="93"/>
        <v>0.48306849086005388</v>
      </c>
      <c r="S329" s="49">
        <v>249800</v>
      </c>
      <c r="T329" s="49">
        <v>248000</v>
      </c>
      <c r="U329" s="49">
        <v>15956260</v>
      </c>
      <c r="V329" s="49">
        <f t="shared" si="94"/>
        <v>35.476124281764299</v>
      </c>
      <c r="W329" s="49">
        <f t="shared" si="100"/>
        <v>35.476124281764299</v>
      </c>
      <c r="X329" s="82">
        <f t="shared" si="95"/>
        <v>0</v>
      </c>
      <c r="Y329" s="82">
        <f t="shared" si="96"/>
        <v>248892440469431.75</v>
      </c>
      <c r="Z329" s="81">
        <f t="shared" si="101"/>
        <v>290609791030733</v>
      </c>
      <c r="AA329" s="80">
        <f t="shared" si="85"/>
        <v>1167.6119631541194</v>
      </c>
      <c r="AB329" s="52">
        <f t="shared" si="97"/>
        <v>-1.0019575314371041E-2</v>
      </c>
      <c r="AC329" s="48">
        <f t="shared" si="86"/>
        <v>-1.3071895424836602E-2</v>
      </c>
      <c r="AD329" s="48">
        <f t="shared" si="87"/>
        <v>-1.2077294685990338E-2</v>
      </c>
      <c r="AE329" s="48">
        <f t="shared" si="88"/>
        <v>-7.2057646116893519E-3</v>
      </c>
      <c r="AF329" s="48" t="e">
        <f>(#REF!-#REF!)/#REF!</f>
        <v>#REF!</v>
      </c>
    </row>
    <row r="330" spans="1:32" x14ac:dyDescent="0.3">
      <c r="A330" s="48">
        <v>20190507</v>
      </c>
      <c r="B330" s="48" t="s">
        <v>88</v>
      </c>
      <c r="C330" s="79">
        <v>0.25</v>
      </c>
      <c r="D330" s="79">
        <f t="shared" si="89"/>
        <v>0.29204040053640901</v>
      </c>
      <c r="E330" s="49">
        <v>45300</v>
      </c>
      <c r="F330" s="49">
        <v>44850</v>
      </c>
      <c r="G330" s="49">
        <v>5969782550</v>
      </c>
      <c r="H330" s="49">
        <f t="shared" si="90"/>
        <v>0.31117271974055599</v>
      </c>
      <c r="I330" s="49">
        <f t="shared" si="98"/>
        <v>0.31117271974055599</v>
      </c>
      <c r="J330" s="48">
        <v>0.25</v>
      </c>
      <c r="K330" s="48">
        <f t="shared" si="91"/>
        <v>0.23274119718973174</v>
      </c>
      <c r="L330" s="48">
        <v>204500</v>
      </c>
      <c r="M330" s="48">
        <v>205500</v>
      </c>
      <c r="N330" s="51">
        <v>127953489</v>
      </c>
      <c r="O330" s="48">
        <f t="shared" si="92"/>
        <v>2.5251596732190902</v>
      </c>
      <c r="P330" s="48">
        <f t="shared" si="99"/>
        <v>2.5251596732190902</v>
      </c>
      <c r="Q330" s="49">
        <v>0.5</v>
      </c>
      <c r="R330" s="49">
        <f t="shared" si="93"/>
        <v>0.47521840227385936</v>
      </c>
      <c r="S330" s="49">
        <v>248000</v>
      </c>
      <c r="T330" s="49">
        <v>239500</v>
      </c>
      <c r="U330" s="49">
        <v>15956260</v>
      </c>
      <c r="V330" s="49">
        <f t="shared" si="94"/>
        <v>35.476124281764299</v>
      </c>
      <c r="W330" s="49">
        <f t="shared" si="100"/>
        <v>35.476124281764299</v>
      </c>
      <c r="X330" s="82">
        <f t="shared" si="95"/>
        <v>0</v>
      </c>
      <c r="Y330" s="82">
        <f t="shared" si="96"/>
        <v>248892440469431.75</v>
      </c>
      <c r="Z330" s="81">
        <f t="shared" si="101"/>
        <v>285285395724575.75</v>
      </c>
      <c r="AA330" s="80">
        <f t="shared" si="85"/>
        <v>1146.219608705286</v>
      </c>
      <c r="AB330" s="52">
        <f t="shared" si="97"/>
        <v>-1.832145877560672E-2</v>
      </c>
      <c r="AC330" s="48">
        <f t="shared" si="86"/>
        <v>-9.9337748344370865E-3</v>
      </c>
      <c r="AD330" s="48">
        <f t="shared" si="87"/>
        <v>4.8899755501222494E-3</v>
      </c>
      <c r="AE330" s="48">
        <f t="shared" si="88"/>
        <v>-3.4274193548387094E-2</v>
      </c>
      <c r="AF330" s="48" t="e">
        <f>(#REF!-#REF!)/#REF!</f>
        <v>#REF!</v>
      </c>
    </row>
    <row r="331" spans="1:32" x14ac:dyDescent="0.3">
      <c r="A331" s="48">
        <v>20190508</v>
      </c>
      <c r="B331" s="48" t="s">
        <v>88</v>
      </c>
      <c r="C331" s="79">
        <v>0.25</v>
      </c>
      <c r="D331" s="79">
        <f t="shared" si="89"/>
        <v>0.29406701950164155</v>
      </c>
      <c r="E331" s="49">
        <v>44850</v>
      </c>
      <c r="F331" s="49">
        <v>44250</v>
      </c>
      <c r="G331" s="49">
        <v>5969782550</v>
      </c>
      <c r="H331" s="49">
        <f t="shared" si="90"/>
        <v>0.31117271974055599</v>
      </c>
      <c r="I331" s="49">
        <f t="shared" si="98"/>
        <v>0.31117271974055599</v>
      </c>
      <c r="J331" s="48">
        <v>0.25</v>
      </c>
      <c r="K331" s="48">
        <f t="shared" si="91"/>
        <v>0.23753402105439028</v>
      </c>
      <c r="L331" s="48">
        <v>205500</v>
      </c>
      <c r="M331" s="48">
        <v>205500</v>
      </c>
      <c r="N331" s="51">
        <v>127953489</v>
      </c>
      <c r="O331" s="48">
        <f t="shared" si="92"/>
        <v>2.5251596732190902</v>
      </c>
      <c r="P331" s="48">
        <f t="shared" si="99"/>
        <v>2.5251596732190902</v>
      </c>
      <c r="Q331" s="49">
        <v>0.5</v>
      </c>
      <c r="R331" s="49">
        <f t="shared" si="93"/>
        <v>0.4683989594439682</v>
      </c>
      <c r="S331" s="49">
        <v>239500</v>
      </c>
      <c r="T331" s="49">
        <v>231300</v>
      </c>
      <c r="U331" s="49">
        <v>15956260</v>
      </c>
      <c r="V331" s="49">
        <f t="shared" si="94"/>
        <v>35.476124281764299</v>
      </c>
      <c r="W331" s="49">
        <f t="shared" si="100"/>
        <v>35.476124281764299</v>
      </c>
      <c r="X331" s="82">
        <f t="shared" si="95"/>
        <v>0</v>
      </c>
      <c r="Y331" s="82">
        <f t="shared" si="96"/>
        <v>248892440469431.75</v>
      </c>
      <c r="Z331" s="81">
        <f t="shared" si="101"/>
        <v>279529072285946.25</v>
      </c>
      <c r="AA331" s="80">
        <f t="shared" si="85"/>
        <v>1123.0918534879215</v>
      </c>
      <c r="AB331" s="52">
        <f t="shared" si="97"/>
        <v>-2.017742066329543E-2</v>
      </c>
      <c r="AC331" s="48">
        <f t="shared" si="86"/>
        <v>-1.3377926421404682E-2</v>
      </c>
      <c r="AD331" s="48">
        <f t="shared" si="87"/>
        <v>0</v>
      </c>
      <c r="AE331" s="48">
        <f t="shared" si="88"/>
        <v>-3.4237995824634652E-2</v>
      </c>
      <c r="AF331" s="48" t="e">
        <f>(#REF!-#REF!)/#REF!</f>
        <v>#REF!</v>
      </c>
    </row>
    <row r="332" spans="1:32" x14ac:dyDescent="0.3">
      <c r="A332" s="48">
        <v>20190509</v>
      </c>
      <c r="B332" s="48" t="s">
        <v>88</v>
      </c>
      <c r="C332" s="79">
        <v>0.25</v>
      </c>
      <c r="D332" s="79">
        <f t="shared" si="89"/>
        <v>0.28589038901411201</v>
      </c>
      <c r="E332" s="49">
        <v>44250</v>
      </c>
      <c r="F332" s="49">
        <v>42450</v>
      </c>
      <c r="G332" s="49">
        <v>5969782550</v>
      </c>
      <c r="H332" s="49">
        <f t="shared" si="90"/>
        <v>0.31117271974055599</v>
      </c>
      <c r="I332" s="49">
        <f t="shared" si="98"/>
        <v>0.31117271974055599</v>
      </c>
      <c r="J332" s="48">
        <v>0.25</v>
      </c>
      <c r="K332" s="48">
        <f t="shared" si="91"/>
        <v>0.24599263551490214</v>
      </c>
      <c r="L332" s="48">
        <v>205500</v>
      </c>
      <c r="M332" s="48">
        <v>210000</v>
      </c>
      <c r="N332" s="51">
        <v>127953489</v>
      </c>
      <c r="O332" s="48">
        <f t="shared" si="92"/>
        <v>2.5251596732190902</v>
      </c>
      <c r="P332" s="48">
        <f t="shared" si="99"/>
        <v>2.5251596732190902</v>
      </c>
      <c r="Q332" s="49">
        <v>0.5</v>
      </c>
      <c r="R332" s="49">
        <f t="shared" si="93"/>
        <v>0.4681169754709858</v>
      </c>
      <c r="S332" s="49">
        <v>231300</v>
      </c>
      <c r="T332" s="49">
        <v>228100</v>
      </c>
      <c r="U332" s="49">
        <v>15956260</v>
      </c>
      <c r="V332" s="49">
        <f t="shared" si="94"/>
        <v>35.476124281764299</v>
      </c>
      <c r="W332" s="49">
        <f t="shared" si="100"/>
        <v>35.476124281764299</v>
      </c>
      <c r="X332" s="82">
        <f t="shared" si="95"/>
        <v>0</v>
      </c>
      <c r="Y332" s="82">
        <f t="shared" si="96"/>
        <v>248892440469431.75</v>
      </c>
      <c r="Z332" s="81">
        <f t="shared" si="101"/>
        <v>275827883451782.81</v>
      </c>
      <c r="AA332" s="80">
        <f t="shared" si="85"/>
        <v>1108.2212176936696</v>
      </c>
      <c r="AB332" s="52">
        <f t="shared" si="97"/>
        <v>-1.324080105119547E-2</v>
      </c>
      <c r="AC332" s="48">
        <f t="shared" si="86"/>
        <v>-4.0677966101694912E-2</v>
      </c>
      <c r="AD332" s="48">
        <f t="shared" si="87"/>
        <v>2.1897810218978103E-2</v>
      </c>
      <c r="AE332" s="48">
        <f t="shared" si="88"/>
        <v>-1.3834846519671422E-2</v>
      </c>
      <c r="AF332" s="48" t="e">
        <f>(#REF!-#REF!)/#REF!</f>
        <v>#REF!</v>
      </c>
    </row>
    <row r="333" spans="1:32" x14ac:dyDescent="0.3">
      <c r="A333" s="48">
        <v>20190510</v>
      </c>
      <c r="B333" s="48" t="s">
        <v>88</v>
      </c>
      <c r="C333" s="79">
        <v>0.25</v>
      </c>
      <c r="D333" s="79">
        <f t="shared" si="89"/>
        <v>0.29250777127790251</v>
      </c>
      <c r="E333" s="49">
        <v>42450</v>
      </c>
      <c r="F333" s="49">
        <v>42900</v>
      </c>
      <c r="G333" s="49">
        <v>5969782550</v>
      </c>
      <c r="H333" s="49">
        <f t="shared" si="90"/>
        <v>0.31117271974055599</v>
      </c>
      <c r="I333" s="49">
        <f t="shared" si="98"/>
        <v>0.31117271974055599</v>
      </c>
      <c r="J333" s="48">
        <v>0.25</v>
      </c>
      <c r="K333" s="48">
        <f t="shared" si="91"/>
        <v>0.23896600149955732</v>
      </c>
      <c r="L333" s="48">
        <v>210000</v>
      </c>
      <c r="M333" s="48">
        <v>201500</v>
      </c>
      <c r="N333" s="51">
        <v>127953489</v>
      </c>
      <c r="O333" s="48">
        <f t="shared" si="92"/>
        <v>2.5251596732190902</v>
      </c>
      <c r="P333" s="48">
        <f t="shared" si="99"/>
        <v>2.5251596732190902</v>
      </c>
      <c r="Q333" s="49">
        <v>0.5</v>
      </c>
      <c r="R333" s="49">
        <f t="shared" si="93"/>
        <v>0.46852622722254011</v>
      </c>
      <c r="S333" s="49">
        <v>228100</v>
      </c>
      <c r="T333" s="49">
        <v>225500</v>
      </c>
      <c r="U333" s="49">
        <v>15956260</v>
      </c>
      <c r="V333" s="49">
        <f t="shared" si="94"/>
        <v>35.476124281764299</v>
      </c>
      <c r="W333" s="49">
        <f t="shared" si="100"/>
        <v>35.476124281764299</v>
      </c>
      <c r="X333" s="82">
        <f t="shared" si="95"/>
        <v>0</v>
      </c>
      <c r="Y333" s="82">
        <f t="shared" si="96"/>
        <v>248892440469431.75</v>
      </c>
      <c r="Z333" s="81">
        <f t="shared" si="101"/>
        <v>272445670811974.56</v>
      </c>
      <c r="AA333" s="80">
        <f t="shared" si="85"/>
        <v>1094.6321643924559</v>
      </c>
      <c r="AB333" s="52">
        <f t="shared" si="97"/>
        <v>-1.2262040361845777E-2</v>
      </c>
      <c r="AC333" s="48">
        <f t="shared" si="86"/>
        <v>1.0600706713780919E-2</v>
      </c>
      <c r="AD333" s="48">
        <f t="shared" si="87"/>
        <v>-4.0476190476190478E-2</v>
      </c>
      <c r="AE333" s="48">
        <f t="shared" si="88"/>
        <v>-1.1398509425690487E-2</v>
      </c>
      <c r="AF333" s="48" t="e">
        <f>(#REF!-#REF!)/#REF!</f>
        <v>#REF!</v>
      </c>
    </row>
    <row r="334" spans="1:32" x14ac:dyDescent="0.3">
      <c r="A334" s="48">
        <v>20190513</v>
      </c>
      <c r="B334" s="48" t="s">
        <v>88</v>
      </c>
      <c r="C334" s="79">
        <v>0.25</v>
      </c>
      <c r="D334" s="79">
        <f t="shared" si="89"/>
        <v>0.29485628628507737</v>
      </c>
      <c r="E334" s="49">
        <v>42900</v>
      </c>
      <c r="F334" s="49">
        <v>42650</v>
      </c>
      <c r="G334" s="49">
        <v>5969782550</v>
      </c>
      <c r="H334" s="49">
        <f t="shared" si="90"/>
        <v>0.31117271974055599</v>
      </c>
      <c r="I334" s="49">
        <f t="shared" si="98"/>
        <v>0.31117271974055599</v>
      </c>
      <c r="J334" s="48">
        <v>0.25</v>
      </c>
      <c r="K334" s="48">
        <f t="shared" si="91"/>
        <v>0.2338793677632911</v>
      </c>
      <c r="L334" s="48">
        <v>201500</v>
      </c>
      <c r="M334" s="48">
        <v>194500</v>
      </c>
      <c r="N334" s="51">
        <v>127953489</v>
      </c>
      <c r="O334" s="48">
        <f t="shared" si="92"/>
        <v>2.5251596732190902</v>
      </c>
      <c r="P334" s="48">
        <f t="shared" si="99"/>
        <v>2.5251596732190902</v>
      </c>
      <c r="Q334" s="49">
        <v>0.5</v>
      </c>
      <c r="R334" s="49">
        <f t="shared" si="93"/>
        <v>0.47126434595163164</v>
      </c>
      <c r="S334" s="49">
        <v>225500</v>
      </c>
      <c r="T334" s="49">
        <v>223700</v>
      </c>
      <c r="U334" s="49">
        <v>15956260</v>
      </c>
      <c r="V334" s="49">
        <f t="shared" si="94"/>
        <v>35.476124281764299</v>
      </c>
      <c r="W334" s="49">
        <f t="shared" si="100"/>
        <v>35.476124281764299</v>
      </c>
      <c r="X334" s="82">
        <f t="shared" si="95"/>
        <v>0</v>
      </c>
      <c r="Y334" s="82">
        <f t="shared" si="96"/>
        <v>248892440469431.75</v>
      </c>
      <c r="Z334" s="81">
        <f t="shared" si="101"/>
        <v>268700622237497.5</v>
      </c>
      <c r="AA334" s="80">
        <f t="shared" si="85"/>
        <v>1079.5853089419104</v>
      </c>
      <c r="AB334" s="52">
        <f t="shared" si="97"/>
        <v>-1.3746038112169725E-2</v>
      </c>
      <c r="AC334" s="48">
        <f t="shared" si="86"/>
        <v>-5.8275058275058279E-3</v>
      </c>
      <c r="AD334" s="48">
        <f t="shared" si="87"/>
        <v>-3.4739454094292806E-2</v>
      </c>
      <c r="AE334" s="48">
        <f t="shared" si="88"/>
        <v>-7.9822616407982262E-3</v>
      </c>
      <c r="AF334" s="48" t="e">
        <f>(#REF!-#REF!)/#REF!</f>
        <v>#REF!</v>
      </c>
    </row>
    <row r="335" spans="1:32" x14ac:dyDescent="0.3">
      <c r="A335" s="48">
        <v>20190514</v>
      </c>
      <c r="B335" s="48" t="s">
        <v>88</v>
      </c>
      <c r="C335" s="79">
        <v>0.25</v>
      </c>
      <c r="D335" s="79">
        <f t="shared" si="89"/>
        <v>0.29339094846230951</v>
      </c>
      <c r="E335" s="49">
        <v>42650</v>
      </c>
      <c r="F335" s="49">
        <v>42650</v>
      </c>
      <c r="G335" s="49">
        <v>5969782550</v>
      </c>
      <c r="H335" s="49">
        <f t="shared" si="90"/>
        <v>0.31117271974055599</v>
      </c>
      <c r="I335" s="49">
        <f t="shared" si="98"/>
        <v>0.31117271974055599</v>
      </c>
      <c r="J335" s="48">
        <v>0.25</v>
      </c>
      <c r="K335" s="48">
        <f t="shared" si="91"/>
        <v>0.23391355374143508</v>
      </c>
      <c r="L335" s="48">
        <v>194500</v>
      </c>
      <c r="M335" s="48">
        <v>195500</v>
      </c>
      <c r="N335" s="51">
        <v>127953489</v>
      </c>
      <c r="O335" s="48">
        <f t="shared" si="92"/>
        <v>2.5251596732190902</v>
      </c>
      <c r="P335" s="48">
        <f t="shared" si="99"/>
        <v>2.5251596732190902</v>
      </c>
      <c r="Q335" s="49">
        <v>0.5</v>
      </c>
      <c r="R335" s="49">
        <f t="shared" si="93"/>
        <v>0.47269549779625541</v>
      </c>
      <c r="S335" s="49">
        <v>223700</v>
      </c>
      <c r="T335" s="49">
        <v>225500</v>
      </c>
      <c r="U335" s="49">
        <v>15956260</v>
      </c>
      <c r="V335" s="49">
        <f t="shared" si="94"/>
        <v>35.476124281764299</v>
      </c>
      <c r="W335" s="49">
        <f t="shared" si="100"/>
        <v>35.476124281764299</v>
      </c>
      <c r="X335" s="82">
        <f t="shared" si="95"/>
        <v>0</v>
      </c>
      <c r="Y335" s="82">
        <f t="shared" si="96"/>
        <v>248892440469431.75</v>
      </c>
      <c r="Z335" s="81">
        <f t="shared" si="101"/>
        <v>270042644501065.87</v>
      </c>
      <c r="AA335" s="80">
        <f t="shared" si="85"/>
        <v>1084.9772857373375</v>
      </c>
      <c r="AB335" s="52">
        <f t="shared" si="97"/>
        <v>4.9944888567553247E-3</v>
      </c>
      <c r="AC335" s="48">
        <f t="shared" si="86"/>
        <v>0</v>
      </c>
      <c r="AD335" s="48">
        <f t="shared" si="87"/>
        <v>5.1413881748071976E-3</v>
      </c>
      <c r="AE335" s="48">
        <f t="shared" si="88"/>
        <v>8.0464908359409917E-3</v>
      </c>
      <c r="AF335" s="48" t="e">
        <f>(#REF!-#REF!)/#REF!</f>
        <v>#REF!</v>
      </c>
    </row>
    <row r="336" spans="1:32" x14ac:dyDescent="0.3">
      <c r="A336" s="48">
        <v>20190515</v>
      </c>
      <c r="B336" s="48" t="s">
        <v>88</v>
      </c>
      <c r="C336" s="79">
        <v>0.25</v>
      </c>
      <c r="D336" s="79">
        <f t="shared" si="89"/>
        <v>0.28444070541355726</v>
      </c>
      <c r="E336" s="49">
        <v>42650</v>
      </c>
      <c r="F336" s="49">
        <v>42550</v>
      </c>
      <c r="G336" s="49">
        <v>5969782550</v>
      </c>
      <c r="H336" s="49">
        <f t="shared" si="90"/>
        <v>0.31117271974055599</v>
      </c>
      <c r="I336" s="49">
        <f t="shared" si="98"/>
        <v>0.31117271974055599</v>
      </c>
      <c r="J336" s="48">
        <v>0.25</v>
      </c>
      <c r="K336" s="48">
        <f t="shared" si="91"/>
        <v>0.22789206498136139</v>
      </c>
      <c r="L336" s="48">
        <v>195500</v>
      </c>
      <c r="M336" s="48">
        <v>196000</v>
      </c>
      <c r="N336" s="51">
        <v>127953489</v>
      </c>
      <c r="O336" s="48">
        <f t="shared" si="92"/>
        <v>2.5251596732190902</v>
      </c>
      <c r="P336" s="48">
        <f t="shared" si="99"/>
        <v>2.5251596732190902</v>
      </c>
      <c r="Q336" s="49">
        <v>0.5</v>
      </c>
      <c r="R336" s="49">
        <f t="shared" si="93"/>
        <v>0.48766722960508135</v>
      </c>
      <c r="S336" s="49">
        <v>225500</v>
      </c>
      <c r="T336" s="49">
        <v>239400</v>
      </c>
      <c r="U336" s="49">
        <v>15956260</v>
      </c>
      <c r="V336" s="49">
        <f t="shared" si="94"/>
        <v>35.476124281764299</v>
      </c>
      <c r="W336" s="49">
        <f t="shared" si="100"/>
        <v>35.476124281764299</v>
      </c>
      <c r="X336" s="82">
        <f t="shared" si="95"/>
        <v>0</v>
      </c>
      <c r="Y336" s="82">
        <f t="shared" si="96"/>
        <v>248892440469431.75</v>
      </c>
      <c r="Z336" s="81">
        <f t="shared" si="101"/>
        <v>277886753702433.59</v>
      </c>
      <c r="AA336" s="80">
        <f t="shared" si="85"/>
        <v>1116.4933461953131</v>
      </c>
      <c r="AB336" s="52">
        <f t="shared" si="97"/>
        <v>2.9047668437185384E-2</v>
      </c>
      <c r="AC336" s="48">
        <f t="shared" si="86"/>
        <v>-2.3446658851113715E-3</v>
      </c>
      <c r="AD336" s="48">
        <f t="shared" si="87"/>
        <v>2.5575447570332483E-3</v>
      </c>
      <c r="AE336" s="48">
        <f t="shared" si="88"/>
        <v>6.1640798226164077E-2</v>
      </c>
      <c r="AF336" s="48" t="e">
        <f>(#REF!-#REF!)/#REF!</f>
        <v>#REF!</v>
      </c>
    </row>
    <row r="337" spans="1:32" x14ac:dyDescent="0.3">
      <c r="A337" s="48">
        <v>20190516</v>
      </c>
      <c r="B337" s="48" t="s">
        <v>88</v>
      </c>
      <c r="C337" s="79">
        <v>0.25</v>
      </c>
      <c r="D337" s="79">
        <f t="shared" si="89"/>
        <v>0.28838658307993553</v>
      </c>
      <c r="E337" s="49">
        <v>42550</v>
      </c>
      <c r="F337" s="49">
        <v>41550</v>
      </c>
      <c r="G337" s="49">
        <v>5969782550</v>
      </c>
      <c r="H337" s="49">
        <f t="shared" si="90"/>
        <v>0.31117271974055599</v>
      </c>
      <c r="I337" s="49">
        <f t="shared" si="98"/>
        <v>0.31117271974055599</v>
      </c>
      <c r="J337" s="48">
        <v>0.25</v>
      </c>
      <c r="K337" s="48">
        <f t="shared" si="91"/>
        <v>0.23721793862659313</v>
      </c>
      <c r="L337" s="48">
        <v>196000</v>
      </c>
      <c r="M337" s="48">
        <v>196500</v>
      </c>
      <c r="N337" s="51">
        <v>127953489</v>
      </c>
      <c r="O337" s="48">
        <f t="shared" si="92"/>
        <v>2.5251596732190902</v>
      </c>
      <c r="P337" s="48">
        <f t="shared" si="99"/>
        <v>2.5251596732190902</v>
      </c>
      <c r="Q337" s="49">
        <v>0.5</v>
      </c>
      <c r="R337" s="49">
        <f t="shared" si="93"/>
        <v>0.4743954782934714</v>
      </c>
      <c r="S337" s="49">
        <v>239400</v>
      </c>
      <c r="T337" s="49">
        <v>224300</v>
      </c>
      <c r="U337" s="49">
        <v>15956260</v>
      </c>
      <c r="V337" s="49">
        <f t="shared" si="94"/>
        <v>35.476124281764299</v>
      </c>
      <c r="W337" s="49">
        <f t="shared" si="100"/>
        <v>35.476124281764299</v>
      </c>
      <c r="X337" s="82">
        <f t="shared" si="95"/>
        <v>0</v>
      </c>
      <c r="Y337" s="82">
        <f t="shared" si="96"/>
        <v>248892440469431.75</v>
      </c>
      <c r="Z337" s="81">
        <f t="shared" si="101"/>
        <v>267643071156560.25</v>
      </c>
      <c r="AA337" s="80">
        <f t="shared" si="85"/>
        <v>1075.3362804099763</v>
      </c>
      <c r="AB337" s="52">
        <f t="shared" si="97"/>
        <v>-3.6862795399173781E-2</v>
      </c>
      <c r="AC337" s="48">
        <f t="shared" si="86"/>
        <v>-2.3501762632197415E-2</v>
      </c>
      <c r="AD337" s="48">
        <f t="shared" si="87"/>
        <v>2.5510204081632651E-3</v>
      </c>
      <c r="AE337" s="48">
        <f t="shared" si="88"/>
        <v>-6.3074352548036755E-2</v>
      </c>
      <c r="AF337" s="48" t="e">
        <f>(#REF!-#REF!)/#REF!</f>
        <v>#REF!</v>
      </c>
    </row>
    <row r="338" spans="1:32" s="73" customFormat="1" x14ac:dyDescent="0.3">
      <c r="A338" s="48">
        <v>20190517</v>
      </c>
      <c r="B338" s="48" t="s">
        <v>88</v>
      </c>
      <c r="C338" s="79">
        <v>0.25</v>
      </c>
      <c r="D338" s="79">
        <f t="shared" si="89"/>
        <v>0.28810181194829165</v>
      </c>
      <c r="E338" s="49">
        <v>41550</v>
      </c>
      <c r="F338" s="49">
        <v>41200</v>
      </c>
      <c r="G338" s="49">
        <v>5969782550</v>
      </c>
      <c r="H338" s="49">
        <f t="shared" si="90"/>
        <v>0.31117271974055599</v>
      </c>
      <c r="I338" s="49">
        <f t="shared" si="98"/>
        <v>0.321865578503642</v>
      </c>
      <c r="J338" s="48">
        <v>0.25</v>
      </c>
      <c r="K338" s="48">
        <f t="shared" si="91"/>
        <v>0.23778063640547459</v>
      </c>
      <c r="L338" s="48">
        <v>196500</v>
      </c>
      <c r="M338" s="48">
        <v>195500</v>
      </c>
      <c r="N338" s="51">
        <v>128329070</v>
      </c>
      <c r="O338" s="48">
        <f t="shared" si="92"/>
        <v>2.5251596732190902</v>
      </c>
      <c r="P338" s="48">
        <f t="shared" si="99"/>
        <v>2.6042876356826299</v>
      </c>
      <c r="Q338" s="49">
        <v>0.5</v>
      </c>
      <c r="R338" s="49">
        <f t="shared" si="93"/>
        <v>0.47411755164623381</v>
      </c>
      <c r="S338" s="49">
        <v>224300</v>
      </c>
      <c r="T338" s="49">
        <v>222500</v>
      </c>
      <c r="U338" s="49">
        <v>15956260</v>
      </c>
      <c r="V338" s="49">
        <f t="shared" si="94"/>
        <v>35.476124281764299</v>
      </c>
      <c r="W338" s="49">
        <f t="shared" si="100"/>
        <v>36.695193828487</v>
      </c>
      <c r="X338" s="82">
        <f t="shared" si="95"/>
        <v>1</v>
      </c>
      <c r="Y338" s="82">
        <f t="shared" si="96"/>
        <v>257445155872499.16</v>
      </c>
      <c r="Z338" s="81">
        <f t="shared" si="101"/>
        <v>274779464389041.44</v>
      </c>
      <c r="AA338" s="80">
        <f t="shared" si="85"/>
        <v>1067.3320438203434</v>
      </c>
      <c r="AB338" s="52">
        <f t="shared" si="97"/>
        <v>-7.4434730190459696E-3</v>
      </c>
      <c r="AC338" s="48">
        <f t="shared" si="86"/>
        <v>-8.4235860409145602E-3</v>
      </c>
      <c r="AD338" s="48">
        <f t="shared" si="87"/>
        <v>-5.0890585241730284E-3</v>
      </c>
      <c r="AE338" s="48">
        <f t="shared" si="88"/>
        <v>-8.024966562639322E-3</v>
      </c>
      <c r="AF338" s="48" t="e">
        <f>(#REF!-#REF!)/#REF!</f>
        <v>#REF!</v>
      </c>
    </row>
    <row r="339" spans="1:32" x14ac:dyDescent="0.3">
      <c r="A339" s="48">
        <v>20190520</v>
      </c>
      <c r="B339" s="48" t="s">
        <v>88</v>
      </c>
      <c r="C339" s="79">
        <v>0.25</v>
      </c>
      <c r="D339" s="79">
        <f t="shared" si="89"/>
        <v>0.30157155787736617</v>
      </c>
      <c r="E339" s="49">
        <v>41200</v>
      </c>
      <c r="F339" s="49">
        <v>42000</v>
      </c>
      <c r="G339" s="49">
        <v>5969782550</v>
      </c>
      <c r="H339" s="49">
        <f t="shared" si="90"/>
        <v>0.321865578503642</v>
      </c>
      <c r="I339" s="49">
        <f t="shared" si="98"/>
        <v>0.321865578503642</v>
      </c>
      <c r="J339" s="48">
        <v>0.25</v>
      </c>
      <c r="K339" s="48">
        <f t="shared" si="91"/>
        <v>0.23479015799813466</v>
      </c>
      <c r="L339" s="48">
        <v>195500</v>
      </c>
      <c r="M339" s="48">
        <v>188000</v>
      </c>
      <c r="N339" s="51">
        <v>128329070</v>
      </c>
      <c r="O339" s="48">
        <f t="shared" si="92"/>
        <v>2.6042876356826299</v>
      </c>
      <c r="P339" s="48">
        <f t="shared" si="99"/>
        <v>2.6042876356826299</v>
      </c>
      <c r="Q339" s="49">
        <v>0.5</v>
      </c>
      <c r="R339" s="49">
        <f t="shared" si="93"/>
        <v>0.4636382841244992</v>
      </c>
      <c r="S339" s="49">
        <v>222500</v>
      </c>
      <c r="T339" s="49">
        <v>211900</v>
      </c>
      <c r="U339" s="49">
        <v>15956260</v>
      </c>
      <c r="V339" s="49">
        <f t="shared" si="94"/>
        <v>36.695193828487</v>
      </c>
      <c r="W339" s="49">
        <f t="shared" si="100"/>
        <v>36.695193828487</v>
      </c>
      <c r="X339" s="82">
        <f t="shared" si="95"/>
        <v>0</v>
      </c>
      <c r="Y339" s="82">
        <f t="shared" si="96"/>
        <v>257445155872499.16</v>
      </c>
      <c r="Z339" s="81">
        <f t="shared" si="101"/>
        <v>267603603456127.44</v>
      </c>
      <c r="AA339" s="80">
        <f t="shared" si="85"/>
        <v>1039.4586860615054</v>
      </c>
      <c r="AB339" s="52">
        <f t="shared" si="97"/>
        <v>-2.6114982605665787E-2</v>
      </c>
      <c r="AC339" s="48">
        <f t="shared" si="86"/>
        <v>1.9417475728155338E-2</v>
      </c>
      <c r="AD339" s="48">
        <f t="shared" si="87"/>
        <v>-3.8363171355498722E-2</v>
      </c>
      <c r="AE339" s="48">
        <f t="shared" si="88"/>
        <v>-4.7640449438202247E-2</v>
      </c>
      <c r="AF339" s="48" t="e">
        <f>(#REF!-#REF!)/#REF!</f>
        <v>#REF!</v>
      </c>
    </row>
    <row r="340" spans="1:32" x14ac:dyDescent="0.3">
      <c r="A340" s="48">
        <v>20190521</v>
      </c>
      <c r="B340" s="48" t="s">
        <v>88</v>
      </c>
      <c r="C340" s="79">
        <v>0.25</v>
      </c>
      <c r="D340" s="79">
        <f t="shared" si="89"/>
        <v>0.30842629297636465</v>
      </c>
      <c r="E340" s="49">
        <v>42000</v>
      </c>
      <c r="F340" s="49">
        <v>43150</v>
      </c>
      <c r="G340" s="49">
        <v>5969782550</v>
      </c>
      <c r="H340" s="49">
        <f t="shared" si="90"/>
        <v>0.321865578503642</v>
      </c>
      <c r="I340" s="49">
        <f t="shared" si="98"/>
        <v>0.321865578503642</v>
      </c>
      <c r="J340" s="48">
        <v>0.25</v>
      </c>
      <c r="K340" s="48">
        <f t="shared" si="91"/>
        <v>0.22502466227417234</v>
      </c>
      <c r="L340" s="48">
        <v>188000</v>
      </c>
      <c r="M340" s="48">
        <v>181000</v>
      </c>
      <c r="N340" s="51">
        <v>128329070</v>
      </c>
      <c r="O340" s="48">
        <f t="shared" si="92"/>
        <v>2.6042876356826299</v>
      </c>
      <c r="P340" s="48">
        <f t="shared" si="99"/>
        <v>2.6042876356826299</v>
      </c>
      <c r="Q340" s="49">
        <v>0.5</v>
      </c>
      <c r="R340" s="49">
        <f t="shared" si="93"/>
        <v>0.46654904474946302</v>
      </c>
      <c r="S340" s="49">
        <v>211900</v>
      </c>
      <c r="T340" s="49">
        <v>214200</v>
      </c>
      <c r="U340" s="49">
        <v>15956260</v>
      </c>
      <c r="V340" s="49">
        <f t="shared" si="94"/>
        <v>36.695193828487</v>
      </c>
      <c r="W340" s="49">
        <f t="shared" si="100"/>
        <v>36.695193828487</v>
      </c>
      <c r="X340" s="82">
        <f t="shared" si="95"/>
        <v>0</v>
      </c>
      <c r="Y340" s="82">
        <f t="shared" si="96"/>
        <v>257445155872499.16</v>
      </c>
      <c r="Z340" s="81">
        <f t="shared" si="101"/>
        <v>268820541948124.87</v>
      </c>
      <c r="AA340" s="80">
        <f t="shared" si="85"/>
        <v>1044.1856675728613</v>
      </c>
      <c r="AB340" s="52">
        <f t="shared" si="97"/>
        <v>4.5475414989953888E-3</v>
      </c>
      <c r="AC340" s="48">
        <f t="shared" si="86"/>
        <v>2.7380952380952381E-2</v>
      </c>
      <c r="AD340" s="48">
        <f t="shared" si="87"/>
        <v>-3.7234042553191488E-2</v>
      </c>
      <c r="AE340" s="48">
        <f t="shared" si="88"/>
        <v>1.0854176498348278E-2</v>
      </c>
      <c r="AF340" s="48" t="e">
        <f>(#REF!-#REF!)/#REF!</f>
        <v>#REF!</v>
      </c>
    </row>
    <row r="341" spans="1:32" x14ac:dyDescent="0.3">
      <c r="A341" s="48">
        <v>20190522</v>
      </c>
      <c r="B341" s="48" t="s">
        <v>88</v>
      </c>
      <c r="C341" s="79">
        <v>0.25</v>
      </c>
      <c r="D341" s="79">
        <f t="shared" si="89"/>
        <v>0.30861143467848112</v>
      </c>
      <c r="E341" s="49">
        <v>43150</v>
      </c>
      <c r="F341" s="49">
        <v>43500</v>
      </c>
      <c r="G341" s="49">
        <v>5969782550</v>
      </c>
      <c r="H341" s="49">
        <f t="shared" si="90"/>
        <v>0.321865578503642</v>
      </c>
      <c r="I341" s="49">
        <f t="shared" si="98"/>
        <v>0.321865578503642</v>
      </c>
      <c r="J341" s="48">
        <v>0.25</v>
      </c>
      <c r="K341" s="48">
        <f t="shared" si="91"/>
        <v>0.22766699577110266</v>
      </c>
      <c r="L341" s="48">
        <v>181000</v>
      </c>
      <c r="M341" s="48">
        <v>184500</v>
      </c>
      <c r="N341" s="51">
        <v>128329070</v>
      </c>
      <c r="O341" s="48">
        <f t="shared" si="92"/>
        <v>2.6042876356826299</v>
      </c>
      <c r="P341" s="48">
        <f t="shared" si="99"/>
        <v>2.6042876356826299</v>
      </c>
      <c r="Q341" s="49">
        <v>0.5</v>
      </c>
      <c r="R341" s="49">
        <f t="shared" si="93"/>
        <v>0.46372156955041627</v>
      </c>
      <c r="S341" s="49">
        <v>214200</v>
      </c>
      <c r="T341" s="49">
        <v>214500</v>
      </c>
      <c r="U341" s="49">
        <v>15956260</v>
      </c>
      <c r="V341" s="49">
        <f t="shared" si="94"/>
        <v>36.695193828487</v>
      </c>
      <c r="W341" s="49">
        <f t="shared" si="100"/>
        <v>36.695193828487</v>
      </c>
      <c r="X341" s="82">
        <f t="shared" si="95"/>
        <v>0</v>
      </c>
      <c r="Y341" s="82">
        <f t="shared" si="96"/>
        <v>257445155872499.16</v>
      </c>
      <c r="Z341" s="81">
        <f t="shared" si="101"/>
        <v>270838431330115.81</v>
      </c>
      <c r="AA341" s="80">
        <f t="shared" si="85"/>
        <v>1052.0238006119243</v>
      </c>
      <c r="AB341" s="52">
        <f t="shared" si="97"/>
        <v>7.5064553005043666E-3</v>
      </c>
      <c r="AC341" s="48">
        <f t="shared" si="86"/>
        <v>8.1112398609501733E-3</v>
      </c>
      <c r="AD341" s="48">
        <f t="shared" si="87"/>
        <v>1.9337016574585635E-2</v>
      </c>
      <c r="AE341" s="48">
        <f t="shared" si="88"/>
        <v>1.4005602240896359E-3</v>
      </c>
      <c r="AF341" s="48" t="e">
        <f>(#REF!-#REF!)/#REF!</f>
        <v>#REF!</v>
      </c>
    </row>
    <row r="342" spans="1:32" x14ac:dyDescent="0.3">
      <c r="A342" s="48">
        <v>20190523</v>
      </c>
      <c r="B342" s="48" t="s">
        <v>88</v>
      </c>
      <c r="C342" s="79">
        <v>0.25</v>
      </c>
      <c r="D342" s="79">
        <f t="shared" si="89"/>
        <v>0.3194754365549039</v>
      </c>
      <c r="E342" s="49">
        <v>43500</v>
      </c>
      <c r="F342" s="49">
        <v>43850</v>
      </c>
      <c r="G342" s="49">
        <v>5969782550</v>
      </c>
      <c r="H342" s="49">
        <f t="shared" si="90"/>
        <v>0.321865578503642</v>
      </c>
      <c r="I342" s="49">
        <f t="shared" si="98"/>
        <v>0.321865578503642</v>
      </c>
      <c r="J342" s="48">
        <v>0.25</v>
      </c>
      <c r="K342" s="48">
        <f t="shared" si="91"/>
        <v>0.22873152762751475</v>
      </c>
      <c r="L342" s="48">
        <v>184500</v>
      </c>
      <c r="M342" s="48">
        <v>180500</v>
      </c>
      <c r="N342" s="51">
        <v>128329070</v>
      </c>
      <c r="O342" s="48">
        <f t="shared" si="92"/>
        <v>2.6042876356826299</v>
      </c>
      <c r="P342" s="48">
        <f t="shared" si="99"/>
        <v>2.6042876356826299</v>
      </c>
      <c r="Q342" s="49">
        <v>0.5</v>
      </c>
      <c r="R342" s="49">
        <f t="shared" si="93"/>
        <v>0.45179303581758123</v>
      </c>
      <c r="S342" s="49">
        <v>214500</v>
      </c>
      <c r="T342" s="49">
        <v>203500</v>
      </c>
      <c r="U342" s="49">
        <v>15956260</v>
      </c>
      <c r="V342" s="49">
        <f t="shared" si="94"/>
        <v>36.695193828487</v>
      </c>
      <c r="W342" s="49">
        <f t="shared" si="100"/>
        <v>36.695193828487</v>
      </c>
      <c r="X342" s="82">
        <f t="shared" si="95"/>
        <v>0</v>
      </c>
      <c r="Y342" s="82">
        <f t="shared" si="96"/>
        <v>257445155872499.16</v>
      </c>
      <c r="Z342" s="81">
        <f t="shared" si="101"/>
        <v>263733423130561</v>
      </c>
      <c r="AA342" s="80">
        <f t="shared" si="85"/>
        <v>1024.4256577163026</v>
      </c>
      <c r="AB342" s="52">
        <f t="shared" si="97"/>
        <v>-2.623338262838629E-2</v>
      </c>
      <c r="AC342" s="48">
        <f t="shared" si="86"/>
        <v>8.0459770114942528E-3</v>
      </c>
      <c r="AD342" s="48">
        <f t="shared" si="87"/>
        <v>-2.1680216802168022E-2</v>
      </c>
      <c r="AE342" s="48">
        <f t="shared" si="88"/>
        <v>-5.128205128205128E-2</v>
      </c>
      <c r="AF342" s="48" t="e">
        <f>(#REF!-#REF!)/#REF!</f>
        <v>#REF!</v>
      </c>
    </row>
    <row r="343" spans="1:32" x14ac:dyDescent="0.3">
      <c r="A343" s="48">
        <v>20190524</v>
      </c>
      <c r="B343" s="48" t="s">
        <v>88</v>
      </c>
      <c r="C343" s="79">
        <v>0.25</v>
      </c>
      <c r="D343" s="79">
        <f t="shared" si="89"/>
        <v>0.30801189352811947</v>
      </c>
      <c r="E343" s="49">
        <v>43850</v>
      </c>
      <c r="F343" s="49">
        <v>42700</v>
      </c>
      <c r="G343" s="49">
        <v>5969782550</v>
      </c>
      <c r="H343" s="49">
        <f t="shared" si="90"/>
        <v>0.321865578503642</v>
      </c>
      <c r="I343" s="49">
        <f t="shared" si="98"/>
        <v>0.321865578503642</v>
      </c>
      <c r="J343" s="48">
        <v>0.25</v>
      </c>
      <c r="K343" s="48">
        <f t="shared" si="91"/>
        <v>0.22709058870051541</v>
      </c>
      <c r="L343" s="48">
        <v>180500</v>
      </c>
      <c r="M343" s="48">
        <v>181000</v>
      </c>
      <c r="N343" s="51">
        <v>128329070</v>
      </c>
      <c r="O343" s="48">
        <f t="shared" si="92"/>
        <v>2.6042876356826299</v>
      </c>
      <c r="P343" s="48">
        <f t="shared" si="99"/>
        <v>2.6042876356826299</v>
      </c>
      <c r="Q343" s="49">
        <v>0.5</v>
      </c>
      <c r="R343" s="49">
        <f t="shared" si="93"/>
        <v>0.46489751777136507</v>
      </c>
      <c r="S343" s="49">
        <v>203500</v>
      </c>
      <c r="T343" s="49">
        <v>211500</v>
      </c>
      <c r="U343" s="49">
        <v>15956260</v>
      </c>
      <c r="V343" s="49">
        <f t="shared" si="94"/>
        <v>36.695193828487</v>
      </c>
      <c r="W343" s="49">
        <f t="shared" si="100"/>
        <v>36.695193828487</v>
      </c>
      <c r="X343" s="82">
        <f t="shared" si="95"/>
        <v>0</v>
      </c>
      <c r="Y343" s="82">
        <f t="shared" si="96"/>
        <v>257445155872499.16</v>
      </c>
      <c r="Z343" s="81">
        <f t="shared" si="101"/>
        <v>266374982822436.5</v>
      </c>
      <c r="AA343" s="80">
        <f t="shared" si="85"/>
        <v>1034.6863273448419</v>
      </c>
      <c r="AB343" s="52">
        <f t="shared" si="97"/>
        <v>1.0016021710558142E-2</v>
      </c>
      <c r="AC343" s="48">
        <f t="shared" si="86"/>
        <v>-2.6225769669327253E-2</v>
      </c>
      <c r="AD343" s="48">
        <f t="shared" si="87"/>
        <v>2.7700831024930748E-3</v>
      </c>
      <c r="AE343" s="48">
        <f t="shared" si="88"/>
        <v>3.9312039312039311E-2</v>
      </c>
      <c r="AF343" s="48" t="e">
        <f>(#REF!-#REF!)/#REF!</f>
        <v>#REF!</v>
      </c>
    </row>
    <row r="344" spans="1:32" x14ac:dyDescent="0.3">
      <c r="A344" s="48">
        <v>20190527</v>
      </c>
      <c r="B344" s="48" t="s">
        <v>88</v>
      </c>
      <c r="C344" s="79">
        <v>0.25</v>
      </c>
      <c r="D344" s="79">
        <f t="shared" si="89"/>
        <v>0.31049009021811536</v>
      </c>
      <c r="E344" s="49">
        <v>42700</v>
      </c>
      <c r="F344" s="49">
        <v>42650</v>
      </c>
      <c r="G344" s="49">
        <v>5969782550</v>
      </c>
      <c r="H344" s="49">
        <f t="shared" si="90"/>
        <v>0.321865578503642</v>
      </c>
      <c r="I344" s="49">
        <f t="shared" si="98"/>
        <v>0.321865578503642</v>
      </c>
      <c r="J344" s="48">
        <v>0.25</v>
      </c>
      <c r="K344" s="48">
        <f t="shared" si="91"/>
        <v>0.22032252797246971</v>
      </c>
      <c r="L344" s="48">
        <v>181000</v>
      </c>
      <c r="M344" s="48">
        <v>174000</v>
      </c>
      <c r="N344" s="51">
        <v>128329070</v>
      </c>
      <c r="O344" s="48">
        <f t="shared" si="92"/>
        <v>2.6042876356826299</v>
      </c>
      <c r="P344" s="48">
        <f t="shared" si="99"/>
        <v>2.6042876356826299</v>
      </c>
      <c r="Q344" s="49">
        <v>0.5</v>
      </c>
      <c r="R344" s="49">
        <f t="shared" si="93"/>
        <v>0.46918738180941483</v>
      </c>
      <c r="S344" s="49">
        <v>211500</v>
      </c>
      <c r="T344" s="49">
        <v>211500</v>
      </c>
      <c r="U344" s="49">
        <v>15956260</v>
      </c>
      <c r="V344" s="49">
        <f t="shared" si="94"/>
        <v>36.695193828487</v>
      </c>
      <c r="W344" s="49">
        <f t="shared" si="100"/>
        <v>36.695193828487</v>
      </c>
      <c r="X344" s="82">
        <f t="shared" si="95"/>
        <v>0</v>
      </c>
      <c r="Y344" s="82">
        <f t="shared" si="96"/>
        <v>257445155872499.16</v>
      </c>
      <c r="Z344" s="81">
        <f t="shared" si="101"/>
        <v>263939468774639.12</v>
      </c>
      <c r="AA344" s="80">
        <f t="shared" si="85"/>
        <v>1025.226005438441</v>
      </c>
      <c r="AB344" s="52">
        <f t="shared" si="97"/>
        <v>-9.1431786198213662E-3</v>
      </c>
      <c r="AC344" s="48">
        <f t="shared" si="86"/>
        <v>-1.17096018735363E-3</v>
      </c>
      <c r="AD344" s="48">
        <f t="shared" si="87"/>
        <v>-3.8674033149171269E-2</v>
      </c>
      <c r="AE344" s="48">
        <f t="shared" si="88"/>
        <v>0</v>
      </c>
      <c r="AF344" s="48" t="e">
        <f>(#REF!-#REF!)/#REF!</f>
        <v>#REF!</v>
      </c>
    </row>
    <row r="345" spans="1:32" x14ac:dyDescent="0.3">
      <c r="A345" s="48">
        <v>20190528</v>
      </c>
      <c r="B345" s="48" t="s">
        <v>88</v>
      </c>
      <c r="C345" s="79">
        <v>0.25</v>
      </c>
      <c r="D345" s="79">
        <f t="shared" si="89"/>
        <v>0.30093570816898274</v>
      </c>
      <c r="E345" s="49">
        <v>42650</v>
      </c>
      <c r="F345" s="49">
        <v>42550</v>
      </c>
      <c r="G345" s="49">
        <v>5969782550</v>
      </c>
      <c r="H345" s="49">
        <f t="shared" si="90"/>
        <v>0.321865578503642</v>
      </c>
      <c r="I345" s="49">
        <f t="shared" si="98"/>
        <v>0.321865578503642</v>
      </c>
      <c r="J345" s="48">
        <v>0.25</v>
      </c>
      <c r="K345" s="48">
        <f t="shared" si="91"/>
        <v>0.22880633908997733</v>
      </c>
      <c r="L345" s="48">
        <v>174000</v>
      </c>
      <c r="M345" s="48">
        <v>186000</v>
      </c>
      <c r="N345" s="51">
        <v>128329070</v>
      </c>
      <c r="O345" s="48">
        <f t="shared" si="92"/>
        <v>2.6042876356826299</v>
      </c>
      <c r="P345" s="48">
        <f t="shared" si="99"/>
        <v>2.6042876356826299</v>
      </c>
      <c r="Q345" s="49">
        <v>0.5</v>
      </c>
      <c r="R345" s="49">
        <f t="shared" si="93"/>
        <v>0.47025795274103988</v>
      </c>
      <c r="S345" s="49">
        <v>211500</v>
      </c>
      <c r="T345" s="49">
        <v>218200</v>
      </c>
      <c r="U345" s="49">
        <v>15956260</v>
      </c>
      <c r="V345" s="49">
        <f t="shared" si="94"/>
        <v>36.695193828487</v>
      </c>
      <c r="W345" s="49">
        <f t="shared" si="100"/>
        <v>36.695193828487</v>
      </c>
      <c r="X345" s="82">
        <f t="shared" si="95"/>
        <v>0</v>
      </c>
      <c r="Y345" s="82">
        <f t="shared" si="96"/>
        <v>257445155872499.16</v>
      </c>
      <c r="Z345" s="81">
        <f t="shared" si="101"/>
        <v>271680762705136.06</v>
      </c>
      <c r="AA345" s="80">
        <f t="shared" si="85"/>
        <v>1055.2956872868378</v>
      </c>
      <c r="AB345" s="52">
        <f t="shared" si="97"/>
        <v>2.9329807953454565E-2</v>
      </c>
      <c r="AC345" s="48">
        <f t="shared" si="86"/>
        <v>-2.3446658851113715E-3</v>
      </c>
      <c r="AD345" s="48">
        <f t="shared" si="87"/>
        <v>6.8965517241379309E-2</v>
      </c>
      <c r="AE345" s="48">
        <f t="shared" si="88"/>
        <v>3.1678486997635931E-2</v>
      </c>
      <c r="AF345" s="48" t="e">
        <f>(#REF!-#REF!)/#REF!</f>
        <v>#REF!</v>
      </c>
    </row>
    <row r="346" spans="1:32" x14ac:dyDescent="0.3">
      <c r="A346" s="48">
        <v>20190529</v>
      </c>
      <c r="B346" s="48" t="s">
        <v>88</v>
      </c>
      <c r="C346" s="79">
        <v>0.25</v>
      </c>
      <c r="D346" s="79">
        <f t="shared" si="89"/>
        <v>0.3183010680978709</v>
      </c>
      <c r="E346" s="49">
        <v>42550</v>
      </c>
      <c r="F346" s="49">
        <v>41800</v>
      </c>
      <c r="G346" s="49">
        <v>5969782550</v>
      </c>
      <c r="H346" s="49">
        <f t="shared" si="90"/>
        <v>0.321865578503642</v>
      </c>
      <c r="I346" s="49">
        <f t="shared" si="98"/>
        <v>0.321865578503642</v>
      </c>
      <c r="J346" s="48">
        <v>0.25</v>
      </c>
      <c r="K346" s="48">
        <f t="shared" si="91"/>
        <v>0.24568954601520385</v>
      </c>
      <c r="L346" s="48">
        <v>186000</v>
      </c>
      <c r="M346" s="48">
        <v>185500</v>
      </c>
      <c r="N346" s="51">
        <v>128329070</v>
      </c>
      <c r="O346" s="48">
        <f t="shared" si="92"/>
        <v>2.6042876356826299</v>
      </c>
      <c r="P346" s="48">
        <f t="shared" si="99"/>
        <v>2.6042876356826299</v>
      </c>
      <c r="Q346" s="49">
        <v>0.5</v>
      </c>
      <c r="R346" s="49">
        <f t="shared" si="93"/>
        <v>0.43600938588692534</v>
      </c>
      <c r="S346" s="49">
        <v>218200</v>
      </c>
      <c r="T346" s="49">
        <v>187900</v>
      </c>
      <c r="U346" s="49">
        <v>15956260</v>
      </c>
      <c r="V346" s="49">
        <f t="shared" si="94"/>
        <v>36.695193828487</v>
      </c>
      <c r="W346" s="49">
        <f t="shared" si="100"/>
        <v>36.695193828487</v>
      </c>
      <c r="X346" s="82">
        <f t="shared" si="95"/>
        <v>0</v>
      </c>
      <c r="Y346" s="82">
        <f t="shared" si="96"/>
        <v>257445155872499.16</v>
      </c>
      <c r="Z346" s="81">
        <f t="shared" si="101"/>
        <v>252331362144113.34</v>
      </c>
      <c r="AA346" s="80">
        <f t="shared" si="85"/>
        <v>980.13637618833877</v>
      </c>
      <c r="AB346" s="52">
        <f t="shared" si="97"/>
        <v>-7.1221091874006839E-2</v>
      </c>
      <c r="AC346" s="48">
        <f t="shared" si="86"/>
        <v>-1.7626321974148061E-2</v>
      </c>
      <c r="AD346" s="48">
        <f t="shared" si="87"/>
        <v>-2.6881720430107529E-3</v>
      </c>
      <c r="AE346" s="48">
        <f t="shared" si="88"/>
        <v>-0.13886342804766269</v>
      </c>
      <c r="AF346" s="48" t="e">
        <f>(#REF!-#REF!)/#REF!</f>
        <v>#REF!</v>
      </c>
    </row>
    <row r="347" spans="1:32" x14ac:dyDescent="0.3">
      <c r="A347" s="48">
        <v>20190530</v>
      </c>
      <c r="B347" s="48" t="s">
        <v>88</v>
      </c>
      <c r="C347" s="79">
        <v>0.25</v>
      </c>
      <c r="D347" s="79">
        <f t="shared" si="89"/>
        <v>0.32510862085916331</v>
      </c>
      <c r="E347" s="49">
        <v>41800</v>
      </c>
      <c r="F347" s="49">
        <v>42550</v>
      </c>
      <c r="G347" s="49">
        <v>5969782550</v>
      </c>
      <c r="H347" s="49">
        <f t="shared" si="90"/>
        <v>0.321865578503642</v>
      </c>
      <c r="I347" s="49">
        <f t="shared" si="98"/>
        <v>0.321865578503642</v>
      </c>
      <c r="J347" s="48">
        <v>0.25</v>
      </c>
      <c r="K347" s="48">
        <f t="shared" si="91"/>
        <v>0.24718539982502358</v>
      </c>
      <c r="L347" s="48">
        <v>185500</v>
      </c>
      <c r="M347" s="48">
        <v>186000</v>
      </c>
      <c r="N347" s="51">
        <v>128329070</v>
      </c>
      <c r="O347" s="48">
        <f t="shared" si="92"/>
        <v>2.6042876356826299</v>
      </c>
      <c r="P347" s="48">
        <f t="shared" si="99"/>
        <v>2.6042876356826299</v>
      </c>
      <c r="Q347" s="49">
        <v>0.5</v>
      </c>
      <c r="R347" s="49">
        <f t="shared" si="93"/>
        <v>0.42770597931581306</v>
      </c>
      <c r="S347" s="49">
        <v>187900</v>
      </c>
      <c r="T347" s="49">
        <v>183700</v>
      </c>
      <c r="U347" s="49">
        <v>15956260</v>
      </c>
      <c r="V347" s="49">
        <f t="shared" si="94"/>
        <v>36.695193828487</v>
      </c>
      <c r="W347" s="49">
        <f t="shared" si="100"/>
        <v>36.695193828487</v>
      </c>
      <c r="X347" s="82">
        <f t="shared" si="95"/>
        <v>0</v>
      </c>
      <c r="Y347" s="82">
        <f t="shared" si="96"/>
        <v>257445155872499.16</v>
      </c>
      <c r="Z347" s="81">
        <f t="shared" si="101"/>
        <v>251480389860154.25</v>
      </c>
      <c r="AA347" s="80">
        <f t="shared" si="85"/>
        <v>976.83092543679868</v>
      </c>
      <c r="AB347" s="52">
        <f t="shared" si="97"/>
        <v>-3.3724396235498269E-3</v>
      </c>
      <c r="AC347" s="48">
        <f t="shared" si="86"/>
        <v>1.7942583732057416E-2</v>
      </c>
      <c r="AD347" s="48">
        <f t="shared" si="87"/>
        <v>2.6954177897574125E-3</v>
      </c>
      <c r="AE347" s="48">
        <f t="shared" si="88"/>
        <v>-2.2352315061202766E-2</v>
      </c>
      <c r="AF347" s="48" t="e">
        <f>(#REF!-#REF!)/#REF!</f>
        <v>#REF!</v>
      </c>
    </row>
    <row r="348" spans="1:32" x14ac:dyDescent="0.3">
      <c r="A348" s="48">
        <v>20190531</v>
      </c>
      <c r="B348" s="48" t="s">
        <v>88</v>
      </c>
      <c r="C348" s="79">
        <v>0.25</v>
      </c>
      <c r="D348" s="79">
        <f t="shared" si="89"/>
        <v>0.31503065521693874</v>
      </c>
      <c r="E348" s="49">
        <v>42550</v>
      </c>
      <c r="F348" s="49">
        <v>42500</v>
      </c>
      <c r="G348" s="49">
        <v>5969782550</v>
      </c>
      <c r="H348" s="49">
        <f t="shared" si="90"/>
        <v>0.321865578503642</v>
      </c>
      <c r="I348" s="49">
        <f t="shared" si="98"/>
        <v>0.321865578503642</v>
      </c>
      <c r="J348" s="48">
        <v>0.25</v>
      </c>
      <c r="K348" s="48">
        <f t="shared" si="91"/>
        <v>0.24496184087880013</v>
      </c>
      <c r="L348" s="48">
        <v>186000</v>
      </c>
      <c r="M348" s="48">
        <v>190000</v>
      </c>
      <c r="N348" s="51">
        <v>128329070</v>
      </c>
      <c r="O348" s="48">
        <f t="shared" si="92"/>
        <v>2.6042876356826299</v>
      </c>
      <c r="P348" s="48">
        <f t="shared" si="99"/>
        <v>2.6042876356826299</v>
      </c>
      <c r="Q348" s="49">
        <v>0.5</v>
      </c>
      <c r="R348" s="49">
        <f t="shared" si="93"/>
        <v>0.44000750390426124</v>
      </c>
      <c r="S348" s="49">
        <v>183700</v>
      </c>
      <c r="T348" s="49">
        <v>194800</v>
      </c>
      <c r="U348" s="49">
        <v>15956260</v>
      </c>
      <c r="V348" s="49">
        <f t="shared" si="94"/>
        <v>36.695193828487</v>
      </c>
      <c r="W348" s="49">
        <f t="shared" si="100"/>
        <v>36.695193828487</v>
      </c>
      <c r="X348" s="82">
        <f t="shared" si="95"/>
        <v>0</v>
      </c>
      <c r="Y348" s="82">
        <f t="shared" si="96"/>
        <v>257445155872499.16</v>
      </c>
      <c r="Z348" s="81">
        <f t="shared" si="101"/>
        <v>259220390119255.81</v>
      </c>
      <c r="AA348" s="80">
        <f t="shared" si="85"/>
        <v>1006.8955822483443</v>
      </c>
      <c r="AB348" s="52">
        <f t="shared" si="97"/>
        <v>3.0777748767630366E-2</v>
      </c>
      <c r="AC348" s="48">
        <f t="shared" si="86"/>
        <v>-1.1750881316098707E-3</v>
      </c>
      <c r="AD348" s="48">
        <f t="shared" si="87"/>
        <v>2.1505376344086023E-2</v>
      </c>
      <c r="AE348" s="48">
        <f t="shared" si="88"/>
        <v>6.0424605334784977E-2</v>
      </c>
      <c r="AF348" s="48" t="e">
        <f>(#REF!-#REF!)/#REF!</f>
        <v>#REF!</v>
      </c>
    </row>
    <row r="349" spans="1:32" x14ac:dyDescent="0.3">
      <c r="A349" s="48">
        <v>20190603</v>
      </c>
      <c r="B349" s="48" t="s">
        <v>88</v>
      </c>
      <c r="C349" s="79">
        <v>0.25</v>
      </c>
      <c r="D349" s="79">
        <f t="shared" si="89"/>
        <v>0.32365910016369281</v>
      </c>
      <c r="E349" s="49">
        <v>42500</v>
      </c>
      <c r="F349" s="49">
        <v>43800</v>
      </c>
      <c r="G349" s="49">
        <v>5969782550</v>
      </c>
      <c r="H349" s="49">
        <f t="shared" si="90"/>
        <v>0.321865578503642</v>
      </c>
      <c r="I349" s="49">
        <f t="shared" si="98"/>
        <v>0.321865578503642</v>
      </c>
      <c r="J349" s="48">
        <v>0.25</v>
      </c>
      <c r="K349" s="48">
        <f t="shared" si="91"/>
        <v>0.24805727618209855</v>
      </c>
      <c r="L349" s="48">
        <v>190000</v>
      </c>
      <c r="M349" s="48">
        <v>193000</v>
      </c>
      <c r="N349" s="51">
        <v>128329070</v>
      </c>
      <c r="O349" s="48">
        <f t="shared" si="92"/>
        <v>2.6042876356826299</v>
      </c>
      <c r="P349" s="48">
        <f t="shared" si="99"/>
        <v>2.6042876356826299</v>
      </c>
      <c r="Q349" s="49">
        <v>0.5</v>
      </c>
      <c r="R349" s="49">
        <f t="shared" si="93"/>
        <v>0.42828362365420869</v>
      </c>
      <c r="S349" s="49">
        <v>194800</v>
      </c>
      <c r="T349" s="49">
        <v>190200</v>
      </c>
      <c r="U349" s="49">
        <v>15956260</v>
      </c>
      <c r="V349" s="49">
        <f t="shared" si="94"/>
        <v>36.695193828487</v>
      </c>
      <c r="W349" s="49">
        <f t="shared" si="100"/>
        <v>36.695193828487</v>
      </c>
      <c r="X349" s="82">
        <f t="shared" si="95"/>
        <v>0</v>
      </c>
      <c r="Y349" s="82">
        <f t="shared" si="96"/>
        <v>257445155872499.16</v>
      </c>
      <c r="Z349" s="81">
        <f t="shared" si="101"/>
        <v>260027532272352.91</v>
      </c>
      <c r="AA349" s="80">
        <f t="shared" si="85"/>
        <v>1010.0307826383523</v>
      </c>
      <c r="AB349" s="52">
        <f t="shared" si="97"/>
        <v>3.1137294127433204E-3</v>
      </c>
      <c r="AC349" s="48">
        <f t="shared" si="86"/>
        <v>3.0588235294117649E-2</v>
      </c>
      <c r="AD349" s="48">
        <f t="shared" si="87"/>
        <v>1.5789473684210527E-2</v>
      </c>
      <c r="AE349" s="48">
        <f t="shared" si="88"/>
        <v>-2.3613963039014373E-2</v>
      </c>
      <c r="AF349" s="48" t="e">
        <f>(#REF!-#REF!)/#REF!</f>
        <v>#REF!</v>
      </c>
    </row>
    <row r="350" spans="1:32" x14ac:dyDescent="0.3">
      <c r="A350" s="48">
        <v>20190604</v>
      </c>
      <c r="B350" s="48" t="s">
        <v>88</v>
      </c>
      <c r="C350" s="79">
        <v>0.25</v>
      </c>
      <c r="D350" s="79">
        <f t="shared" si="89"/>
        <v>0.32312578787822827</v>
      </c>
      <c r="E350" s="49">
        <v>43800</v>
      </c>
      <c r="F350" s="49">
        <v>43450</v>
      </c>
      <c r="G350" s="49">
        <v>5969782550</v>
      </c>
      <c r="H350" s="49">
        <f t="shared" si="90"/>
        <v>0.321865578503642</v>
      </c>
      <c r="I350" s="49">
        <f t="shared" si="98"/>
        <v>0.321865578503642</v>
      </c>
      <c r="J350" s="48">
        <v>0.25</v>
      </c>
      <c r="K350" s="48">
        <f t="shared" si="91"/>
        <v>0.25287712775562732</v>
      </c>
      <c r="L350" s="48">
        <v>193000</v>
      </c>
      <c r="M350" s="48">
        <v>195500</v>
      </c>
      <c r="N350" s="51">
        <v>128329070</v>
      </c>
      <c r="O350" s="48">
        <f t="shared" si="92"/>
        <v>2.6042876356826299</v>
      </c>
      <c r="P350" s="48">
        <f t="shared" si="99"/>
        <v>2.6042876356826299</v>
      </c>
      <c r="Q350" s="49">
        <v>0.5</v>
      </c>
      <c r="R350" s="49">
        <f t="shared" si="93"/>
        <v>0.42399708436614447</v>
      </c>
      <c r="S350" s="49">
        <v>190200</v>
      </c>
      <c r="T350" s="49">
        <v>187100</v>
      </c>
      <c r="U350" s="49">
        <v>15956260</v>
      </c>
      <c r="V350" s="49">
        <f t="shared" si="94"/>
        <v>36.695193828487</v>
      </c>
      <c r="W350" s="49">
        <f t="shared" si="100"/>
        <v>36.695193828487</v>
      </c>
      <c r="X350" s="82">
        <f t="shared" si="95"/>
        <v>0</v>
      </c>
      <c r="Y350" s="82">
        <f t="shared" si="96"/>
        <v>257445155872499.16</v>
      </c>
      <c r="Z350" s="81">
        <f t="shared" si="101"/>
        <v>258375427202422.22</v>
      </c>
      <c r="AA350" s="80">
        <f t="shared" si="85"/>
        <v>1003.6134738164728</v>
      </c>
      <c r="AB350" s="52">
        <f t="shared" si="97"/>
        <v>-6.353577467328779E-3</v>
      </c>
      <c r="AC350" s="48">
        <f t="shared" si="86"/>
        <v>-7.9908675799086754E-3</v>
      </c>
      <c r="AD350" s="48">
        <f t="shared" si="87"/>
        <v>1.2953367875647668E-2</v>
      </c>
      <c r="AE350" s="48">
        <f t="shared" si="88"/>
        <v>-1.6298633017875919E-2</v>
      </c>
      <c r="AF350" s="48" t="e">
        <f>(#REF!-#REF!)/#REF!</f>
        <v>#REF!</v>
      </c>
    </row>
    <row r="351" spans="1:32" x14ac:dyDescent="0.3">
      <c r="A351" s="48">
        <v>20190605</v>
      </c>
      <c r="B351" s="48" t="s">
        <v>88</v>
      </c>
      <c r="C351" s="79">
        <v>0.25</v>
      </c>
      <c r="D351" s="79">
        <f t="shared" si="89"/>
        <v>0.3245876960503456</v>
      </c>
      <c r="E351" s="49">
        <v>43450</v>
      </c>
      <c r="F351" s="49">
        <v>43900</v>
      </c>
      <c r="G351" s="49">
        <v>5969782550</v>
      </c>
      <c r="H351" s="49">
        <f t="shared" si="90"/>
        <v>0.321865578503642</v>
      </c>
      <c r="I351" s="49">
        <f t="shared" si="98"/>
        <v>0.321865578503642</v>
      </c>
      <c r="J351" s="48">
        <v>0.25</v>
      </c>
      <c r="K351" s="48">
        <f t="shared" si="91"/>
        <v>0.25206036109452895</v>
      </c>
      <c r="L351" s="48">
        <v>195500</v>
      </c>
      <c r="M351" s="48">
        <v>196000</v>
      </c>
      <c r="N351" s="51">
        <v>128329070</v>
      </c>
      <c r="O351" s="48">
        <f t="shared" si="92"/>
        <v>2.6042876356826299</v>
      </c>
      <c r="P351" s="48">
        <f t="shared" si="99"/>
        <v>2.6042876356826299</v>
      </c>
      <c r="Q351" s="49">
        <v>0.5</v>
      </c>
      <c r="R351" s="49">
        <f t="shared" si="93"/>
        <v>0.42335194285512545</v>
      </c>
      <c r="S351" s="49">
        <v>187100</v>
      </c>
      <c r="T351" s="49">
        <v>187900</v>
      </c>
      <c r="U351" s="49">
        <v>15956260</v>
      </c>
      <c r="V351" s="49">
        <f t="shared" si="94"/>
        <v>36.695193828487</v>
      </c>
      <c r="W351" s="49">
        <f t="shared" si="100"/>
        <v>36.695193828487</v>
      </c>
      <c r="X351" s="82">
        <f t="shared" si="95"/>
        <v>0</v>
      </c>
      <c r="Y351" s="82">
        <f t="shared" si="96"/>
        <v>257445155872499.16</v>
      </c>
      <c r="Z351" s="81">
        <f t="shared" si="101"/>
        <v>259875604931652.75</v>
      </c>
      <c r="AA351" s="80">
        <f t="shared" si="85"/>
        <v>1009.4406478572753</v>
      </c>
      <c r="AB351" s="52">
        <f t="shared" si="97"/>
        <v>5.8061935125713962E-3</v>
      </c>
      <c r="AC351" s="48">
        <f t="shared" si="86"/>
        <v>1.0356731875719217E-2</v>
      </c>
      <c r="AD351" s="48">
        <f t="shared" si="87"/>
        <v>2.5575447570332483E-3</v>
      </c>
      <c r="AE351" s="48">
        <f t="shared" si="88"/>
        <v>4.27578834847675E-3</v>
      </c>
      <c r="AF351" s="48" t="e">
        <f>(#REF!-#REF!)/#REF!</f>
        <v>#REF!</v>
      </c>
    </row>
    <row r="352" spans="1:32" x14ac:dyDescent="0.3">
      <c r="A352" s="48">
        <v>20190607</v>
      </c>
      <c r="B352" s="48" t="s">
        <v>88</v>
      </c>
      <c r="C352" s="79">
        <v>0.25</v>
      </c>
      <c r="D352" s="79">
        <f t="shared" si="89"/>
        <v>0.32383633771716941</v>
      </c>
      <c r="E352" s="49">
        <v>43900</v>
      </c>
      <c r="F352" s="49">
        <v>44200</v>
      </c>
      <c r="G352" s="49">
        <v>5969782550</v>
      </c>
      <c r="H352" s="49">
        <f t="shared" si="90"/>
        <v>0.321865578503642</v>
      </c>
      <c r="I352" s="49">
        <f t="shared" si="98"/>
        <v>0.321865578503642</v>
      </c>
      <c r="J352" s="48">
        <v>0.25</v>
      </c>
      <c r="K352" s="48">
        <f t="shared" si="91"/>
        <v>0.25040720138157546</v>
      </c>
      <c r="L352" s="48">
        <v>196000</v>
      </c>
      <c r="M352" s="48">
        <v>196500</v>
      </c>
      <c r="N352" s="51">
        <v>128329070</v>
      </c>
      <c r="O352" s="48">
        <f t="shared" si="92"/>
        <v>2.6042876356826299</v>
      </c>
      <c r="P352" s="48">
        <f t="shared" si="99"/>
        <v>2.6042876356826299</v>
      </c>
      <c r="Q352" s="49">
        <v>0.5</v>
      </c>
      <c r="R352" s="49">
        <f t="shared" si="93"/>
        <v>0.42575646090125518</v>
      </c>
      <c r="S352" s="49">
        <v>187900</v>
      </c>
      <c r="T352" s="49">
        <v>190700</v>
      </c>
      <c r="U352" s="49">
        <v>15956260</v>
      </c>
      <c r="V352" s="49">
        <f t="shared" si="94"/>
        <v>36.695193828487</v>
      </c>
      <c r="W352" s="49">
        <f t="shared" si="100"/>
        <v>36.695193828487</v>
      </c>
      <c r="X352" s="82">
        <f t="shared" si="95"/>
        <v>0</v>
      </c>
      <c r="Y352" s="82">
        <f t="shared" si="96"/>
        <v>257445155872499.16</v>
      </c>
      <c r="Z352" s="81">
        <f t="shared" si="101"/>
        <v>262258598640739.25</v>
      </c>
      <c r="AA352" s="80">
        <f t="shared" si="85"/>
        <v>1018.696963832654</v>
      </c>
      <c r="AB352" s="52">
        <f t="shared" si="97"/>
        <v>9.1697476171847675E-3</v>
      </c>
      <c r="AC352" s="48">
        <f t="shared" si="86"/>
        <v>6.8337129840546698E-3</v>
      </c>
      <c r="AD352" s="48">
        <f t="shared" si="87"/>
        <v>2.5510204081632651E-3</v>
      </c>
      <c r="AE352" s="48">
        <f t="shared" si="88"/>
        <v>1.4901543374135177E-2</v>
      </c>
      <c r="AF352" s="48" t="e">
        <f>(#REF!-#REF!)/#REF!</f>
        <v>#REF!</v>
      </c>
    </row>
    <row r="353" spans="1:32" s="47" customFormat="1" x14ac:dyDescent="0.3">
      <c r="A353" s="48">
        <v>20190610</v>
      </c>
      <c r="B353" s="48" t="s">
        <v>88</v>
      </c>
      <c r="C353" s="79">
        <v>0.25</v>
      </c>
      <c r="D353" s="79">
        <f t="shared" si="89"/>
        <v>0.32575189383739134</v>
      </c>
      <c r="E353" s="49">
        <v>44200</v>
      </c>
      <c r="F353" s="49">
        <v>44800</v>
      </c>
      <c r="G353" s="49">
        <v>5969782550</v>
      </c>
      <c r="H353" s="49">
        <f t="shared" si="90"/>
        <v>0.321865578503642</v>
      </c>
      <c r="I353" s="49">
        <f t="shared" si="98"/>
        <v>0.321865578503642</v>
      </c>
      <c r="J353" s="48">
        <v>0.25</v>
      </c>
      <c r="K353" s="48">
        <f t="shared" si="91"/>
        <v>0.25104431790370707</v>
      </c>
      <c r="L353" s="48">
        <v>196500</v>
      </c>
      <c r="M353" s="48">
        <v>198500</v>
      </c>
      <c r="N353" s="51">
        <v>128329070</v>
      </c>
      <c r="O353" s="48">
        <f t="shared" si="92"/>
        <v>2.6042876356826299</v>
      </c>
      <c r="P353" s="48">
        <f t="shared" si="99"/>
        <v>2.6042876356826299</v>
      </c>
      <c r="Q353" s="49">
        <v>0.5</v>
      </c>
      <c r="R353" s="49">
        <f t="shared" si="93"/>
        <v>0.42320378825890165</v>
      </c>
      <c r="S353" s="49">
        <v>190700</v>
      </c>
      <c r="T353" s="49">
        <v>191000</v>
      </c>
      <c r="U353" s="49">
        <v>15956260</v>
      </c>
      <c r="V353" s="49">
        <f t="shared" si="94"/>
        <v>36.695193828487</v>
      </c>
      <c r="W353" s="49">
        <f t="shared" si="100"/>
        <v>36.695193828487</v>
      </c>
      <c r="X353" s="82">
        <f t="shared" si="95"/>
        <v>0</v>
      </c>
      <c r="Y353" s="82">
        <f t="shared" si="96"/>
        <v>257445155872499.16</v>
      </c>
      <c r="Z353" s="81">
        <f t="shared" si="101"/>
        <v>264255546185779.87</v>
      </c>
      <c r="AA353" s="80">
        <f t="shared" si="85"/>
        <v>1026.4537520241927</v>
      </c>
      <c r="AB353" s="52">
        <f t="shared" si="97"/>
        <v>7.6144216257946424E-3</v>
      </c>
      <c r="AC353" s="48">
        <f t="shared" si="86"/>
        <v>1.3574660633484163E-2</v>
      </c>
      <c r="AD353" s="48">
        <f t="shared" si="87"/>
        <v>1.0178117048346057E-2</v>
      </c>
      <c r="AE353" s="48">
        <f t="shared" si="88"/>
        <v>1.5731515469323545E-3</v>
      </c>
      <c r="AF353" s="48" t="e">
        <f>(#REF!-#REF!)/#REF!</f>
        <v>#REF!</v>
      </c>
    </row>
    <row r="354" spans="1:32" x14ac:dyDescent="0.3">
      <c r="A354" s="48">
        <v>20190611</v>
      </c>
      <c r="B354" s="48" t="s">
        <v>88</v>
      </c>
      <c r="C354" s="79">
        <v>0.25</v>
      </c>
      <c r="D354" s="79">
        <f t="shared" si="89"/>
        <v>0.32004400163844166</v>
      </c>
      <c r="E354" s="49">
        <v>44800</v>
      </c>
      <c r="F354" s="49">
        <v>44850</v>
      </c>
      <c r="G354" s="49">
        <v>5969782550</v>
      </c>
      <c r="H354" s="49">
        <f t="shared" si="90"/>
        <v>0.321865578503642</v>
      </c>
      <c r="I354" s="49">
        <f t="shared" si="98"/>
        <v>0.321865578503642</v>
      </c>
      <c r="J354" s="48">
        <v>0.25</v>
      </c>
      <c r="K354" s="48">
        <f t="shared" si="91"/>
        <v>0.25071456449421747</v>
      </c>
      <c r="L354" s="48">
        <v>198500</v>
      </c>
      <c r="M354" s="48">
        <v>202000</v>
      </c>
      <c r="N354" s="51">
        <v>128329070</v>
      </c>
      <c r="O354" s="48">
        <f t="shared" si="92"/>
        <v>2.6042876356826299</v>
      </c>
      <c r="P354" s="48">
        <f t="shared" si="99"/>
        <v>2.6042876356826299</v>
      </c>
      <c r="Q354" s="49">
        <v>0.5</v>
      </c>
      <c r="R354" s="49">
        <f t="shared" si="93"/>
        <v>0.42924143386734082</v>
      </c>
      <c r="S354" s="49">
        <v>191000</v>
      </c>
      <c r="T354" s="49">
        <v>197400</v>
      </c>
      <c r="U354" s="49">
        <v>15956260</v>
      </c>
      <c r="V354" s="49">
        <f t="shared" si="94"/>
        <v>36.695193828487</v>
      </c>
      <c r="W354" s="49">
        <f t="shared" si="100"/>
        <v>36.695193828487</v>
      </c>
      <c r="X354" s="82">
        <f t="shared" si="95"/>
        <v>0</v>
      </c>
      <c r="Y354" s="82">
        <f t="shared" si="96"/>
        <v>257445155872499.16</v>
      </c>
      <c r="Z354" s="81">
        <f t="shared" si="101"/>
        <v>269268655439786</v>
      </c>
      <c r="AA354" s="80">
        <f t="shared" si="85"/>
        <v>1045.9262848711066</v>
      </c>
      <c r="AB354" s="52">
        <f t="shared" si="97"/>
        <v>1.8970686997357298E-2</v>
      </c>
      <c r="AC354" s="48">
        <f t="shared" si="86"/>
        <v>1.1160714285714285E-3</v>
      </c>
      <c r="AD354" s="48">
        <f t="shared" si="87"/>
        <v>1.7632241813602016E-2</v>
      </c>
      <c r="AE354" s="48">
        <f t="shared" si="88"/>
        <v>3.3507853403141365E-2</v>
      </c>
      <c r="AF354" s="48" t="e">
        <f>(#REF!-#REF!)/#REF!</f>
        <v>#REF!</v>
      </c>
    </row>
    <row r="355" spans="1:32" x14ac:dyDescent="0.3">
      <c r="A355" s="48">
        <v>20190612</v>
      </c>
      <c r="B355" s="48" t="s">
        <v>88</v>
      </c>
      <c r="C355" s="79">
        <v>0.25</v>
      </c>
      <c r="D355" s="79">
        <f t="shared" si="89"/>
        <v>0.32181408753067792</v>
      </c>
      <c r="E355" s="49">
        <v>44850</v>
      </c>
      <c r="F355" s="49">
        <v>44600</v>
      </c>
      <c r="G355" s="49">
        <v>5969782550</v>
      </c>
      <c r="H355" s="49">
        <f t="shared" si="90"/>
        <v>0.321865578503642</v>
      </c>
      <c r="I355" s="49">
        <f t="shared" si="98"/>
        <v>0.321865578503642</v>
      </c>
      <c r="J355" s="48">
        <v>0.25</v>
      </c>
      <c r="K355" s="48">
        <f t="shared" si="91"/>
        <v>0.25602437227159769</v>
      </c>
      <c r="L355" s="48">
        <v>202000</v>
      </c>
      <c r="M355" s="48">
        <v>204000</v>
      </c>
      <c r="N355" s="51">
        <v>128329070</v>
      </c>
      <c r="O355" s="48">
        <f t="shared" si="92"/>
        <v>2.6042876356826299</v>
      </c>
      <c r="P355" s="48">
        <f t="shared" si="99"/>
        <v>2.6042876356826299</v>
      </c>
      <c r="Q355" s="49">
        <v>0.5</v>
      </c>
      <c r="R355" s="49">
        <f t="shared" si="93"/>
        <v>0.42216154019772434</v>
      </c>
      <c r="S355" s="49">
        <v>197400</v>
      </c>
      <c r="T355" s="49">
        <v>192000</v>
      </c>
      <c r="U355" s="49">
        <v>15956260</v>
      </c>
      <c r="V355" s="49">
        <f t="shared" si="94"/>
        <v>36.695193828487</v>
      </c>
      <c r="W355" s="49">
        <f t="shared" si="100"/>
        <v>36.695193828487</v>
      </c>
      <c r="X355" s="82">
        <f t="shared" si="95"/>
        <v>0</v>
      </c>
      <c r="Y355" s="82">
        <f t="shared" si="96"/>
        <v>257445155872499.16</v>
      </c>
      <c r="Z355" s="81">
        <f t="shared" si="101"/>
        <v>266294902693106.37</v>
      </c>
      <c r="AA355" s="80">
        <f t="shared" si="85"/>
        <v>1034.3752703002501</v>
      </c>
      <c r="AB355" s="52">
        <f t="shared" si="97"/>
        <v>-1.1043813257145553E-2</v>
      </c>
      <c r="AC355" s="48">
        <f t="shared" si="86"/>
        <v>-5.5741360089186179E-3</v>
      </c>
      <c r="AD355" s="48">
        <f t="shared" si="87"/>
        <v>9.9009900990099011E-3</v>
      </c>
      <c r="AE355" s="48">
        <f t="shared" si="88"/>
        <v>-2.7355623100303952E-2</v>
      </c>
      <c r="AF355" s="48" t="e">
        <f>(#REF!-#REF!)/#REF!</f>
        <v>#REF!</v>
      </c>
    </row>
    <row r="356" spans="1:32" x14ac:dyDescent="0.3">
      <c r="A356" s="48">
        <v>20190613</v>
      </c>
      <c r="B356" s="48" t="s">
        <v>88</v>
      </c>
      <c r="C356" s="79">
        <v>0.25</v>
      </c>
      <c r="D356" s="79">
        <f t="shared" si="89"/>
        <v>0.31726932330375435</v>
      </c>
      <c r="E356" s="49">
        <v>44600</v>
      </c>
      <c r="F356" s="49">
        <v>43750</v>
      </c>
      <c r="G356" s="49">
        <v>5969782550</v>
      </c>
      <c r="H356" s="49">
        <f t="shared" si="90"/>
        <v>0.321865578503642</v>
      </c>
      <c r="I356" s="49">
        <f t="shared" si="98"/>
        <v>0.321865578503642</v>
      </c>
      <c r="J356" s="48">
        <v>0.25</v>
      </c>
      <c r="K356" s="48">
        <f t="shared" si="91"/>
        <v>0.26109666229768724</v>
      </c>
      <c r="L356" s="48">
        <v>204000</v>
      </c>
      <c r="M356" s="48">
        <v>207000</v>
      </c>
      <c r="N356" s="51">
        <v>128329070</v>
      </c>
      <c r="O356" s="48">
        <f t="shared" si="92"/>
        <v>2.6042876356826299</v>
      </c>
      <c r="P356" s="48">
        <f t="shared" si="99"/>
        <v>2.6042876356826299</v>
      </c>
      <c r="Q356" s="49">
        <v>0.5</v>
      </c>
      <c r="R356" s="49">
        <f t="shared" si="93"/>
        <v>0.42163401439855852</v>
      </c>
      <c r="S356" s="49">
        <v>192000</v>
      </c>
      <c r="T356" s="49">
        <v>190800</v>
      </c>
      <c r="U356" s="49">
        <v>15956260</v>
      </c>
      <c r="V356" s="49">
        <f t="shared" si="94"/>
        <v>36.695193828487</v>
      </c>
      <c r="W356" s="49">
        <f t="shared" si="100"/>
        <v>36.695193828487</v>
      </c>
      <c r="X356" s="82">
        <f t="shared" si="95"/>
        <v>0</v>
      </c>
      <c r="Y356" s="82">
        <f t="shared" si="96"/>
        <v>257445155872499.16</v>
      </c>
      <c r="Z356" s="81">
        <f t="shared" si="101"/>
        <v>264961651072934.81</v>
      </c>
      <c r="AA356" s="80">
        <f t="shared" si="85"/>
        <v>1029.1964910932652</v>
      </c>
      <c r="AB356" s="52">
        <f t="shared" si="97"/>
        <v>-5.0066734537086068E-3</v>
      </c>
      <c r="AC356" s="48">
        <f t="shared" si="86"/>
        <v>-1.905829596412556E-2</v>
      </c>
      <c r="AD356" s="48">
        <f t="shared" si="87"/>
        <v>1.4705882352941176E-2</v>
      </c>
      <c r="AE356" s="48">
        <f t="shared" si="88"/>
        <v>-6.2500000000000003E-3</v>
      </c>
      <c r="AF356" s="48" t="e">
        <f>(#REF!-#REF!)/#REF!</f>
        <v>#REF!</v>
      </c>
    </row>
    <row r="357" spans="1:32" x14ac:dyDescent="0.3">
      <c r="A357" s="48">
        <v>20190614</v>
      </c>
      <c r="B357" s="48" t="s">
        <v>88</v>
      </c>
      <c r="C357" s="79">
        <v>0.25</v>
      </c>
      <c r="D357" s="79">
        <f t="shared" si="89"/>
        <v>0.32100060131620345</v>
      </c>
      <c r="E357" s="49">
        <v>43750</v>
      </c>
      <c r="F357" s="49">
        <v>44000</v>
      </c>
      <c r="G357" s="49">
        <v>5969782550</v>
      </c>
      <c r="H357" s="49">
        <f t="shared" si="90"/>
        <v>0.321865578503642</v>
      </c>
      <c r="I357" s="49">
        <f t="shared" si="98"/>
        <v>0.321865578503642</v>
      </c>
      <c r="J357" s="48">
        <v>0.25</v>
      </c>
      <c r="K357" s="48">
        <f t="shared" si="91"/>
        <v>0.2550528475442651</v>
      </c>
      <c r="L357" s="48">
        <v>207000</v>
      </c>
      <c r="M357" s="48">
        <v>201000</v>
      </c>
      <c r="N357" s="51">
        <v>128329070</v>
      </c>
      <c r="O357" s="48">
        <f t="shared" si="92"/>
        <v>2.6042876356826299</v>
      </c>
      <c r="P357" s="48">
        <f t="shared" si="99"/>
        <v>2.6042876356826299</v>
      </c>
      <c r="Q357" s="49">
        <v>0.5</v>
      </c>
      <c r="R357" s="49">
        <f t="shared" si="93"/>
        <v>0.42394655113953139</v>
      </c>
      <c r="S357" s="49">
        <v>190800</v>
      </c>
      <c r="T357" s="49">
        <v>190700</v>
      </c>
      <c r="U357" s="49">
        <v>15956260</v>
      </c>
      <c r="V357" s="49">
        <f t="shared" si="94"/>
        <v>36.695193828487</v>
      </c>
      <c r="W357" s="49">
        <f t="shared" si="100"/>
        <v>36.695193828487</v>
      </c>
      <c r="X357" s="82">
        <f t="shared" si="95"/>
        <v>0</v>
      </c>
      <c r="Y357" s="82">
        <f t="shared" si="96"/>
        <v>257445155872499.16</v>
      </c>
      <c r="Z357" s="81">
        <f t="shared" si="101"/>
        <v>263378231284288.34</v>
      </c>
      <c r="AA357" s="80">
        <f t="shared" si="85"/>
        <v>1023.0459780518364</v>
      </c>
      <c r="AB357" s="52">
        <f t="shared" si="97"/>
        <v>-5.9760338231384666E-3</v>
      </c>
      <c r="AC357" s="48">
        <f t="shared" si="86"/>
        <v>5.7142857142857143E-3</v>
      </c>
      <c r="AD357" s="48">
        <f t="shared" si="87"/>
        <v>-2.8985507246376812E-2</v>
      </c>
      <c r="AE357" s="48">
        <f t="shared" si="88"/>
        <v>-5.2410901467505244E-4</v>
      </c>
      <c r="AF357" s="48" t="e">
        <f>(#REF!-#REF!)/#REF!</f>
        <v>#REF!</v>
      </c>
    </row>
    <row r="358" spans="1:32" x14ac:dyDescent="0.3">
      <c r="A358" s="48">
        <v>20190617</v>
      </c>
      <c r="B358" s="48" t="s">
        <v>88</v>
      </c>
      <c r="C358" s="79">
        <v>0.25</v>
      </c>
      <c r="D358" s="79">
        <f t="shared" si="89"/>
        <v>0.31916772714100988</v>
      </c>
      <c r="E358" s="49">
        <v>44000</v>
      </c>
      <c r="F358" s="49">
        <v>43900</v>
      </c>
      <c r="G358" s="49">
        <v>5969782550</v>
      </c>
      <c r="H358" s="49">
        <f t="shared" si="90"/>
        <v>0.321865578503642</v>
      </c>
      <c r="I358" s="49">
        <f t="shared" si="98"/>
        <v>0.321865578503642</v>
      </c>
      <c r="J358" s="48">
        <v>0.25</v>
      </c>
      <c r="K358" s="48">
        <f t="shared" si="91"/>
        <v>0.25923238855142744</v>
      </c>
      <c r="L358" s="48">
        <v>201000</v>
      </c>
      <c r="M358" s="48">
        <v>205000</v>
      </c>
      <c r="N358" s="51">
        <v>128329070</v>
      </c>
      <c r="O358" s="48">
        <f t="shared" si="92"/>
        <v>2.6042876356826299</v>
      </c>
      <c r="P358" s="48">
        <f t="shared" si="99"/>
        <v>2.6042876356826299</v>
      </c>
      <c r="Q358" s="49">
        <v>0.5</v>
      </c>
      <c r="R358" s="49">
        <f t="shared" si="93"/>
        <v>0.42159988430756262</v>
      </c>
      <c r="S358" s="49">
        <v>190700</v>
      </c>
      <c r="T358" s="49">
        <v>190300</v>
      </c>
      <c r="U358" s="49">
        <v>15956260</v>
      </c>
      <c r="V358" s="49">
        <f t="shared" si="94"/>
        <v>36.695193828487</v>
      </c>
      <c r="W358" s="49">
        <f t="shared" si="100"/>
        <v>36.695193828487</v>
      </c>
      <c r="X358" s="82">
        <f t="shared" si="95"/>
        <v>0</v>
      </c>
      <c r="Y358" s="82">
        <f t="shared" si="96"/>
        <v>257445155872499.16</v>
      </c>
      <c r="Z358" s="81">
        <f t="shared" si="101"/>
        <v>264288700552696.19</v>
      </c>
      <c r="AA358" s="80">
        <f t="shared" si="85"/>
        <v>1026.5825342761018</v>
      </c>
      <c r="AB358" s="52">
        <f t="shared" si="97"/>
        <v>3.456888839932656E-3</v>
      </c>
      <c r="AC358" s="48">
        <f t="shared" si="86"/>
        <v>-2.2727272727272726E-3</v>
      </c>
      <c r="AD358" s="48">
        <f t="shared" si="87"/>
        <v>1.9900497512437811E-2</v>
      </c>
      <c r="AE358" s="48">
        <f t="shared" si="88"/>
        <v>-2.097535395909806E-3</v>
      </c>
      <c r="AF358" s="48" t="e">
        <f>(#REF!-#REF!)/#REF!</f>
        <v>#REF!</v>
      </c>
    </row>
    <row r="359" spans="1:32" x14ac:dyDescent="0.3">
      <c r="A359" s="48">
        <v>20190618</v>
      </c>
      <c r="B359" s="48" t="s">
        <v>88</v>
      </c>
      <c r="C359" s="79">
        <v>0.25</v>
      </c>
      <c r="D359" s="79">
        <f t="shared" si="89"/>
        <v>0.32373819883814137</v>
      </c>
      <c r="E359" s="49">
        <v>43900</v>
      </c>
      <c r="F359" s="49">
        <v>44350</v>
      </c>
      <c r="G359" s="49">
        <v>5969782550</v>
      </c>
      <c r="H359" s="49">
        <f t="shared" si="90"/>
        <v>0.321865578503642</v>
      </c>
      <c r="I359" s="49">
        <f t="shared" si="98"/>
        <v>0.321865578503642</v>
      </c>
      <c r="J359" s="48">
        <v>0.25</v>
      </c>
      <c r="K359" s="48">
        <f t="shared" si="91"/>
        <v>0.26408553060993439</v>
      </c>
      <c r="L359" s="48">
        <v>205000</v>
      </c>
      <c r="M359" s="48">
        <v>208000</v>
      </c>
      <c r="N359" s="51">
        <v>128329070</v>
      </c>
      <c r="O359" s="48">
        <f t="shared" si="92"/>
        <v>2.6042876356826299</v>
      </c>
      <c r="P359" s="48">
        <f t="shared" si="99"/>
        <v>2.6042876356826299</v>
      </c>
      <c r="Q359" s="49">
        <v>0.5</v>
      </c>
      <c r="R359" s="49">
        <f t="shared" si="93"/>
        <v>0.41217627055192413</v>
      </c>
      <c r="S359" s="49">
        <v>190300</v>
      </c>
      <c r="T359" s="49">
        <v>185300</v>
      </c>
      <c r="U359" s="49">
        <v>15956260</v>
      </c>
      <c r="V359" s="49">
        <f t="shared" si="94"/>
        <v>36.695193828487</v>
      </c>
      <c r="W359" s="49">
        <f t="shared" si="100"/>
        <v>36.695193828487</v>
      </c>
      <c r="X359" s="82">
        <f t="shared" si="95"/>
        <v>0</v>
      </c>
      <c r="Y359" s="82">
        <f t="shared" si="96"/>
        <v>257445155872499.16</v>
      </c>
      <c r="Z359" s="81">
        <f t="shared" si="101"/>
        <v>263228388097505</v>
      </c>
      <c r="AA359" s="80">
        <f t="shared" si="85"/>
        <v>1022.463938796619</v>
      </c>
      <c r="AB359" s="52">
        <f t="shared" si="97"/>
        <v>-4.0119477411400088E-3</v>
      </c>
      <c r="AC359" s="48">
        <f t="shared" si="86"/>
        <v>1.0250569476082005E-2</v>
      </c>
      <c r="AD359" s="48">
        <f t="shared" si="87"/>
        <v>1.4634146341463415E-2</v>
      </c>
      <c r="AE359" s="48">
        <f t="shared" si="88"/>
        <v>-2.6274303730951128E-2</v>
      </c>
      <c r="AF359" s="48" t="e">
        <f>(#REF!-#REF!)/#REF!</f>
        <v>#REF!</v>
      </c>
    </row>
    <row r="360" spans="1:32" x14ac:dyDescent="0.3">
      <c r="A360" s="48">
        <v>20190619</v>
      </c>
      <c r="B360" s="48" t="s">
        <v>88</v>
      </c>
      <c r="C360" s="79">
        <v>0.25</v>
      </c>
      <c r="D360" s="79">
        <f t="shared" si="89"/>
        <v>0.32279540741396018</v>
      </c>
      <c r="E360" s="49">
        <v>44350</v>
      </c>
      <c r="F360" s="49">
        <v>45350</v>
      </c>
      <c r="G360" s="49">
        <v>5969782550</v>
      </c>
      <c r="H360" s="49">
        <f t="shared" si="90"/>
        <v>0.321865578503642</v>
      </c>
      <c r="I360" s="49">
        <f t="shared" si="98"/>
        <v>0.321865578503642</v>
      </c>
      <c r="J360" s="48">
        <v>0.25</v>
      </c>
      <c r="K360" s="48">
        <f t="shared" si="91"/>
        <v>0.26184324660417857</v>
      </c>
      <c r="L360" s="48">
        <v>208000</v>
      </c>
      <c r="M360" s="48">
        <v>211500</v>
      </c>
      <c r="N360" s="51">
        <v>128329070</v>
      </c>
      <c r="O360" s="48">
        <f t="shared" si="92"/>
        <v>2.6042876356826299</v>
      </c>
      <c r="P360" s="48">
        <f t="shared" si="99"/>
        <v>2.6042876356826299</v>
      </c>
      <c r="Q360" s="49">
        <v>0.5</v>
      </c>
      <c r="R360" s="49">
        <f t="shared" si="93"/>
        <v>0.41536134598186125</v>
      </c>
      <c r="S360" s="49">
        <v>185300</v>
      </c>
      <c r="T360" s="49">
        <v>191500</v>
      </c>
      <c r="U360" s="49">
        <v>15956260</v>
      </c>
      <c r="V360" s="49">
        <f t="shared" si="94"/>
        <v>36.695193828487</v>
      </c>
      <c r="W360" s="49">
        <f t="shared" si="100"/>
        <v>36.695193828487</v>
      </c>
      <c r="X360" s="82">
        <f t="shared" si="95"/>
        <v>0</v>
      </c>
      <c r="Y360" s="82">
        <f t="shared" si="96"/>
        <v>257445155872499.16</v>
      </c>
      <c r="Z360" s="81">
        <f t="shared" si="101"/>
        <v>269949787879112.41</v>
      </c>
      <c r="AA360" s="80">
        <f t="shared" si="85"/>
        <v>1048.5720229003114</v>
      </c>
      <c r="AB360" s="52">
        <f t="shared" si="97"/>
        <v>2.5534479127371543E-2</v>
      </c>
      <c r="AC360" s="48">
        <f t="shared" si="86"/>
        <v>2.2547914317925591E-2</v>
      </c>
      <c r="AD360" s="48">
        <f t="shared" si="87"/>
        <v>1.6826923076923076E-2</v>
      </c>
      <c r="AE360" s="48">
        <f t="shared" si="88"/>
        <v>3.3459255261737722E-2</v>
      </c>
      <c r="AF360" s="48" t="e">
        <f>(#REF!-#REF!)/#REF!</f>
        <v>#REF!</v>
      </c>
    </row>
    <row r="361" spans="1:32" x14ac:dyDescent="0.3">
      <c r="A361" s="48">
        <v>20190620</v>
      </c>
      <c r="B361" s="48" t="s">
        <v>88</v>
      </c>
      <c r="C361" s="79">
        <v>0.25</v>
      </c>
      <c r="D361" s="79">
        <f t="shared" si="89"/>
        <v>0.31989482094728244</v>
      </c>
      <c r="E361" s="49">
        <v>45350</v>
      </c>
      <c r="F361" s="49">
        <v>45500</v>
      </c>
      <c r="G361" s="49">
        <v>5969782550</v>
      </c>
      <c r="H361" s="49">
        <f t="shared" si="90"/>
        <v>0.321865578503642</v>
      </c>
      <c r="I361" s="49">
        <f t="shared" si="98"/>
        <v>0.321865578503642</v>
      </c>
      <c r="J361" s="48">
        <v>0.25</v>
      </c>
      <c r="K361" s="48">
        <f t="shared" si="91"/>
        <v>0.26169205364822395</v>
      </c>
      <c r="L361" s="48">
        <v>211500</v>
      </c>
      <c r="M361" s="48">
        <v>214000</v>
      </c>
      <c r="N361" s="51">
        <v>128329070</v>
      </c>
      <c r="O361" s="48">
        <f t="shared" si="92"/>
        <v>2.6042876356826299</v>
      </c>
      <c r="P361" s="48">
        <f t="shared" si="99"/>
        <v>2.6042876356826299</v>
      </c>
      <c r="Q361" s="49">
        <v>0.5</v>
      </c>
      <c r="R361" s="49">
        <f t="shared" si="93"/>
        <v>0.41841312540449355</v>
      </c>
      <c r="S361" s="49">
        <v>191500</v>
      </c>
      <c r="T361" s="49">
        <v>195300</v>
      </c>
      <c r="U361" s="49">
        <v>15956260</v>
      </c>
      <c r="V361" s="49">
        <f t="shared" si="94"/>
        <v>36.695193828487</v>
      </c>
      <c r="W361" s="49">
        <f t="shared" si="100"/>
        <v>36.695193828487</v>
      </c>
      <c r="X361" s="82">
        <f t="shared" si="95"/>
        <v>0</v>
      </c>
      <c r="Y361" s="82">
        <f t="shared" si="96"/>
        <v>257445155872499.16</v>
      </c>
      <c r="Z361" s="81">
        <f t="shared" si="101"/>
        <v>273298491135176.41</v>
      </c>
      <c r="AA361" s="80">
        <f t="shared" si="85"/>
        <v>1061.5794661544485</v>
      </c>
      <c r="AB361" s="52">
        <f t="shared" si="97"/>
        <v>1.2404911603648369E-2</v>
      </c>
      <c r="AC361" s="48">
        <f t="shared" si="86"/>
        <v>3.3076074972436605E-3</v>
      </c>
      <c r="AD361" s="48">
        <f t="shared" si="87"/>
        <v>1.1820330969267139E-2</v>
      </c>
      <c r="AE361" s="48">
        <f t="shared" si="88"/>
        <v>1.9843342036553524E-2</v>
      </c>
      <c r="AF361" s="48" t="e">
        <f>(#REF!-#REF!)/#REF!</f>
        <v>#REF!</v>
      </c>
    </row>
    <row r="362" spans="1:32" x14ac:dyDescent="0.3">
      <c r="A362" s="48">
        <v>20190621</v>
      </c>
      <c r="B362" s="48" t="s">
        <v>88</v>
      </c>
      <c r="C362" s="79">
        <v>0.25</v>
      </c>
      <c r="D362" s="79">
        <f t="shared" si="89"/>
        <v>0.32386812580165708</v>
      </c>
      <c r="E362" s="49">
        <v>45500</v>
      </c>
      <c r="F362" s="49">
        <v>45700</v>
      </c>
      <c r="G362" s="49">
        <v>5969782550</v>
      </c>
      <c r="H362" s="49">
        <f t="shared" si="90"/>
        <v>0.321865578503642</v>
      </c>
      <c r="I362" s="49">
        <f t="shared" si="98"/>
        <v>0.321865578503642</v>
      </c>
      <c r="J362" s="48">
        <v>0.25</v>
      </c>
      <c r="K362" s="48">
        <f t="shared" si="91"/>
        <v>0.26193401023395191</v>
      </c>
      <c r="L362" s="48">
        <v>214000</v>
      </c>
      <c r="M362" s="48">
        <v>212500</v>
      </c>
      <c r="N362" s="51">
        <v>128329070</v>
      </c>
      <c r="O362" s="48">
        <f t="shared" si="92"/>
        <v>2.6042876356826299</v>
      </c>
      <c r="P362" s="48">
        <f t="shared" si="99"/>
        <v>2.6042876356826299</v>
      </c>
      <c r="Q362" s="49">
        <v>0.5</v>
      </c>
      <c r="R362" s="49">
        <f t="shared" si="93"/>
        <v>0.41419786396439101</v>
      </c>
      <c r="S362" s="49">
        <v>195300</v>
      </c>
      <c r="T362" s="49">
        <v>191800</v>
      </c>
      <c r="U362" s="49">
        <v>15956260</v>
      </c>
      <c r="V362" s="49">
        <f t="shared" si="94"/>
        <v>36.695193828487</v>
      </c>
      <c r="W362" s="49">
        <f t="shared" si="100"/>
        <v>36.695193828487</v>
      </c>
      <c r="X362" s="82">
        <f t="shared" si="95"/>
        <v>0</v>
      </c>
      <c r="Y362" s="82">
        <f t="shared" si="96"/>
        <v>257445155872499.16</v>
      </c>
      <c r="Z362" s="81">
        <f t="shared" si="101"/>
        <v>271132162735354.22</v>
      </c>
      <c r="AA362" s="80">
        <f t="shared" si="85"/>
        <v>1053.16474810516</v>
      </c>
      <c r="AB362" s="52">
        <f t="shared" si="97"/>
        <v>-7.9266021221855616E-3</v>
      </c>
      <c r="AC362" s="48">
        <f t="shared" si="86"/>
        <v>4.3956043956043956E-3</v>
      </c>
      <c r="AD362" s="48">
        <f t="shared" si="87"/>
        <v>-7.0093457943925233E-3</v>
      </c>
      <c r="AE362" s="48">
        <f t="shared" si="88"/>
        <v>-1.7921146953405017E-2</v>
      </c>
      <c r="AF362" s="48" t="e">
        <f>(#REF!-#REF!)/#REF!</f>
        <v>#REF!</v>
      </c>
    </row>
    <row r="363" spans="1:32" x14ac:dyDescent="0.3">
      <c r="A363" s="48">
        <v>20190624</v>
      </c>
      <c r="B363" s="48" t="s">
        <v>88</v>
      </c>
      <c r="C363" s="79">
        <v>0.25</v>
      </c>
      <c r="D363" s="79">
        <f t="shared" si="89"/>
        <v>0.32303638454368683</v>
      </c>
      <c r="E363" s="49">
        <v>45700</v>
      </c>
      <c r="F363" s="49">
        <v>45500</v>
      </c>
      <c r="G363" s="49">
        <v>5969782550</v>
      </c>
      <c r="H363" s="49">
        <f t="shared" si="90"/>
        <v>0.321865578503642</v>
      </c>
      <c r="I363" s="49">
        <f t="shared" si="98"/>
        <v>0.321865578503642</v>
      </c>
      <c r="J363" s="48">
        <v>0.25</v>
      </c>
      <c r="K363" s="48">
        <f t="shared" si="91"/>
        <v>0.25747024917286437</v>
      </c>
      <c r="L363" s="48">
        <v>212500</v>
      </c>
      <c r="M363" s="48">
        <v>208500</v>
      </c>
      <c r="N363" s="51">
        <v>128329070</v>
      </c>
      <c r="O363" s="48">
        <f t="shared" si="92"/>
        <v>2.6042876356826299</v>
      </c>
      <c r="P363" s="48">
        <f t="shared" si="99"/>
        <v>2.6042876356826299</v>
      </c>
      <c r="Q363" s="49">
        <v>0.5</v>
      </c>
      <c r="R363" s="49">
        <f t="shared" si="93"/>
        <v>0.41949336628344885</v>
      </c>
      <c r="S363" s="49">
        <v>191800</v>
      </c>
      <c r="T363" s="49">
        <v>193900</v>
      </c>
      <c r="U363" s="49">
        <v>15956260</v>
      </c>
      <c r="V363" s="49">
        <f t="shared" si="94"/>
        <v>36.695193828487</v>
      </c>
      <c r="W363" s="49">
        <f t="shared" si="100"/>
        <v>36.695193828487</v>
      </c>
      <c r="X363" s="82">
        <f t="shared" si="95"/>
        <v>0</v>
      </c>
      <c r="Y363" s="82">
        <f t="shared" si="96"/>
        <v>257445155872499.16</v>
      </c>
      <c r="Z363" s="81">
        <f t="shared" si="101"/>
        <v>270640633903659.5</v>
      </c>
      <c r="AA363" s="80">
        <f t="shared" si="85"/>
        <v>1051.2554916267115</v>
      </c>
      <c r="AB363" s="52">
        <f t="shared" si="97"/>
        <v>-1.8128754137314016E-3</v>
      </c>
      <c r="AC363" s="48">
        <f t="shared" si="86"/>
        <v>-4.3763676148796497E-3</v>
      </c>
      <c r="AD363" s="48">
        <f t="shared" si="87"/>
        <v>-1.8823529411764704E-2</v>
      </c>
      <c r="AE363" s="48">
        <f t="shared" si="88"/>
        <v>1.0948905109489052E-2</v>
      </c>
      <c r="AF363" s="48" t="e">
        <f>(#REF!-#REF!)/#REF!</f>
        <v>#REF!</v>
      </c>
    </row>
    <row r="364" spans="1:32" x14ac:dyDescent="0.3">
      <c r="A364" s="48">
        <v>20190625</v>
      </c>
      <c r="B364" s="48" t="s">
        <v>88</v>
      </c>
      <c r="C364" s="79">
        <v>0.25</v>
      </c>
      <c r="D364" s="79">
        <f t="shared" si="89"/>
        <v>0.32294791989784183</v>
      </c>
      <c r="E364" s="49">
        <v>45500</v>
      </c>
      <c r="F364" s="49">
        <v>45600</v>
      </c>
      <c r="G364" s="49">
        <v>5969782550</v>
      </c>
      <c r="H364" s="49">
        <f t="shared" si="90"/>
        <v>0.321865578503642</v>
      </c>
      <c r="I364" s="49">
        <f t="shared" si="98"/>
        <v>0.321865578503642</v>
      </c>
      <c r="J364" s="48">
        <v>0.25</v>
      </c>
      <c r="K364" s="48">
        <f t="shared" si="91"/>
        <v>0.25621935501770854</v>
      </c>
      <c r="L364" s="48">
        <v>208500</v>
      </c>
      <c r="M364" s="48">
        <v>208000</v>
      </c>
      <c r="N364" s="51">
        <v>128329070</v>
      </c>
      <c r="O364" s="48">
        <f t="shared" si="92"/>
        <v>2.6042876356826299</v>
      </c>
      <c r="P364" s="48">
        <f t="shared" si="99"/>
        <v>2.6042876356826299</v>
      </c>
      <c r="Q364" s="49">
        <v>0.5</v>
      </c>
      <c r="R364" s="49">
        <f t="shared" si="93"/>
        <v>0.42083272508444958</v>
      </c>
      <c r="S364" s="49">
        <v>193900</v>
      </c>
      <c r="T364" s="49">
        <v>195000</v>
      </c>
      <c r="U364" s="49">
        <v>15956260</v>
      </c>
      <c r="V364" s="49">
        <f t="shared" si="94"/>
        <v>36.695193828487</v>
      </c>
      <c r="W364" s="49">
        <f t="shared" si="100"/>
        <v>36.695193828487</v>
      </c>
      <c r="X364" s="82">
        <f t="shared" si="95"/>
        <v>0</v>
      </c>
      <c r="Y364" s="82">
        <f t="shared" si="96"/>
        <v>257445155872499.16</v>
      </c>
      <c r="Z364" s="81">
        <f t="shared" si="101"/>
        <v>271309747608734.87</v>
      </c>
      <c r="AA364" s="80">
        <f t="shared" si="85"/>
        <v>1053.8545450165791</v>
      </c>
      <c r="AB364" s="52">
        <f t="shared" si="97"/>
        <v>2.4723327588479726E-3</v>
      </c>
      <c r="AC364" s="48">
        <f t="shared" si="86"/>
        <v>2.1978021978021978E-3</v>
      </c>
      <c r="AD364" s="48">
        <f t="shared" si="87"/>
        <v>-2.3980815347721821E-3</v>
      </c>
      <c r="AE364" s="48">
        <f t="shared" si="88"/>
        <v>5.6730273336771534E-3</v>
      </c>
      <c r="AF364" s="48" t="e">
        <f>(#REF!-#REF!)/#REF!</f>
        <v>#REF!</v>
      </c>
    </row>
    <row r="365" spans="1:32" x14ac:dyDescent="0.3">
      <c r="A365" s="48">
        <v>20190626</v>
      </c>
      <c r="B365" s="48" t="s">
        <v>88</v>
      </c>
      <c r="C365" s="79">
        <v>0.25</v>
      </c>
      <c r="D365" s="79">
        <f t="shared" si="89"/>
        <v>0.3167150259391398</v>
      </c>
      <c r="E365" s="49">
        <v>45600</v>
      </c>
      <c r="F365" s="49">
        <v>45700</v>
      </c>
      <c r="G365" s="49">
        <v>5969782550</v>
      </c>
      <c r="H365" s="49">
        <f t="shared" si="90"/>
        <v>0.321865578503642</v>
      </c>
      <c r="I365" s="49">
        <f t="shared" si="98"/>
        <v>0.321865578503642</v>
      </c>
      <c r="J365" s="48">
        <v>0.25</v>
      </c>
      <c r="K365" s="48">
        <f t="shared" si="91"/>
        <v>0.25373800325122958</v>
      </c>
      <c r="L365" s="48">
        <v>208000</v>
      </c>
      <c r="M365" s="48">
        <v>210500</v>
      </c>
      <c r="N365" s="51">
        <v>128329070</v>
      </c>
      <c r="O365" s="48">
        <f t="shared" si="92"/>
        <v>2.6042876356826299</v>
      </c>
      <c r="P365" s="48">
        <f t="shared" si="99"/>
        <v>2.6042876356826299</v>
      </c>
      <c r="Q365" s="49">
        <v>0.5</v>
      </c>
      <c r="R365" s="49">
        <f t="shared" si="93"/>
        <v>0.42954697080963067</v>
      </c>
      <c r="S365" s="49">
        <v>195000</v>
      </c>
      <c r="T365" s="49">
        <v>203400</v>
      </c>
      <c r="U365" s="49">
        <v>15956260</v>
      </c>
      <c r="V365" s="49">
        <f t="shared" si="94"/>
        <v>36.695193828487</v>
      </c>
      <c r="W365" s="49">
        <f t="shared" si="100"/>
        <v>36.695193828487</v>
      </c>
      <c r="X365" s="82">
        <f t="shared" si="95"/>
        <v>0</v>
      </c>
      <c r="Y365" s="82">
        <f t="shared" si="96"/>
        <v>257445155872499.16</v>
      </c>
      <c r="Z365" s="81">
        <f t="shared" si="101"/>
        <v>277255760535096.62</v>
      </c>
      <c r="AA365" s="80">
        <f t="shared" si="85"/>
        <v>1076.9507765467872</v>
      </c>
      <c r="AB365" s="52">
        <f t="shared" si="97"/>
        <v>2.1915957604799027E-2</v>
      </c>
      <c r="AC365" s="48">
        <f t="shared" si="86"/>
        <v>2.1929824561403508E-3</v>
      </c>
      <c r="AD365" s="48">
        <f t="shared" si="87"/>
        <v>1.201923076923077E-2</v>
      </c>
      <c r="AE365" s="48">
        <f t="shared" si="88"/>
        <v>4.3076923076923075E-2</v>
      </c>
      <c r="AF365" s="48" t="e">
        <f>(#REF!-#REF!)/#REF!</f>
        <v>#REF!</v>
      </c>
    </row>
    <row r="366" spans="1:32" x14ac:dyDescent="0.3">
      <c r="A366" s="48">
        <v>20190627</v>
      </c>
      <c r="B366" s="48" t="s">
        <v>88</v>
      </c>
      <c r="C366" s="79">
        <v>0.25</v>
      </c>
      <c r="D366" s="79">
        <f t="shared" si="89"/>
        <v>0.3301267188083844</v>
      </c>
      <c r="E366" s="49">
        <v>45700</v>
      </c>
      <c r="F366" s="49">
        <v>46500</v>
      </c>
      <c r="G366" s="49">
        <v>5969782550</v>
      </c>
      <c r="H366" s="49">
        <f t="shared" si="90"/>
        <v>0.321865578503642</v>
      </c>
      <c r="I366" s="49">
        <f t="shared" si="98"/>
        <v>0.321865578503642</v>
      </c>
      <c r="J366" s="48">
        <v>0.25</v>
      </c>
      <c r="K366" s="48">
        <f t="shared" si="91"/>
        <v>0.25190619013153909</v>
      </c>
      <c r="L366" s="48">
        <v>210500</v>
      </c>
      <c r="M366" s="48">
        <v>204000</v>
      </c>
      <c r="N366" s="51">
        <v>128329070</v>
      </c>
      <c r="O366" s="48">
        <f t="shared" si="92"/>
        <v>2.6042876356826299</v>
      </c>
      <c r="P366" s="48">
        <f t="shared" si="99"/>
        <v>2.6042876356826299</v>
      </c>
      <c r="Q366" s="49">
        <v>0.5</v>
      </c>
      <c r="R366" s="49">
        <f t="shared" si="93"/>
        <v>0.41796709106007651</v>
      </c>
      <c r="S366" s="49">
        <v>203400</v>
      </c>
      <c r="T366" s="49">
        <v>193200</v>
      </c>
      <c r="U366" s="49">
        <v>15956260</v>
      </c>
      <c r="V366" s="49">
        <f t="shared" si="94"/>
        <v>36.695193828487</v>
      </c>
      <c r="W366" s="49">
        <f t="shared" si="100"/>
        <v>36.695193828487</v>
      </c>
      <c r="X366" s="82">
        <f t="shared" si="95"/>
        <v>0</v>
      </c>
      <c r="Y366" s="82">
        <f t="shared" si="96"/>
        <v>257445155872499.16</v>
      </c>
      <c r="Z366" s="81">
        <f t="shared" si="101"/>
        <v>270648312633873.37</v>
      </c>
      <c r="AA366" s="80">
        <f t="shared" si="85"/>
        <v>1051.2853182909105</v>
      </c>
      <c r="AB366" s="52">
        <f t="shared" si="97"/>
        <v>-2.3831598263174394E-2</v>
      </c>
      <c r="AC366" s="48">
        <f t="shared" si="86"/>
        <v>1.7505470459518599E-2</v>
      </c>
      <c r="AD366" s="48">
        <f t="shared" si="87"/>
        <v>-3.0878859857482184E-2</v>
      </c>
      <c r="AE366" s="48">
        <f t="shared" si="88"/>
        <v>-5.0147492625368731E-2</v>
      </c>
      <c r="AF366" s="48" t="e">
        <f>(#REF!-#REF!)/#REF!</f>
        <v>#REF!</v>
      </c>
    </row>
    <row r="367" spans="1:32" s="73" customFormat="1" x14ac:dyDescent="0.3">
      <c r="A367" s="48">
        <v>20190628</v>
      </c>
      <c r="B367" s="48" t="s">
        <v>88</v>
      </c>
      <c r="C367" s="79">
        <v>0.25</v>
      </c>
      <c r="D367" s="79">
        <f t="shared" si="89"/>
        <v>0.34790284999772775</v>
      </c>
      <c r="E367" s="49">
        <v>46500</v>
      </c>
      <c r="F367" s="49">
        <v>47000</v>
      </c>
      <c r="G367" s="49">
        <v>5969782550</v>
      </c>
      <c r="H367" s="49">
        <f t="shared" si="90"/>
        <v>0.321865578503642</v>
      </c>
      <c r="I367" s="49">
        <f t="shared" si="98"/>
        <v>0.36485777984862999</v>
      </c>
      <c r="J367" s="48">
        <v>0.25</v>
      </c>
      <c r="K367" s="48">
        <f t="shared" si="91"/>
        <v>0.26457749754763854</v>
      </c>
      <c r="L367" s="48">
        <v>204000</v>
      </c>
      <c r="M367" s="48">
        <v>205500</v>
      </c>
      <c r="N367" s="51">
        <v>128329070</v>
      </c>
      <c r="O367" s="48">
        <f t="shared" si="92"/>
        <v>2.6042876356826299</v>
      </c>
      <c r="P367" s="48">
        <f t="shared" si="99"/>
        <v>2.9521473195731902</v>
      </c>
      <c r="Q367" s="49">
        <v>0.5</v>
      </c>
      <c r="R367" s="49">
        <f t="shared" si="93"/>
        <v>0.38751965245463382</v>
      </c>
      <c r="S367" s="49">
        <v>189600</v>
      </c>
      <c r="T367" s="49">
        <v>168600</v>
      </c>
      <c r="U367" s="49">
        <v>15956260</v>
      </c>
      <c r="V367" s="49">
        <f t="shared" si="94"/>
        <v>36.695193828487</v>
      </c>
      <c r="W367" s="49">
        <f t="shared" si="100"/>
        <v>42.386450740876597</v>
      </c>
      <c r="X367" s="82">
        <f t="shared" si="95"/>
        <v>1</v>
      </c>
      <c r="Y367" s="82">
        <f t="shared" si="96"/>
        <v>291832598071252.44</v>
      </c>
      <c r="Z367" s="81">
        <f t="shared" si="101"/>
        <v>294253742236250.69</v>
      </c>
      <c r="AA367" s="80">
        <f t="shared" si="85"/>
        <v>1008.2963458537524</v>
      </c>
      <c r="AB367" s="52">
        <f t="shared" si="97"/>
        <v>-4.08918223142751E-2</v>
      </c>
      <c r="AC367" s="48">
        <f t="shared" si="86"/>
        <v>1.0752688172043012E-2</v>
      </c>
      <c r="AD367" s="48">
        <f t="shared" si="87"/>
        <v>7.3529411764705881E-3</v>
      </c>
      <c r="AE367" s="48">
        <f t="shared" si="88"/>
        <v>-0.11075949367088607</v>
      </c>
      <c r="AF367" s="48" t="e">
        <f>(#REF!-#REF!)/#REF!</f>
        <v>#REF!</v>
      </c>
    </row>
    <row r="368" spans="1:32" s="107" customFormat="1" x14ac:dyDescent="0.3">
      <c r="A368" s="99">
        <v>20190701</v>
      </c>
      <c r="B368" s="99" t="s">
        <v>89</v>
      </c>
      <c r="C368" s="100">
        <v>0.4</v>
      </c>
      <c r="D368" s="100">
        <f t="shared" si="89"/>
        <v>0.38562562977243803</v>
      </c>
      <c r="E368" s="99">
        <v>47000</v>
      </c>
      <c r="F368" s="99">
        <v>46600</v>
      </c>
      <c r="G368" s="99">
        <v>5969782550</v>
      </c>
      <c r="H368" s="99">
        <f t="shared" si="90"/>
        <v>0.36485777984862999</v>
      </c>
      <c r="I368" s="101">
        <f t="shared" si="98"/>
        <v>0.441431138532558</v>
      </c>
      <c r="J368" s="101">
        <v>0.2</v>
      </c>
      <c r="K368" s="101">
        <f t="shared" si="91"/>
        <v>0.19683364956482946</v>
      </c>
      <c r="L368" s="99">
        <v>205500</v>
      </c>
      <c r="M368" s="99">
        <v>208000</v>
      </c>
      <c r="N368" s="102">
        <v>128329070</v>
      </c>
      <c r="O368" s="99">
        <f t="shared" si="92"/>
        <v>2.9521473195731902</v>
      </c>
      <c r="P368" s="101">
        <f t="shared" si="99"/>
        <v>2.3482939884268701</v>
      </c>
      <c r="Q368" s="101">
        <v>0.4</v>
      </c>
      <c r="R368" s="101">
        <f t="shared" si="93"/>
        <v>0.41754072066273257</v>
      </c>
      <c r="S368" s="99">
        <v>168600</v>
      </c>
      <c r="T368" s="99">
        <v>181000</v>
      </c>
      <c r="U368" s="99">
        <v>15956260</v>
      </c>
      <c r="V368" s="99">
        <f t="shared" si="94"/>
        <v>42.386450740876597</v>
      </c>
      <c r="W368" s="101">
        <f t="shared" si="100"/>
        <v>46.039506582228299</v>
      </c>
      <c r="X368" s="103">
        <f t="shared" si="95"/>
        <v>0</v>
      </c>
      <c r="Y368" s="103">
        <f t="shared" si="96"/>
        <v>307093872197679.87</v>
      </c>
      <c r="Z368" s="104">
        <f t="shared" si="101"/>
        <v>318450183349410.19</v>
      </c>
      <c r="AA368" s="105">
        <f t="shared" si="85"/>
        <v>1036.979934084846</v>
      </c>
      <c r="AB368" s="106">
        <f t="shared" si="97"/>
        <v>2.8447577291184589E-2</v>
      </c>
      <c r="AC368" s="99">
        <f t="shared" si="86"/>
        <v>-8.5106382978723406E-3</v>
      </c>
      <c r="AD368" s="99">
        <f t="shared" si="87"/>
        <v>1.2165450121654502E-2</v>
      </c>
      <c r="AE368" s="99">
        <f t="shared" si="88"/>
        <v>7.354685646500593E-2</v>
      </c>
      <c r="AF368" s="99" t="e">
        <f>(#REF!-#REF!)/#REF!</f>
        <v>#REF!</v>
      </c>
    </row>
    <row r="369" spans="1:32" x14ac:dyDescent="0.3">
      <c r="A369" s="48">
        <v>20190702</v>
      </c>
      <c r="B369" s="48" t="s">
        <v>88</v>
      </c>
      <c r="C369" s="79">
        <v>0.4</v>
      </c>
      <c r="D369" s="79">
        <f t="shared" si="89"/>
        <v>0.38736363506321742</v>
      </c>
      <c r="E369" s="49">
        <v>46600</v>
      </c>
      <c r="F369" s="49">
        <v>46250</v>
      </c>
      <c r="G369" s="49">
        <v>5969782550</v>
      </c>
      <c r="H369" s="49">
        <f t="shared" si="90"/>
        <v>0.441431138532558</v>
      </c>
      <c r="I369" s="49">
        <f t="shared" si="98"/>
        <v>0.441431138532558</v>
      </c>
      <c r="J369" s="48">
        <v>0.2</v>
      </c>
      <c r="K369" s="48">
        <f t="shared" si="91"/>
        <v>0.19634371664807515</v>
      </c>
      <c r="L369" s="48">
        <v>208000</v>
      </c>
      <c r="M369" s="48">
        <v>205000</v>
      </c>
      <c r="N369" s="51">
        <v>128329070</v>
      </c>
      <c r="O369" s="48">
        <f t="shared" si="92"/>
        <v>2.3482939884268701</v>
      </c>
      <c r="P369" s="48">
        <f t="shared" si="99"/>
        <v>2.3482939884268701</v>
      </c>
      <c r="Q369" s="49">
        <v>0.4</v>
      </c>
      <c r="R369" s="49">
        <f t="shared" si="93"/>
        <v>0.41629264828870749</v>
      </c>
      <c r="S369" s="49">
        <v>181000</v>
      </c>
      <c r="T369" s="49">
        <v>178300</v>
      </c>
      <c r="U369" s="49">
        <v>15956260</v>
      </c>
      <c r="V369" s="49">
        <f t="shared" si="94"/>
        <v>46.039506582228299</v>
      </c>
      <c r="W369" s="49">
        <f t="shared" si="100"/>
        <v>46.039506582228299</v>
      </c>
      <c r="X369" s="82">
        <f t="shared" si="95"/>
        <v>0</v>
      </c>
      <c r="Y369" s="82">
        <f t="shared" si="96"/>
        <v>307093872197679.87</v>
      </c>
      <c r="Z369" s="81">
        <f t="shared" si="101"/>
        <v>314640313920098.62</v>
      </c>
      <c r="AA369" s="80">
        <f t="shared" si="85"/>
        <v>1024.5737294216051</v>
      </c>
      <c r="AB369" s="52">
        <f t="shared" si="97"/>
        <v>-1.1963784693856826E-2</v>
      </c>
      <c r="AC369" s="48">
        <f t="shared" si="86"/>
        <v>-7.5107296137339056E-3</v>
      </c>
      <c r="AD369" s="48">
        <f t="shared" si="87"/>
        <v>-1.4423076923076924E-2</v>
      </c>
      <c r="AE369" s="48">
        <f t="shared" si="88"/>
        <v>-1.4917127071823204E-2</v>
      </c>
      <c r="AF369" s="48" t="e">
        <f>(#REF!-#REF!)/#REF!</f>
        <v>#REF!</v>
      </c>
    </row>
    <row r="370" spans="1:32" x14ac:dyDescent="0.3">
      <c r="A370" s="48">
        <v>20190703</v>
      </c>
      <c r="B370" s="48" t="s">
        <v>88</v>
      </c>
      <c r="C370" s="79">
        <v>0.4</v>
      </c>
      <c r="D370" s="79">
        <f t="shared" si="89"/>
        <v>0.37676014471987862</v>
      </c>
      <c r="E370" s="49">
        <v>46250</v>
      </c>
      <c r="F370" s="49">
        <v>45400</v>
      </c>
      <c r="G370" s="49">
        <v>5969782550</v>
      </c>
      <c r="H370" s="49">
        <f t="shared" si="90"/>
        <v>0.441431138532558</v>
      </c>
      <c r="I370" s="49">
        <f t="shared" si="98"/>
        <v>0.441431138532558</v>
      </c>
      <c r="J370" s="48">
        <v>0.2</v>
      </c>
      <c r="K370" s="48">
        <f t="shared" si="91"/>
        <v>0.19549351646772473</v>
      </c>
      <c r="L370" s="48">
        <v>205000</v>
      </c>
      <c r="M370" s="48">
        <v>206000</v>
      </c>
      <c r="N370" s="51">
        <v>128329070</v>
      </c>
      <c r="O370" s="48">
        <f t="shared" si="92"/>
        <v>2.3482939884268701</v>
      </c>
      <c r="P370" s="48">
        <f t="shared" si="99"/>
        <v>2.3482939884268701</v>
      </c>
      <c r="Q370" s="49">
        <v>0.4</v>
      </c>
      <c r="R370" s="49">
        <f t="shared" si="93"/>
        <v>0.42774633881239665</v>
      </c>
      <c r="S370" s="49">
        <v>178300</v>
      </c>
      <c r="T370" s="49">
        <v>184900</v>
      </c>
      <c r="U370" s="49">
        <v>15956260</v>
      </c>
      <c r="V370" s="49">
        <f t="shared" si="94"/>
        <v>46.039506582228299</v>
      </c>
      <c r="W370" s="49">
        <f t="shared" si="100"/>
        <v>46.039506582228299</v>
      </c>
      <c r="X370" s="82">
        <f t="shared" si="95"/>
        <v>0</v>
      </c>
      <c r="Y370" s="82">
        <f t="shared" si="96"/>
        <v>307093872197679.87</v>
      </c>
      <c r="Z370" s="81">
        <f t="shared" si="101"/>
        <v>317550188608222.62</v>
      </c>
      <c r="AA370" s="80">
        <f t="shared" si="85"/>
        <v>1034.049251245925</v>
      </c>
      <c r="AB370" s="52">
        <f t="shared" si="97"/>
        <v>9.2482576433704361E-3</v>
      </c>
      <c r="AC370" s="48">
        <f t="shared" si="86"/>
        <v>-1.8378378378378378E-2</v>
      </c>
      <c r="AD370" s="48">
        <f t="shared" si="87"/>
        <v>4.8780487804878049E-3</v>
      </c>
      <c r="AE370" s="48">
        <f t="shared" si="88"/>
        <v>3.7016264722378012E-2</v>
      </c>
      <c r="AF370" s="48" t="e">
        <f>(#REF!-#REF!)/#REF!</f>
        <v>#REF!</v>
      </c>
    </row>
    <row r="371" spans="1:32" x14ac:dyDescent="0.3">
      <c r="A371" s="48">
        <v>20190704</v>
      </c>
      <c r="B371" s="48" t="s">
        <v>88</v>
      </c>
      <c r="C371" s="79">
        <v>0.4</v>
      </c>
      <c r="D371" s="79">
        <f t="shared" si="89"/>
        <v>0.38277824781184977</v>
      </c>
      <c r="E371" s="49">
        <v>45400</v>
      </c>
      <c r="F371" s="49">
        <v>46000</v>
      </c>
      <c r="G371" s="49">
        <v>5969782550</v>
      </c>
      <c r="H371" s="49">
        <f t="shared" si="90"/>
        <v>0.441431138532558</v>
      </c>
      <c r="I371" s="49">
        <f t="shared" si="98"/>
        <v>0.441431138532558</v>
      </c>
      <c r="J371" s="48">
        <v>0.2</v>
      </c>
      <c r="K371" s="48">
        <f t="shared" si="91"/>
        <v>0.19364659638191242</v>
      </c>
      <c r="L371" s="48">
        <v>206000</v>
      </c>
      <c r="M371" s="48">
        <v>203500</v>
      </c>
      <c r="N371" s="51">
        <v>128329070</v>
      </c>
      <c r="O371" s="48">
        <f t="shared" si="92"/>
        <v>2.3482939884268701</v>
      </c>
      <c r="P371" s="48">
        <f t="shared" si="99"/>
        <v>2.3482939884268701</v>
      </c>
      <c r="Q371" s="49">
        <v>0.4</v>
      </c>
      <c r="R371" s="49">
        <f t="shared" si="93"/>
        <v>0.42357515580623778</v>
      </c>
      <c r="S371" s="49">
        <v>184900</v>
      </c>
      <c r="T371" s="49">
        <v>182600</v>
      </c>
      <c r="U371" s="49">
        <v>15956260</v>
      </c>
      <c r="V371" s="49">
        <f t="shared" si="94"/>
        <v>46.039506582228299</v>
      </c>
      <c r="W371" s="49">
        <f t="shared" si="100"/>
        <v>46.039506582228299</v>
      </c>
      <c r="X371" s="82">
        <f t="shared" si="95"/>
        <v>0</v>
      </c>
      <c r="Y371" s="82">
        <f t="shared" si="96"/>
        <v>307093872197679.87</v>
      </c>
      <c r="Z371" s="81">
        <f t="shared" si="101"/>
        <v>316688329218087.25</v>
      </c>
      <c r="AA371" s="80">
        <f t="shared" si="85"/>
        <v>1031.2427498202612</v>
      </c>
      <c r="AB371" s="52">
        <f t="shared" si="97"/>
        <v>-2.7140887363752077E-3</v>
      </c>
      <c r="AC371" s="48">
        <f t="shared" si="86"/>
        <v>1.3215859030837005E-2</v>
      </c>
      <c r="AD371" s="48">
        <f t="shared" si="87"/>
        <v>-1.2135922330097087E-2</v>
      </c>
      <c r="AE371" s="48">
        <f t="shared" si="88"/>
        <v>-1.2439156300703082E-2</v>
      </c>
      <c r="AF371" s="48" t="e">
        <f>(#REF!-#REF!)/#REF!</f>
        <v>#REF!</v>
      </c>
    </row>
    <row r="372" spans="1:32" x14ac:dyDescent="0.3">
      <c r="A372" s="48">
        <v>20190705</v>
      </c>
      <c r="B372" s="48" t="s">
        <v>88</v>
      </c>
      <c r="C372" s="79">
        <v>0.4</v>
      </c>
      <c r="D372" s="79">
        <f t="shared" si="89"/>
        <v>0.37594974136308124</v>
      </c>
      <c r="E372" s="49">
        <v>46000</v>
      </c>
      <c r="F372" s="49">
        <v>45650</v>
      </c>
      <c r="G372" s="49">
        <v>5969782550</v>
      </c>
      <c r="H372" s="49">
        <f t="shared" si="90"/>
        <v>0.441431138532558</v>
      </c>
      <c r="I372" s="49">
        <f t="shared" si="98"/>
        <v>0.441431138532558</v>
      </c>
      <c r="J372" s="48">
        <v>0.2</v>
      </c>
      <c r="K372" s="48">
        <f t="shared" si="91"/>
        <v>0.19588824689950141</v>
      </c>
      <c r="L372" s="48">
        <v>203500</v>
      </c>
      <c r="M372" s="48">
        <v>208000</v>
      </c>
      <c r="N372" s="51">
        <v>128329070</v>
      </c>
      <c r="O372" s="48">
        <f t="shared" si="92"/>
        <v>2.3482939884268701</v>
      </c>
      <c r="P372" s="48">
        <f t="shared" si="99"/>
        <v>2.3482939884268701</v>
      </c>
      <c r="Q372" s="49">
        <v>0.4</v>
      </c>
      <c r="R372" s="49">
        <f t="shared" si="93"/>
        <v>0.42816201173741736</v>
      </c>
      <c r="S372" s="49">
        <v>182600</v>
      </c>
      <c r="T372" s="49">
        <v>186500</v>
      </c>
      <c r="U372" s="49">
        <v>15956260</v>
      </c>
      <c r="V372" s="49">
        <f t="shared" si="94"/>
        <v>46.039506582228299</v>
      </c>
      <c r="W372" s="49">
        <f t="shared" si="100"/>
        <v>46.039506582228299</v>
      </c>
      <c r="X372" s="82">
        <f t="shared" si="95"/>
        <v>0</v>
      </c>
      <c r="Y372" s="82">
        <f t="shared" si="96"/>
        <v>307093872197679.87</v>
      </c>
      <c r="Z372" s="81">
        <f t="shared" si="101"/>
        <v>319987098692101.44</v>
      </c>
      <c r="AA372" s="80">
        <f t="shared" si="85"/>
        <v>1041.9846426832055</v>
      </c>
      <c r="AB372" s="52">
        <f t="shared" si="97"/>
        <v>1.0416454190651531E-2</v>
      </c>
      <c r="AC372" s="48">
        <f t="shared" si="86"/>
        <v>-7.6086956521739134E-3</v>
      </c>
      <c r="AD372" s="48">
        <f t="shared" si="87"/>
        <v>2.2113022113022112E-2</v>
      </c>
      <c r="AE372" s="48">
        <f t="shared" si="88"/>
        <v>2.135815991237678E-2</v>
      </c>
      <c r="AF372" s="48" t="e">
        <f>(#REF!-#REF!)/#REF!</f>
        <v>#REF!</v>
      </c>
    </row>
    <row r="373" spans="1:32" x14ac:dyDescent="0.3">
      <c r="A373" s="48">
        <v>20190708</v>
      </c>
      <c r="B373" s="48" t="s">
        <v>88</v>
      </c>
      <c r="C373" s="79">
        <v>0.4</v>
      </c>
      <c r="D373" s="79">
        <f t="shared" si="89"/>
        <v>0.37735460723792991</v>
      </c>
      <c r="E373" s="49">
        <v>45650</v>
      </c>
      <c r="F373" s="49">
        <v>44400</v>
      </c>
      <c r="G373" s="49">
        <v>5969782550</v>
      </c>
      <c r="H373" s="49">
        <f t="shared" si="90"/>
        <v>0.441431138532558</v>
      </c>
      <c r="I373" s="49">
        <f t="shared" si="98"/>
        <v>0.441431138532558</v>
      </c>
      <c r="J373" s="48">
        <v>0.2</v>
      </c>
      <c r="K373" s="48">
        <f t="shared" si="91"/>
        <v>0.20021192582788822</v>
      </c>
      <c r="L373" s="48">
        <v>208000</v>
      </c>
      <c r="M373" s="48">
        <v>206000</v>
      </c>
      <c r="N373" s="51">
        <v>128329070</v>
      </c>
      <c r="O373" s="48">
        <f t="shared" si="92"/>
        <v>2.3482939884268701</v>
      </c>
      <c r="P373" s="48">
        <f t="shared" si="99"/>
        <v>2.3482939884268701</v>
      </c>
      <c r="Q373" s="49">
        <v>0.4</v>
      </c>
      <c r="R373" s="49">
        <f t="shared" si="93"/>
        <v>0.42243346693418193</v>
      </c>
      <c r="S373" s="49">
        <v>186500</v>
      </c>
      <c r="T373" s="49">
        <v>178300</v>
      </c>
      <c r="U373" s="49">
        <v>15956260</v>
      </c>
      <c r="V373" s="49">
        <f t="shared" si="94"/>
        <v>46.039506582228299</v>
      </c>
      <c r="W373" s="49">
        <f t="shared" si="100"/>
        <v>46.039506582228299</v>
      </c>
      <c r="X373" s="82">
        <f t="shared" si="95"/>
        <v>0</v>
      </c>
      <c r="Y373" s="82">
        <f t="shared" si="96"/>
        <v>307093872197679.87</v>
      </c>
      <c r="Z373" s="81">
        <f t="shared" si="101"/>
        <v>310066459674219.19</v>
      </c>
      <c r="AA373" s="80">
        <f t="shared" si="85"/>
        <v>1009.6797355651104</v>
      </c>
      <c r="AB373" s="52">
        <f t="shared" si="97"/>
        <v>-3.1003246875987572E-2</v>
      </c>
      <c r="AC373" s="48">
        <f t="shared" si="86"/>
        <v>-2.7382256297918947E-2</v>
      </c>
      <c r="AD373" s="48">
        <f t="shared" si="87"/>
        <v>-9.6153846153846159E-3</v>
      </c>
      <c r="AE373" s="48">
        <f t="shared" si="88"/>
        <v>-4.3967828418230562E-2</v>
      </c>
      <c r="AF373" s="48" t="e">
        <f>(#REF!-#REF!)/#REF!</f>
        <v>#REF!</v>
      </c>
    </row>
    <row r="374" spans="1:32" x14ac:dyDescent="0.3">
      <c r="A374" s="48">
        <v>20190709</v>
      </c>
      <c r="B374" s="48" t="s">
        <v>88</v>
      </c>
      <c r="C374" s="79">
        <v>0.4</v>
      </c>
      <c r="D374" s="79">
        <f t="shared" si="89"/>
        <v>0.39196536207205923</v>
      </c>
      <c r="E374" s="49">
        <v>44400</v>
      </c>
      <c r="F374" s="49">
        <v>45100</v>
      </c>
      <c r="G374" s="49">
        <v>5969782550</v>
      </c>
      <c r="H374" s="49">
        <f t="shared" si="90"/>
        <v>0.441431138532558</v>
      </c>
      <c r="I374" s="49">
        <f t="shared" si="98"/>
        <v>0.441431138532558</v>
      </c>
      <c r="J374" s="48">
        <v>0.2</v>
      </c>
      <c r="K374" s="48">
        <f t="shared" si="91"/>
        <v>0.19131891893909475</v>
      </c>
      <c r="L374" s="48">
        <v>206000</v>
      </c>
      <c r="M374" s="48">
        <v>192500</v>
      </c>
      <c r="N374" s="51">
        <v>128329070</v>
      </c>
      <c r="O374" s="48">
        <f t="shared" si="92"/>
        <v>2.3482939884268701</v>
      </c>
      <c r="P374" s="48">
        <f t="shared" si="99"/>
        <v>2.3482939884268701</v>
      </c>
      <c r="Q374" s="49">
        <v>0.4</v>
      </c>
      <c r="R374" s="49">
        <f t="shared" si="93"/>
        <v>0.41671571898884607</v>
      </c>
      <c r="S374" s="49">
        <v>178300</v>
      </c>
      <c r="T374" s="49">
        <v>172000</v>
      </c>
      <c r="U374" s="49">
        <v>15956260</v>
      </c>
      <c r="V374" s="49">
        <f t="shared" si="94"/>
        <v>46.039506582228299</v>
      </c>
      <c r="W374" s="49">
        <f t="shared" si="100"/>
        <v>46.039506582228299</v>
      </c>
      <c r="X374" s="82">
        <f t="shared" si="95"/>
        <v>0</v>
      </c>
      <c r="Y374" s="82">
        <f t="shared" si="96"/>
        <v>307093872197679.87</v>
      </c>
      <c r="Z374" s="81">
        <f t="shared" si="101"/>
        <v>303214753505841.12</v>
      </c>
      <c r="AA374" s="80">
        <f t="shared" si="85"/>
        <v>987.36829665770176</v>
      </c>
      <c r="AB374" s="52">
        <f t="shared" si="97"/>
        <v>-2.2097540558166266E-2</v>
      </c>
      <c r="AC374" s="48">
        <f t="shared" si="86"/>
        <v>1.5765765765765764E-2</v>
      </c>
      <c r="AD374" s="48">
        <f t="shared" si="87"/>
        <v>-6.553398058252427E-2</v>
      </c>
      <c r="AE374" s="48">
        <f t="shared" si="88"/>
        <v>-3.5333707234997194E-2</v>
      </c>
      <c r="AF374" s="48" t="e">
        <f>(#REF!-#REF!)/#REF!</f>
        <v>#REF!</v>
      </c>
    </row>
    <row r="375" spans="1:32" x14ac:dyDescent="0.3">
      <c r="A375" s="48">
        <v>20190710</v>
      </c>
      <c r="B375" s="48" t="s">
        <v>88</v>
      </c>
      <c r="C375" s="79">
        <v>0.4</v>
      </c>
      <c r="D375" s="79">
        <f t="shared" si="89"/>
        <v>0.39408279919913608</v>
      </c>
      <c r="E375" s="49">
        <v>45100</v>
      </c>
      <c r="F375" s="49">
        <v>45550</v>
      </c>
      <c r="G375" s="49">
        <v>5969782550</v>
      </c>
      <c r="H375" s="49">
        <f t="shared" si="90"/>
        <v>0.441431138532558</v>
      </c>
      <c r="I375" s="49">
        <f t="shared" si="98"/>
        <v>0.441431138532558</v>
      </c>
      <c r="J375" s="48">
        <v>0.2</v>
      </c>
      <c r="K375" s="48">
        <f t="shared" si="91"/>
        <v>0.18698937854906239</v>
      </c>
      <c r="L375" s="48">
        <v>192500</v>
      </c>
      <c r="M375" s="48">
        <v>189000</v>
      </c>
      <c r="N375" s="51">
        <v>128329070</v>
      </c>
      <c r="O375" s="48">
        <f t="shared" si="92"/>
        <v>2.3482939884268701</v>
      </c>
      <c r="P375" s="48">
        <f t="shared" si="99"/>
        <v>2.3482939884268701</v>
      </c>
      <c r="Q375" s="49">
        <v>0.4</v>
      </c>
      <c r="R375" s="49">
        <f t="shared" si="93"/>
        <v>0.41892782225180153</v>
      </c>
      <c r="S375" s="49">
        <v>172000</v>
      </c>
      <c r="T375" s="49">
        <v>173700</v>
      </c>
      <c r="U375" s="49">
        <v>15956260</v>
      </c>
      <c r="V375" s="49">
        <f t="shared" si="94"/>
        <v>46.039506582228299</v>
      </c>
      <c r="W375" s="49">
        <f t="shared" si="100"/>
        <v>46.039506582228299</v>
      </c>
      <c r="X375" s="82">
        <f t="shared" si="95"/>
        <v>0</v>
      </c>
      <c r="Y375" s="82">
        <f t="shared" si="96"/>
        <v>307093872197679.87</v>
      </c>
      <c r="Z375" s="81">
        <f t="shared" si="101"/>
        <v>304594725895099.62</v>
      </c>
      <c r="AA375" s="80">
        <f t="shared" si="85"/>
        <v>991.8619466917545</v>
      </c>
      <c r="AB375" s="52">
        <f t="shared" si="97"/>
        <v>4.5511386675711561E-3</v>
      </c>
      <c r="AC375" s="48">
        <f t="shared" si="86"/>
        <v>9.9778270509977823E-3</v>
      </c>
      <c r="AD375" s="48">
        <f t="shared" si="87"/>
        <v>-1.8181818181818181E-2</v>
      </c>
      <c r="AE375" s="48">
        <f t="shared" si="88"/>
        <v>9.883720930232558E-3</v>
      </c>
      <c r="AF375" s="48" t="e">
        <f>(#REF!-#REF!)/#REF!</f>
        <v>#REF!</v>
      </c>
    </row>
    <row r="376" spans="1:32" x14ac:dyDescent="0.3">
      <c r="A376" s="48">
        <v>20190711</v>
      </c>
      <c r="B376" s="48" t="s">
        <v>88</v>
      </c>
      <c r="C376" s="79">
        <v>0.4</v>
      </c>
      <c r="D376" s="79">
        <f t="shared" si="89"/>
        <v>0.39744681323986208</v>
      </c>
      <c r="E376" s="49">
        <v>45550</v>
      </c>
      <c r="F376" s="49">
        <v>46200</v>
      </c>
      <c r="G376" s="49">
        <v>5969782550</v>
      </c>
      <c r="H376" s="49">
        <f t="shared" si="90"/>
        <v>0.441431138532558</v>
      </c>
      <c r="I376" s="49">
        <f t="shared" si="98"/>
        <v>0.441431138532558</v>
      </c>
      <c r="J376" s="48">
        <v>0.2</v>
      </c>
      <c r="K376" s="48">
        <f t="shared" si="91"/>
        <v>0.18839174026844971</v>
      </c>
      <c r="L376" s="48">
        <v>189000</v>
      </c>
      <c r="M376" s="48">
        <v>191500</v>
      </c>
      <c r="N376" s="51">
        <v>128329070</v>
      </c>
      <c r="O376" s="48">
        <f t="shared" si="92"/>
        <v>2.3482939884268701</v>
      </c>
      <c r="P376" s="48">
        <f t="shared" si="99"/>
        <v>2.3482939884268701</v>
      </c>
      <c r="Q376" s="49">
        <v>0.4</v>
      </c>
      <c r="R376" s="49">
        <f t="shared" si="93"/>
        <v>0.41416144649168818</v>
      </c>
      <c r="S376" s="49">
        <v>173700</v>
      </c>
      <c r="T376" s="49">
        <v>172700</v>
      </c>
      <c r="U376" s="49">
        <v>15956260</v>
      </c>
      <c r="V376" s="49">
        <f t="shared" si="94"/>
        <v>46.039506582228299</v>
      </c>
      <c r="W376" s="49">
        <f t="shared" si="100"/>
        <v>46.039506582228299</v>
      </c>
      <c r="X376" s="82">
        <f t="shared" si="95"/>
        <v>0</v>
      </c>
      <c r="Y376" s="82">
        <f t="shared" si="96"/>
        <v>307093872197679.87</v>
      </c>
      <c r="Z376" s="81">
        <f t="shared" si="101"/>
        <v>306326404656950.31</v>
      </c>
      <c r="AA376" s="80">
        <f t="shared" si="85"/>
        <v>997.50086989610941</v>
      </c>
      <c r="AB376" s="52">
        <f t="shared" si="97"/>
        <v>5.6851895802262735E-3</v>
      </c>
      <c r="AC376" s="48">
        <f t="shared" si="86"/>
        <v>1.4270032930845226E-2</v>
      </c>
      <c r="AD376" s="48">
        <f t="shared" si="87"/>
        <v>1.3227513227513227E-2</v>
      </c>
      <c r="AE376" s="48">
        <f t="shared" si="88"/>
        <v>-5.7570523891767415E-3</v>
      </c>
      <c r="AF376" s="48" t="e">
        <f>(#REF!-#REF!)/#REF!</f>
        <v>#REF!</v>
      </c>
    </row>
    <row r="377" spans="1:32" x14ac:dyDescent="0.3">
      <c r="A377" s="48">
        <v>20190712</v>
      </c>
      <c r="B377" s="48" t="s">
        <v>88</v>
      </c>
      <c r="C377" s="79">
        <v>0.4</v>
      </c>
      <c r="D377" s="79">
        <f t="shared" si="89"/>
        <v>0.40194293609458315</v>
      </c>
      <c r="E377" s="49">
        <v>46200</v>
      </c>
      <c r="F377" s="49">
        <v>46300</v>
      </c>
      <c r="G377" s="49">
        <v>5969782550</v>
      </c>
      <c r="H377" s="49">
        <f t="shared" si="90"/>
        <v>0.441431138532558</v>
      </c>
      <c r="I377" s="49">
        <f t="shared" si="98"/>
        <v>0.441431138532558</v>
      </c>
      <c r="J377" s="48">
        <v>0.2</v>
      </c>
      <c r="K377" s="48">
        <f t="shared" si="91"/>
        <v>0.18713318105920648</v>
      </c>
      <c r="L377" s="48">
        <v>191500</v>
      </c>
      <c r="M377" s="48">
        <v>188500</v>
      </c>
      <c r="N377" s="51">
        <v>128329070</v>
      </c>
      <c r="O377" s="48">
        <f t="shared" si="92"/>
        <v>2.3482939884268701</v>
      </c>
      <c r="P377" s="48">
        <f t="shared" si="99"/>
        <v>2.3482939884268701</v>
      </c>
      <c r="Q377" s="49">
        <v>0.4</v>
      </c>
      <c r="R377" s="49">
        <f t="shared" si="93"/>
        <v>0.4109238828462104</v>
      </c>
      <c r="S377" s="49">
        <v>172700</v>
      </c>
      <c r="T377" s="49">
        <v>169800</v>
      </c>
      <c r="U377" s="49">
        <v>15956260</v>
      </c>
      <c r="V377" s="49">
        <f t="shared" si="94"/>
        <v>46.039506582228299</v>
      </c>
      <c r="W377" s="49">
        <f t="shared" si="100"/>
        <v>46.039506582228299</v>
      </c>
      <c r="X377" s="82">
        <f t="shared" si="95"/>
        <v>0</v>
      </c>
      <c r="Y377" s="82">
        <f t="shared" si="96"/>
        <v>307093872197679.87</v>
      </c>
      <c r="Z377" s="81">
        <f t="shared" si="101"/>
        <v>303555473118706.44</v>
      </c>
      <c r="AA377" s="80">
        <f t="shared" si="85"/>
        <v>988.47779327652711</v>
      </c>
      <c r="AB377" s="52">
        <f t="shared" si="97"/>
        <v>-9.0456829581733195E-3</v>
      </c>
      <c r="AC377" s="48">
        <f t="shared" si="86"/>
        <v>2.1645021645021645E-3</v>
      </c>
      <c r="AD377" s="48">
        <f t="shared" si="87"/>
        <v>-1.5665796344647518E-2</v>
      </c>
      <c r="AE377" s="48">
        <f t="shared" si="88"/>
        <v>-1.679212507237985E-2</v>
      </c>
      <c r="AF377" s="48" t="e">
        <f>(#REF!-#REF!)/#REF!</f>
        <v>#REF!</v>
      </c>
    </row>
    <row r="378" spans="1:32" x14ac:dyDescent="0.3">
      <c r="A378" s="48">
        <v>20190715</v>
      </c>
      <c r="B378" s="48" t="s">
        <v>88</v>
      </c>
      <c r="C378" s="79">
        <v>0.4</v>
      </c>
      <c r="D378" s="79">
        <f t="shared" si="89"/>
        <v>0.40296525571596054</v>
      </c>
      <c r="E378" s="49">
        <v>46300</v>
      </c>
      <c r="F378" s="49">
        <v>46450</v>
      </c>
      <c r="G378" s="49">
        <v>5969782550</v>
      </c>
      <c r="H378" s="49">
        <f t="shared" si="90"/>
        <v>0.441431138532558</v>
      </c>
      <c r="I378" s="49">
        <f t="shared" si="98"/>
        <v>0.441431138532558</v>
      </c>
      <c r="J378" s="48">
        <v>0.2</v>
      </c>
      <c r="K378" s="48">
        <f t="shared" si="91"/>
        <v>0.18204300194187825</v>
      </c>
      <c r="L378" s="48">
        <v>188500</v>
      </c>
      <c r="M378" s="48">
        <v>183500</v>
      </c>
      <c r="N378" s="51">
        <v>128329070</v>
      </c>
      <c r="O378" s="48">
        <f t="shared" si="92"/>
        <v>2.3482939884268701</v>
      </c>
      <c r="P378" s="48">
        <f t="shared" si="99"/>
        <v>2.3482939884268701</v>
      </c>
      <c r="Q378" s="49">
        <v>0.4</v>
      </c>
      <c r="R378" s="49">
        <f t="shared" si="93"/>
        <v>0.41499174234216124</v>
      </c>
      <c r="S378" s="49">
        <v>169800</v>
      </c>
      <c r="T378" s="49">
        <v>171600</v>
      </c>
      <c r="U378" s="49">
        <v>15956260</v>
      </c>
      <c r="V378" s="49">
        <f t="shared" si="94"/>
        <v>46.039506582228299</v>
      </c>
      <c r="W378" s="49">
        <f t="shared" si="100"/>
        <v>46.039506582228299</v>
      </c>
      <c r="X378" s="82">
        <f t="shared" si="95"/>
        <v>0</v>
      </c>
      <c r="Y378" s="82">
        <f t="shared" si="96"/>
        <v>307093872197679.87</v>
      </c>
      <c r="Z378" s="81">
        <f t="shared" si="101"/>
        <v>303766301393911.06</v>
      </c>
      <c r="AA378" s="80">
        <f t="shared" si="85"/>
        <v>989.16432040810366</v>
      </c>
      <c r="AB378" s="52">
        <f t="shared" si="97"/>
        <v>6.9452964573023821E-4</v>
      </c>
      <c r="AC378" s="48">
        <f t="shared" si="86"/>
        <v>3.2397408207343412E-3</v>
      </c>
      <c r="AD378" s="48">
        <f t="shared" si="87"/>
        <v>-2.6525198938992044E-2</v>
      </c>
      <c r="AE378" s="48">
        <f t="shared" si="88"/>
        <v>1.0600706713780919E-2</v>
      </c>
      <c r="AF378" s="48" t="e">
        <f>(#REF!-#REF!)/#REF!</f>
        <v>#REF!</v>
      </c>
    </row>
    <row r="379" spans="1:32" x14ac:dyDescent="0.3">
      <c r="A379" s="48">
        <v>20190716</v>
      </c>
      <c r="B379" s="48" t="s">
        <v>88</v>
      </c>
      <c r="C379" s="79">
        <v>0.4</v>
      </c>
      <c r="D379" s="79">
        <f t="shared" si="89"/>
        <v>0.39882919829793523</v>
      </c>
      <c r="E379" s="49">
        <v>46450</v>
      </c>
      <c r="F379" s="49">
        <v>46850</v>
      </c>
      <c r="G379" s="49">
        <v>5969782550</v>
      </c>
      <c r="H379" s="49">
        <f t="shared" si="90"/>
        <v>0.441431138532558</v>
      </c>
      <c r="I379" s="49">
        <f t="shared" si="98"/>
        <v>0.441431138532558</v>
      </c>
      <c r="J379" s="48">
        <v>0.2</v>
      </c>
      <c r="K379" s="48">
        <f t="shared" si="91"/>
        <v>0.18350366429696452</v>
      </c>
      <c r="L379" s="48">
        <v>183500</v>
      </c>
      <c r="M379" s="48">
        <v>188500</v>
      </c>
      <c r="N379" s="51">
        <v>128329070</v>
      </c>
      <c r="O379" s="48">
        <f t="shared" si="92"/>
        <v>2.3482939884268701</v>
      </c>
      <c r="P379" s="48">
        <f t="shared" si="99"/>
        <v>2.3482939884268701</v>
      </c>
      <c r="Q379" s="49">
        <v>0.4</v>
      </c>
      <c r="R379" s="49">
        <f t="shared" si="93"/>
        <v>0.41766713740510031</v>
      </c>
      <c r="S379" s="49">
        <v>171600</v>
      </c>
      <c r="T379" s="49">
        <v>176000</v>
      </c>
      <c r="U379" s="49">
        <v>15956260</v>
      </c>
      <c r="V379" s="49">
        <f t="shared" si="94"/>
        <v>46.039506582228299</v>
      </c>
      <c r="W379" s="49">
        <f t="shared" si="100"/>
        <v>46.039506582228299</v>
      </c>
      <c r="X379" s="82">
        <f t="shared" si="95"/>
        <v>0</v>
      </c>
      <c r="Y379" s="82">
        <f t="shared" si="96"/>
        <v>307093872197679.87</v>
      </c>
      <c r="Z379" s="81">
        <f t="shared" si="101"/>
        <v>309559493159263.5</v>
      </c>
      <c r="AA379" s="80">
        <f t="shared" si="85"/>
        <v>1008.0288836242115</v>
      </c>
      <c r="AB379" s="52">
        <f t="shared" si="97"/>
        <v>1.9071212767080823E-2</v>
      </c>
      <c r="AC379" s="48">
        <f t="shared" si="86"/>
        <v>8.6114101184068884E-3</v>
      </c>
      <c r="AD379" s="48">
        <f t="shared" si="87"/>
        <v>2.7247956403269755E-2</v>
      </c>
      <c r="AE379" s="48">
        <f t="shared" si="88"/>
        <v>2.564102564102564E-2</v>
      </c>
      <c r="AF379" s="48" t="e">
        <f>(#REF!-#REF!)/#REF!</f>
        <v>#REF!</v>
      </c>
    </row>
    <row r="380" spans="1:32" x14ac:dyDescent="0.3">
      <c r="A380" s="48">
        <v>20190717</v>
      </c>
      <c r="B380" s="48" t="s">
        <v>88</v>
      </c>
      <c r="C380" s="79">
        <v>0.4</v>
      </c>
      <c r="D380" s="79">
        <f t="shared" si="89"/>
        <v>0.39399232295256287</v>
      </c>
      <c r="E380" s="49">
        <v>46850</v>
      </c>
      <c r="F380" s="49">
        <v>46050</v>
      </c>
      <c r="G380" s="49">
        <v>5969782550</v>
      </c>
      <c r="H380" s="49">
        <f t="shared" si="90"/>
        <v>0.441431138532558</v>
      </c>
      <c r="I380" s="49">
        <f t="shared" si="98"/>
        <v>0.441431138532558</v>
      </c>
      <c r="J380" s="48">
        <v>0.2</v>
      </c>
      <c r="K380" s="48">
        <f t="shared" si="91"/>
        <v>0.18051385109717022</v>
      </c>
      <c r="L380" s="48">
        <v>188500</v>
      </c>
      <c r="M380" s="48">
        <v>184500</v>
      </c>
      <c r="N380" s="51">
        <v>128329070</v>
      </c>
      <c r="O380" s="48">
        <f t="shared" si="92"/>
        <v>2.3482939884268701</v>
      </c>
      <c r="P380" s="48">
        <f t="shared" si="99"/>
        <v>2.3482939884268701</v>
      </c>
      <c r="Q380" s="49">
        <v>0.4</v>
      </c>
      <c r="R380" s="49">
        <f t="shared" si="93"/>
        <v>0.42549382595026675</v>
      </c>
      <c r="S380" s="49">
        <v>176000</v>
      </c>
      <c r="T380" s="49">
        <v>178400</v>
      </c>
      <c r="U380" s="49">
        <v>15956260</v>
      </c>
      <c r="V380" s="49">
        <f t="shared" si="94"/>
        <v>46.039506582228299</v>
      </c>
      <c r="W380" s="49">
        <f t="shared" si="100"/>
        <v>46.039506582228299</v>
      </c>
      <c r="X380" s="82">
        <f t="shared" si="95"/>
        <v>0</v>
      </c>
      <c r="Y380" s="82">
        <f t="shared" si="96"/>
        <v>307093872197679.87</v>
      </c>
      <c r="Z380" s="81">
        <f t="shared" si="101"/>
        <v>308008961308021.87</v>
      </c>
      <c r="AA380" s="80">
        <f t="shared" si="85"/>
        <v>1002.97983513573</v>
      </c>
      <c r="AB380" s="52">
        <f t="shared" si="97"/>
        <v>-5.008833150026845E-3</v>
      </c>
      <c r="AC380" s="48">
        <f t="shared" si="86"/>
        <v>-1.7075773745997867E-2</v>
      </c>
      <c r="AD380" s="48">
        <f t="shared" si="87"/>
        <v>-2.1220159151193633E-2</v>
      </c>
      <c r="AE380" s="48">
        <f t="shared" si="88"/>
        <v>1.3636363636363636E-2</v>
      </c>
      <c r="AF380" s="48" t="e">
        <f>(#REF!-#REF!)/#REF!</f>
        <v>#REF!</v>
      </c>
    </row>
  </sheetData>
  <mergeCells count="5">
    <mergeCell ref="AC1:AF1"/>
    <mergeCell ref="J1:P1"/>
    <mergeCell ref="C1:I1"/>
    <mergeCell ref="Q1:W1"/>
    <mergeCell ref="X1:AB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6"/>
  <sheetViews>
    <sheetView workbookViewId="0">
      <selection activeCell="H58" sqref="H58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375" customWidth="1"/>
    <col min="8" max="8" width="19" customWidth="1"/>
    <col min="9" max="9" width="18.25" customWidth="1"/>
  </cols>
  <sheetData>
    <row r="1" spans="1:5" s="34" customFormat="1" ht="20.25" x14ac:dyDescent="0.3">
      <c r="A1" s="33" t="s">
        <v>147</v>
      </c>
      <c r="B1" s="33" t="s">
        <v>148</v>
      </c>
    </row>
    <row r="2" spans="1:5" x14ac:dyDescent="0.3">
      <c r="A2" s="55"/>
    </row>
    <row r="3" spans="1:5" x14ac:dyDescent="0.3">
      <c r="A3" s="24" t="s">
        <v>97</v>
      </c>
    </row>
    <row r="4" spans="1:5" x14ac:dyDescent="0.3">
      <c r="A4" s="25" t="s">
        <v>49</v>
      </c>
      <c r="B4" s="20">
        <v>2018</v>
      </c>
      <c r="C4" s="20"/>
    </row>
    <row r="5" spans="1:5" x14ac:dyDescent="0.3">
      <c r="A5" s="25" t="s">
        <v>50</v>
      </c>
      <c r="B5" s="20" t="s">
        <v>51</v>
      </c>
      <c r="C5" s="20" t="s">
        <v>52</v>
      </c>
    </row>
    <row r="8" spans="1:5" s="36" customFormat="1" ht="19.5" x14ac:dyDescent="0.3">
      <c r="A8" s="35" t="s">
        <v>64</v>
      </c>
      <c r="B8" s="35" t="s">
        <v>65</v>
      </c>
    </row>
    <row r="9" spans="1:5" s="30" customFormat="1" x14ac:dyDescent="0.3">
      <c r="A9" s="29"/>
      <c r="B9" s="29"/>
    </row>
    <row r="10" spans="1:5" x14ac:dyDescent="0.3">
      <c r="B10" s="27" t="s">
        <v>1</v>
      </c>
      <c r="C10" s="27" t="s">
        <v>55</v>
      </c>
      <c r="D10" s="27" t="s">
        <v>56</v>
      </c>
    </row>
    <row r="11" spans="1:5" x14ac:dyDescent="0.3">
      <c r="A11" s="15"/>
      <c r="B11" s="21" t="s">
        <v>5</v>
      </c>
      <c r="C11" s="20" t="s">
        <v>54</v>
      </c>
      <c r="D11" s="26">
        <v>0.2</v>
      </c>
    </row>
    <row r="12" spans="1:5" x14ac:dyDescent="0.3">
      <c r="A12" s="15"/>
      <c r="B12" s="21" t="s">
        <v>57</v>
      </c>
      <c r="C12" s="20" t="s">
        <v>58</v>
      </c>
      <c r="D12" s="26">
        <v>0.2</v>
      </c>
    </row>
    <row r="13" spans="1:5" x14ac:dyDescent="0.3">
      <c r="A13" s="15"/>
      <c r="B13" s="21" t="s">
        <v>59</v>
      </c>
      <c r="C13" s="20" t="s">
        <v>60</v>
      </c>
      <c r="D13" s="26">
        <v>0.2</v>
      </c>
    </row>
    <row r="14" spans="1:5" x14ac:dyDescent="0.3">
      <c r="A14" s="15"/>
      <c r="B14" s="21" t="s">
        <v>149</v>
      </c>
      <c r="C14" s="20" t="s">
        <v>150</v>
      </c>
      <c r="D14" s="26">
        <v>0.2</v>
      </c>
      <c r="E14" s="108" t="s">
        <v>153</v>
      </c>
    </row>
    <row r="15" spans="1:5" x14ac:dyDescent="0.3">
      <c r="A15" s="15"/>
      <c r="B15" s="21" t="s">
        <v>151</v>
      </c>
      <c r="C15" s="20" t="s">
        <v>152</v>
      </c>
      <c r="D15" s="26">
        <v>0.2</v>
      </c>
      <c r="E15" s="109" t="s">
        <v>153</v>
      </c>
    </row>
    <row r="16" spans="1:5" x14ac:dyDescent="0.3">
      <c r="B16" s="20" t="s">
        <v>63</v>
      </c>
      <c r="C16" s="20"/>
      <c r="D16" s="26">
        <f>SUM(D11:D15)</f>
        <v>1</v>
      </c>
    </row>
    <row r="17" spans="1:11" x14ac:dyDescent="0.3">
      <c r="B17" s="31"/>
      <c r="C17" s="31"/>
      <c r="D17" s="32"/>
    </row>
    <row r="19" spans="1:11" s="36" customFormat="1" ht="19.5" x14ac:dyDescent="0.3">
      <c r="A19" s="35" t="s">
        <v>66</v>
      </c>
      <c r="B19" s="35" t="s">
        <v>67</v>
      </c>
    </row>
    <row r="20" spans="1:11" x14ac:dyDescent="0.3">
      <c r="A20" s="24"/>
      <c r="B20" s="24"/>
    </row>
    <row r="22" spans="1:11" x14ac:dyDescent="0.3">
      <c r="A22" s="173" t="s">
        <v>157</v>
      </c>
      <c r="B22" s="173"/>
      <c r="C22" s="173"/>
      <c r="D22" s="173"/>
      <c r="E22" s="173"/>
      <c r="G22" s="173" t="s">
        <v>158</v>
      </c>
      <c r="H22" s="173"/>
      <c r="I22" s="173"/>
      <c r="J22" s="173"/>
      <c r="K22" s="173"/>
    </row>
    <row r="23" spans="1:11" x14ac:dyDescent="0.3">
      <c r="A23" s="25" t="s">
        <v>68</v>
      </c>
      <c r="B23" s="25" t="s">
        <v>1</v>
      </c>
      <c r="C23" s="25" t="s">
        <v>70</v>
      </c>
      <c r="D23" s="25" t="s">
        <v>56</v>
      </c>
      <c r="E23" s="25" t="s">
        <v>138</v>
      </c>
      <c r="G23" s="25" t="s">
        <v>68</v>
      </c>
      <c r="H23" s="25" t="s">
        <v>1</v>
      </c>
      <c r="I23" s="25" t="s">
        <v>70</v>
      </c>
      <c r="J23" s="25" t="s">
        <v>56</v>
      </c>
      <c r="K23" s="25" t="s">
        <v>138</v>
      </c>
    </row>
    <row r="24" spans="1:11" x14ac:dyDescent="0.3">
      <c r="A24" s="56" t="s">
        <v>77</v>
      </c>
      <c r="B24" s="57" t="s">
        <v>5</v>
      </c>
      <c r="C24" s="56" t="s">
        <v>54</v>
      </c>
      <c r="D24" s="56">
        <v>0.2</v>
      </c>
      <c r="E24" s="56"/>
      <c r="G24" s="56" t="s">
        <v>77</v>
      </c>
      <c r="H24" s="57" t="s">
        <v>5</v>
      </c>
      <c r="I24" s="56" t="s">
        <v>54</v>
      </c>
      <c r="J24" s="56">
        <v>0.4</v>
      </c>
      <c r="K24" s="56"/>
    </row>
    <row r="25" spans="1:11" x14ac:dyDescent="0.3">
      <c r="A25" s="56" t="s">
        <v>77</v>
      </c>
      <c r="B25" s="57" t="s">
        <v>57</v>
      </c>
      <c r="C25" s="56" t="s">
        <v>58</v>
      </c>
      <c r="D25" s="56">
        <v>0.2</v>
      </c>
      <c r="E25" s="56"/>
      <c r="G25" s="56" t="s">
        <v>77</v>
      </c>
      <c r="H25" s="57" t="s">
        <v>57</v>
      </c>
      <c r="I25" s="56" t="s">
        <v>58</v>
      </c>
      <c r="J25" s="56">
        <v>0.6</v>
      </c>
      <c r="K25" s="56"/>
    </row>
    <row r="26" spans="1:11" x14ac:dyDescent="0.3">
      <c r="A26" s="56" t="s">
        <v>77</v>
      </c>
      <c r="B26" s="57" t="s">
        <v>59</v>
      </c>
      <c r="C26" s="56" t="s">
        <v>60</v>
      </c>
      <c r="D26" s="56">
        <v>0.2</v>
      </c>
      <c r="E26" s="56"/>
      <c r="G26" s="112" t="s">
        <v>77</v>
      </c>
      <c r="H26" s="113" t="s">
        <v>59</v>
      </c>
      <c r="I26" s="112" t="s">
        <v>60</v>
      </c>
      <c r="J26" s="112">
        <v>0.2</v>
      </c>
      <c r="K26" s="59" t="s">
        <v>159</v>
      </c>
    </row>
    <row r="27" spans="1:11" x14ac:dyDescent="0.3">
      <c r="A27" s="59" t="s">
        <v>77</v>
      </c>
      <c r="B27" s="22" t="s">
        <v>149</v>
      </c>
      <c r="C27" s="23" t="s">
        <v>150</v>
      </c>
      <c r="D27" s="61">
        <v>0.2</v>
      </c>
      <c r="E27" s="61" t="s">
        <v>154</v>
      </c>
      <c r="G27" s="114" t="s">
        <v>77</v>
      </c>
      <c r="H27" s="115" t="s">
        <v>149</v>
      </c>
      <c r="I27" s="116" t="s">
        <v>150</v>
      </c>
      <c r="J27" s="114">
        <v>0.2</v>
      </c>
      <c r="K27" s="61" t="s">
        <v>160</v>
      </c>
    </row>
    <row r="28" spans="1:11" x14ac:dyDescent="0.3">
      <c r="A28" s="61" t="s">
        <v>77</v>
      </c>
      <c r="B28" s="22" t="s">
        <v>151</v>
      </c>
      <c r="C28" s="23" t="s">
        <v>152</v>
      </c>
      <c r="D28" s="61">
        <v>0.2</v>
      </c>
      <c r="E28" s="61" t="s">
        <v>75</v>
      </c>
      <c r="G28" s="114" t="s">
        <v>77</v>
      </c>
      <c r="H28" s="115" t="s">
        <v>151</v>
      </c>
      <c r="I28" s="116" t="s">
        <v>152</v>
      </c>
      <c r="J28" s="114">
        <v>0.2</v>
      </c>
      <c r="K28" s="61" t="s">
        <v>161</v>
      </c>
    </row>
    <row r="29" spans="1:11" x14ac:dyDescent="0.3">
      <c r="A29" s="61" t="s">
        <v>77</v>
      </c>
      <c r="B29" s="22" t="s">
        <v>73</v>
      </c>
      <c r="C29" s="23" t="s">
        <v>156</v>
      </c>
      <c r="D29" s="61">
        <v>0.4</v>
      </c>
      <c r="E29" s="61"/>
      <c r="G29" s="114" t="s">
        <v>77</v>
      </c>
      <c r="H29" s="115" t="s">
        <v>73</v>
      </c>
      <c r="I29" s="116" t="s">
        <v>156</v>
      </c>
      <c r="J29" s="114">
        <v>0.4</v>
      </c>
      <c r="K29" s="61" t="s">
        <v>162</v>
      </c>
    </row>
    <row r="30" spans="1:11" ht="3" customHeight="1" x14ac:dyDescent="0.3">
      <c r="A30" s="62"/>
      <c r="B30" s="62"/>
      <c r="C30" s="62"/>
      <c r="D30" s="62"/>
      <c r="E30" s="62"/>
      <c r="G30" s="62"/>
      <c r="H30" s="62"/>
      <c r="I30" s="62"/>
      <c r="J30" s="62"/>
      <c r="K30" s="62"/>
    </row>
    <row r="31" spans="1:11" x14ac:dyDescent="0.3">
      <c r="A31" s="56" t="s">
        <v>78</v>
      </c>
      <c r="B31" s="57" t="s">
        <v>5</v>
      </c>
      <c r="C31" s="56" t="s">
        <v>54</v>
      </c>
      <c r="D31" s="56">
        <v>0.2</v>
      </c>
      <c r="E31" s="56"/>
      <c r="G31" s="56" t="s">
        <v>78</v>
      </c>
      <c r="H31" s="57" t="s">
        <v>5</v>
      </c>
      <c r="I31" s="56" t="s">
        <v>54</v>
      </c>
      <c r="J31" s="56">
        <v>0.4</v>
      </c>
      <c r="K31" s="56"/>
    </row>
    <row r="32" spans="1:11" x14ac:dyDescent="0.3">
      <c r="A32" s="56" t="s">
        <v>78</v>
      </c>
      <c r="B32" s="57" t="s">
        <v>57</v>
      </c>
      <c r="C32" s="56" t="s">
        <v>58</v>
      </c>
      <c r="D32" s="56">
        <v>0.2</v>
      </c>
      <c r="E32" s="56"/>
      <c r="G32" s="56" t="s">
        <v>78</v>
      </c>
      <c r="H32" s="57" t="s">
        <v>57</v>
      </c>
      <c r="I32" s="56" t="s">
        <v>58</v>
      </c>
      <c r="J32" s="56">
        <v>0.3</v>
      </c>
      <c r="K32" s="56"/>
    </row>
    <row r="33" spans="1:11" x14ac:dyDescent="0.3">
      <c r="A33" s="56" t="s">
        <v>78</v>
      </c>
      <c r="B33" s="57" t="s">
        <v>59</v>
      </c>
      <c r="C33" s="56" t="s">
        <v>60</v>
      </c>
      <c r="D33" s="56">
        <v>0.2</v>
      </c>
      <c r="E33" s="56"/>
      <c r="G33" s="56" t="s">
        <v>78</v>
      </c>
      <c r="H33" s="57" t="s">
        <v>59</v>
      </c>
      <c r="I33" s="56" t="s">
        <v>60</v>
      </c>
      <c r="J33" s="56">
        <v>0.3</v>
      </c>
      <c r="K33" s="56"/>
    </row>
    <row r="34" spans="1:11" x14ac:dyDescent="0.3">
      <c r="A34" s="59" t="s">
        <v>78</v>
      </c>
      <c r="B34" s="22" t="s">
        <v>149</v>
      </c>
      <c r="C34" s="23" t="s">
        <v>150</v>
      </c>
      <c r="D34" s="61">
        <v>0.2</v>
      </c>
      <c r="E34" s="61" t="s">
        <v>154</v>
      </c>
      <c r="G34" s="112" t="s">
        <v>78</v>
      </c>
      <c r="H34" s="115" t="s">
        <v>149</v>
      </c>
      <c r="I34" s="116" t="s">
        <v>150</v>
      </c>
      <c r="J34" s="114">
        <v>0.2</v>
      </c>
      <c r="K34" s="61" t="s">
        <v>163</v>
      </c>
    </row>
    <row r="35" spans="1:11" x14ac:dyDescent="0.3">
      <c r="A35" s="61" t="s">
        <v>78</v>
      </c>
      <c r="B35" s="22" t="s">
        <v>151</v>
      </c>
      <c r="C35" s="23" t="s">
        <v>152</v>
      </c>
      <c r="D35" s="61">
        <v>0.2</v>
      </c>
      <c r="E35" s="61" t="s">
        <v>75</v>
      </c>
      <c r="G35" s="114" t="s">
        <v>78</v>
      </c>
      <c r="H35" s="115" t="s">
        <v>151</v>
      </c>
      <c r="I35" s="116" t="s">
        <v>152</v>
      </c>
      <c r="J35" s="114">
        <v>0.2</v>
      </c>
      <c r="K35" s="61" t="s">
        <v>163</v>
      </c>
    </row>
    <row r="36" spans="1:11" x14ac:dyDescent="0.3">
      <c r="A36" s="61" t="s">
        <v>78</v>
      </c>
      <c r="B36" s="22" t="s">
        <v>73</v>
      </c>
      <c r="C36" s="23" t="s">
        <v>156</v>
      </c>
      <c r="D36" s="61">
        <v>0.4</v>
      </c>
      <c r="E36" s="61"/>
      <c r="G36" s="114" t="s">
        <v>78</v>
      </c>
      <c r="H36" s="115" t="s">
        <v>73</v>
      </c>
      <c r="I36" s="116" t="s">
        <v>156</v>
      </c>
      <c r="J36" s="114">
        <v>0.4</v>
      </c>
      <c r="K36" s="61" t="s">
        <v>155</v>
      </c>
    </row>
    <row r="37" spans="1:11" ht="3" customHeight="1" x14ac:dyDescent="0.3">
      <c r="A37" s="62"/>
      <c r="B37" s="62"/>
      <c r="C37" s="62"/>
      <c r="D37" s="62"/>
      <c r="E37" s="62"/>
      <c r="G37" s="62"/>
      <c r="H37" s="62"/>
      <c r="I37" s="62"/>
      <c r="J37" s="62"/>
      <c r="K37" s="62"/>
    </row>
    <row r="38" spans="1:11" x14ac:dyDescent="0.3">
      <c r="A38" s="56" t="s">
        <v>82</v>
      </c>
      <c r="B38" s="57" t="s">
        <v>5</v>
      </c>
      <c r="C38" s="56" t="s">
        <v>54</v>
      </c>
      <c r="D38" s="56">
        <v>0.2</v>
      </c>
      <c r="E38" s="56"/>
      <c r="G38" s="56" t="s">
        <v>82</v>
      </c>
      <c r="H38" s="57" t="s">
        <v>5</v>
      </c>
      <c r="I38" s="56" t="s">
        <v>54</v>
      </c>
      <c r="J38" s="56">
        <v>0.3</v>
      </c>
      <c r="K38" s="56"/>
    </row>
    <row r="39" spans="1:11" x14ac:dyDescent="0.3">
      <c r="A39" s="56" t="s">
        <v>82</v>
      </c>
      <c r="B39" s="57" t="s">
        <v>57</v>
      </c>
      <c r="C39" s="56" t="s">
        <v>58</v>
      </c>
      <c r="D39" s="56">
        <v>0.2</v>
      </c>
      <c r="E39" s="56"/>
      <c r="G39" s="56" t="s">
        <v>82</v>
      </c>
      <c r="H39" s="57" t="s">
        <v>57</v>
      </c>
      <c r="I39" s="56" t="s">
        <v>58</v>
      </c>
      <c r="J39" s="56">
        <v>0.15</v>
      </c>
      <c r="K39" s="56"/>
    </row>
    <row r="40" spans="1:11" x14ac:dyDescent="0.3">
      <c r="A40" s="56" t="s">
        <v>82</v>
      </c>
      <c r="B40" s="57" t="s">
        <v>59</v>
      </c>
      <c r="C40" s="56" t="s">
        <v>60</v>
      </c>
      <c r="D40" s="56">
        <v>0.2</v>
      </c>
      <c r="E40" s="56"/>
      <c r="G40" s="56" t="s">
        <v>82</v>
      </c>
      <c r="H40" s="57" t="s">
        <v>59</v>
      </c>
      <c r="I40" s="56" t="s">
        <v>60</v>
      </c>
      <c r="J40" s="56">
        <v>0.15</v>
      </c>
      <c r="K40" s="56"/>
    </row>
    <row r="41" spans="1:11" x14ac:dyDescent="0.3">
      <c r="A41" s="110" t="s">
        <v>82</v>
      </c>
      <c r="B41" s="43" t="s">
        <v>149</v>
      </c>
      <c r="C41" s="44" t="s">
        <v>150</v>
      </c>
      <c r="D41" s="111">
        <v>0.2</v>
      </c>
      <c r="E41" s="111"/>
      <c r="G41" s="110" t="s">
        <v>82</v>
      </c>
      <c r="H41" s="43" t="s">
        <v>149</v>
      </c>
      <c r="I41" s="44" t="s">
        <v>150</v>
      </c>
      <c r="J41" s="111">
        <v>0.1</v>
      </c>
      <c r="K41" s="111"/>
    </row>
    <row r="42" spans="1:11" x14ac:dyDescent="0.3">
      <c r="A42" s="111" t="s">
        <v>82</v>
      </c>
      <c r="B42" s="43" t="s">
        <v>151</v>
      </c>
      <c r="C42" s="44" t="s">
        <v>152</v>
      </c>
      <c r="D42" s="111">
        <v>0.2</v>
      </c>
      <c r="E42" s="111"/>
      <c r="G42" s="111" t="s">
        <v>82</v>
      </c>
      <c r="H42" s="43" t="s">
        <v>151</v>
      </c>
      <c r="I42" s="44" t="s">
        <v>152</v>
      </c>
      <c r="J42" s="111">
        <v>0.3</v>
      </c>
      <c r="K42" s="111"/>
    </row>
    <row r="43" spans="1:11" ht="3" customHeight="1" x14ac:dyDescent="0.3">
      <c r="A43" s="62"/>
      <c r="B43" s="62"/>
      <c r="C43" s="62"/>
      <c r="D43" s="62"/>
      <c r="E43" s="62"/>
      <c r="G43" s="62"/>
      <c r="H43" s="62"/>
      <c r="I43" s="62"/>
      <c r="J43" s="62"/>
      <c r="K43" s="62"/>
    </row>
    <row r="44" spans="1:11" x14ac:dyDescent="0.3">
      <c r="A44" s="56" t="s">
        <v>83</v>
      </c>
      <c r="B44" s="57" t="s">
        <v>5</v>
      </c>
      <c r="C44" s="56" t="s">
        <v>54</v>
      </c>
      <c r="D44" s="56">
        <v>0.2</v>
      </c>
      <c r="E44" s="56"/>
      <c r="G44" s="56" t="s">
        <v>83</v>
      </c>
      <c r="H44" s="57" t="s">
        <v>5</v>
      </c>
      <c r="I44" s="56" t="s">
        <v>54</v>
      </c>
      <c r="J44" s="56">
        <v>0.2</v>
      </c>
      <c r="K44" s="56"/>
    </row>
    <row r="45" spans="1:11" x14ac:dyDescent="0.3">
      <c r="A45" s="56" t="s">
        <v>83</v>
      </c>
      <c r="B45" s="57" t="s">
        <v>57</v>
      </c>
      <c r="C45" s="56" t="s">
        <v>58</v>
      </c>
      <c r="D45" s="56">
        <v>0.2</v>
      </c>
      <c r="E45" s="56"/>
      <c r="G45" s="56" t="s">
        <v>83</v>
      </c>
      <c r="H45" s="57" t="s">
        <v>57</v>
      </c>
      <c r="I45" s="56" t="s">
        <v>58</v>
      </c>
      <c r="J45" s="56">
        <v>0.2</v>
      </c>
      <c r="K45" s="56"/>
    </row>
    <row r="46" spans="1:11" x14ac:dyDescent="0.3">
      <c r="A46" s="56" t="s">
        <v>83</v>
      </c>
      <c r="B46" s="57" t="s">
        <v>59</v>
      </c>
      <c r="C46" s="56" t="s">
        <v>60</v>
      </c>
      <c r="D46" s="56">
        <v>0.2</v>
      </c>
      <c r="E46" s="56"/>
      <c r="G46" s="56" t="s">
        <v>83</v>
      </c>
      <c r="H46" s="57" t="s">
        <v>59</v>
      </c>
      <c r="I46" s="56" t="s">
        <v>60</v>
      </c>
      <c r="J46" s="56">
        <v>0.2</v>
      </c>
      <c r="K46" s="56"/>
    </row>
    <row r="47" spans="1:11" x14ac:dyDescent="0.3">
      <c r="A47" s="110" t="s">
        <v>83</v>
      </c>
      <c r="B47" s="43" t="s">
        <v>149</v>
      </c>
      <c r="C47" s="44" t="s">
        <v>150</v>
      </c>
      <c r="D47" s="111">
        <v>0.2</v>
      </c>
      <c r="E47" s="111"/>
      <c r="G47" s="110" t="s">
        <v>83</v>
      </c>
      <c r="H47" s="43" t="s">
        <v>149</v>
      </c>
      <c r="I47" s="44" t="s">
        <v>150</v>
      </c>
      <c r="J47" s="111">
        <v>0.2</v>
      </c>
      <c r="K47" s="111"/>
    </row>
    <row r="48" spans="1:11" x14ac:dyDescent="0.3">
      <c r="A48" s="111" t="s">
        <v>83</v>
      </c>
      <c r="B48" s="43" t="s">
        <v>151</v>
      </c>
      <c r="C48" s="44" t="s">
        <v>152</v>
      </c>
      <c r="D48" s="111">
        <v>0.2</v>
      </c>
      <c r="E48" s="111"/>
      <c r="G48" s="111" t="s">
        <v>83</v>
      </c>
      <c r="H48" s="43" t="s">
        <v>151</v>
      </c>
      <c r="I48" s="44" t="s">
        <v>152</v>
      </c>
      <c r="J48" s="111">
        <v>0.2</v>
      </c>
      <c r="K48" s="111"/>
    </row>
    <row r="50" spans="1:7" s="37" customFormat="1" ht="19.5" x14ac:dyDescent="0.3">
      <c r="A50" s="37" t="s">
        <v>84</v>
      </c>
      <c r="B50" s="38" t="s">
        <v>98</v>
      </c>
    </row>
    <row r="51" spans="1:7" x14ac:dyDescent="0.3">
      <c r="B51" s="28"/>
    </row>
    <row r="52" spans="1:7" ht="16.5" customHeight="1" x14ac:dyDescent="0.3">
      <c r="A52" s="163" t="s">
        <v>189</v>
      </c>
      <c r="B52" s="164"/>
      <c r="C52" s="164"/>
      <c r="D52" s="164"/>
      <c r="E52" s="164"/>
      <c r="F52" s="164"/>
      <c r="G52" s="88"/>
    </row>
    <row r="53" spans="1:7" x14ac:dyDescent="0.3">
      <c r="A53" s="164"/>
      <c r="B53" s="164"/>
      <c r="C53" s="164"/>
      <c r="D53" s="164"/>
      <c r="E53" s="164"/>
      <c r="F53" s="164"/>
      <c r="G53" s="88"/>
    </row>
    <row r="54" spans="1:7" x14ac:dyDescent="0.3">
      <c r="A54" s="164"/>
      <c r="B54" s="164"/>
      <c r="C54" s="164"/>
      <c r="D54" s="164"/>
      <c r="E54" s="164"/>
      <c r="F54" s="164"/>
      <c r="G54" s="88"/>
    </row>
    <row r="55" spans="1:7" x14ac:dyDescent="0.3">
      <c r="A55" s="164"/>
      <c r="B55" s="164"/>
      <c r="C55" s="164"/>
      <c r="D55" s="164"/>
      <c r="E55" s="164"/>
      <c r="F55" s="164"/>
      <c r="G55" s="88"/>
    </row>
    <row r="56" spans="1:7" x14ac:dyDescent="0.3">
      <c r="A56" s="164"/>
      <c r="B56" s="164"/>
      <c r="C56" s="164"/>
      <c r="D56" s="164"/>
      <c r="E56" s="164"/>
      <c r="F56" s="164"/>
      <c r="G56" s="88"/>
    </row>
    <row r="57" spans="1:7" x14ac:dyDescent="0.3">
      <c r="A57" s="164"/>
      <c r="B57" s="164"/>
      <c r="C57" s="164"/>
      <c r="D57" s="164"/>
      <c r="E57" s="164"/>
      <c r="F57" s="164"/>
      <c r="G57" s="88"/>
    </row>
    <row r="58" spans="1:7" x14ac:dyDescent="0.3">
      <c r="A58" s="164"/>
      <c r="B58" s="164"/>
      <c r="C58" s="164"/>
      <c r="D58" s="164"/>
      <c r="E58" s="164"/>
      <c r="F58" s="164"/>
      <c r="G58" s="88"/>
    </row>
    <row r="59" spans="1:7" x14ac:dyDescent="0.3">
      <c r="A59" s="164"/>
      <c r="B59" s="164"/>
      <c r="C59" s="164"/>
      <c r="D59" s="164"/>
      <c r="E59" s="164"/>
      <c r="F59" s="164"/>
      <c r="G59" s="88"/>
    </row>
    <row r="60" spans="1:7" x14ac:dyDescent="0.3">
      <c r="A60" s="164"/>
      <c r="B60" s="164"/>
      <c r="C60" s="164"/>
      <c r="D60" s="164"/>
      <c r="E60" s="164"/>
      <c r="F60" s="164"/>
      <c r="G60" s="88"/>
    </row>
    <row r="61" spans="1:7" x14ac:dyDescent="0.3">
      <c r="A61" s="164"/>
      <c r="B61" s="164"/>
      <c r="C61" s="164"/>
      <c r="D61" s="164"/>
      <c r="E61" s="164"/>
      <c r="F61" s="164"/>
      <c r="G61" s="88"/>
    </row>
    <row r="62" spans="1:7" x14ac:dyDescent="0.3">
      <c r="A62" s="164"/>
      <c r="B62" s="164"/>
      <c r="C62" s="164"/>
      <c r="D62" s="164"/>
      <c r="E62" s="164"/>
      <c r="F62" s="164"/>
      <c r="G62" s="88"/>
    </row>
    <row r="63" spans="1:7" x14ac:dyDescent="0.3">
      <c r="A63" s="164"/>
      <c r="B63" s="164"/>
      <c r="C63" s="164"/>
      <c r="D63" s="164"/>
      <c r="E63" s="164"/>
      <c r="F63" s="164"/>
      <c r="G63" s="88"/>
    </row>
    <row r="64" spans="1:7" x14ac:dyDescent="0.3">
      <c r="A64" s="164"/>
      <c r="B64" s="164"/>
      <c r="C64" s="164"/>
      <c r="D64" s="164"/>
      <c r="E64" s="164"/>
      <c r="F64" s="164"/>
      <c r="G64" s="88"/>
    </row>
    <row r="65" spans="1:7" x14ac:dyDescent="0.3">
      <c r="A65" s="164"/>
      <c r="B65" s="164"/>
      <c r="C65" s="164"/>
      <c r="D65" s="164"/>
      <c r="E65" s="164"/>
      <c r="F65" s="164"/>
      <c r="G65" s="88"/>
    </row>
    <row r="66" spans="1:7" x14ac:dyDescent="0.3">
      <c r="A66" s="164"/>
      <c r="B66" s="164"/>
      <c r="C66" s="164"/>
      <c r="D66" s="164"/>
      <c r="E66" s="164"/>
      <c r="F66" s="164"/>
      <c r="G66" s="88"/>
    </row>
  </sheetData>
  <mergeCells count="3">
    <mergeCell ref="A52:F66"/>
    <mergeCell ref="A22:E22"/>
    <mergeCell ref="G22:K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382"/>
  <sheetViews>
    <sheetView zoomScale="70" zoomScaleNormal="70" workbookViewId="0">
      <pane xSplit="1" topLeftCell="S1" activePane="topRight" state="frozen"/>
      <selection pane="topRight" activeCell="P135" sqref="P135"/>
    </sheetView>
  </sheetViews>
  <sheetFormatPr defaultColWidth="8.875" defaultRowHeight="13.5" x14ac:dyDescent="0.3"/>
  <cols>
    <col min="1" max="1" width="9" style="16" bestFit="1" customWidth="1"/>
    <col min="2" max="4" width="8.875" style="16"/>
    <col min="5" max="6" width="9" style="16" bestFit="1" customWidth="1"/>
    <col min="7" max="7" width="11.125" style="16" bestFit="1" customWidth="1"/>
    <col min="8" max="8" width="13.125" style="16" bestFit="1" customWidth="1"/>
    <col min="9" max="9" width="13" style="16" customWidth="1"/>
    <col min="10" max="10" width="8.25" style="16" bestFit="1" customWidth="1"/>
    <col min="11" max="11" width="8.25" style="16" customWidth="1"/>
    <col min="12" max="13" width="9" style="16" bestFit="1" customWidth="1"/>
    <col min="14" max="14" width="11.125" style="16" bestFit="1" customWidth="1"/>
    <col min="15" max="15" width="13.125" style="16" bestFit="1" customWidth="1"/>
    <col min="16" max="16" width="13" style="16" customWidth="1"/>
    <col min="17" max="18" width="8.75" style="16" customWidth="1"/>
    <col min="19" max="20" width="9" style="16" bestFit="1" customWidth="1"/>
    <col min="21" max="21" width="11.125" style="16" bestFit="1" customWidth="1"/>
    <col min="22" max="23" width="13.75" style="16" bestFit="1" customWidth="1"/>
    <col min="24" max="25" width="8.75" style="46" customWidth="1"/>
    <col min="26" max="27" width="9" style="46" bestFit="1" customWidth="1"/>
    <col min="28" max="28" width="11.125" style="46" bestFit="1" customWidth="1"/>
    <col min="29" max="30" width="13.75" style="46" bestFit="1" customWidth="1"/>
    <col min="31" max="32" width="8.75" style="46" customWidth="1"/>
    <col min="33" max="34" width="9" style="46" bestFit="1" customWidth="1"/>
    <col min="35" max="35" width="11.125" style="46" bestFit="1" customWidth="1"/>
    <col min="36" max="37" width="13.75" style="46" bestFit="1" customWidth="1"/>
    <col min="38" max="38" width="14" style="45" customWidth="1"/>
    <col min="39" max="39" width="23.5" style="45" customWidth="1"/>
    <col min="40" max="40" width="16.125" style="45" bestFit="1" customWidth="1"/>
    <col min="41" max="41" width="15" style="45" customWidth="1"/>
    <col min="42" max="42" width="9.375" style="45" bestFit="1" customWidth="1"/>
    <col min="43" max="45" width="9" style="54" bestFit="1" customWidth="1"/>
    <col min="46" max="46" width="12.375" style="54" customWidth="1"/>
    <col min="47" max="16384" width="8.875" style="16"/>
  </cols>
  <sheetData>
    <row r="1" spans="1:46" ht="16.5" customHeight="1" x14ac:dyDescent="0.3">
      <c r="A1" s="48"/>
      <c r="B1" s="48"/>
      <c r="C1" s="166" t="s">
        <v>140</v>
      </c>
      <c r="D1" s="167"/>
      <c r="E1" s="167"/>
      <c r="F1" s="167"/>
      <c r="G1" s="167"/>
      <c r="H1" s="167"/>
      <c r="I1" s="168"/>
      <c r="J1" s="169" t="s">
        <v>141</v>
      </c>
      <c r="K1" s="170"/>
      <c r="L1" s="170"/>
      <c r="M1" s="170"/>
      <c r="N1" s="170"/>
      <c r="O1" s="170"/>
      <c r="P1" s="171"/>
      <c r="Q1" s="166" t="s">
        <v>142</v>
      </c>
      <c r="R1" s="167"/>
      <c r="S1" s="167"/>
      <c r="T1" s="167"/>
      <c r="U1" s="167"/>
      <c r="V1" s="167"/>
      <c r="W1" s="168"/>
      <c r="X1" s="169" t="s">
        <v>86</v>
      </c>
      <c r="Y1" s="170"/>
      <c r="Z1" s="170"/>
      <c r="AA1" s="170"/>
      <c r="AB1" s="170"/>
      <c r="AC1" s="170"/>
      <c r="AD1" s="171"/>
      <c r="AE1" s="166" t="s">
        <v>164</v>
      </c>
      <c r="AF1" s="167"/>
      <c r="AG1" s="167"/>
      <c r="AH1" s="167"/>
      <c r="AI1" s="167"/>
      <c r="AJ1" s="167"/>
      <c r="AK1" s="168"/>
      <c r="AL1" s="172" t="s">
        <v>92</v>
      </c>
      <c r="AM1" s="172"/>
      <c r="AN1" s="172"/>
      <c r="AO1" s="172"/>
      <c r="AP1" s="172"/>
      <c r="AQ1" s="165" t="s">
        <v>113</v>
      </c>
      <c r="AR1" s="165"/>
      <c r="AS1" s="165"/>
      <c r="AT1" s="165"/>
    </row>
    <row r="2" spans="1:46" x14ac:dyDescent="0.3">
      <c r="A2" s="48" t="s">
        <v>68</v>
      </c>
      <c r="B2" s="48" t="s">
        <v>87</v>
      </c>
      <c r="C2" s="49" t="s">
        <v>139</v>
      </c>
      <c r="D2" s="49" t="s">
        <v>144</v>
      </c>
      <c r="E2" s="49" t="s">
        <v>101</v>
      </c>
      <c r="F2" s="49" t="s">
        <v>2</v>
      </c>
      <c r="G2" s="49" t="s">
        <v>17</v>
      </c>
      <c r="H2" s="77" t="s">
        <v>125</v>
      </c>
      <c r="I2" s="78" t="s">
        <v>123</v>
      </c>
      <c r="J2" s="48" t="s">
        <v>139</v>
      </c>
      <c r="K2" s="48" t="s">
        <v>145</v>
      </c>
      <c r="L2" s="48" t="s">
        <v>14</v>
      </c>
      <c r="M2" s="48" t="s">
        <v>2</v>
      </c>
      <c r="N2" s="48" t="s">
        <v>17</v>
      </c>
      <c r="O2" s="68" t="s">
        <v>124</v>
      </c>
      <c r="P2" s="69" t="s">
        <v>123</v>
      </c>
      <c r="Q2" s="79" t="s">
        <v>143</v>
      </c>
      <c r="R2" s="79" t="s">
        <v>145</v>
      </c>
      <c r="S2" s="49" t="s">
        <v>101</v>
      </c>
      <c r="T2" s="49" t="s">
        <v>110</v>
      </c>
      <c r="U2" s="49" t="s">
        <v>17</v>
      </c>
      <c r="V2" s="77" t="s">
        <v>133</v>
      </c>
      <c r="W2" s="78" t="s">
        <v>123</v>
      </c>
      <c r="X2" s="65" t="s">
        <v>143</v>
      </c>
      <c r="Y2" s="65" t="s">
        <v>145</v>
      </c>
      <c r="Z2" s="48" t="s">
        <v>101</v>
      </c>
      <c r="AA2" s="48" t="s">
        <v>110</v>
      </c>
      <c r="AB2" s="48" t="s">
        <v>17</v>
      </c>
      <c r="AC2" s="68" t="s">
        <v>133</v>
      </c>
      <c r="AD2" s="69" t="s">
        <v>123</v>
      </c>
      <c r="AE2" s="79" t="s">
        <v>143</v>
      </c>
      <c r="AF2" s="79" t="s">
        <v>145</v>
      </c>
      <c r="AG2" s="49" t="s">
        <v>101</v>
      </c>
      <c r="AH2" s="49" t="s">
        <v>110</v>
      </c>
      <c r="AI2" s="49" t="s">
        <v>17</v>
      </c>
      <c r="AJ2" s="77" t="s">
        <v>133</v>
      </c>
      <c r="AK2" s="78" t="s">
        <v>123</v>
      </c>
      <c r="AL2" s="50" t="s">
        <v>112</v>
      </c>
      <c r="AM2" s="50" t="s">
        <v>90</v>
      </c>
      <c r="AN2" s="50" t="s">
        <v>91</v>
      </c>
      <c r="AO2" s="80" t="s">
        <v>92</v>
      </c>
      <c r="AP2" s="50" t="s">
        <v>93</v>
      </c>
      <c r="AQ2" s="48" t="s">
        <v>114</v>
      </c>
      <c r="AR2" s="48" t="s">
        <v>94</v>
      </c>
      <c r="AS2" s="48" t="s">
        <v>95</v>
      </c>
      <c r="AT2" s="48" t="s">
        <v>106</v>
      </c>
    </row>
    <row r="3" spans="1:46" s="17" customFormat="1" x14ac:dyDescent="0.3">
      <c r="A3" s="65">
        <v>20180102</v>
      </c>
      <c r="B3" s="65" t="s">
        <v>89</v>
      </c>
      <c r="C3" s="79">
        <v>0.4</v>
      </c>
      <c r="D3" s="79">
        <f>F3*G3*I3/AN3</f>
        <v>0.3999999999999998</v>
      </c>
      <c r="E3" s="49">
        <v>2548000</v>
      </c>
      <c r="F3" s="49">
        <v>2551000</v>
      </c>
      <c r="G3" s="49">
        <v>129098494</v>
      </c>
      <c r="H3" s="49">
        <f>ROUND(C3*(F3*G3+M3*N3+T3*U3+AA3*AB3+AH3*AI3)/(F3*G3),17)</f>
        <v>0.43687954017479103</v>
      </c>
      <c r="I3" s="49">
        <f>ROUND(C3*(F3*G3+M3*N3+T3*U3+AA3*AB3+AH3*AI3)/(F3*G3),17)</f>
        <v>0.43687954017479103</v>
      </c>
      <c r="J3" s="48">
        <v>0.6</v>
      </c>
      <c r="K3" s="48">
        <f>M3*N3*P3/AN3</f>
        <v>0.60000000000000009</v>
      </c>
      <c r="L3" s="48">
        <v>221100</v>
      </c>
      <c r="M3" s="48">
        <v>225900</v>
      </c>
      <c r="N3" s="51">
        <v>122666424</v>
      </c>
      <c r="O3" s="48">
        <f>ROUND(J3*(F3*G3+M3*N3+T3*U3+AA3*AB3+AH3*AI3)/(M3*N3),17)</f>
        <v>7.7882998654042304</v>
      </c>
      <c r="P3" s="48">
        <f>ROUND(J3*(F3*G3+M3*N3+T3*U3+AA3*AB3+AH3*AI3)/(M3*N3),17)</f>
        <v>7.7882998654042304</v>
      </c>
      <c r="Q3" s="49">
        <v>0</v>
      </c>
      <c r="R3" s="49">
        <f>T3*U3*W3/AN3</f>
        <v>0</v>
      </c>
      <c r="S3" s="49">
        <v>163300</v>
      </c>
      <c r="T3" s="49">
        <v>166300</v>
      </c>
      <c r="U3" s="49">
        <v>15956260</v>
      </c>
      <c r="V3" s="49">
        <f>ROUND(Q3*(F3*G3+M3*N3+T3*U3+AA3*AB3+AH3*AI3)/(T3*U3),17)</f>
        <v>0</v>
      </c>
      <c r="W3" s="49">
        <f>ROUND(Q3*(F3*G3+M3*N3+T3*U3+AA3*AB3+AH3*AI3)/(T3*U3),17)</f>
        <v>0</v>
      </c>
      <c r="X3" s="48">
        <v>0</v>
      </c>
      <c r="Y3" s="48">
        <f>AA3*AB3*AD3/AN3</f>
        <v>0</v>
      </c>
      <c r="Z3" s="48">
        <v>0</v>
      </c>
      <c r="AA3" s="48">
        <v>0</v>
      </c>
      <c r="AB3" s="48">
        <v>0</v>
      </c>
      <c r="AC3" s="48">
        <f>IFERROR(ROUND(X3*(F3*G3+M3*N3+T3*U3+AA3*AB3+AH3*AI3)/(AA3*AB3),17),0)</f>
        <v>0</v>
      </c>
      <c r="AD3" s="48">
        <f>IFERROR(ROUND(X3*(F3*G3+M3*N3+T3*U3+AA3*AB3+AH3*AI3)/(AA3*AB3),17),0)</f>
        <v>0</v>
      </c>
      <c r="AE3" s="49">
        <v>0</v>
      </c>
      <c r="AF3" s="49">
        <f>AH3*AI3*AK3/AN3</f>
        <v>0</v>
      </c>
      <c r="AG3" s="49">
        <v>0</v>
      </c>
      <c r="AH3" s="49">
        <v>0</v>
      </c>
      <c r="AI3" s="49">
        <v>0</v>
      </c>
      <c r="AJ3" s="49">
        <f>IFERROR(ROUND(AE3*(F3*G3+M3*N3+T3*U3+AA3*AB3+AH3*AI3)/(AH3*AI3),17),0)</f>
        <v>0</v>
      </c>
      <c r="AK3" s="49">
        <f>IFERROR(ROUND(AE3*(F3*G3+M3*N3+T3*U3+AA3*AB3+AH3*AI3)/(AH3*AI3),17),0)</f>
        <v>0</v>
      </c>
      <c r="AL3" s="82" t="e">
        <f>IF(#REF!&lt;&gt;(E3*G3*H3+L3*N3*O3+S3*U3*V3+#REF!*#REF!*#REF!),1,0)</f>
        <v>#REF!</v>
      </c>
      <c r="AM3" s="82">
        <f>F3*G3*I3+M3*N3*P3+T3*U3*W3+AA3*AB3*AD3+AH3*AI3*AK3</f>
        <v>359694129413600</v>
      </c>
      <c r="AN3" s="81">
        <f>F3*G3*I3+M3*N3*P3+T3*U3*W3+AA3*AB3*AD3+AH3*AI3*AK3</f>
        <v>359694129413600</v>
      </c>
      <c r="AO3" s="80">
        <f t="shared" ref="AO3:AO66" si="0">AN3/AM3*1000</f>
        <v>1000</v>
      </c>
      <c r="AP3" s="52" t="e">
        <f>(AO3-#REF!)/#REF!</f>
        <v>#REF!</v>
      </c>
      <c r="AQ3" s="48">
        <f t="shared" ref="AQ3:AQ66" si="1">(F3-E3)/E3</f>
        <v>1.1773940345368916E-3</v>
      </c>
      <c r="AR3" s="48">
        <f t="shared" ref="AR3:AR66" si="2">(M3-L3)/L3</f>
        <v>2.1709633649932156E-2</v>
      </c>
      <c r="AS3" s="48">
        <f t="shared" ref="AS3:AS66" si="3">(T3-S3)/S3</f>
        <v>1.8371096142069811E-2</v>
      </c>
      <c r="AT3" s="48" t="e">
        <f>(#REF!-#REF!)/#REF!</f>
        <v>#REF!</v>
      </c>
    </row>
    <row r="4" spans="1:46" x14ac:dyDescent="0.3">
      <c r="A4" s="48">
        <v>20180103</v>
      </c>
      <c r="B4" s="48" t="s">
        <v>88</v>
      </c>
      <c r="C4" s="79">
        <v>0.4</v>
      </c>
      <c r="D4" s="79">
        <f t="shared" ref="D4:D67" si="4">F4*G4*I4/AN4</f>
        <v>0.38181437232270959</v>
      </c>
      <c r="E4" s="49">
        <v>2551000</v>
      </c>
      <c r="F4" s="49">
        <v>2581000</v>
      </c>
      <c r="G4" s="49">
        <v>129098494</v>
      </c>
      <c r="H4" s="49">
        <f t="shared" ref="H4:H67" si="5">I3</f>
        <v>0.43687954017479103</v>
      </c>
      <c r="I4" s="49">
        <f>IF(B4="Y",ROUND(C4*(E4*G4+L4*N4+S4*U4+Z4*AB4+AG4*AI4)/(E4*G4),17),IF(AL4=0,H4,ROUND(F3*G3*I3/AN3*(E4*G4+L4*N4+S4*U4+Z4*AB4+AG4*AI4)/(E4*G4),17)))</f>
        <v>0.43687954017479103</v>
      </c>
      <c r="J4" s="48">
        <v>0.6</v>
      </c>
      <c r="K4" s="48">
        <f t="shared" ref="K4:K67" si="6">M4*N4*P4/AN4</f>
        <v>0.61818562767729035</v>
      </c>
      <c r="L4" s="48">
        <v>225900</v>
      </c>
      <c r="M4" s="48">
        <v>246700</v>
      </c>
      <c r="N4" s="51">
        <v>122666424</v>
      </c>
      <c r="O4" s="48">
        <f t="shared" ref="O4:O67" si="7">P3</f>
        <v>7.7882998654042304</v>
      </c>
      <c r="P4" s="48">
        <f>IF(B4="Y",ROUND(J4*(E4*G4+L4*N4+S4*U4+Z4*AB4+AG4*AI4)/(L4*N4),17),IF(AL4=0,O4,ROUND(M3*N3*P3/AN3*(E4*G4+L4*N4+S4*U4+Z4*AB4+AG4*AI4)/(L4*N4),17)))</f>
        <v>7.7882998654042304</v>
      </c>
      <c r="Q4" s="49">
        <v>0</v>
      </c>
      <c r="R4" s="49">
        <f t="shared" ref="R4:R67" si="8">T4*U4*W4/AN4</f>
        <v>0</v>
      </c>
      <c r="S4" s="49">
        <v>166300</v>
      </c>
      <c r="T4" s="49">
        <v>164200</v>
      </c>
      <c r="U4" s="49">
        <v>15956260</v>
      </c>
      <c r="V4" s="49">
        <f t="shared" ref="V4:V67" si="9">W3</f>
        <v>0</v>
      </c>
      <c r="W4" s="49">
        <f>IF(B4="Y",ROUND(Q4*(E4*G4+L4*N4+S4*U4+Z4*AB4+AG4*AI4)/(S4*U4),17),IF(AL4=0,V4,ROUND(T3*U3*W3/AN3*(E4*G4+L4*N4+S4*U4+Z4*AB4+AG4*AI4)/(S4*U4),17)))</f>
        <v>0</v>
      </c>
      <c r="X4" s="48">
        <v>0</v>
      </c>
      <c r="Y4" s="48">
        <f t="shared" ref="Y4:Y67" si="10">AA4*AB4*AD4/AN4</f>
        <v>0</v>
      </c>
      <c r="Z4" s="48">
        <v>0</v>
      </c>
      <c r="AA4" s="48">
        <v>0</v>
      </c>
      <c r="AB4" s="48">
        <v>0</v>
      </c>
      <c r="AC4" s="48">
        <f t="shared" ref="AC4:AC67" si="11">AD3</f>
        <v>0</v>
      </c>
      <c r="AD4" s="48">
        <f>IFERROR(IF(B4="Y",ROUND(X4*(E4*G4+L4*N4+S4*U4+Z4*AB4+AG4*AI4)/(Z4*AB4),17),IF(AL4=0,AC4,ROUND(AA3*AB3*AD3/AN3*(E4*G4+L4*N4+S4*U4+Z4*AB4+AG4*AI4)/(Z4*AB4),17))),0)</f>
        <v>0</v>
      </c>
      <c r="AE4" s="49">
        <v>0</v>
      </c>
      <c r="AF4" s="49">
        <f t="shared" ref="AF4:AF67" si="12">AH4*AI4*AK4/AN4</f>
        <v>0</v>
      </c>
      <c r="AG4" s="49">
        <v>0</v>
      </c>
      <c r="AH4" s="49">
        <v>0</v>
      </c>
      <c r="AI4" s="49">
        <v>0</v>
      </c>
      <c r="AJ4" s="49">
        <f t="shared" ref="AJ4:AJ67" si="13">AK3</f>
        <v>0</v>
      </c>
      <c r="AK4" s="49">
        <f>IFERROR(IF(B4="Y",ROUND(AE4*(E4*G4+L4*N4+S4*U4+Z4*AB4+AG4*AI4)/(AG4*AI4),17),IF(AL4=0,AJ4,ROUND(AH3*AI3*AK3/AN3*(E4*G4+L4*N4+S4*U4+Z4*AB4+AG4*AI4)/(AG4*AI4),17))),0)</f>
        <v>0</v>
      </c>
      <c r="AL4" s="82">
        <f>IF(AN3&lt;&gt;(E4*G4*H4+L4*N4*O4+S4*U4*V4+Z4*AB4*AC4+AG4*AI4*AJ4),1,0)</f>
        <v>0</v>
      </c>
      <c r="AM4" s="82">
        <f>IF(AND(AL4=0,B4="N"),AM3,AM3*(E4*G4*I4+L4*N4*P4+S4*U4*W4+Z4*AB4*AD4+AG4*AI4*AK4)/AN3)</f>
        <v>359694129413600</v>
      </c>
      <c r="AN4" s="81">
        <f t="shared" ref="AN4:AN67" si="14">F4*G4*I4+M4*N4*P4+T4*U4*W4+AA4*AB4*AD4+AH4*AI4*AK4</f>
        <v>381257692319878.75</v>
      </c>
      <c r="AO4" s="80">
        <f t="shared" si="0"/>
        <v>1059.9497215632439</v>
      </c>
      <c r="AP4" s="52">
        <f t="shared" ref="AP4:AP67" si="15">(AO4-AO3)/AO3</f>
        <v>5.9949721563243887E-2</v>
      </c>
      <c r="AQ4" s="48">
        <f t="shared" si="1"/>
        <v>1.1760094080752646E-2</v>
      </c>
      <c r="AR4" s="48">
        <f t="shared" si="2"/>
        <v>9.2076139884904831E-2</v>
      </c>
      <c r="AS4" s="48">
        <f t="shared" si="3"/>
        <v>-1.2627781118460614E-2</v>
      </c>
      <c r="AT4" s="48" t="e">
        <f>(#REF!-#REF!)/#REF!</f>
        <v>#REF!</v>
      </c>
    </row>
    <row r="5" spans="1:46" x14ac:dyDescent="0.3">
      <c r="A5" s="48">
        <v>20180104</v>
      </c>
      <c r="B5" s="48" t="s">
        <v>88</v>
      </c>
      <c r="C5" s="79">
        <v>0.4</v>
      </c>
      <c r="D5" s="79">
        <f t="shared" si="4"/>
        <v>0.37621187532179723</v>
      </c>
      <c r="E5" s="49">
        <v>2581000</v>
      </c>
      <c r="F5" s="49">
        <v>2554000</v>
      </c>
      <c r="G5" s="49">
        <v>129098494</v>
      </c>
      <c r="H5" s="49">
        <f t="shared" si="5"/>
        <v>0.43687954017479103</v>
      </c>
      <c r="I5" s="49">
        <f t="shared" ref="I5:I68" si="16">IF(B5="Y",ROUND(C5*(E5*G5+L5*N5+S5*U5+Z5*AB5+AG5*AI5)/(E5*G5),17),IF(AL5=0,H5,ROUND(F4*G4*I4/AN4*(E5*G5+L5*N5+S5*U5+Z5*AB5+AG5*AI5)/(E5*G5),17)))</f>
        <v>0.43687954017479103</v>
      </c>
      <c r="J5" s="48">
        <v>0.6</v>
      </c>
      <c r="K5" s="48">
        <f t="shared" si="6"/>
        <v>0.62378812467820288</v>
      </c>
      <c r="L5" s="48">
        <v>246700</v>
      </c>
      <c r="M5" s="48">
        <v>250000</v>
      </c>
      <c r="N5" s="51">
        <v>122666424</v>
      </c>
      <c r="O5" s="48">
        <f t="shared" si="7"/>
        <v>7.7882998654042304</v>
      </c>
      <c r="P5" s="48">
        <f t="shared" ref="P5:P68" si="17">IF(B5="Y",ROUND(J5*(E5*G5+L5*N5+S5*U5+Z5*AB5+AG5*AI5)/(L5*N5),17),IF(AL5=0,O5,ROUND(M4*N4*P4/AN4*(E5*G5+L5*N5+S5*U5+Z5*AB5+AG5*AI5)/(L5*N5),17)))</f>
        <v>7.7882998654042304</v>
      </c>
      <c r="Q5" s="49">
        <v>0</v>
      </c>
      <c r="R5" s="49">
        <f t="shared" si="8"/>
        <v>0</v>
      </c>
      <c r="S5" s="49">
        <v>164200</v>
      </c>
      <c r="T5" s="49">
        <v>164400</v>
      </c>
      <c r="U5" s="49">
        <v>15956260</v>
      </c>
      <c r="V5" s="49">
        <f t="shared" si="9"/>
        <v>0</v>
      </c>
      <c r="W5" s="49">
        <f t="shared" ref="W5:W68" si="18">IF(B5="Y",ROUND(Q5*(E5*G5+L5*N5+S5*U5+Z5*AB5+AG5*AI5)/(S5*U5),17),IF(AL5=0,V5,ROUND(T4*U4*W4/AN4*(E5*G5+L5*N5+S5*U5+Z5*AB5+AG5*AI5)/(S5*U5),17)))</f>
        <v>0</v>
      </c>
      <c r="X5" s="48">
        <v>0</v>
      </c>
      <c r="Y5" s="48">
        <f t="shared" si="10"/>
        <v>0</v>
      </c>
      <c r="Z5" s="48">
        <v>0</v>
      </c>
      <c r="AA5" s="48">
        <v>0</v>
      </c>
      <c r="AB5" s="48">
        <v>0</v>
      </c>
      <c r="AC5" s="48">
        <f t="shared" si="11"/>
        <v>0</v>
      </c>
      <c r="AD5" s="48">
        <f t="shared" ref="AD5:AD68" si="19">IFERROR(IF(B5="Y",ROUND(X5*(E5*G5+L5*N5+S5*U5+Z5*AB5+AG5*AI5)/(Z5*AB5),17),IF(AL5=0,AC5,ROUND(AA4*AB4*AD4/AN4*(E5*G5+L5*N5+S5*U5+Z5*AB5+AG5*AI5)/(Z5*AB5),17))),0)</f>
        <v>0</v>
      </c>
      <c r="AE5" s="49">
        <v>0</v>
      </c>
      <c r="AF5" s="49">
        <f t="shared" si="12"/>
        <v>0</v>
      </c>
      <c r="AG5" s="49">
        <v>0</v>
      </c>
      <c r="AH5" s="49">
        <v>0</v>
      </c>
      <c r="AI5" s="49">
        <v>0</v>
      </c>
      <c r="AJ5" s="49">
        <f t="shared" si="13"/>
        <v>0</v>
      </c>
      <c r="AK5" s="49">
        <f t="shared" ref="AK5:AK68" si="20">IFERROR(IF(B5="Y",ROUND(AE5*(E5*G5+L5*N5+S5*U5+Z5*AB5+AG5*AI5)/(AG5*AI5),17),IF(AL5=0,AJ5,ROUND(AH4*AI4*AK4/AN4*(E5*G5+L5*N5+S5*U5+Z5*AB5+AG5*AI5)/(AG5*AI5),17))),0)</f>
        <v>0</v>
      </c>
      <c r="AL5" s="82">
        <f t="shared" ref="AL5:AL68" si="21">IF(AN4&lt;&gt;(E5*G5*H5+L5*N5*O5+S5*U5*V5+Z5*AB5*AC5+AG5*AI5*AJ5),1,0)</f>
        <v>0</v>
      </c>
      <c r="AM5" s="82">
        <f t="shared" ref="AM5:AM68" si="22">IF(AND(AL5=0,B5="N"),AM4,AM4*(E5*G5*I5+L5*N5*P5+S5*U5*W5+Z5*AB5*AD5+AG5*AI5*AK5)/AN4)</f>
        <v>359694129413600</v>
      </c>
      <c r="AN5" s="81">
        <f t="shared" si="14"/>
        <v>382887576619732.37</v>
      </c>
      <c r="AO5" s="80">
        <f t="shared" si="0"/>
        <v>1064.4810279332166</v>
      </c>
      <c r="AP5" s="52">
        <f t="shared" si="15"/>
        <v>4.2750201050006922E-3</v>
      </c>
      <c r="AQ5" s="48">
        <f t="shared" si="1"/>
        <v>-1.0461061604029445E-2</v>
      </c>
      <c r="AR5" s="48">
        <f t="shared" si="2"/>
        <v>1.3376570733684636E-2</v>
      </c>
      <c r="AS5" s="48">
        <f t="shared" si="3"/>
        <v>1.2180267965895249E-3</v>
      </c>
      <c r="AT5" s="48" t="e">
        <f>(#REF!-#REF!)/#REF!</f>
        <v>#REF!</v>
      </c>
    </row>
    <row r="6" spans="1:46" x14ac:dyDescent="0.3">
      <c r="A6" s="48">
        <v>20180105</v>
      </c>
      <c r="B6" s="48" t="s">
        <v>88</v>
      </c>
      <c r="C6" s="79">
        <v>0.4</v>
      </c>
      <c r="D6" s="79">
        <f t="shared" si="4"/>
        <v>0.36565198534834009</v>
      </c>
      <c r="E6" s="49">
        <v>2554000</v>
      </c>
      <c r="F6" s="49">
        <v>2606000</v>
      </c>
      <c r="G6" s="49">
        <v>129098494</v>
      </c>
      <c r="H6" s="49">
        <f t="shared" si="5"/>
        <v>0.43687954017479103</v>
      </c>
      <c r="I6" s="49">
        <f t="shared" si="16"/>
        <v>0.43687954017479103</v>
      </c>
      <c r="J6" s="48">
        <v>0.6</v>
      </c>
      <c r="K6" s="48">
        <f t="shared" si="6"/>
        <v>0.63434801465165991</v>
      </c>
      <c r="L6" s="48">
        <v>250000</v>
      </c>
      <c r="M6" s="48">
        <v>266900</v>
      </c>
      <c r="N6" s="51">
        <v>122666424</v>
      </c>
      <c r="O6" s="48">
        <f t="shared" si="7"/>
        <v>7.7882998654042304</v>
      </c>
      <c r="P6" s="48">
        <f t="shared" si="17"/>
        <v>7.7882998654042304</v>
      </c>
      <c r="Q6" s="49">
        <v>0</v>
      </c>
      <c r="R6" s="49">
        <f t="shared" si="8"/>
        <v>0</v>
      </c>
      <c r="S6" s="49">
        <v>164400</v>
      </c>
      <c r="T6" s="49">
        <v>170500</v>
      </c>
      <c r="U6" s="49">
        <v>15956260</v>
      </c>
      <c r="V6" s="49">
        <f t="shared" si="9"/>
        <v>0</v>
      </c>
      <c r="W6" s="49">
        <f t="shared" si="18"/>
        <v>0</v>
      </c>
      <c r="X6" s="48">
        <v>0</v>
      </c>
      <c r="Y6" s="48">
        <f t="shared" si="10"/>
        <v>0</v>
      </c>
      <c r="Z6" s="48">
        <v>0</v>
      </c>
      <c r="AA6" s="48">
        <v>0</v>
      </c>
      <c r="AB6" s="48">
        <v>0</v>
      </c>
      <c r="AC6" s="48">
        <f t="shared" si="11"/>
        <v>0</v>
      </c>
      <c r="AD6" s="48">
        <f t="shared" si="19"/>
        <v>0</v>
      </c>
      <c r="AE6" s="49">
        <v>0</v>
      </c>
      <c r="AF6" s="49">
        <f t="shared" si="12"/>
        <v>0</v>
      </c>
      <c r="AG6" s="49">
        <v>0</v>
      </c>
      <c r="AH6" s="49">
        <v>0</v>
      </c>
      <c r="AI6" s="49">
        <v>0</v>
      </c>
      <c r="AJ6" s="49">
        <f t="shared" si="13"/>
        <v>0</v>
      </c>
      <c r="AK6" s="49">
        <f t="shared" si="20"/>
        <v>0</v>
      </c>
      <c r="AL6" s="82">
        <f t="shared" si="21"/>
        <v>0</v>
      </c>
      <c r="AM6" s="82">
        <f t="shared" si="22"/>
        <v>359694129413600</v>
      </c>
      <c r="AN6" s="81">
        <f t="shared" si="14"/>
        <v>401966035036560.31</v>
      </c>
      <c r="AO6" s="80">
        <f t="shared" si="0"/>
        <v>1117.5218113564299</v>
      </c>
      <c r="AP6" s="52">
        <f t="shared" si="15"/>
        <v>4.9827833499481534E-2</v>
      </c>
      <c r="AQ6" s="48">
        <f t="shared" si="1"/>
        <v>2.0360219263899765E-2</v>
      </c>
      <c r="AR6" s="48">
        <f t="shared" si="2"/>
        <v>6.7599999999999993E-2</v>
      </c>
      <c r="AS6" s="48">
        <f t="shared" si="3"/>
        <v>3.7104622871046232E-2</v>
      </c>
      <c r="AT6" s="48" t="e">
        <f>(#REF!-#REF!)/#REF!</f>
        <v>#REF!</v>
      </c>
    </row>
    <row r="7" spans="1:46" x14ac:dyDescent="0.3">
      <c r="A7" s="48">
        <v>20180108</v>
      </c>
      <c r="B7" s="48" t="s">
        <v>88</v>
      </c>
      <c r="C7" s="79">
        <v>0.4</v>
      </c>
      <c r="D7" s="79">
        <f t="shared" si="4"/>
        <v>0.33669813194754167</v>
      </c>
      <c r="E7" s="49">
        <v>2606000</v>
      </c>
      <c r="F7" s="49">
        <v>2601000</v>
      </c>
      <c r="G7" s="49">
        <v>129098494</v>
      </c>
      <c r="H7" s="49">
        <f t="shared" si="5"/>
        <v>0.43687954017479103</v>
      </c>
      <c r="I7" s="49">
        <f t="shared" si="16"/>
        <v>0.43687954017479103</v>
      </c>
      <c r="J7" s="48">
        <v>0.6</v>
      </c>
      <c r="K7" s="48">
        <f t="shared" si="6"/>
        <v>0.66330186805245828</v>
      </c>
      <c r="L7" s="48">
        <v>266900</v>
      </c>
      <c r="M7" s="48">
        <v>302500</v>
      </c>
      <c r="N7" s="51">
        <v>122666424</v>
      </c>
      <c r="O7" s="48">
        <f t="shared" si="7"/>
        <v>7.7882998654042304</v>
      </c>
      <c r="P7" s="48">
        <f t="shared" si="17"/>
        <v>7.7882998654042304</v>
      </c>
      <c r="Q7" s="49">
        <v>0</v>
      </c>
      <c r="R7" s="49">
        <f t="shared" si="8"/>
        <v>0</v>
      </c>
      <c r="S7" s="49">
        <v>170500</v>
      </c>
      <c r="T7" s="49">
        <v>170200</v>
      </c>
      <c r="U7" s="49">
        <v>15956260</v>
      </c>
      <c r="V7" s="49">
        <f t="shared" si="9"/>
        <v>0</v>
      </c>
      <c r="W7" s="49">
        <f t="shared" si="18"/>
        <v>0</v>
      </c>
      <c r="X7" s="48">
        <v>0</v>
      </c>
      <c r="Y7" s="48">
        <f t="shared" si="10"/>
        <v>0</v>
      </c>
      <c r="Z7" s="48">
        <v>0</v>
      </c>
      <c r="AA7" s="48">
        <v>0</v>
      </c>
      <c r="AB7" s="48">
        <v>0</v>
      </c>
      <c r="AC7" s="48">
        <f t="shared" si="11"/>
        <v>0</v>
      </c>
      <c r="AD7" s="48">
        <f t="shared" si="19"/>
        <v>0</v>
      </c>
      <c r="AE7" s="49">
        <v>0</v>
      </c>
      <c r="AF7" s="49">
        <f t="shared" si="12"/>
        <v>0</v>
      </c>
      <c r="AG7" s="49">
        <v>0</v>
      </c>
      <c r="AH7" s="49">
        <v>0</v>
      </c>
      <c r="AI7" s="49">
        <v>0</v>
      </c>
      <c r="AJ7" s="49">
        <f t="shared" si="13"/>
        <v>0</v>
      </c>
      <c r="AK7" s="49">
        <f t="shared" si="20"/>
        <v>0</v>
      </c>
      <c r="AL7" s="82">
        <f t="shared" si="21"/>
        <v>0</v>
      </c>
      <c r="AM7" s="82">
        <f t="shared" si="22"/>
        <v>359694129413600</v>
      </c>
      <c r="AN7" s="81">
        <f t="shared" si="14"/>
        <v>435694951592706.31</v>
      </c>
      <c r="AO7" s="80">
        <f t="shared" si="0"/>
        <v>1211.2929179661855</v>
      </c>
      <c r="AP7" s="52">
        <f t="shared" si="15"/>
        <v>8.3909867044060449E-2</v>
      </c>
      <c r="AQ7" s="48">
        <f t="shared" si="1"/>
        <v>-1.918649270913277E-3</v>
      </c>
      <c r="AR7" s="48">
        <f t="shared" si="2"/>
        <v>0.13338328962158111</v>
      </c>
      <c r="AS7" s="48">
        <f t="shared" si="3"/>
        <v>-1.7595307917888563E-3</v>
      </c>
      <c r="AT7" s="48" t="e">
        <f>(#REF!-#REF!)/#REF!</f>
        <v>#REF!</v>
      </c>
    </row>
    <row r="8" spans="1:46" x14ac:dyDescent="0.3">
      <c r="A8" s="48">
        <v>20180109</v>
      </c>
      <c r="B8" s="48" t="s">
        <v>88</v>
      </c>
      <c r="C8" s="79">
        <v>0.4</v>
      </c>
      <c r="D8" s="79">
        <f t="shared" si="4"/>
        <v>0.33714036721820001</v>
      </c>
      <c r="E8" s="49">
        <v>2601000</v>
      </c>
      <c r="F8" s="49">
        <v>2520000</v>
      </c>
      <c r="G8" s="49">
        <v>129098494</v>
      </c>
      <c r="H8" s="49">
        <f t="shared" si="5"/>
        <v>0.43687954017479103</v>
      </c>
      <c r="I8" s="49">
        <f t="shared" si="16"/>
        <v>0.43687954017479103</v>
      </c>
      <c r="J8" s="48">
        <v>0.6</v>
      </c>
      <c r="K8" s="48">
        <f t="shared" si="6"/>
        <v>0.66285963278179993</v>
      </c>
      <c r="L8" s="48">
        <v>302500</v>
      </c>
      <c r="M8" s="48">
        <v>292500</v>
      </c>
      <c r="N8" s="51">
        <v>122666424</v>
      </c>
      <c r="O8" s="48">
        <f t="shared" si="7"/>
        <v>7.7882998654042304</v>
      </c>
      <c r="P8" s="48">
        <f t="shared" si="17"/>
        <v>7.7882998654042304</v>
      </c>
      <c r="Q8" s="49">
        <v>0</v>
      </c>
      <c r="R8" s="49">
        <f t="shared" si="8"/>
        <v>0</v>
      </c>
      <c r="S8" s="49">
        <v>170200</v>
      </c>
      <c r="T8" s="49">
        <v>164000</v>
      </c>
      <c r="U8" s="49">
        <v>15956260</v>
      </c>
      <c r="V8" s="49">
        <f t="shared" si="9"/>
        <v>0</v>
      </c>
      <c r="W8" s="49">
        <f t="shared" si="18"/>
        <v>0</v>
      </c>
      <c r="X8" s="48">
        <v>0</v>
      </c>
      <c r="Y8" s="48">
        <f t="shared" si="10"/>
        <v>0</v>
      </c>
      <c r="Z8" s="48">
        <v>0</v>
      </c>
      <c r="AA8" s="48">
        <v>0</v>
      </c>
      <c r="AB8" s="48">
        <v>0</v>
      </c>
      <c r="AC8" s="48">
        <f t="shared" si="11"/>
        <v>0</v>
      </c>
      <c r="AD8" s="48">
        <f t="shared" si="19"/>
        <v>0</v>
      </c>
      <c r="AE8" s="49">
        <v>0</v>
      </c>
      <c r="AF8" s="49">
        <f t="shared" si="12"/>
        <v>0</v>
      </c>
      <c r="AG8" s="49">
        <v>0</v>
      </c>
      <c r="AH8" s="49">
        <v>0</v>
      </c>
      <c r="AI8" s="49">
        <v>0</v>
      </c>
      <c r="AJ8" s="49">
        <f t="shared" si="13"/>
        <v>0</v>
      </c>
      <c r="AK8" s="49">
        <f t="shared" si="20"/>
        <v>0</v>
      </c>
      <c r="AL8" s="82">
        <f t="shared" si="21"/>
        <v>0</v>
      </c>
      <c r="AM8" s="82">
        <f t="shared" si="22"/>
        <v>359694129413600</v>
      </c>
      <c r="AN8" s="81">
        <f t="shared" si="14"/>
        <v>421572882911043.94</v>
      </c>
      <c r="AO8" s="80">
        <f t="shared" si="0"/>
        <v>1172.0315913921734</v>
      </c>
      <c r="AP8" s="52">
        <f t="shared" si="15"/>
        <v>-3.2412743434456527E-2</v>
      </c>
      <c r="AQ8" s="48">
        <f t="shared" si="1"/>
        <v>-3.1141868512110725E-2</v>
      </c>
      <c r="AR8" s="48">
        <f t="shared" si="2"/>
        <v>-3.3057851239669422E-2</v>
      </c>
      <c r="AS8" s="48">
        <f t="shared" si="3"/>
        <v>-3.6427732079905996E-2</v>
      </c>
      <c r="AT8" s="48" t="e">
        <f>(#REF!-#REF!)/#REF!</f>
        <v>#REF!</v>
      </c>
    </row>
    <row r="9" spans="1:46" x14ac:dyDescent="0.3">
      <c r="A9" s="48">
        <v>20180110</v>
      </c>
      <c r="B9" s="48" t="s">
        <v>88</v>
      </c>
      <c r="C9" s="79">
        <v>0.4</v>
      </c>
      <c r="D9" s="79">
        <f t="shared" si="4"/>
        <v>0.32752507611804543</v>
      </c>
      <c r="E9" s="49">
        <v>2520000</v>
      </c>
      <c r="F9" s="49">
        <v>2442000</v>
      </c>
      <c r="G9" s="49">
        <v>129098494</v>
      </c>
      <c r="H9" s="49">
        <f t="shared" si="5"/>
        <v>0.43687954017479103</v>
      </c>
      <c r="I9" s="49">
        <f t="shared" si="16"/>
        <v>0.43687954017479103</v>
      </c>
      <c r="J9" s="48">
        <v>0.6</v>
      </c>
      <c r="K9" s="48">
        <f t="shared" si="6"/>
        <v>0.67247492388195462</v>
      </c>
      <c r="L9" s="48">
        <v>292500</v>
      </c>
      <c r="M9" s="48">
        <v>296000</v>
      </c>
      <c r="N9" s="51">
        <v>122666424</v>
      </c>
      <c r="O9" s="48">
        <f t="shared" si="7"/>
        <v>7.7882998654042304</v>
      </c>
      <c r="P9" s="48">
        <f t="shared" si="17"/>
        <v>7.7882998654042304</v>
      </c>
      <c r="Q9" s="49">
        <v>0</v>
      </c>
      <c r="R9" s="49">
        <f t="shared" si="8"/>
        <v>0</v>
      </c>
      <c r="S9" s="49">
        <v>164000</v>
      </c>
      <c r="T9" s="49">
        <v>164000</v>
      </c>
      <c r="U9" s="49">
        <v>15956260</v>
      </c>
      <c r="V9" s="49">
        <f t="shared" si="9"/>
        <v>0</v>
      </c>
      <c r="W9" s="49">
        <f t="shared" si="18"/>
        <v>0</v>
      </c>
      <c r="X9" s="48">
        <v>0</v>
      </c>
      <c r="Y9" s="48">
        <f t="shared" si="10"/>
        <v>0</v>
      </c>
      <c r="Z9" s="48">
        <v>0</v>
      </c>
      <c r="AA9" s="48">
        <v>0</v>
      </c>
      <c r="AB9" s="48">
        <v>0</v>
      </c>
      <c r="AC9" s="48">
        <f t="shared" si="11"/>
        <v>0</v>
      </c>
      <c r="AD9" s="48">
        <f t="shared" si="19"/>
        <v>0</v>
      </c>
      <c r="AE9" s="49">
        <v>0</v>
      </c>
      <c r="AF9" s="49">
        <f t="shared" si="12"/>
        <v>0</v>
      </c>
      <c r="AG9" s="49">
        <v>0</v>
      </c>
      <c r="AH9" s="49">
        <v>0</v>
      </c>
      <c r="AI9" s="49">
        <v>0</v>
      </c>
      <c r="AJ9" s="49">
        <f t="shared" si="13"/>
        <v>0</v>
      </c>
      <c r="AK9" s="49">
        <f t="shared" si="20"/>
        <v>0</v>
      </c>
      <c r="AL9" s="82">
        <f t="shared" si="21"/>
        <v>0</v>
      </c>
      <c r="AM9" s="82">
        <f t="shared" si="22"/>
        <v>359694129413600</v>
      </c>
      <c r="AN9" s="81">
        <f t="shared" si="14"/>
        <v>420517414764108.5</v>
      </c>
      <c r="AO9" s="80">
        <f t="shared" si="0"/>
        <v>1169.0972422865705</v>
      </c>
      <c r="AP9" s="52">
        <f t="shared" si="15"/>
        <v>-2.5036433549691264E-3</v>
      </c>
      <c r="AQ9" s="48">
        <f t="shared" si="1"/>
        <v>-3.0952380952380953E-2</v>
      </c>
      <c r="AR9" s="48">
        <f t="shared" si="2"/>
        <v>1.1965811965811967E-2</v>
      </c>
      <c r="AS9" s="48">
        <f t="shared" si="3"/>
        <v>0</v>
      </c>
      <c r="AT9" s="48" t="e">
        <f>(#REF!-#REF!)/#REF!</f>
        <v>#REF!</v>
      </c>
    </row>
    <row r="10" spans="1:46" x14ac:dyDescent="0.3">
      <c r="A10" s="48">
        <v>20180111</v>
      </c>
      <c r="B10" s="48" t="s">
        <v>88</v>
      </c>
      <c r="C10" s="79">
        <v>0.4</v>
      </c>
      <c r="D10" s="79">
        <f t="shared" si="4"/>
        <v>0.31685787613129807</v>
      </c>
      <c r="E10" s="49">
        <v>2442000</v>
      </c>
      <c r="F10" s="49">
        <v>2412000</v>
      </c>
      <c r="G10" s="49">
        <v>129098494</v>
      </c>
      <c r="H10" s="49">
        <f t="shared" si="5"/>
        <v>0.43687954017479103</v>
      </c>
      <c r="I10" s="49">
        <f t="shared" si="16"/>
        <v>0.43687954017479103</v>
      </c>
      <c r="J10" s="48">
        <v>0.6</v>
      </c>
      <c r="K10" s="48">
        <f t="shared" si="6"/>
        <v>0.68314212386870188</v>
      </c>
      <c r="L10" s="48">
        <v>296000</v>
      </c>
      <c r="M10" s="48">
        <v>307000</v>
      </c>
      <c r="N10" s="51">
        <v>122666424</v>
      </c>
      <c r="O10" s="48">
        <f t="shared" si="7"/>
        <v>7.7882998654042304</v>
      </c>
      <c r="P10" s="48">
        <f t="shared" si="17"/>
        <v>7.7882998654042304</v>
      </c>
      <c r="Q10" s="49">
        <v>0</v>
      </c>
      <c r="R10" s="49">
        <f t="shared" si="8"/>
        <v>0</v>
      </c>
      <c r="S10" s="49">
        <v>164000</v>
      </c>
      <c r="T10" s="49">
        <v>169000</v>
      </c>
      <c r="U10" s="49">
        <v>15956260</v>
      </c>
      <c r="V10" s="49">
        <f t="shared" si="9"/>
        <v>0</v>
      </c>
      <c r="W10" s="49">
        <f t="shared" si="18"/>
        <v>0</v>
      </c>
      <c r="X10" s="48">
        <v>0</v>
      </c>
      <c r="Y10" s="48">
        <f t="shared" si="10"/>
        <v>0</v>
      </c>
      <c r="Z10" s="48">
        <v>0</v>
      </c>
      <c r="AA10" s="48">
        <v>0</v>
      </c>
      <c r="AB10" s="48">
        <v>0</v>
      </c>
      <c r="AC10" s="48">
        <f t="shared" si="11"/>
        <v>0</v>
      </c>
      <c r="AD10" s="48">
        <f t="shared" si="19"/>
        <v>0</v>
      </c>
      <c r="AE10" s="49">
        <v>0</v>
      </c>
      <c r="AF10" s="49">
        <f t="shared" si="12"/>
        <v>0</v>
      </c>
      <c r="AG10" s="49">
        <v>0</v>
      </c>
      <c r="AH10" s="49">
        <v>0</v>
      </c>
      <c r="AI10" s="49">
        <v>0</v>
      </c>
      <c r="AJ10" s="49">
        <f t="shared" si="13"/>
        <v>0</v>
      </c>
      <c r="AK10" s="49">
        <f t="shared" si="20"/>
        <v>0</v>
      </c>
      <c r="AL10" s="82">
        <f t="shared" si="21"/>
        <v>0</v>
      </c>
      <c r="AM10" s="82">
        <f t="shared" si="22"/>
        <v>359694129413600</v>
      </c>
      <c r="AN10" s="81">
        <f t="shared" si="14"/>
        <v>429334391872046.19</v>
      </c>
      <c r="AO10" s="80">
        <f t="shared" si="0"/>
        <v>1193.6096721177487</v>
      </c>
      <c r="AP10" s="52">
        <f t="shared" si="15"/>
        <v>2.096697258752896E-2</v>
      </c>
      <c r="AQ10" s="48">
        <f t="shared" si="1"/>
        <v>-1.2285012285012284E-2</v>
      </c>
      <c r="AR10" s="48">
        <f t="shared" si="2"/>
        <v>3.7162162162162164E-2</v>
      </c>
      <c r="AS10" s="48">
        <f t="shared" si="3"/>
        <v>3.048780487804878E-2</v>
      </c>
      <c r="AT10" s="48" t="e">
        <f>(#REF!-#REF!)/#REF!</f>
        <v>#REF!</v>
      </c>
    </row>
    <row r="11" spans="1:46" x14ac:dyDescent="0.3">
      <c r="A11" s="48">
        <v>20180112</v>
      </c>
      <c r="B11" s="48" t="s">
        <v>88</v>
      </c>
      <c r="C11" s="79">
        <v>0.4</v>
      </c>
      <c r="D11" s="79">
        <f t="shared" si="4"/>
        <v>0.29409474419876613</v>
      </c>
      <c r="E11" s="49">
        <v>2412000</v>
      </c>
      <c r="F11" s="49">
        <v>2410000</v>
      </c>
      <c r="G11" s="49">
        <v>129098494</v>
      </c>
      <c r="H11" s="49">
        <f t="shared" si="5"/>
        <v>0.43687954017479103</v>
      </c>
      <c r="I11" s="49">
        <f t="shared" si="16"/>
        <v>0.43687954017479103</v>
      </c>
      <c r="J11" s="48">
        <v>0.6</v>
      </c>
      <c r="K11" s="48">
        <f t="shared" si="6"/>
        <v>0.70590525580123376</v>
      </c>
      <c r="L11" s="48">
        <v>307000</v>
      </c>
      <c r="M11" s="48">
        <v>341500</v>
      </c>
      <c r="N11" s="51">
        <v>122666424</v>
      </c>
      <c r="O11" s="48">
        <f t="shared" si="7"/>
        <v>7.7882998654042304</v>
      </c>
      <c r="P11" s="48">
        <f t="shared" si="17"/>
        <v>7.7882998654042304</v>
      </c>
      <c r="Q11" s="49">
        <v>0</v>
      </c>
      <c r="R11" s="49">
        <f t="shared" si="8"/>
        <v>0</v>
      </c>
      <c r="S11" s="49">
        <v>169000</v>
      </c>
      <c r="T11" s="49">
        <v>177500</v>
      </c>
      <c r="U11" s="49">
        <v>15956260</v>
      </c>
      <c r="V11" s="49">
        <f t="shared" si="9"/>
        <v>0</v>
      </c>
      <c r="W11" s="49">
        <f t="shared" si="18"/>
        <v>0</v>
      </c>
      <c r="X11" s="48">
        <v>0</v>
      </c>
      <c r="Y11" s="48">
        <f t="shared" si="10"/>
        <v>0</v>
      </c>
      <c r="Z11" s="48">
        <v>0</v>
      </c>
      <c r="AA11" s="48">
        <v>0</v>
      </c>
      <c r="AB11" s="48">
        <v>0</v>
      </c>
      <c r="AC11" s="48">
        <f t="shared" si="11"/>
        <v>0</v>
      </c>
      <c r="AD11" s="48">
        <f t="shared" si="19"/>
        <v>0</v>
      </c>
      <c r="AE11" s="49">
        <v>0</v>
      </c>
      <c r="AF11" s="49">
        <f t="shared" si="12"/>
        <v>0</v>
      </c>
      <c r="AG11" s="49">
        <v>0</v>
      </c>
      <c r="AH11" s="49">
        <v>0</v>
      </c>
      <c r="AI11" s="49">
        <v>0</v>
      </c>
      <c r="AJ11" s="49">
        <f t="shared" si="13"/>
        <v>0</v>
      </c>
      <c r="AK11" s="49">
        <f t="shared" si="20"/>
        <v>0</v>
      </c>
      <c r="AL11" s="82">
        <f t="shared" si="21"/>
        <v>0</v>
      </c>
      <c r="AM11" s="82">
        <f t="shared" si="22"/>
        <v>359694129413600</v>
      </c>
      <c r="AN11" s="81">
        <f t="shared" si="14"/>
        <v>462181610717398.5</v>
      </c>
      <c r="AO11" s="80">
        <f t="shared" si="0"/>
        <v>1284.9295357443871</v>
      </c>
      <c r="AP11" s="52">
        <f t="shared" si="15"/>
        <v>7.6507308678736771E-2</v>
      </c>
      <c r="AQ11" s="48">
        <f t="shared" si="1"/>
        <v>-8.2918739635157548E-4</v>
      </c>
      <c r="AR11" s="48">
        <f t="shared" si="2"/>
        <v>0.11237785016286644</v>
      </c>
      <c r="AS11" s="48">
        <f t="shared" si="3"/>
        <v>5.0295857988165681E-2</v>
      </c>
      <c r="AT11" s="48" t="e">
        <f>(#REF!-#REF!)/#REF!</f>
        <v>#REF!</v>
      </c>
    </row>
    <row r="12" spans="1:46" x14ac:dyDescent="0.3">
      <c r="A12" s="48">
        <v>20180115</v>
      </c>
      <c r="B12" s="48" t="s">
        <v>88</v>
      </c>
      <c r="C12" s="79">
        <v>0.4</v>
      </c>
      <c r="D12" s="79">
        <f t="shared" si="4"/>
        <v>0.29046322495967347</v>
      </c>
      <c r="E12" s="49">
        <v>2410000</v>
      </c>
      <c r="F12" s="49">
        <v>2427000</v>
      </c>
      <c r="G12" s="49">
        <v>129098494</v>
      </c>
      <c r="H12" s="49">
        <f t="shared" si="5"/>
        <v>0.43687954017479103</v>
      </c>
      <c r="I12" s="49">
        <f t="shared" si="16"/>
        <v>0.43687954017479103</v>
      </c>
      <c r="J12" s="48">
        <v>0.6</v>
      </c>
      <c r="K12" s="48">
        <f t="shared" si="6"/>
        <v>0.70953677504032664</v>
      </c>
      <c r="L12" s="48">
        <v>341500</v>
      </c>
      <c r="M12" s="48">
        <v>350000</v>
      </c>
      <c r="N12" s="51">
        <v>122666424</v>
      </c>
      <c r="O12" s="48">
        <f t="shared" si="7"/>
        <v>7.7882998654042304</v>
      </c>
      <c r="P12" s="48">
        <f t="shared" si="17"/>
        <v>7.7882998654042304</v>
      </c>
      <c r="Q12" s="49">
        <v>0</v>
      </c>
      <c r="R12" s="49">
        <f t="shared" si="8"/>
        <v>0</v>
      </c>
      <c r="S12" s="49">
        <v>177500</v>
      </c>
      <c r="T12" s="49">
        <v>230700</v>
      </c>
      <c r="U12" s="49">
        <v>15956260</v>
      </c>
      <c r="V12" s="49">
        <f t="shared" si="9"/>
        <v>0</v>
      </c>
      <c r="W12" s="49">
        <f t="shared" si="18"/>
        <v>0</v>
      </c>
      <c r="X12" s="48">
        <v>0</v>
      </c>
      <c r="Y12" s="48">
        <f t="shared" si="10"/>
        <v>0</v>
      </c>
      <c r="Z12" s="48">
        <v>0</v>
      </c>
      <c r="AA12" s="48">
        <v>0</v>
      </c>
      <c r="AB12" s="48">
        <v>0</v>
      </c>
      <c r="AC12" s="48">
        <f t="shared" si="11"/>
        <v>0</v>
      </c>
      <c r="AD12" s="48">
        <f t="shared" si="19"/>
        <v>0</v>
      </c>
      <c r="AE12" s="49">
        <v>0</v>
      </c>
      <c r="AF12" s="49">
        <f t="shared" si="12"/>
        <v>0</v>
      </c>
      <c r="AG12" s="49">
        <v>0</v>
      </c>
      <c r="AH12" s="49">
        <v>0</v>
      </c>
      <c r="AI12" s="49">
        <v>0</v>
      </c>
      <c r="AJ12" s="49">
        <f t="shared" si="13"/>
        <v>0</v>
      </c>
      <c r="AK12" s="49">
        <f t="shared" si="20"/>
        <v>0</v>
      </c>
      <c r="AL12" s="82">
        <f t="shared" si="21"/>
        <v>0</v>
      </c>
      <c r="AM12" s="82">
        <f t="shared" si="22"/>
        <v>359694129413600</v>
      </c>
      <c r="AN12" s="81">
        <f t="shared" si="14"/>
        <v>471261003654225</v>
      </c>
      <c r="AO12" s="80">
        <f t="shared" si="0"/>
        <v>1310.1715182911369</v>
      </c>
      <c r="AP12" s="52">
        <f t="shared" si="15"/>
        <v>1.9644643417840477E-2</v>
      </c>
      <c r="AQ12" s="48">
        <f t="shared" si="1"/>
        <v>7.053941908713693E-3</v>
      </c>
      <c r="AR12" s="48">
        <f t="shared" si="2"/>
        <v>2.4890190336749635E-2</v>
      </c>
      <c r="AS12" s="48">
        <f t="shared" si="3"/>
        <v>0.29971830985915493</v>
      </c>
      <c r="AT12" s="48" t="e">
        <f>(#REF!-#REF!)/#REF!</f>
        <v>#REF!</v>
      </c>
    </row>
    <row r="13" spans="1:46" x14ac:dyDescent="0.3">
      <c r="A13" s="48">
        <v>20180116</v>
      </c>
      <c r="B13" s="48" t="s">
        <v>88</v>
      </c>
      <c r="C13" s="79">
        <v>0.4</v>
      </c>
      <c r="D13" s="79">
        <f t="shared" si="4"/>
        <v>0.29816647810507702</v>
      </c>
      <c r="E13" s="49">
        <v>2427000</v>
      </c>
      <c r="F13" s="49">
        <v>2500000</v>
      </c>
      <c r="G13" s="49">
        <v>129098494</v>
      </c>
      <c r="H13" s="49">
        <f t="shared" si="5"/>
        <v>0.43687954017479103</v>
      </c>
      <c r="I13" s="49">
        <f t="shared" si="16"/>
        <v>0.43687954017479103</v>
      </c>
      <c r="J13" s="48">
        <v>0.6</v>
      </c>
      <c r="K13" s="48">
        <f t="shared" si="6"/>
        <v>0.70183352189492287</v>
      </c>
      <c r="L13" s="48">
        <v>350000</v>
      </c>
      <c r="M13" s="48">
        <v>347400</v>
      </c>
      <c r="N13" s="51">
        <v>122666424</v>
      </c>
      <c r="O13" s="48">
        <f t="shared" si="7"/>
        <v>7.7882998654042304</v>
      </c>
      <c r="P13" s="48">
        <f t="shared" si="17"/>
        <v>7.7882998654042304</v>
      </c>
      <c r="Q13" s="49">
        <v>0</v>
      </c>
      <c r="R13" s="49">
        <f t="shared" si="8"/>
        <v>0</v>
      </c>
      <c r="S13" s="49">
        <v>230700</v>
      </c>
      <c r="T13" s="49">
        <v>229700</v>
      </c>
      <c r="U13" s="49">
        <v>15956260</v>
      </c>
      <c r="V13" s="49">
        <f t="shared" si="9"/>
        <v>0</v>
      </c>
      <c r="W13" s="49">
        <f t="shared" si="18"/>
        <v>0</v>
      </c>
      <c r="X13" s="48">
        <v>0</v>
      </c>
      <c r="Y13" s="48">
        <f t="shared" si="10"/>
        <v>0</v>
      </c>
      <c r="Z13" s="48">
        <v>0</v>
      </c>
      <c r="AA13" s="48">
        <v>0</v>
      </c>
      <c r="AB13" s="48">
        <v>0</v>
      </c>
      <c r="AC13" s="48">
        <f t="shared" si="11"/>
        <v>0</v>
      </c>
      <c r="AD13" s="48">
        <f t="shared" si="19"/>
        <v>0</v>
      </c>
      <c r="AE13" s="49">
        <v>0</v>
      </c>
      <c r="AF13" s="49">
        <f t="shared" si="12"/>
        <v>0</v>
      </c>
      <c r="AG13" s="49">
        <v>0</v>
      </c>
      <c r="AH13" s="49">
        <v>0</v>
      </c>
      <c r="AI13" s="49">
        <v>0</v>
      </c>
      <c r="AJ13" s="49">
        <f t="shared" si="13"/>
        <v>0</v>
      </c>
      <c r="AK13" s="49">
        <f t="shared" si="20"/>
        <v>0</v>
      </c>
      <c r="AL13" s="82">
        <f t="shared" si="21"/>
        <v>0</v>
      </c>
      <c r="AM13" s="82">
        <f t="shared" si="22"/>
        <v>359694129413600</v>
      </c>
      <c r="AN13" s="81">
        <f t="shared" si="14"/>
        <v>472894295951856.5</v>
      </c>
      <c r="AO13" s="80">
        <f t="shared" si="0"/>
        <v>1314.7122993717016</v>
      </c>
      <c r="AP13" s="52">
        <f t="shared" si="15"/>
        <v>3.4657913236332194E-3</v>
      </c>
      <c r="AQ13" s="48">
        <f t="shared" si="1"/>
        <v>3.0078285949732178E-2</v>
      </c>
      <c r="AR13" s="48">
        <f t="shared" si="2"/>
        <v>-7.4285714285714285E-3</v>
      </c>
      <c r="AS13" s="48">
        <f t="shared" si="3"/>
        <v>-4.3346337234503683E-3</v>
      </c>
      <c r="AT13" s="48" t="e">
        <f>(#REF!-#REF!)/#REF!</f>
        <v>#REF!</v>
      </c>
    </row>
    <row r="14" spans="1:46" x14ac:dyDescent="0.3">
      <c r="A14" s="48">
        <v>20180117</v>
      </c>
      <c r="B14" s="48" t="s">
        <v>88</v>
      </c>
      <c r="C14" s="79">
        <v>0.4</v>
      </c>
      <c r="D14" s="79">
        <f t="shared" si="4"/>
        <v>0.31843011083137707</v>
      </c>
      <c r="E14" s="49">
        <v>2500000</v>
      </c>
      <c r="F14" s="49">
        <v>2481000</v>
      </c>
      <c r="G14" s="49">
        <v>129098494</v>
      </c>
      <c r="H14" s="49">
        <f t="shared" si="5"/>
        <v>0.43687954017479103</v>
      </c>
      <c r="I14" s="49">
        <f t="shared" si="16"/>
        <v>0.43687954017479103</v>
      </c>
      <c r="J14" s="48">
        <v>0.6</v>
      </c>
      <c r="K14" s="48">
        <f t="shared" si="6"/>
        <v>0.68156988916862282</v>
      </c>
      <c r="L14" s="48">
        <v>347400</v>
      </c>
      <c r="M14" s="48">
        <v>313500</v>
      </c>
      <c r="N14" s="51">
        <v>122666424</v>
      </c>
      <c r="O14" s="48">
        <f t="shared" si="7"/>
        <v>7.7882998654042304</v>
      </c>
      <c r="P14" s="48">
        <f t="shared" si="17"/>
        <v>7.7882998654042304</v>
      </c>
      <c r="Q14" s="49">
        <v>0</v>
      </c>
      <c r="R14" s="49">
        <f t="shared" si="8"/>
        <v>0</v>
      </c>
      <c r="S14" s="49">
        <v>229700</v>
      </c>
      <c r="T14" s="49">
        <v>249200</v>
      </c>
      <c r="U14" s="49">
        <v>15956260</v>
      </c>
      <c r="V14" s="49">
        <f t="shared" si="9"/>
        <v>0</v>
      </c>
      <c r="W14" s="49">
        <f t="shared" si="18"/>
        <v>0</v>
      </c>
      <c r="X14" s="48">
        <v>0</v>
      </c>
      <c r="Y14" s="48">
        <f t="shared" si="10"/>
        <v>0</v>
      </c>
      <c r="Z14" s="48">
        <v>0</v>
      </c>
      <c r="AA14" s="48">
        <v>0</v>
      </c>
      <c r="AB14" s="48">
        <v>0</v>
      </c>
      <c r="AC14" s="48">
        <f t="shared" si="11"/>
        <v>0</v>
      </c>
      <c r="AD14" s="48">
        <f t="shared" si="19"/>
        <v>0</v>
      </c>
      <c r="AE14" s="49">
        <v>0</v>
      </c>
      <c r="AF14" s="49">
        <f t="shared" si="12"/>
        <v>0</v>
      </c>
      <c r="AG14" s="49">
        <v>0</v>
      </c>
      <c r="AH14" s="49">
        <v>0</v>
      </c>
      <c r="AI14" s="49">
        <v>0</v>
      </c>
      <c r="AJ14" s="49">
        <f t="shared" si="13"/>
        <v>0</v>
      </c>
      <c r="AK14" s="49">
        <f t="shared" si="20"/>
        <v>0</v>
      </c>
      <c r="AL14" s="82">
        <f t="shared" si="21"/>
        <v>0</v>
      </c>
      <c r="AM14" s="82">
        <f t="shared" si="22"/>
        <v>359694129413600</v>
      </c>
      <c r="AN14" s="81">
        <f t="shared" si="14"/>
        <v>439435884538006</v>
      </c>
      <c r="AO14" s="80">
        <f t="shared" si="0"/>
        <v>1221.6932349004608</v>
      </c>
      <c r="AP14" s="52">
        <f t="shared" si="15"/>
        <v>-7.0752410634398494E-2</v>
      </c>
      <c r="AQ14" s="48">
        <f t="shared" si="1"/>
        <v>-7.6E-3</v>
      </c>
      <c r="AR14" s="48">
        <f t="shared" si="2"/>
        <v>-9.7582037996545773E-2</v>
      </c>
      <c r="AS14" s="48">
        <f t="shared" si="3"/>
        <v>8.4893339138006091E-2</v>
      </c>
      <c r="AT14" s="48" t="e">
        <f>(#REF!-#REF!)/#REF!</f>
        <v>#REF!</v>
      </c>
    </row>
    <row r="15" spans="1:46" x14ac:dyDescent="0.3">
      <c r="A15" s="48">
        <v>20180118</v>
      </c>
      <c r="B15" s="48" t="s">
        <v>88</v>
      </c>
      <c r="C15" s="79">
        <v>0.4</v>
      </c>
      <c r="D15" s="79">
        <f t="shared" si="4"/>
        <v>0.31567915920379475</v>
      </c>
      <c r="E15" s="49">
        <v>2481000</v>
      </c>
      <c r="F15" s="49">
        <v>2495000</v>
      </c>
      <c r="G15" s="49">
        <v>129098494</v>
      </c>
      <c r="H15" s="49">
        <f t="shared" si="5"/>
        <v>0.43687954017479103</v>
      </c>
      <c r="I15" s="49">
        <f t="shared" si="16"/>
        <v>0.43687954017479103</v>
      </c>
      <c r="J15" s="48">
        <v>0.6</v>
      </c>
      <c r="K15" s="48">
        <f t="shared" si="6"/>
        <v>0.68432084079620514</v>
      </c>
      <c r="L15" s="48">
        <v>313500</v>
      </c>
      <c r="M15" s="48">
        <v>319300</v>
      </c>
      <c r="N15" s="51">
        <v>122666424</v>
      </c>
      <c r="O15" s="48">
        <f t="shared" si="7"/>
        <v>7.7882998654042304</v>
      </c>
      <c r="P15" s="48">
        <f t="shared" si="17"/>
        <v>7.7882998654042304</v>
      </c>
      <c r="Q15" s="49">
        <v>0</v>
      </c>
      <c r="R15" s="49">
        <f t="shared" si="8"/>
        <v>0</v>
      </c>
      <c r="S15" s="49">
        <v>249200</v>
      </c>
      <c r="T15" s="49">
        <v>252000</v>
      </c>
      <c r="U15" s="49">
        <v>15956260</v>
      </c>
      <c r="V15" s="49">
        <f t="shared" si="9"/>
        <v>0</v>
      </c>
      <c r="W15" s="49">
        <f t="shared" si="18"/>
        <v>0</v>
      </c>
      <c r="X15" s="48">
        <v>0</v>
      </c>
      <c r="Y15" s="48">
        <f t="shared" si="10"/>
        <v>0</v>
      </c>
      <c r="Z15" s="48">
        <v>0</v>
      </c>
      <c r="AA15" s="48">
        <v>0</v>
      </c>
      <c r="AB15" s="48">
        <v>0</v>
      </c>
      <c r="AC15" s="48">
        <f t="shared" si="11"/>
        <v>0</v>
      </c>
      <c r="AD15" s="48">
        <f t="shared" si="19"/>
        <v>0</v>
      </c>
      <c r="AE15" s="49">
        <v>0</v>
      </c>
      <c r="AF15" s="49">
        <f t="shared" si="12"/>
        <v>0</v>
      </c>
      <c r="AG15" s="49">
        <v>0</v>
      </c>
      <c r="AH15" s="49">
        <v>0</v>
      </c>
      <c r="AI15" s="49">
        <v>0</v>
      </c>
      <c r="AJ15" s="49">
        <f t="shared" si="13"/>
        <v>0</v>
      </c>
      <c r="AK15" s="49">
        <f t="shared" si="20"/>
        <v>0</v>
      </c>
      <c r="AL15" s="82">
        <f t="shared" si="21"/>
        <v>0</v>
      </c>
      <c r="AM15" s="82">
        <f t="shared" si="22"/>
        <v>359694129413600</v>
      </c>
      <c r="AN15" s="81">
        <f t="shared" si="14"/>
        <v>445766596190216.87</v>
      </c>
      <c r="AO15" s="80">
        <f t="shared" si="0"/>
        <v>1239.2934989429452</v>
      </c>
      <c r="AP15" s="52">
        <f t="shared" si="15"/>
        <v>1.4406451259360928E-2</v>
      </c>
      <c r="AQ15" s="48">
        <f t="shared" si="1"/>
        <v>5.642885933091495E-3</v>
      </c>
      <c r="AR15" s="48">
        <f t="shared" si="2"/>
        <v>1.8500797448165868E-2</v>
      </c>
      <c r="AS15" s="48">
        <f t="shared" si="3"/>
        <v>1.1235955056179775E-2</v>
      </c>
      <c r="AT15" s="48" t="e">
        <f>(#REF!-#REF!)/#REF!</f>
        <v>#REF!</v>
      </c>
    </row>
    <row r="16" spans="1:46" x14ac:dyDescent="0.3">
      <c r="A16" s="48">
        <v>20180119</v>
      </c>
      <c r="B16" s="48" t="s">
        <v>88</v>
      </c>
      <c r="C16" s="79">
        <v>0.4</v>
      </c>
      <c r="D16" s="79">
        <f t="shared" si="4"/>
        <v>0.33592068580066475</v>
      </c>
      <c r="E16" s="49">
        <v>2495000</v>
      </c>
      <c r="F16" s="49">
        <v>2466000</v>
      </c>
      <c r="G16" s="49">
        <v>129098494</v>
      </c>
      <c r="H16" s="49">
        <f t="shared" si="5"/>
        <v>0.43687954017479103</v>
      </c>
      <c r="I16" s="49">
        <f t="shared" si="16"/>
        <v>0.43687954017479103</v>
      </c>
      <c r="J16" s="48">
        <v>0.6</v>
      </c>
      <c r="K16" s="48">
        <f t="shared" si="6"/>
        <v>0.6640793141993353</v>
      </c>
      <c r="L16" s="48">
        <v>319300</v>
      </c>
      <c r="M16" s="48">
        <v>287800</v>
      </c>
      <c r="N16" s="51">
        <v>122666424</v>
      </c>
      <c r="O16" s="48">
        <f t="shared" si="7"/>
        <v>7.7882998654042304</v>
      </c>
      <c r="P16" s="48">
        <f t="shared" si="17"/>
        <v>7.7882998654042304</v>
      </c>
      <c r="Q16" s="49">
        <v>0</v>
      </c>
      <c r="R16" s="49">
        <f t="shared" si="8"/>
        <v>0</v>
      </c>
      <c r="S16" s="49">
        <v>252000</v>
      </c>
      <c r="T16" s="49">
        <v>236000</v>
      </c>
      <c r="U16" s="49">
        <v>15956260</v>
      </c>
      <c r="V16" s="49">
        <f t="shared" si="9"/>
        <v>0</v>
      </c>
      <c r="W16" s="49">
        <f t="shared" si="18"/>
        <v>0</v>
      </c>
      <c r="X16" s="48">
        <v>0</v>
      </c>
      <c r="Y16" s="48">
        <f t="shared" si="10"/>
        <v>0</v>
      </c>
      <c r="Z16" s="48">
        <v>0</v>
      </c>
      <c r="AA16" s="48">
        <v>0</v>
      </c>
      <c r="AB16" s="48">
        <v>0</v>
      </c>
      <c r="AC16" s="48">
        <f t="shared" si="11"/>
        <v>0</v>
      </c>
      <c r="AD16" s="48">
        <f t="shared" si="19"/>
        <v>0</v>
      </c>
      <c r="AE16" s="49">
        <v>0</v>
      </c>
      <c r="AF16" s="49">
        <f t="shared" si="12"/>
        <v>0</v>
      </c>
      <c r="AG16" s="49">
        <v>0</v>
      </c>
      <c r="AH16" s="49">
        <v>0</v>
      </c>
      <c r="AI16" s="49">
        <v>0</v>
      </c>
      <c r="AJ16" s="49">
        <f t="shared" si="13"/>
        <v>0</v>
      </c>
      <c r="AK16" s="49">
        <f t="shared" si="20"/>
        <v>0</v>
      </c>
      <c r="AL16" s="82">
        <f t="shared" si="21"/>
        <v>0</v>
      </c>
      <c r="AM16" s="82">
        <f t="shared" si="22"/>
        <v>359694129413600</v>
      </c>
      <c r="AN16" s="81">
        <f t="shared" si="14"/>
        <v>414037050813875.69</v>
      </c>
      <c r="AO16" s="80">
        <f t="shared" si="0"/>
        <v>1151.0809239196356</v>
      </c>
      <c r="AP16" s="52">
        <f t="shared" si="15"/>
        <v>-7.1179728691024804E-2</v>
      </c>
      <c r="AQ16" s="48">
        <f t="shared" si="1"/>
        <v>-1.1623246492985972E-2</v>
      </c>
      <c r="AR16" s="48">
        <f t="shared" si="2"/>
        <v>-9.8653304102724715E-2</v>
      </c>
      <c r="AS16" s="48">
        <f t="shared" si="3"/>
        <v>-6.3492063492063489E-2</v>
      </c>
      <c r="AT16" s="48" t="e">
        <f>(#REF!-#REF!)/#REF!</f>
        <v>#REF!</v>
      </c>
    </row>
    <row r="17" spans="1:46" x14ac:dyDescent="0.3">
      <c r="A17" s="48">
        <v>20180122</v>
      </c>
      <c r="B17" s="48" t="s">
        <v>88</v>
      </c>
      <c r="C17" s="79">
        <v>0.4</v>
      </c>
      <c r="D17" s="79">
        <f t="shared" si="4"/>
        <v>0.33663368171751307</v>
      </c>
      <c r="E17" s="49">
        <v>2466000</v>
      </c>
      <c r="F17" s="49">
        <v>2412000</v>
      </c>
      <c r="G17" s="49">
        <v>129098494</v>
      </c>
      <c r="H17" s="49">
        <f t="shared" si="5"/>
        <v>0.43687954017479103</v>
      </c>
      <c r="I17" s="49">
        <f t="shared" si="16"/>
        <v>0.43687954017479103</v>
      </c>
      <c r="J17" s="48">
        <v>0.6</v>
      </c>
      <c r="K17" s="48">
        <f t="shared" si="6"/>
        <v>0.66336631828248704</v>
      </c>
      <c r="L17" s="48">
        <v>287800</v>
      </c>
      <c r="M17" s="48">
        <v>280600</v>
      </c>
      <c r="N17" s="51">
        <v>122666424</v>
      </c>
      <c r="O17" s="48">
        <f t="shared" si="7"/>
        <v>7.7882998654042304</v>
      </c>
      <c r="P17" s="48">
        <f t="shared" si="17"/>
        <v>7.7882998654042304</v>
      </c>
      <c r="Q17" s="49">
        <v>0</v>
      </c>
      <c r="R17" s="49">
        <f t="shared" si="8"/>
        <v>0</v>
      </c>
      <c r="S17" s="49">
        <v>236000</v>
      </c>
      <c r="T17" s="49">
        <v>234900</v>
      </c>
      <c r="U17" s="49">
        <v>15956260</v>
      </c>
      <c r="V17" s="49">
        <f t="shared" si="9"/>
        <v>0</v>
      </c>
      <c r="W17" s="49">
        <f t="shared" si="18"/>
        <v>0</v>
      </c>
      <c r="X17" s="48">
        <v>0</v>
      </c>
      <c r="Y17" s="48">
        <f t="shared" si="10"/>
        <v>0</v>
      </c>
      <c r="Z17" s="48">
        <v>0</v>
      </c>
      <c r="AA17" s="48">
        <v>0</v>
      </c>
      <c r="AB17" s="48">
        <v>0</v>
      </c>
      <c r="AC17" s="48">
        <f t="shared" si="11"/>
        <v>0</v>
      </c>
      <c r="AD17" s="48">
        <f t="shared" si="19"/>
        <v>0</v>
      </c>
      <c r="AE17" s="49">
        <v>0</v>
      </c>
      <c r="AF17" s="49">
        <f t="shared" si="12"/>
        <v>0</v>
      </c>
      <c r="AG17" s="49">
        <v>0</v>
      </c>
      <c r="AH17" s="49">
        <v>0</v>
      </c>
      <c r="AI17" s="49">
        <v>0</v>
      </c>
      <c r="AJ17" s="49">
        <f t="shared" si="13"/>
        <v>0</v>
      </c>
      <c r="AK17" s="49">
        <f t="shared" si="20"/>
        <v>0</v>
      </c>
      <c r="AL17" s="82">
        <f t="shared" si="21"/>
        <v>0</v>
      </c>
      <c r="AM17" s="82">
        <f t="shared" si="22"/>
        <v>359694129413600</v>
      </c>
      <c r="AN17" s="81">
        <f t="shared" si="14"/>
        <v>404112811482885.37</v>
      </c>
      <c r="AO17" s="80">
        <f t="shared" si="0"/>
        <v>1123.4901502053983</v>
      </c>
      <c r="AP17" s="52">
        <f t="shared" si="15"/>
        <v>-2.396944744795677E-2</v>
      </c>
      <c r="AQ17" s="48">
        <f t="shared" si="1"/>
        <v>-2.1897810218978103E-2</v>
      </c>
      <c r="AR17" s="48">
        <f t="shared" si="2"/>
        <v>-2.5017373175816541E-2</v>
      </c>
      <c r="AS17" s="48">
        <f t="shared" si="3"/>
        <v>-4.6610169491525426E-3</v>
      </c>
      <c r="AT17" s="48" t="e">
        <f>(#REF!-#REF!)/#REF!</f>
        <v>#REF!</v>
      </c>
    </row>
    <row r="18" spans="1:46" x14ac:dyDescent="0.3">
      <c r="A18" s="48">
        <v>20180123</v>
      </c>
      <c r="B18" s="48" t="s">
        <v>88</v>
      </c>
      <c r="C18" s="79">
        <v>0.4</v>
      </c>
      <c r="D18" s="79">
        <f t="shared" si="4"/>
        <v>0.32674289303481824</v>
      </c>
      <c r="E18" s="49">
        <v>2412000</v>
      </c>
      <c r="F18" s="49">
        <v>2458000</v>
      </c>
      <c r="G18" s="49">
        <v>129098494</v>
      </c>
      <c r="H18" s="49">
        <f t="shared" si="5"/>
        <v>0.43687954017479103</v>
      </c>
      <c r="I18" s="49">
        <f t="shared" si="16"/>
        <v>0.43687954017479103</v>
      </c>
      <c r="J18" s="48">
        <v>0.6</v>
      </c>
      <c r="K18" s="48">
        <f t="shared" si="6"/>
        <v>0.67325710696518182</v>
      </c>
      <c r="L18" s="48">
        <v>280600</v>
      </c>
      <c r="M18" s="48">
        <v>299000</v>
      </c>
      <c r="N18" s="51">
        <v>122666424</v>
      </c>
      <c r="O18" s="48">
        <f t="shared" si="7"/>
        <v>7.7882998654042304</v>
      </c>
      <c r="P18" s="48">
        <f t="shared" si="17"/>
        <v>7.7882998654042304</v>
      </c>
      <c r="Q18" s="49">
        <v>0</v>
      </c>
      <c r="R18" s="49">
        <f t="shared" si="8"/>
        <v>0</v>
      </c>
      <c r="S18" s="49">
        <v>234900</v>
      </c>
      <c r="T18" s="49">
        <v>242800</v>
      </c>
      <c r="U18" s="49">
        <v>15956260</v>
      </c>
      <c r="V18" s="49">
        <f t="shared" si="9"/>
        <v>0</v>
      </c>
      <c r="W18" s="49">
        <f t="shared" si="18"/>
        <v>0</v>
      </c>
      <c r="X18" s="48">
        <v>0</v>
      </c>
      <c r="Y18" s="48">
        <f t="shared" si="10"/>
        <v>0</v>
      </c>
      <c r="Z18" s="48">
        <v>0</v>
      </c>
      <c r="AA18" s="48">
        <v>0</v>
      </c>
      <c r="AB18" s="48">
        <v>0</v>
      </c>
      <c r="AC18" s="48">
        <f t="shared" si="11"/>
        <v>0</v>
      </c>
      <c r="AD18" s="48">
        <f t="shared" si="19"/>
        <v>0</v>
      </c>
      <c r="AE18" s="49">
        <v>0</v>
      </c>
      <c r="AF18" s="49">
        <f t="shared" si="12"/>
        <v>0</v>
      </c>
      <c r="AG18" s="49">
        <v>0</v>
      </c>
      <c r="AH18" s="49">
        <v>0</v>
      </c>
      <c r="AI18" s="49">
        <v>0</v>
      </c>
      <c r="AJ18" s="49">
        <f t="shared" si="13"/>
        <v>0</v>
      </c>
      <c r="AK18" s="49">
        <f t="shared" si="20"/>
        <v>0</v>
      </c>
      <c r="AL18" s="82">
        <f t="shared" si="21"/>
        <v>0</v>
      </c>
      <c r="AM18" s="82">
        <f t="shared" si="22"/>
        <v>359694129413600</v>
      </c>
      <c r="AN18" s="81">
        <f t="shared" si="14"/>
        <v>424285911295830.62</v>
      </c>
      <c r="AO18" s="80">
        <f t="shared" si="0"/>
        <v>1179.5741898471708</v>
      </c>
      <c r="AP18" s="52">
        <f t="shared" si="15"/>
        <v>4.9919476046602747E-2</v>
      </c>
      <c r="AQ18" s="48">
        <f t="shared" si="1"/>
        <v>1.9071310116086235E-2</v>
      </c>
      <c r="AR18" s="48">
        <f t="shared" si="2"/>
        <v>6.5573770491803282E-2</v>
      </c>
      <c r="AS18" s="48">
        <f t="shared" si="3"/>
        <v>3.3631332481907195E-2</v>
      </c>
      <c r="AT18" s="48" t="e">
        <f>(#REF!-#REF!)/#REF!</f>
        <v>#REF!</v>
      </c>
    </row>
    <row r="19" spans="1:46" x14ac:dyDescent="0.3">
      <c r="A19" s="48">
        <v>20180124</v>
      </c>
      <c r="B19" s="48" t="s">
        <v>88</v>
      </c>
      <c r="C19" s="79">
        <v>0.4</v>
      </c>
      <c r="D19" s="79">
        <f t="shared" si="4"/>
        <v>0.33164974884594806</v>
      </c>
      <c r="E19" s="49">
        <v>2458000</v>
      </c>
      <c r="F19" s="49">
        <v>2467000</v>
      </c>
      <c r="G19" s="49">
        <v>129098494</v>
      </c>
      <c r="H19" s="49">
        <f t="shared" si="5"/>
        <v>0.43687954017479103</v>
      </c>
      <c r="I19" s="49">
        <f t="shared" si="16"/>
        <v>0.43687954017479103</v>
      </c>
      <c r="J19" s="48">
        <v>0.6</v>
      </c>
      <c r="K19" s="48">
        <f t="shared" si="6"/>
        <v>0.66835025115405189</v>
      </c>
      <c r="L19" s="48">
        <v>299000</v>
      </c>
      <c r="M19" s="48">
        <v>293500</v>
      </c>
      <c r="N19" s="51">
        <v>122666424</v>
      </c>
      <c r="O19" s="48">
        <f t="shared" si="7"/>
        <v>7.7882998654042304</v>
      </c>
      <c r="P19" s="48">
        <f t="shared" si="17"/>
        <v>7.7882998654042304</v>
      </c>
      <c r="Q19" s="49">
        <v>0</v>
      </c>
      <c r="R19" s="49">
        <f t="shared" si="8"/>
        <v>0</v>
      </c>
      <c r="S19" s="49">
        <v>242800</v>
      </c>
      <c r="T19" s="49">
        <v>280400</v>
      </c>
      <c r="U19" s="49">
        <v>15956260</v>
      </c>
      <c r="V19" s="49">
        <f t="shared" si="9"/>
        <v>0</v>
      </c>
      <c r="W19" s="49">
        <f t="shared" si="18"/>
        <v>0</v>
      </c>
      <c r="X19" s="48">
        <v>0</v>
      </c>
      <c r="Y19" s="48">
        <f t="shared" si="10"/>
        <v>0</v>
      </c>
      <c r="Z19" s="48">
        <v>0</v>
      </c>
      <c r="AA19" s="48">
        <v>0</v>
      </c>
      <c r="AB19" s="48">
        <v>0</v>
      </c>
      <c r="AC19" s="48">
        <f t="shared" si="11"/>
        <v>0</v>
      </c>
      <c r="AD19" s="48">
        <f t="shared" si="19"/>
        <v>0</v>
      </c>
      <c r="AE19" s="49">
        <v>0</v>
      </c>
      <c r="AF19" s="49">
        <f t="shared" si="12"/>
        <v>0</v>
      </c>
      <c r="AG19" s="49">
        <v>0</v>
      </c>
      <c r="AH19" s="49">
        <v>0</v>
      </c>
      <c r="AI19" s="49">
        <v>0</v>
      </c>
      <c r="AJ19" s="49">
        <f t="shared" si="13"/>
        <v>0</v>
      </c>
      <c r="AK19" s="49">
        <f t="shared" si="20"/>
        <v>0</v>
      </c>
      <c r="AL19" s="82">
        <f t="shared" si="21"/>
        <v>0</v>
      </c>
      <c r="AM19" s="82">
        <f t="shared" si="22"/>
        <v>359694129413600</v>
      </c>
      <c r="AN19" s="81">
        <f t="shared" si="14"/>
        <v>419539019797685.94</v>
      </c>
      <c r="AO19" s="80">
        <f t="shared" si="0"/>
        <v>1166.3771674051213</v>
      </c>
      <c r="AP19" s="52">
        <f t="shared" si="15"/>
        <v>-1.1187954564993786E-2</v>
      </c>
      <c r="AQ19" s="48">
        <f t="shared" si="1"/>
        <v>3.6615134255492269E-3</v>
      </c>
      <c r="AR19" s="48">
        <f t="shared" si="2"/>
        <v>-1.839464882943144E-2</v>
      </c>
      <c r="AS19" s="48">
        <f t="shared" si="3"/>
        <v>0.15485996705107083</v>
      </c>
      <c r="AT19" s="48" t="e">
        <f>(#REF!-#REF!)/#REF!</f>
        <v>#REF!</v>
      </c>
    </row>
    <row r="20" spans="1:46" x14ac:dyDescent="0.3">
      <c r="A20" s="48">
        <v>20180125</v>
      </c>
      <c r="B20" s="48" t="s">
        <v>88</v>
      </c>
      <c r="C20" s="79">
        <v>0.4</v>
      </c>
      <c r="D20" s="79">
        <f t="shared" si="4"/>
        <v>0.33867000154364818</v>
      </c>
      <c r="E20" s="49">
        <v>2467000</v>
      </c>
      <c r="F20" s="49">
        <v>2513000</v>
      </c>
      <c r="G20" s="49">
        <v>129098494</v>
      </c>
      <c r="H20" s="49">
        <f t="shared" si="5"/>
        <v>0.43687954017479103</v>
      </c>
      <c r="I20" s="49">
        <f t="shared" si="16"/>
        <v>0.43687954017479103</v>
      </c>
      <c r="J20" s="48">
        <v>0.6</v>
      </c>
      <c r="K20" s="48">
        <f t="shared" si="6"/>
        <v>0.66132999845635188</v>
      </c>
      <c r="L20" s="48">
        <v>293500</v>
      </c>
      <c r="M20" s="48">
        <v>289700</v>
      </c>
      <c r="N20" s="51">
        <v>122666424</v>
      </c>
      <c r="O20" s="48">
        <f t="shared" si="7"/>
        <v>7.7882998654042304</v>
      </c>
      <c r="P20" s="48">
        <f t="shared" si="17"/>
        <v>7.7882998654042304</v>
      </c>
      <c r="Q20" s="49">
        <v>0</v>
      </c>
      <c r="R20" s="49">
        <f t="shared" si="8"/>
        <v>0</v>
      </c>
      <c r="S20" s="49">
        <v>280400</v>
      </c>
      <c r="T20" s="49">
        <v>275900</v>
      </c>
      <c r="U20" s="49">
        <v>15956260</v>
      </c>
      <c r="V20" s="49">
        <f t="shared" si="9"/>
        <v>0</v>
      </c>
      <c r="W20" s="49">
        <f t="shared" si="18"/>
        <v>0</v>
      </c>
      <c r="X20" s="48">
        <v>0</v>
      </c>
      <c r="Y20" s="48">
        <f t="shared" si="10"/>
        <v>0</v>
      </c>
      <c r="Z20" s="48">
        <v>0</v>
      </c>
      <c r="AA20" s="48">
        <v>0</v>
      </c>
      <c r="AB20" s="48">
        <v>0</v>
      </c>
      <c r="AC20" s="48">
        <f t="shared" si="11"/>
        <v>0</v>
      </c>
      <c r="AD20" s="48">
        <f t="shared" si="19"/>
        <v>0</v>
      </c>
      <c r="AE20" s="49">
        <v>0</v>
      </c>
      <c r="AF20" s="49">
        <f t="shared" si="12"/>
        <v>0</v>
      </c>
      <c r="AG20" s="49">
        <v>0</v>
      </c>
      <c r="AH20" s="49">
        <v>0</v>
      </c>
      <c r="AI20" s="49">
        <v>0</v>
      </c>
      <c r="AJ20" s="49">
        <f t="shared" si="13"/>
        <v>0</v>
      </c>
      <c r="AK20" s="49">
        <f t="shared" si="20"/>
        <v>0</v>
      </c>
      <c r="AL20" s="82">
        <f t="shared" si="21"/>
        <v>0</v>
      </c>
      <c r="AM20" s="82">
        <f t="shared" si="22"/>
        <v>359694129413600</v>
      </c>
      <c r="AN20" s="81">
        <f t="shared" si="14"/>
        <v>418503063374291.37</v>
      </c>
      <c r="AO20" s="80">
        <f t="shared" si="0"/>
        <v>1163.4970636205992</v>
      </c>
      <c r="AP20" s="52">
        <f t="shared" si="15"/>
        <v>-2.4692731176567855E-3</v>
      </c>
      <c r="AQ20" s="48">
        <f t="shared" si="1"/>
        <v>1.8646128901499796E-2</v>
      </c>
      <c r="AR20" s="48">
        <f t="shared" si="2"/>
        <v>-1.2947189097103918E-2</v>
      </c>
      <c r="AS20" s="48">
        <f t="shared" si="3"/>
        <v>-1.6048502139800285E-2</v>
      </c>
      <c r="AT20" s="48" t="e">
        <f>(#REF!-#REF!)/#REF!</f>
        <v>#REF!</v>
      </c>
    </row>
    <row r="21" spans="1:46" x14ac:dyDescent="0.3">
      <c r="A21" s="48">
        <v>20180126</v>
      </c>
      <c r="B21" s="48" t="s">
        <v>88</v>
      </c>
      <c r="C21" s="79">
        <v>0.4</v>
      </c>
      <c r="D21" s="79">
        <f t="shared" si="4"/>
        <v>0.33317266044503585</v>
      </c>
      <c r="E21" s="49">
        <v>2513000</v>
      </c>
      <c r="F21" s="49">
        <v>2539000</v>
      </c>
      <c r="G21" s="49">
        <v>129098494</v>
      </c>
      <c r="H21" s="49">
        <f t="shared" si="5"/>
        <v>0.43687954017479103</v>
      </c>
      <c r="I21" s="49">
        <f t="shared" si="16"/>
        <v>0.43687954017479103</v>
      </c>
      <c r="J21" s="48">
        <v>0.6</v>
      </c>
      <c r="K21" s="48">
        <f t="shared" si="6"/>
        <v>0.6668273395549642</v>
      </c>
      <c r="L21" s="48">
        <v>289700</v>
      </c>
      <c r="M21" s="48">
        <v>300000</v>
      </c>
      <c r="N21" s="51">
        <v>122666424</v>
      </c>
      <c r="O21" s="48">
        <f t="shared" si="7"/>
        <v>7.7882998654042304</v>
      </c>
      <c r="P21" s="48">
        <f t="shared" si="17"/>
        <v>7.7882998654042304</v>
      </c>
      <c r="Q21" s="49">
        <v>0</v>
      </c>
      <c r="R21" s="49">
        <f t="shared" si="8"/>
        <v>0</v>
      </c>
      <c r="S21" s="49">
        <v>275900</v>
      </c>
      <c r="T21" s="49">
        <v>274400</v>
      </c>
      <c r="U21" s="49">
        <v>15956260</v>
      </c>
      <c r="V21" s="49">
        <f t="shared" si="9"/>
        <v>0</v>
      </c>
      <c r="W21" s="49">
        <f t="shared" si="18"/>
        <v>0</v>
      </c>
      <c r="X21" s="48">
        <v>0</v>
      </c>
      <c r="Y21" s="48">
        <f t="shared" si="10"/>
        <v>0</v>
      </c>
      <c r="Z21" s="48">
        <v>0</v>
      </c>
      <c r="AA21" s="48">
        <v>0</v>
      </c>
      <c r="AB21" s="48">
        <v>0</v>
      </c>
      <c r="AC21" s="48">
        <f t="shared" si="11"/>
        <v>0</v>
      </c>
      <c r="AD21" s="48">
        <f t="shared" si="19"/>
        <v>0</v>
      </c>
      <c r="AE21" s="49">
        <v>0</v>
      </c>
      <c r="AF21" s="49">
        <f t="shared" si="12"/>
        <v>0</v>
      </c>
      <c r="AG21" s="49">
        <v>0</v>
      </c>
      <c r="AH21" s="49">
        <v>0</v>
      </c>
      <c r="AI21" s="49">
        <v>0</v>
      </c>
      <c r="AJ21" s="49">
        <f t="shared" si="13"/>
        <v>0</v>
      </c>
      <c r="AK21" s="49">
        <f t="shared" si="20"/>
        <v>0</v>
      </c>
      <c r="AL21" s="82">
        <f t="shared" si="21"/>
        <v>0</v>
      </c>
      <c r="AM21" s="82">
        <f t="shared" si="22"/>
        <v>359694129413600</v>
      </c>
      <c r="AN21" s="81">
        <f t="shared" si="14"/>
        <v>429809713935733.69</v>
      </c>
      <c r="AO21" s="80">
        <f t="shared" si="0"/>
        <v>1194.9311339510637</v>
      </c>
      <c r="AP21" s="52">
        <f t="shared" si="15"/>
        <v>2.7016888407648525E-2</v>
      </c>
      <c r="AQ21" s="48">
        <f t="shared" si="1"/>
        <v>1.0346199761241544E-2</v>
      </c>
      <c r="AR21" s="48">
        <f t="shared" si="2"/>
        <v>3.5554021401449774E-2</v>
      </c>
      <c r="AS21" s="48">
        <f t="shared" si="3"/>
        <v>-5.4367524465386008E-3</v>
      </c>
      <c r="AT21" s="48" t="e">
        <f>(#REF!-#REF!)/#REF!</f>
        <v>#REF!</v>
      </c>
    </row>
    <row r="22" spans="1:46" x14ac:dyDescent="0.3">
      <c r="A22" s="48">
        <v>20180129</v>
      </c>
      <c r="B22" s="48" t="s">
        <v>88</v>
      </c>
      <c r="C22" s="79">
        <v>0.4</v>
      </c>
      <c r="D22" s="79">
        <f t="shared" si="4"/>
        <v>0.31531469737198903</v>
      </c>
      <c r="E22" s="49">
        <v>2539000</v>
      </c>
      <c r="F22" s="49">
        <v>2561000</v>
      </c>
      <c r="G22" s="49">
        <v>129098494</v>
      </c>
      <c r="H22" s="49">
        <f t="shared" si="5"/>
        <v>0.43687954017479103</v>
      </c>
      <c r="I22" s="49">
        <f t="shared" si="16"/>
        <v>0.43687954017479103</v>
      </c>
      <c r="J22" s="48">
        <v>0.6</v>
      </c>
      <c r="K22" s="48">
        <f t="shared" si="6"/>
        <v>0.68468530262801097</v>
      </c>
      <c r="L22" s="48">
        <v>300000</v>
      </c>
      <c r="M22" s="48">
        <v>328300</v>
      </c>
      <c r="N22" s="51">
        <v>122666424</v>
      </c>
      <c r="O22" s="48">
        <f t="shared" si="7"/>
        <v>7.7882998654042304</v>
      </c>
      <c r="P22" s="48">
        <f t="shared" si="17"/>
        <v>7.7882998654042304</v>
      </c>
      <c r="Q22" s="49">
        <v>0</v>
      </c>
      <c r="R22" s="49">
        <f t="shared" si="8"/>
        <v>0</v>
      </c>
      <c r="S22" s="49">
        <v>274400</v>
      </c>
      <c r="T22" s="49">
        <v>290000</v>
      </c>
      <c r="U22" s="49">
        <v>15956260</v>
      </c>
      <c r="V22" s="49">
        <f t="shared" si="9"/>
        <v>0</v>
      </c>
      <c r="W22" s="49">
        <f t="shared" si="18"/>
        <v>0</v>
      </c>
      <c r="X22" s="48">
        <v>0</v>
      </c>
      <c r="Y22" s="48">
        <f t="shared" si="10"/>
        <v>0</v>
      </c>
      <c r="Z22" s="48">
        <v>0</v>
      </c>
      <c r="AA22" s="48">
        <v>0</v>
      </c>
      <c r="AB22" s="48">
        <v>0</v>
      </c>
      <c r="AC22" s="48">
        <f t="shared" si="11"/>
        <v>0</v>
      </c>
      <c r="AD22" s="48">
        <f t="shared" si="19"/>
        <v>0</v>
      </c>
      <c r="AE22" s="49">
        <v>0</v>
      </c>
      <c r="AF22" s="49">
        <f t="shared" si="12"/>
        <v>0</v>
      </c>
      <c r="AG22" s="49">
        <v>0</v>
      </c>
      <c r="AH22" s="49">
        <v>0</v>
      </c>
      <c r="AI22" s="49">
        <v>0</v>
      </c>
      <c r="AJ22" s="49">
        <f t="shared" si="13"/>
        <v>0</v>
      </c>
      <c r="AK22" s="49">
        <f t="shared" si="20"/>
        <v>0</v>
      </c>
      <c r="AL22" s="82">
        <f t="shared" si="21"/>
        <v>0</v>
      </c>
      <c r="AM22" s="82">
        <f t="shared" si="22"/>
        <v>359694129413600</v>
      </c>
      <c r="AN22" s="81">
        <f t="shared" si="14"/>
        <v>458087294617910.75</v>
      </c>
      <c r="AO22" s="80">
        <f t="shared" si="0"/>
        <v>1273.5467642041269</v>
      </c>
      <c r="AP22" s="52">
        <f t="shared" si="15"/>
        <v>6.5790929719204083E-2</v>
      </c>
      <c r="AQ22" s="48">
        <f t="shared" si="1"/>
        <v>8.6648286727057898E-3</v>
      </c>
      <c r="AR22" s="48">
        <f t="shared" si="2"/>
        <v>9.4333333333333338E-2</v>
      </c>
      <c r="AS22" s="48">
        <f t="shared" si="3"/>
        <v>5.6851311953352766E-2</v>
      </c>
      <c r="AT22" s="48" t="e">
        <f>(#REF!-#REF!)/#REF!</f>
        <v>#REF!</v>
      </c>
    </row>
    <row r="23" spans="1:46" x14ac:dyDescent="0.3">
      <c r="A23" s="48">
        <v>20180130</v>
      </c>
      <c r="B23" s="48" t="s">
        <v>88</v>
      </c>
      <c r="C23" s="79">
        <v>0.4</v>
      </c>
      <c r="D23" s="79">
        <f t="shared" si="4"/>
        <v>0.31038680111568856</v>
      </c>
      <c r="E23" s="49">
        <v>2561000</v>
      </c>
      <c r="F23" s="49">
        <v>2490000</v>
      </c>
      <c r="G23" s="49">
        <v>129098494</v>
      </c>
      <c r="H23" s="49">
        <f t="shared" si="5"/>
        <v>0.43687954017479103</v>
      </c>
      <c r="I23" s="49">
        <f t="shared" si="16"/>
        <v>0.43687954017479103</v>
      </c>
      <c r="J23" s="48">
        <v>0.6</v>
      </c>
      <c r="K23" s="48">
        <f t="shared" si="6"/>
        <v>0.6896131988843115</v>
      </c>
      <c r="L23" s="48">
        <v>328300</v>
      </c>
      <c r="M23" s="48">
        <v>326600</v>
      </c>
      <c r="N23" s="51">
        <v>122666424</v>
      </c>
      <c r="O23" s="48">
        <f t="shared" si="7"/>
        <v>7.7882998654042304</v>
      </c>
      <c r="P23" s="48">
        <f t="shared" si="17"/>
        <v>7.7882998654042304</v>
      </c>
      <c r="Q23" s="49">
        <v>0</v>
      </c>
      <c r="R23" s="49">
        <f t="shared" si="8"/>
        <v>0</v>
      </c>
      <c r="S23" s="49">
        <v>290000</v>
      </c>
      <c r="T23" s="49">
        <v>290300</v>
      </c>
      <c r="U23" s="49">
        <v>15956260</v>
      </c>
      <c r="V23" s="49">
        <f t="shared" si="9"/>
        <v>0</v>
      </c>
      <c r="W23" s="49">
        <f t="shared" si="18"/>
        <v>0</v>
      </c>
      <c r="X23" s="48">
        <v>0</v>
      </c>
      <c r="Y23" s="48">
        <f t="shared" si="10"/>
        <v>0</v>
      </c>
      <c r="Z23" s="48">
        <v>0</v>
      </c>
      <c r="AA23" s="48">
        <v>0</v>
      </c>
      <c r="AB23" s="48">
        <v>0</v>
      </c>
      <c r="AC23" s="48">
        <f t="shared" si="11"/>
        <v>0</v>
      </c>
      <c r="AD23" s="48">
        <f t="shared" si="19"/>
        <v>0</v>
      </c>
      <c r="AE23" s="49">
        <v>0</v>
      </c>
      <c r="AF23" s="49">
        <f t="shared" si="12"/>
        <v>0</v>
      </c>
      <c r="AG23" s="49">
        <v>0</v>
      </c>
      <c r="AH23" s="49">
        <v>0</v>
      </c>
      <c r="AI23" s="49">
        <v>0</v>
      </c>
      <c r="AJ23" s="49">
        <f t="shared" si="13"/>
        <v>0</v>
      </c>
      <c r="AK23" s="49">
        <f t="shared" si="20"/>
        <v>0</v>
      </c>
      <c r="AL23" s="82">
        <f t="shared" si="21"/>
        <v>0</v>
      </c>
      <c r="AM23" s="82">
        <f t="shared" si="22"/>
        <v>359694129413600</v>
      </c>
      <c r="AN23" s="81">
        <f t="shared" si="14"/>
        <v>452458742859497.31</v>
      </c>
      <c r="AO23" s="80">
        <f t="shared" si="0"/>
        <v>1257.8986028966585</v>
      </c>
      <c r="AP23" s="52">
        <f t="shared" si="15"/>
        <v>-1.2287072408563929E-2</v>
      </c>
      <c r="AQ23" s="48">
        <f t="shared" si="1"/>
        <v>-2.7723545490042953E-2</v>
      </c>
      <c r="AR23" s="48">
        <f t="shared" si="2"/>
        <v>-5.1781906792567776E-3</v>
      </c>
      <c r="AS23" s="48">
        <f t="shared" si="3"/>
        <v>1.0344827586206897E-3</v>
      </c>
      <c r="AT23" s="48" t="e">
        <f>(#REF!-#REF!)/#REF!</f>
        <v>#REF!</v>
      </c>
    </row>
    <row r="24" spans="1:46" x14ac:dyDescent="0.3">
      <c r="A24" s="48">
        <v>20180131</v>
      </c>
      <c r="B24" s="48" t="s">
        <v>88</v>
      </c>
      <c r="C24" s="79">
        <v>0.4</v>
      </c>
      <c r="D24" s="79">
        <f t="shared" si="4"/>
        <v>0.31813371577982058</v>
      </c>
      <c r="E24" s="49">
        <v>2490000</v>
      </c>
      <c r="F24" s="49">
        <v>2495000</v>
      </c>
      <c r="G24" s="49">
        <v>129098494</v>
      </c>
      <c r="H24" s="49">
        <f t="shared" si="5"/>
        <v>0.43687954017479103</v>
      </c>
      <c r="I24" s="49">
        <f t="shared" si="16"/>
        <v>0.43687954017479103</v>
      </c>
      <c r="J24" s="48">
        <v>0.6</v>
      </c>
      <c r="K24" s="48">
        <f t="shared" si="6"/>
        <v>0.68186628422017936</v>
      </c>
      <c r="L24" s="48">
        <v>326600</v>
      </c>
      <c r="M24" s="48">
        <v>315700</v>
      </c>
      <c r="N24" s="51">
        <v>122666424</v>
      </c>
      <c r="O24" s="48">
        <f t="shared" si="7"/>
        <v>7.7882998654042304</v>
      </c>
      <c r="P24" s="48">
        <f t="shared" si="17"/>
        <v>7.7882998654042304</v>
      </c>
      <c r="Q24" s="49">
        <v>0</v>
      </c>
      <c r="R24" s="49">
        <f t="shared" si="8"/>
        <v>0</v>
      </c>
      <c r="S24" s="49">
        <v>290300</v>
      </c>
      <c r="T24" s="49">
        <v>267000</v>
      </c>
      <c r="U24" s="49">
        <v>15956260</v>
      </c>
      <c r="V24" s="49">
        <f t="shared" si="9"/>
        <v>0</v>
      </c>
      <c r="W24" s="49">
        <f t="shared" si="18"/>
        <v>0</v>
      </c>
      <c r="X24" s="48">
        <v>0</v>
      </c>
      <c r="Y24" s="48">
        <f t="shared" si="10"/>
        <v>0</v>
      </c>
      <c r="Z24" s="48">
        <v>0</v>
      </c>
      <c r="AA24" s="48">
        <v>0</v>
      </c>
      <c r="AB24" s="48">
        <v>0</v>
      </c>
      <c r="AC24" s="48">
        <f t="shared" si="11"/>
        <v>0</v>
      </c>
      <c r="AD24" s="48">
        <f t="shared" si="19"/>
        <v>0</v>
      </c>
      <c r="AE24" s="49">
        <v>0</v>
      </c>
      <c r="AF24" s="49">
        <f t="shared" si="12"/>
        <v>0</v>
      </c>
      <c r="AG24" s="49">
        <v>0</v>
      </c>
      <c r="AH24" s="49">
        <v>0</v>
      </c>
      <c r="AI24" s="49">
        <v>0</v>
      </c>
      <c r="AJ24" s="49">
        <f t="shared" si="13"/>
        <v>0</v>
      </c>
      <c r="AK24" s="49">
        <f t="shared" si="20"/>
        <v>0</v>
      </c>
      <c r="AL24" s="82">
        <f t="shared" si="21"/>
        <v>0</v>
      </c>
      <c r="AM24" s="82">
        <f t="shared" si="22"/>
        <v>359694129413600</v>
      </c>
      <c r="AN24" s="81">
        <f t="shared" si="14"/>
        <v>442327289773513.12</v>
      </c>
      <c r="AO24" s="80">
        <f t="shared" si="0"/>
        <v>1229.7317459548974</v>
      </c>
      <c r="AP24" s="52">
        <f t="shared" si="15"/>
        <v>-2.2391993183631151E-2</v>
      </c>
      <c r="AQ24" s="48">
        <f t="shared" si="1"/>
        <v>2.008032128514056E-3</v>
      </c>
      <c r="AR24" s="48">
        <f t="shared" si="2"/>
        <v>-3.3374157991426824E-2</v>
      </c>
      <c r="AS24" s="48">
        <f t="shared" si="3"/>
        <v>-8.0261798139855317E-2</v>
      </c>
      <c r="AT24" s="48" t="e">
        <f>(#REF!-#REF!)/#REF!</f>
        <v>#REF!</v>
      </c>
    </row>
    <row r="25" spans="1:46" x14ac:dyDescent="0.3">
      <c r="A25" s="48">
        <v>20180201</v>
      </c>
      <c r="B25" s="48" t="s">
        <v>88</v>
      </c>
      <c r="C25" s="79">
        <v>0.4</v>
      </c>
      <c r="D25" s="79">
        <f t="shared" si="4"/>
        <v>0.32909314781622506</v>
      </c>
      <c r="E25" s="49">
        <v>2495000</v>
      </c>
      <c r="F25" s="49">
        <v>2491000</v>
      </c>
      <c r="G25" s="49">
        <v>129098494</v>
      </c>
      <c r="H25" s="49">
        <f t="shared" si="5"/>
        <v>0.43687954017479103</v>
      </c>
      <c r="I25" s="49">
        <f t="shared" si="16"/>
        <v>0.43687954017479103</v>
      </c>
      <c r="J25" s="48">
        <v>0.6</v>
      </c>
      <c r="K25" s="48">
        <f t="shared" si="6"/>
        <v>0.67090685218377488</v>
      </c>
      <c r="L25" s="48">
        <v>315700</v>
      </c>
      <c r="M25" s="48">
        <v>299800</v>
      </c>
      <c r="N25" s="51">
        <v>122666424</v>
      </c>
      <c r="O25" s="48">
        <f t="shared" si="7"/>
        <v>7.7882998654042304</v>
      </c>
      <c r="P25" s="48">
        <f t="shared" si="17"/>
        <v>7.7882998654042304</v>
      </c>
      <c r="Q25" s="49">
        <v>0</v>
      </c>
      <c r="R25" s="49">
        <f t="shared" si="8"/>
        <v>0</v>
      </c>
      <c r="S25" s="49">
        <v>267000</v>
      </c>
      <c r="T25" s="49">
        <v>245400</v>
      </c>
      <c r="U25" s="49">
        <v>15956260</v>
      </c>
      <c r="V25" s="49">
        <f t="shared" si="9"/>
        <v>0</v>
      </c>
      <c r="W25" s="49">
        <f t="shared" si="18"/>
        <v>0</v>
      </c>
      <c r="X25" s="48">
        <v>0</v>
      </c>
      <c r="Y25" s="48">
        <f t="shared" si="10"/>
        <v>0</v>
      </c>
      <c r="Z25" s="48">
        <v>0</v>
      </c>
      <c r="AA25" s="48">
        <v>0</v>
      </c>
      <c r="AB25" s="48">
        <v>0</v>
      </c>
      <c r="AC25" s="48">
        <f t="shared" si="11"/>
        <v>0</v>
      </c>
      <c r="AD25" s="48">
        <f t="shared" si="19"/>
        <v>0</v>
      </c>
      <c r="AE25" s="49">
        <v>0</v>
      </c>
      <c r="AF25" s="49">
        <f t="shared" si="12"/>
        <v>0</v>
      </c>
      <c r="AG25" s="49">
        <v>0</v>
      </c>
      <c r="AH25" s="49">
        <v>0</v>
      </c>
      <c r="AI25" s="49">
        <v>0</v>
      </c>
      <c r="AJ25" s="49">
        <f t="shared" si="13"/>
        <v>0</v>
      </c>
      <c r="AK25" s="49">
        <f t="shared" si="20"/>
        <v>0</v>
      </c>
      <c r="AL25" s="82">
        <f t="shared" si="21"/>
        <v>0</v>
      </c>
      <c r="AM25" s="82">
        <f t="shared" si="22"/>
        <v>359694129413600</v>
      </c>
      <c r="AN25" s="81">
        <f t="shared" si="14"/>
        <v>426911417803620.94</v>
      </c>
      <c r="AO25" s="80">
        <f t="shared" si="0"/>
        <v>1186.8734652400458</v>
      </c>
      <c r="AP25" s="52">
        <f t="shared" si="15"/>
        <v>-3.4851731571402013E-2</v>
      </c>
      <c r="AQ25" s="48">
        <f t="shared" si="1"/>
        <v>-1.6032064128256513E-3</v>
      </c>
      <c r="AR25" s="48">
        <f t="shared" si="2"/>
        <v>-5.0364269876465001E-2</v>
      </c>
      <c r="AS25" s="48">
        <f t="shared" si="3"/>
        <v>-8.0898876404494377E-2</v>
      </c>
      <c r="AT25" s="48" t="e">
        <f>(#REF!-#REF!)/#REF!</f>
        <v>#REF!</v>
      </c>
    </row>
    <row r="26" spans="1:46" x14ac:dyDescent="0.3">
      <c r="A26" s="48">
        <v>20180202</v>
      </c>
      <c r="B26" s="48" t="s">
        <v>88</v>
      </c>
      <c r="C26" s="79">
        <v>0.4</v>
      </c>
      <c r="D26" s="79">
        <f t="shared" si="4"/>
        <v>0.31840808104304363</v>
      </c>
      <c r="E26" s="49">
        <v>2491000</v>
      </c>
      <c r="F26" s="49">
        <v>2385000</v>
      </c>
      <c r="G26" s="49">
        <v>129098494</v>
      </c>
      <c r="H26" s="49">
        <f t="shared" si="5"/>
        <v>0.43687954017479103</v>
      </c>
      <c r="I26" s="49">
        <f t="shared" si="16"/>
        <v>0.43687954017479103</v>
      </c>
      <c r="J26" s="48">
        <v>0.6</v>
      </c>
      <c r="K26" s="48">
        <f t="shared" si="6"/>
        <v>0.68159191895695648</v>
      </c>
      <c r="L26" s="48">
        <v>299800</v>
      </c>
      <c r="M26" s="48">
        <v>301400</v>
      </c>
      <c r="N26" s="51">
        <v>122666424</v>
      </c>
      <c r="O26" s="48">
        <f t="shared" si="7"/>
        <v>7.7882998654042304</v>
      </c>
      <c r="P26" s="48">
        <f t="shared" si="17"/>
        <v>7.7882998654042304</v>
      </c>
      <c r="Q26" s="49">
        <v>0</v>
      </c>
      <c r="R26" s="49">
        <f t="shared" si="8"/>
        <v>0</v>
      </c>
      <c r="S26" s="49">
        <v>245400</v>
      </c>
      <c r="T26" s="49">
        <v>253300</v>
      </c>
      <c r="U26" s="49">
        <v>15956260</v>
      </c>
      <c r="V26" s="49">
        <f t="shared" si="9"/>
        <v>0</v>
      </c>
      <c r="W26" s="49">
        <f t="shared" si="18"/>
        <v>0</v>
      </c>
      <c r="X26" s="48">
        <v>0</v>
      </c>
      <c r="Y26" s="48">
        <f t="shared" si="10"/>
        <v>0</v>
      </c>
      <c r="Z26" s="48">
        <v>0</v>
      </c>
      <c r="AA26" s="48">
        <v>0</v>
      </c>
      <c r="AB26" s="48">
        <v>0</v>
      </c>
      <c r="AC26" s="48">
        <f t="shared" si="11"/>
        <v>0</v>
      </c>
      <c r="AD26" s="48">
        <f t="shared" si="19"/>
        <v>0</v>
      </c>
      <c r="AE26" s="49">
        <v>0</v>
      </c>
      <c r="AF26" s="49">
        <f t="shared" si="12"/>
        <v>0</v>
      </c>
      <c r="AG26" s="49">
        <v>0</v>
      </c>
      <c r="AH26" s="49">
        <v>0</v>
      </c>
      <c r="AI26" s="49">
        <v>0</v>
      </c>
      <c r="AJ26" s="49">
        <f t="shared" si="13"/>
        <v>0</v>
      </c>
      <c r="AK26" s="49">
        <f t="shared" si="20"/>
        <v>0</v>
      </c>
      <c r="AL26" s="82">
        <f t="shared" si="21"/>
        <v>0</v>
      </c>
      <c r="AM26" s="82">
        <f t="shared" si="22"/>
        <v>359694129413600</v>
      </c>
      <c r="AN26" s="81">
        <f t="shared" si="14"/>
        <v>422461546419493.37</v>
      </c>
      <c r="AO26" s="80">
        <f t="shared" si="0"/>
        <v>1174.5022002672699</v>
      </c>
      <c r="AP26" s="52">
        <f t="shared" si="15"/>
        <v>-1.0423406820603043E-2</v>
      </c>
      <c r="AQ26" s="48">
        <f t="shared" si="1"/>
        <v>-4.2553191489361701E-2</v>
      </c>
      <c r="AR26" s="48">
        <f t="shared" si="2"/>
        <v>5.3368912608405599E-3</v>
      </c>
      <c r="AS26" s="48">
        <f t="shared" si="3"/>
        <v>3.2192339038304811E-2</v>
      </c>
      <c r="AT26" s="48" t="e">
        <f>(#REF!-#REF!)/#REF!</f>
        <v>#REF!</v>
      </c>
    </row>
    <row r="27" spans="1:46" x14ac:dyDescent="0.3">
      <c r="A27" s="48">
        <v>20180205</v>
      </c>
      <c r="B27" s="48" t="s">
        <v>88</v>
      </c>
      <c r="C27" s="79">
        <v>0.4</v>
      </c>
      <c r="D27" s="79">
        <f t="shared" si="4"/>
        <v>0.33091506823586703</v>
      </c>
      <c r="E27" s="49">
        <v>2385000</v>
      </c>
      <c r="F27" s="49">
        <v>2396000</v>
      </c>
      <c r="G27" s="49">
        <v>129098494</v>
      </c>
      <c r="H27" s="49">
        <f t="shared" si="5"/>
        <v>0.43687954017479103</v>
      </c>
      <c r="I27" s="49">
        <f t="shared" si="16"/>
        <v>0.43687954017479103</v>
      </c>
      <c r="J27" s="48">
        <v>0.6</v>
      </c>
      <c r="K27" s="48">
        <f t="shared" si="6"/>
        <v>0.66908493176413286</v>
      </c>
      <c r="L27" s="48">
        <v>301400</v>
      </c>
      <c r="M27" s="48">
        <v>286000</v>
      </c>
      <c r="N27" s="51">
        <v>122666424</v>
      </c>
      <c r="O27" s="48">
        <f t="shared" si="7"/>
        <v>7.7882998654042304</v>
      </c>
      <c r="P27" s="48">
        <f t="shared" si="17"/>
        <v>7.7882998654042304</v>
      </c>
      <c r="Q27" s="49">
        <v>0</v>
      </c>
      <c r="R27" s="49">
        <f t="shared" si="8"/>
        <v>0</v>
      </c>
      <c r="S27" s="49">
        <v>253300</v>
      </c>
      <c r="T27" s="49">
        <v>216000</v>
      </c>
      <c r="U27" s="49">
        <v>15956260</v>
      </c>
      <c r="V27" s="49">
        <f t="shared" si="9"/>
        <v>0</v>
      </c>
      <c r="W27" s="49">
        <f t="shared" si="18"/>
        <v>0</v>
      </c>
      <c r="X27" s="48">
        <v>0</v>
      </c>
      <c r="Y27" s="48">
        <f t="shared" si="10"/>
        <v>0</v>
      </c>
      <c r="Z27" s="48">
        <v>0</v>
      </c>
      <c r="AA27" s="48">
        <v>0</v>
      </c>
      <c r="AB27" s="48">
        <v>0</v>
      </c>
      <c r="AC27" s="48">
        <f t="shared" si="11"/>
        <v>0</v>
      </c>
      <c r="AD27" s="48">
        <f t="shared" si="19"/>
        <v>0</v>
      </c>
      <c r="AE27" s="49">
        <v>0</v>
      </c>
      <c r="AF27" s="49">
        <f t="shared" si="12"/>
        <v>0</v>
      </c>
      <c r="AG27" s="49">
        <v>0</v>
      </c>
      <c r="AH27" s="49">
        <v>0</v>
      </c>
      <c r="AI27" s="49">
        <v>0</v>
      </c>
      <c r="AJ27" s="49">
        <f t="shared" si="13"/>
        <v>0</v>
      </c>
      <c r="AK27" s="49">
        <f t="shared" si="20"/>
        <v>0</v>
      </c>
      <c r="AL27" s="82">
        <f t="shared" si="21"/>
        <v>0</v>
      </c>
      <c r="AM27" s="82">
        <f t="shared" si="22"/>
        <v>359694129413600</v>
      </c>
      <c r="AN27" s="81">
        <f t="shared" si="14"/>
        <v>408369363256805.37</v>
      </c>
      <c r="AO27" s="80">
        <f t="shared" si="0"/>
        <v>1135.3239596169094</v>
      </c>
      <c r="AP27" s="52">
        <f t="shared" si="15"/>
        <v>-3.3357315670796625E-2</v>
      </c>
      <c r="AQ27" s="48">
        <f t="shared" si="1"/>
        <v>4.6121593291404616E-3</v>
      </c>
      <c r="AR27" s="48">
        <f t="shared" si="2"/>
        <v>-5.1094890510948905E-2</v>
      </c>
      <c r="AS27" s="48">
        <f t="shared" si="3"/>
        <v>-0.14725621792341098</v>
      </c>
      <c r="AT27" s="48" t="e">
        <f>(#REF!-#REF!)/#REF!</f>
        <v>#REF!</v>
      </c>
    </row>
    <row r="28" spans="1:46" x14ac:dyDescent="0.3">
      <c r="A28" s="48">
        <v>20180206</v>
      </c>
      <c r="B28" s="48" t="s">
        <v>88</v>
      </c>
      <c r="C28" s="79">
        <v>0.4</v>
      </c>
      <c r="D28" s="79">
        <f t="shared" si="4"/>
        <v>0.32999127225786784</v>
      </c>
      <c r="E28" s="49">
        <v>2396000</v>
      </c>
      <c r="F28" s="49">
        <v>2371000</v>
      </c>
      <c r="G28" s="49">
        <v>129098494</v>
      </c>
      <c r="H28" s="49">
        <f t="shared" si="5"/>
        <v>0.43687954017479103</v>
      </c>
      <c r="I28" s="49">
        <f t="shared" si="16"/>
        <v>0.43687954017479103</v>
      </c>
      <c r="J28" s="48">
        <v>0.6</v>
      </c>
      <c r="K28" s="48">
        <f t="shared" si="6"/>
        <v>0.67000872774213227</v>
      </c>
      <c r="L28" s="48">
        <v>286000</v>
      </c>
      <c r="M28" s="48">
        <v>284200</v>
      </c>
      <c r="N28" s="51">
        <v>122666424</v>
      </c>
      <c r="O28" s="48">
        <f t="shared" si="7"/>
        <v>7.7882998654042304</v>
      </c>
      <c r="P28" s="48">
        <f t="shared" si="17"/>
        <v>7.7882998654042304</v>
      </c>
      <c r="Q28" s="49">
        <v>0</v>
      </c>
      <c r="R28" s="49">
        <f t="shared" si="8"/>
        <v>0</v>
      </c>
      <c r="S28" s="49">
        <v>216000</v>
      </c>
      <c r="T28" s="49">
        <v>231200</v>
      </c>
      <c r="U28" s="49">
        <v>15956260</v>
      </c>
      <c r="V28" s="49">
        <f t="shared" si="9"/>
        <v>0</v>
      </c>
      <c r="W28" s="49">
        <f t="shared" si="18"/>
        <v>0</v>
      </c>
      <c r="X28" s="48">
        <v>0</v>
      </c>
      <c r="Y28" s="48">
        <f t="shared" si="10"/>
        <v>0</v>
      </c>
      <c r="Z28" s="48">
        <v>0</v>
      </c>
      <c r="AA28" s="48">
        <v>0</v>
      </c>
      <c r="AB28" s="48">
        <v>0</v>
      </c>
      <c r="AC28" s="48">
        <f t="shared" si="11"/>
        <v>0</v>
      </c>
      <c r="AD28" s="48">
        <f t="shared" si="19"/>
        <v>0</v>
      </c>
      <c r="AE28" s="49">
        <v>0</v>
      </c>
      <c r="AF28" s="49">
        <f t="shared" si="12"/>
        <v>0</v>
      </c>
      <c r="AG28" s="49">
        <v>0</v>
      </c>
      <c r="AH28" s="49">
        <v>0</v>
      </c>
      <c r="AI28" s="49">
        <v>0</v>
      </c>
      <c r="AJ28" s="49">
        <f t="shared" si="13"/>
        <v>0</v>
      </c>
      <c r="AK28" s="49">
        <f t="shared" si="20"/>
        <v>0</v>
      </c>
      <c r="AL28" s="82">
        <f t="shared" si="21"/>
        <v>0</v>
      </c>
      <c r="AM28" s="82">
        <f t="shared" si="22"/>
        <v>359694129413600</v>
      </c>
      <c r="AN28" s="81">
        <f t="shared" si="14"/>
        <v>405239697781054</v>
      </c>
      <c r="AO28" s="80">
        <f t="shared" si="0"/>
        <v>1126.6230517626343</v>
      </c>
      <c r="AP28" s="52">
        <f t="shared" si="15"/>
        <v>-7.6638106512004157E-3</v>
      </c>
      <c r="AQ28" s="48">
        <f t="shared" si="1"/>
        <v>-1.0434056761268781E-2</v>
      </c>
      <c r="AR28" s="48">
        <f t="shared" si="2"/>
        <v>-6.2937062937062941E-3</v>
      </c>
      <c r="AS28" s="48">
        <f t="shared" si="3"/>
        <v>7.0370370370370375E-2</v>
      </c>
      <c r="AT28" s="48" t="e">
        <f>(#REF!-#REF!)/#REF!</f>
        <v>#REF!</v>
      </c>
    </row>
    <row r="29" spans="1:46" x14ac:dyDescent="0.3">
      <c r="A29" s="48">
        <v>20180207</v>
      </c>
      <c r="B29" s="48" t="s">
        <v>88</v>
      </c>
      <c r="C29" s="79">
        <v>0.4</v>
      </c>
      <c r="D29" s="79">
        <f t="shared" si="4"/>
        <v>0.34558936999589135</v>
      </c>
      <c r="E29" s="49">
        <v>2371000</v>
      </c>
      <c r="F29" s="49">
        <v>2290000</v>
      </c>
      <c r="G29" s="49">
        <v>129098494</v>
      </c>
      <c r="H29" s="49">
        <f t="shared" si="5"/>
        <v>0.43687954017479103</v>
      </c>
      <c r="I29" s="49">
        <f t="shared" si="16"/>
        <v>0.43687954017479103</v>
      </c>
      <c r="J29" s="48">
        <v>0.6</v>
      </c>
      <c r="K29" s="48">
        <f t="shared" si="6"/>
        <v>0.65441063000410871</v>
      </c>
      <c r="L29" s="48">
        <v>284200</v>
      </c>
      <c r="M29" s="48">
        <v>256000</v>
      </c>
      <c r="N29" s="51">
        <v>122666424</v>
      </c>
      <c r="O29" s="48">
        <f t="shared" si="7"/>
        <v>7.7882998654042304</v>
      </c>
      <c r="P29" s="48">
        <f t="shared" si="17"/>
        <v>7.7882998654042304</v>
      </c>
      <c r="Q29" s="49">
        <v>0</v>
      </c>
      <c r="R29" s="49">
        <f t="shared" si="8"/>
        <v>0</v>
      </c>
      <c r="S29" s="49">
        <v>231200</v>
      </c>
      <c r="T29" s="49">
        <v>210000</v>
      </c>
      <c r="U29" s="49">
        <v>15956260</v>
      </c>
      <c r="V29" s="49">
        <f t="shared" si="9"/>
        <v>0</v>
      </c>
      <c r="W29" s="49">
        <f t="shared" si="18"/>
        <v>0</v>
      </c>
      <c r="X29" s="48">
        <v>0</v>
      </c>
      <c r="Y29" s="48">
        <f t="shared" si="10"/>
        <v>0</v>
      </c>
      <c r="Z29" s="48">
        <v>0</v>
      </c>
      <c r="AA29" s="48">
        <v>0</v>
      </c>
      <c r="AB29" s="48">
        <v>0</v>
      </c>
      <c r="AC29" s="48">
        <f t="shared" si="11"/>
        <v>0</v>
      </c>
      <c r="AD29" s="48">
        <f t="shared" si="19"/>
        <v>0</v>
      </c>
      <c r="AE29" s="49">
        <v>0</v>
      </c>
      <c r="AF29" s="49">
        <f t="shared" si="12"/>
        <v>0</v>
      </c>
      <c r="AG29" s="49">
        <v>0</v>
      </c>
      <c r="AH29" s="49">
        <v>0</v>
      </c>
      <c r="AI29" s="49">
        <v>0</v>
      </c>
      <c r="AJ29" s="49">
        <f t="shared" si="13"/>
        <v>0</v>
      </c>
      <c r="AK29" s="49">
        <f t="shared" si="20"/>
        <v>0</v>
      </c>
      <c r="AL29" s="82">
        <f t="shared" si="21"/>
        <v>0</v>
      </c>
      <c r="AM29" s="82">
        <f t="shared" si="22"/>
        <v>359694129413600</v>
      </c>
      <c r="AN29" s="81">
        <f t="shared" si="14"/>
        <v>373730024437167.12</v>
      </c>
      <c r="AO29" s="80">
        <f t="shared" si="0"/>
        <v>1039.0217517490471</v>
      </c>
      <c r="AP29" s="52">
        <f t="shared" si="15"/>
        <v>-7.7755643182102874E-2</v>
      </c>
      <c r="AQ29" s="48">
        <f t="shared" si="1"/>
        <v>-3.4162800506115566E-2</v>
      </c>
      <c r="AR29" s="48">
        <f t="shared" si="2"/>
        <v>-9.9225897255453901E-2</v>
      </c>
      <c r="AS29" s="48">
        <f t="shared" si="3"/>
        <v>-9.1695501730103809E-2</v>
      </c>
      <c r="AT29" s="48" t="e">
        <f>(#REF!-#REF!)/#REF!</f>
        <v>#REF!</v>
      </c>
    </row>
    <row r="30" spans="1:46" s="64" customFormat="1" x14ac:dyDescent="0.3">
      <c r="A30" s="65">
        <v>20180208</v>
      </c>
      <c r="B30" s="48" t="s">
        <v>88</v>
      </c>
      <c r="C30" s="79">
        <v>0.4</v>
      </c>
      <c r="D30" s="79">
        <f t="shared" si="4"/>
        <v>0.33346766515063558</v>
      </c>
      <c r="E30" s="49">
        <v>2290000</v>
      </c>
      <c r="F30" s="49">
        <v>2300000</v>
      </c>
      <c r="G30" s="49">
        <v>128386494</v>
      </c>
      <c r="H30" s="49">
        <f t="shared" si="5"/>
        <v>0.43687954017479103</v>
      </c>
      <c r="I30" s="49">
        <f t="shared" si="16"/>
        <v>0.38644040761815301</v>
      </c>
      <c r="J30" s="48">
        <v>0.6</v>
      </c>
      <c r="K30" s="48">
        <f t="shared" si="6"/>
        <v>0.66653233484936436</v>
      </c>
      <c r="L30" s="48">
        <v>256000</v>
      </c>
      <c r="M30" s="48">
        <v>271400</v>
      </c>
      <c r="N30" s="51">
        <v>122666424</v>
      </c>
      <c r="O30" s="48">
        <f t="shared" si="7"/>
        <v>7.7882998654042304</v>
      </c>
      <c r="P30" s="48">
        <f t="shared" si="17"/>
        <v>6.8511212349610098</v>
      </c>
      <c r="Q30" s="49">
        <v>0</v>
      </c>
      <c r="R30" s="49">
        <f t="shared" si="8"/>
        <v>0</v>
      </c>
      <c r="S30" s="49">
        <v>210000</v>
      </c>
      <c r="T30" s="49">
        <v>220800</v>
      </c>
      <c r="U30" s="49">
        <v>15956260</v>
      </c>
      <c r="V30" s="49">
        <f t="shared" si="9"/>
        <v>0</v>
      </c>
      <c r="W30" s="49">
        <f t="shared" si="18"/>
        <v>0</v>
      </c>
      <c r="X30" s="48">
        <v>0</v>
      </c>
      <c r="Y30" s="48">
        <f t="shared" si="10"/>
        <v>0</v>
      </c>
      <c r="Z30" s="48">
        <v>0</v>
      </c>
      <c r="AA30" s="48">
        <v>0</v>
      </c>
      <c r="AB30" s="48">
        <v>0</v>
      </c>
      <c r="AC30" s="48">
        <f t="shared" si="11"/>
        <v>0</v>
      </c>
      <c r="AD30" s="48">
        <f t="shared" si="19"/>
        <v>0</v>
      </c>
      <c r="AE30" s="49">
        <v>0</v>
      </c>
      <c r="AF30" s="49">
        <f t="shared" si="12"/>
        <v>0</v>
      </c>
      <c r="AG30" s="49">
        <v>0</v>
      </c>
      <c r="AH30" s="49">
        <v>0</v>
      </c>
      <c r="AI30" s="49">
        <v>0</v>
      </c>
      <c r="AJ30" s="49">
        <f t="shared" si="13"/>
        <v>0</v>
      </c>
      <c r="AK30" s="49">
        <f t="shared" si="20"/>
        <v>0</v>
      </c>
      <c r="AL30" s="82">
        <f t="shared" si="21"/>
        <v>1</v>
      </c>
      <c r="AM30" s="82">
        <f t="shared" si="22"/>
        <v>316411557169598.5</v>
      </c>
      <c r="AN30" s="81">
        <f t="shared" si="14"/>
        <v>342196826845900.5</v>
      </c>
      <c r="AO30" s="80">
        <f t="shared" si="0"/>
        <v>1081.4928187420187</v>
      </c>
      <c r="AP30" s="52">
        <f t="shared" si="15"/>
        <v>4.0876013347629657E-2</v>
      </c>
      <c r="AQ30" s="48">
        <f t="shared" si="1"/>
        <v>4.3668122270742356E-3</v>
      </c>
      <c r="AR30" s="48">
        <f t="shared" si="2"/>
        <v>6.0156250000000001E-2</v>
      </c>
      <c r="AS30" s="48">
        <f t="shared" si="3"/>
        <v>5.1428571428571428E-2</v>
      </c>
      <c r="AT30" s="48" t="e">
        <f>(#REF!-#REF!)/#REF!</f>
        <v>#REF!</v>
      </c>
    </row>
    <row r="31" spans="1:46" s="47" customFormat="1" x14ac:dyDescent="0.3">
      <c r="A31" s="48">
        <v>20180209</v>
      </c>
      <c r="B31" s="48" t="s">
        <v>88</v>
      </c>
      <c r="C31" s="79">
        <v>0.4</v>
      </c>
      <c r="D31" s="79">
        <f t="shared" si="4"/>
        <v>0.31427484699633984</v>
      </c>
      <c r="E31" s="49">
        <v>2300000</v>
      </c>
      <c r="F31" s="49">
        <v>2235000</v>
      </c>
      <c r="G31" s="49">
        <v>128386494</v>
      </c>
      <c r="H31" s="49">
        <f t="shared" si="5"/>
        <v>0.38644040761815301</v>
      </c>
      <c r="I31" s="49">
        <f t="shared" si="16"/>
        <v>0.37505621673717698</v>
      </c>
      <c r="J31" s="48">
        <v>0.6</v>
      </c>
      <c r="K31" s="48">
        <f t="shared" si="6"/>
        <v>0.6857251530036601</v>
      </c>
      <c r="L31" s="74">
        <v>271500</v>
      </c>
      <c r="M31" s="74">
        <v>288000</v>
      </c>
      <c r="N31" s="67">
        <v>122666424</v>
      </c>
      <c r="O31" s="48">
        <f t="shared" si="7"/>
        <v>6.8511212349610098</v>
      </c>
      <c r="P31" s="48">
        <f t="shared" si="17"/>
        <v>6.6468441985697098</v>
      </c>
      <c r="Q31" s="49">
        <v>0</v>
      </c>
      <c r="R31" s="49">
        <f t="shared" si="8"/>
        <v>0</v>
      </c>
      <c r="S31" s="49">
        <v>220800</v>
      </c>
      <c r="T31" s="49">
        <v>203900</v>
      </c>
      <c r="U31" s="49">
        <v>15956260</v>
      </c>
      <c r="V31" s="49">
        <f t="shared" si="9"/>
        <v>0</v>
      </c>
      <c r="W31" s="49">
        <f t="shared" si="18"/>
        <v>0</v>
      </c>
      <c r="X31" s="48">
        <v>0</v>
      </c>
      <c r="Y31" s="48">
        <f t="shared" si="10"/>
        <v>0</v>
      </c>
      <c r="Z31" s="48">
        <v>0</v>
      </c>
      <c r="AA31" s="48">
        <v>0</v>
      </c>
      <c r="AB31" s="48">
        <v>0</v>
      </c>
      <c r="AC31" s="48">
        <f t="shared" si="11"/>
        <v>0</v>
      </c>
      <c r="AD31" s="48">
        <f t="shared" si="19"/>
        <v>0</v>
      </c>
      <c r="AE31" s="49">
        <v>0</v>
      </c>
      <c r="AF31" s="49">
        <f t="shared" si="12"/>
        <v>0</v>
      </c>
      <c r="AG31" s="49">
        <v>0</v>
      </c>
      <c r="AH31" s="49">
        <v>0</v>
      </c>
      <c r="AI31" s="49">
        <v>0</v>
      </c>
      <c r="AJ31" s="49">
        <f t="shared" si="13"/>
        <v>0</v>
      </c>
      <c r="AK31" s="49">
        <f t="shared" si="20"/>
        <v>0</v>
      </c>
      <c r="AL31" s="82">
        <f t="shared" si="21"/>
        <v>1</v>
      </c>
      <c r="AM31" s="82">
        <f t="shared" si="22"/>
        <v>307090353970462.75</v>
      </c>
      <c r="AN31" s="81">
        <f t="shared" si="14"/>
        <v>342439308641154.62</v>
      </c>
      <c r="AO31" s="80">
        <f t="shared" si="0"/>
        <v>1115.1092967058544</v>
      </c>
      <c r="AP31" s="52">
        <f t="shared" si="15"/>
        <v>3.108340377418134E-2</v>
      </c>
      <c r="AQ31" s="48">
        <f t="shared" si="1"/>
        <v>-2.8260869565217391E-2</v>
      </c>
      <c r="AR31" s="48">
        <f t="shared" si="2"/>
        <v>6.0773480662983423E-2</v>
      </c>
      <c r="AS31" s="48">
        <f t="shared" si="3"/>
        <v>-7.6539855072463775E-2</v>
      </c>
      <c r="AT31" s="48" t="e">
        <f>(#REF!-#REF!)/#REF!</f>
        <v>#REF!</v>
      </c>
    </row>
    <row r="32" spans="1:46" x14ac:dyDescent="0.3">
      <c r="A32" s="48">
        <v>20180212</v>
      </c>
      <c r="B32" s="48" t="s">
        <v>88</v>
      </c>
      <c r="C32" s="79">
        <v>0.4</v>
      </c>
      <c r="D32" s="79">
        <f t="shared" si="4"/>
        <v>0.30857976124145675</v>
      </c>
      <c r="E32" s="49">
        <v>2235000</v>
      </c>
      <c r="F32" s="49">
        <v>2286000</v>
      </c>
      <c r="G32" s="49">
        <v>128386494</v>
      </c>
      <c r="H32" s="49">
        <f t="shared" si="5"/>
        <v>0.37505621673717698</v>
      </c>
      <c r="I32" s="49">
        <f t="shared" si="16"/>
        <v>0.37505621673717698</v>
      </c>
      <c r="J32" s="48">
        <v>0.6</v>
      </c>
      <c r="K32" s="48">
        <f t="shared" si="6"/>
        <v>0.69142023875854319</v>
      </c>
      <c r="L32" s="48">
        <v>288000</v>
      </c>
      <c r="M32" s="48">
        <v>302500</v>
      </c>
      <c r="N32" s="51">
        <v>122666424</v>
      </c>
      <c r="O32" s="48">
        <f t="shared" si="7"/>
        <v>6.6468441985697098</v>
      </c>
      <c r="P32" s="48">
        <f t="shared" si="17"/>
        <v>6.6468441985697098</v>
      </c>
      <c r="Q32" s="49">
        <v>0</v>
      </c>
      <c r="R32" s="49">
        <f t="shared" si="8"/>
        <v>0</v>
      </c>
      <c r="S32" s="49">
        <v>203900</v>
      </c>
      <c r="T32" s="49">
        <v>216500</v>
      </c>
      <c r="U32" s="49">
        <v>15956260</v>
      </c>
      <c r="V32" s="49">
        <f t="shared" si="9"/>
        <v>0</v>
      </c>
      <c r="W32" s="49">
        <f t="shared" si="18"/>
        <v>0</v>
      </c>
      <c r="X32" s="48">
        <v>0</v>
      </c>
      <c r="Y32" s="48">
        <f t="shared" si="10"/>
        <v>0</v>
      </c>
      <c r="Z32" s="48">
        <v>0</v>
      </c>
      <c r="AA32" s="48">
        <v>0</v>
      </c>
      <c r="AB32" s="48">
        <v>0</v>
      </c>
      <c r="AC32" s="48">
        <f t="shared" si="11"/>
        <v>0</v>
      </c>
      <c r="AD32" s="48">
        <f t="shared" si="19"/>
        <v>0</v>
      </c>
      <c r="AE32" s="49">
        <v>0</v>
      </c>
      <c r="AF32" s="49">
        <f t="shared" si="12"/>
        <v>0</v>
      </c>
      <c r="AG32" s="49">
        <v>0</v>
      </c>
      <c r="AH32" s="49">
        <v>0</v>
      </c>
      <c r="AI32" s="49">
        <v>0</v>
      </c>
      <c r="AJ32" s="49">
        <f t="shared" si="13"/>
        <v>0</v>
      </c>
      <c r="AK32" s="49">
        <f t="shared" si="20"/>
        <v>0</v>
      </c>
      <c r="AL32" s="82">
        <f t="shared" si="21"/>
        <v>0</v>
      </c>
      <c r="AM32" s="82">
        <f t="shared" si="22"/>
        <v>307090353970462.75</v>
      </c>
      <c r="AN32" s="81">
        <f t="shared" si="14"/>
        <v>356717565256357.5</v>
      </c>
      <c r="AO32" s="80">
        <f t="shared" si="0"/>
        <v>1161.6045917569529</v>
      </c>
      <c r="AP32" s="52">
        <f t="shared" si="15"/>
        <v>4.1695729009210432E-2</v>
      </c>
      <c r="AQ32" s="48">
        <f t="shared" si="1"/>
        <v>2.2818791946308724E-2</v>
      </c>
      <c r="AR32" s="48">
        <f t="shared" si="2"/>
        <v>5.0347222222222224E-2</v>
      </c>
      <c r="AS32" s="48">
        <f t="shared" si="3"/>
        <v>6.1794997547817559E-2</v>
      </c>
      <c r="AT32" s="48" t="e">
        <f>(#REF!-#REF!)/#REF!</f>
        <v>#REF!</v>
      </c>
    </row>
    <row r="33" spans="1:46" x14ac:dyDescent="0.3">
      <c r="A33" s="48">
        <v>20180213</v>
      </c>
      <c r="B33" s="48" t="s">
        <v>88</v>
      </c>
      <c r="C33" s="79">
        <v>0.4</v>
      </c>
      <c r="D33" s="79">
        <f t="shared" si="4"/>
        <v>0.32317247652562536</v>
      </c>
      <c r="E33" s="49">
        <v>2286000</v>
      </c>
      <c r="F33" s="49">
        <v>2377000</v>
      </c>
      <c r="G33" s="49">
        <v>128386494</v>
      </c>
      <c r="H33" s="49">
        <f t="shared" si="5"/>
        <v>0.37505621673717698</v>
      </c>
      <c r="I33" s="49">
        <f t="shared" si="16"/>
        <v>0.37505621673717698</v>
      </c>
      <c r="J33" s="48">
        <v>0.6</v>
      </c>
      <c r="K33" s="48">
        <f t="shared" si="6"/>
        <v>0.67682752347437458</v>
      </c>
      <c r="L33" s="48">
        <v>302500</v>
      </c>
      <c r="M33" s="48">
        <v>294000</v>
      </c>
      <c r="N33" s="51">
        <v>122666424</v>
      </c>
      <c r="O33" s="48">
        <f t="shared" si="7"/>
        <v>6.6468441985697098</v>
      </c>
      <c r="P33" s="48">
        <f t="shared" si="17"/>
        <v>6.6468441985697098</v>
      </c>
      <c r="Q33" s="49">
        <v>0</v>
      </c>
      <c r="R33" s="49">
        <f t="shared" si="8"/>
        <v>0</v>
      </c>
      <c r="S33" s="49">
        <v>216500</v>
      </c>
      <c r="T33" s="49">
        <v>200200</v>
      </c>
      <c r="U33" s="49">
        <v>15956260</v>
      </c>
      <c r="V33" s="49">
        <f t="shared" si="9"/>
        <v>0</v>
      </c>
      <c r="W33" s="49">
        <f t="shared" si="18"/>
        <v>0</v>
      </c>
      <c r="X33" s="48">
        <v>0</v>
      </c>
      <c r="Y33" s="48">
        <f t="shared" si="10"/>
        <v>0</v>
      </c>
      <c r="Z33" s="48">
        <v>0</v>
      </c>
      <c r="AA33" s="48">
        <v>0</v>
      </c>
      <c r="AB33" s="48">
        <v>0</v>
      </c>
      <c r="AC33" s="48">
        <f t="shared" si="11"/>
        <v>0</v>
      </c>
      <c r="AD33" s="48">
        <f t="shared" si="19"/>
        <v>0</v>
      </c>
      <c r="AE33" s="49">
        <v>0</v>
      </c>
      <c r="AF33" s="49">
        <f t="shared" si="12"/>
        <v>0</v>
      </c>
      <c r="AG33" s="49">
        <v>0</v>
      </c>
      <c r="AH33" s="49">
        <v>0</v>
      </c>
      <c r="AI33" s="49">
        <v>0</v>
      </c>
      <c r="AJ33" s="49">
        <f t="shared" si="13"/>
        <v>0</v>
      </c>
      <c r="AK33" s="49">
        <f t="shared" si="20"/>
        <v>0</v>
      </c>
      <c r="AL33" s="82">
        <f t="shared" si="21"/>
        <v>0</v>
      </c>
      <c r="AM33" s="82">
        <f t="shared" si="22"/>
        <v>307090353970462.75</v>
      </c>
      <c r="AN33" s="81">
        <f t="shared" si="14"/>
        <v>354168981979707</v>
      </c>
      <c r="AO33" s="80">
        <f t="shared" si="0"/>
        <v>1153.3054601049841</v>
      </c>
      <c r="AP33" s="52">
        <f t="shared" si="15"/>
        <v>-7.1445410175386293E-3</v>
      </c>
      <c r="AQ33" s="48">
        <f t="shared" si="1"/>
        <v>3.9807524059492561E-2</v>
      </c>
      <c r="AR33" s="48">
        <f t="shared" si="2"/>
        <v>-2.809917355371901E-2</v>
      </c>
      <c r="AS33" s="48">
        <f t="shared" si="3"/>
        <v>-7.5288683602771356E-2</v>
      </c>
      <c r="AT33" s="48" t="e">
        <f>(#REF!-#REF!)/#REF!</f>
        <v>#REF!</v>
      </c>
    </row>
    <row r="34" spans="1:46" x14ac:dyDescent="0.3">
      <c r="A34" s="48">
        <v>20180214</v>
      </c>
      <c r="B34" s="48" t="s">
        <v>88</v>
      </c>
      <c r="C34" s="79">
        <v>0.4</v>
      </c>
      <c r="D34" s="79">
        <f t="shared" si="4"/>
        <v>0.31647777017709006</v>
      </c>
      <c r="E34" s="49">
        <v>2377000</v>
      </c>
      <c r="F34" s="49">
        <v>2450000</v>
      </c>
      <c r="G34" s="49">
        <v>128386494</v>
      </c>
      <c r="H34" s="49">
        <f t="shared" si="5"/>
        <v>0.37505621673717698</v>
      </c>
      <c r="I34" s="49">
        <f t="shared" si="16"/>
        <v>0.37505621673717698</v>
      </c>
      <c r="J34" s="48">
        <v>0.6</v>
      </c>
      <c r="K34" s="48">
        <f t="shared" si="6"/>
        <v>0.68352222982290989</v>
      </c>
      <c r="L34" s="48">
        <v>294000</v>
      </c>
      <c r="M34" s="48">
        <v>312500</v>
      </c>
      <c r="N34" s="51">
        <v>122666424</v>
      </c>
      <c r="O34" s="48">
        <f t="shared" si="7"/>
        <v>6.6468441985697098</v>
      </c>
      <c r="P34" s="48">
        <f t="shared" si="17"/>
        <v>6.6468441985697098</v>
      </c>
      <c r="Q34" s="49">
        <v>0</v>
      </c>
      <c r="R34" s="49">
        <f t="shared" si="8"/>
        <v>0</v>
      </c>
      <c r="S34" s="49">
        <v>200200</v>
      </c>
      <c r="T34" s="49">
        <v>205600</v>
      </c>
      <c r="U34" s="49">
        <v>15956260</v>
      </c>
      <c r="V34" s="49">
        <f t="shared" si="9"/>
        <v>0</v>
      </c>
      <c r="W34" s="49">
        <f t="shared" si="18"/>
        <v>0</v>
      </c>
      <c r="X34" s="48">
        <v>0</v>
      </c>
      <c r="Y34" s="48">
        <f t="shared" si="10"/>
        <v>0</v>
      </c>
      <c r="Z34" s="48">
        <v>0</v>
      </c>
      <c r="AA34" s="48">
        <v>0</v>
      </c>
      <c r="AB34" s="48">
        <v>0</v>
      </c>
      <c r="AC34" s="48">
        <f t="shared" si="11"/>
        <v>0</v>
      </c>
      <c r="AD34" s="48">
        <f t="shared" si="19"/>
        <v>0</v>
      </c>
      <c r="AE34" s="49">
        <v>0</v>
      </c>
      <c r="AF34" s="49">
        <f t="shared" si="12"/>
        <v>0</v>
      </c>
      <c r="AG34" s="49">
        <v>0</v>
      </c>
      <c r="AH34" s="49">
        <v>0</v>
      </c>
      <c r="AI34" s="49">
        <v>0</v>
      </c>
      <c r="AJ34" s="49">
        <f t="shared" si="13"/>
        <v>0</v>
      </c>
      <c r="AK34" s="49">
        <f t="shared" si="20"/>
        <v>0</v>
      </c>
      <c r="AL34" s="82">
        <f t="shared" si="21"/>
        <v>0</v>
      </c>
      <c r="AM34" s="82">
        <f t="shared" si="22"/>
        <v>307090353970462.75</v>
      </c>
      <c r="AN34" s="81">
        <f t="shared" si="14"/>
        <v>372767964389640</v>
      </c>
      <c r="AO34" s="80">
        <f t="shared" si="0"/>
        <v>1213.8706396017062</v>
      </c>
      <c r="AP34" s="52">
        <f t="shared" si="15"/>
        <v>5.2514430557893038E-2</v>
      </c>
      <c r="AQ34" s="48">
        <f t="shared" si="1"/>
        <v>3.0710980227177113E-2</v>
      </c>
      <c r="AR34" s="48">
        <f t="shared" si="2"/>
        <v>6.2925170068027211E-2</v>
      </c>
      <c r="AS34" s="48">
        <f t="shared" si="3"/>
        <v>2.6973026973026972E-2</v>
      </c>
      <c r="AT34" s="48" t="e">
        <f>(#REF!-#REF!)/#REF!</f>
        <v>#REF!</v>
      </c>
    </row>
    <row r="35" spans="1:46" x14ac:dyDescent="0.3">
      <c r="A35" s="48">
        <v>20180219</v>
      </c>
      <c r="B35" s="48" t="s">
        <v>88</v>
      </c>
      <c r="C35" s="79">
        <v>0.4</v>
      </c>
      <c r="D35" s="79">
        <f t="shared" si="4"/>
        <v>0.31099777515781346</v>
      </c>
      <c r="E35" s="49">
        <v>2450000</v>
      </c>
      <c r="F35" s="49">
        <v>2419000</v>
      </c>
      <c r="G35" s="49">
        <v>128386494</v>
      </c>
      <c r="H35" s="49">
        <f t="shared" si="5"/>
        <v>0.37505621673717698</v>
      </c>
      <c r="I35" s="49">
        <f t="shared" si="16"/>
        <v>0.37505621673717698</v>
      </c>
      <c r="J35" s="48">
        <v>0.6</v>
      </c>
      <c r="K35" s="48">
        <f t="shared" si="6"/>
        <v>0.68900222484218665</v>
      </c>
      <c r="L35" s="48">
        <v>312500</v>
      </c>
      <c r="M35" s="48">
        <v>316500</v>
      </c>
      <c r="N35" s="51">
        <v>122666424</v>
      </c>
      <c r="O35" s="48">
        <f t="shared" si="7"/>
        <v>6.6468441985697098</v>
      </c>
      <c r="P35" s="48">
        <f t="shared" si="17"/>
        <v>6.6468441985697098</v>
      </c>
      <c r="Q35" s="49">
        <v>0</v>
      </c>
      <c r="R35" s="49">
        <f t="shared" si="8"/>
        <v>0</v>
      </c>
      <c r="S35" s="49">
        <v>205600</v>
      </c>
      <c r="T35" s="49">
        <v>219500</v>
      </c>
      <c r="U35" s="49">
        <v>15956260</v>
      </c>
      <c r="V35" s="49">
        <f t="shared" si="9"/>
        <v>0</v>
      </c>
      <c r="W35" s="49">
        <f t="shared" si="18"/>
        <v>0</v>
      </c>
      <c r="X35" s="48">
        <v>0</v>
      </c>
      <c r="Y35" s="48">
        <f t="shared" si="10"/>
        <v>0</v>
      </c>
      <c r="Z35" s="48">
        <v>0</v>
      </c>
      <c r="AA35" s="48">
        <v>0</v>
      </c>
      <c r="AB35" s="48">
        <v>0</v>
      </c>
      <c r="AC35" s="48">
        <f t="shared" si="11"/>
        <v>0</v>
      </c>
      <c r="AD35" s="48">
        <f t="shared" si="19"/>
        <v>0</v>
      </c>
      <c r="AE35" s="49">
        <v>0</v>
      </c>
      <c r="AF35" s="49">
        <f t="shared" si="12"/>
        <v>0</v>
      </c>
      <c r="AG35" s="49">
        <v>0</v>
      </c>
      <c r="AH35" s="49">
        <v>0</v>
      </c>
      <c r="AI35" s="49">
        <v>0</v>
      </c>
      <c r="AJ35" s="49">
        <f t="shared" si="13"/>
        <v>0</v>
      </c>
      <c r="AK35" s="49">
        <f t="shared" si="20"/>
        <v>0</v>
      </c>
      <c r="AL35" s="82">
        <f t="shared" si="21"/>
        <v>0</v>
      </c>
      <c r="AM35" s="82">
        <f t="shared" si="22"/>
        <v>307090353970462.75</v>
      </c>
      <c r="AN35" s="81">
        <f t="shared" si="14"/>
        <v>374536626090221.25</v>
      </c>
      <c r="AO35" s="80">
        <f t="shared" si="0"/>
        <v>1219.6300575635983</v>
      </c>
      <c r="AP35" s="52">
        <f t="shared" si="15"/>
        <v>4.7446719394925096E-3</v>
      </c>
      <c r="AQ35" s="48">
        <f t="shared" si="1"/>
        <v>-1.2653061224489797E-2</v>
      </c>
      <c r="AR35" s="48">
        <f t="shared" si="2"/>
        <v>1.2800000000000001E-2</v>
      </c>
      <c r="AS35" s="48">
        <f t="shared" si="3"/>
        <v>6.7607003891050579E-2</v>
      </c>
      <c r="AT35" s="48" t="e">
        <f>(#REF!-#REF!)/#REF!</f>
        <v>#REF!</v>
      </c>
    </row>
    <row r="36" spans="1:46" x14ac:dyDescent="0.3">
      <c r="A36" s="48">
        <v>20180220</v>
      </c>
      <c r="B36" s="48" t="s">
        <v>88</v>
      </c>
      <c r="C36" s="79">
        <v>0.4</v>
      </c>
      <c r="D36" s="79">
        <f t="shared" si="4"/>
        <v>0.31526302887159363</v>
      </c>
      <c r="E36" s="49">
        <v>2419000</v>
      </c>
      <c r="F36" s="49">
        <v>2370000</v>
      </c>
      <c r="G36" s="49">
        <v>128386494</v>
      </c>
      <c r="H36" s="49">
        <f t="shared" si="5"/>
        <v>0.37505621673717698</v>
      </c>
      <c r="I36" s="49">
        <f t="shared" si="16"/>
        <v>0.37505621673717698</v>
      </c>
      <c r="J36" s="48">
        <v>0.6</v>
      </c>
      <c r="K36" s="48">
        <f t="shared" si="6"/>
        <v>0.68473697112840637</v>
      </c>
      <c r="L36" s="48">
        <v>316500</v>
      </c>
      <c r="M36" s="48">
        <v>304000</v>
      </c>
      <c r="N36" s="51">
        <v>122666424</v>
      </c>
      <c r="O36" s="48">
        <f t="shared" si="7"/>
        <v>6.6468441985697098</v>
      </c>
      <c r="P36" s="48">
        <f t="shared" si="17"/>
        <v>6.6468441985697098</v>
      </c>
      <c r="Q36" s="49">
        <v>0</v>
      </c>
      <c r="R36" s="49">
        <f t="shared" si="8"/>
        <v>0</v>
      </c>
      <c r="S36" s="49">
        <v>219500</v>
      </c>
      <c r="T36" s="49">
        <v>215000</v>
      </c>
      <c r="U36" s="49">
        <v>15956260</v>
      </c>
      <c r="V36" s="49">
        <f t="shared" si="9"/>
        <v>0</v>
      </c>
      <c r="W36" s="49">
        <f t="shared" si="18"/>
        <v>0</v>
      </c>
      <c r="X36" s="48">
        <v>0</v>
      </c>
      <c r="Y36" s="48">
        <f t="shared" si="10"/>
        <v>0</v>
      </c>
      <c r="Z36" s="48">
        <v>0</v>
      </c>
      <c r="AA36" s="48">
        <v>0</v>
      </c>
      <c r="AB36" s="48">
        <v>0</v>
      </c>
      <c r="AC36" s="48">
        <f t="shared" si="11"/>
        <v>0</v>
      </c>
      <c r="AD36" s="48">
        <f t="shared" si="19"/>
        <v>0</v>
      </c>
      <c r="AE36" s="49">
        <v>0</v>
      </c>
      <c r="AF36" s="49">
        <f t="shared" si="12"/>
        <v>0</v>
      </c>
      <c r="AG36" s="49">
        <v>0</v>
      </c>
      <c r="AH36" s="49">
        <v>0</v>
      </c>
      <c r="AI36" s="49">
        <v>0</v>
      </c>
      <c r="AJ36" s="49">
        <f t="shared" si="13"/>
        <v>0</v>
      </c>
      <c r="AK36" s="49">
        <f t="shared" si="20"/>
        <v>0</v>
      </c>
      <c r="AL36" s="82">
        <f t="shared" si="21"/>
        <v>0</v>
      </c>
      <c r="AM36" s="82">
        <f t="shared" si="22"/>
        <v>307090353970462.75</v>
      </c>
      <c r="AN36" s="81">
        <f t="shared" si="14"/>
        <v>361985362997905.37</v>
      </c>
      <c r="AO36" s="80">
        <f t="shared" si="0"/>
        <v>1178.7584934456218</v>
      </c>
      <c r="AP36" s="52">
        <f t="shared" si="15"/>
        <v>-3.3511443789458459E-2</v>
      </c>
      <c r="AQ36" s="48">
        <f t="shared" si="1"/>
        <v>-2.0256304257957835E-2</v>
      </c>
      <c r="AR36" s="48">
        <f t="shared" si="2"/>
        <v>-3.9494470774091628E-2</v>
      </c>
      <c r="AS36" s="48">
        <f t="shared" si="3"/>
        <v>-2.0501138952164009E-2</v>
      </c>
      <c r="AT36" s="48" t="e">
        <f>(#REF!-#REF!)/#REF!</f>
        <v>#REF!</v>
      </c>
    </row>
    <row r="37" spans="1:46" x14ac:dyDescent="0.3">
      <c r="A37" s="48">
        <v>20180221</v>
      </c>
      <c r="B37" s="48" t="s">
        <v>88</v>
      </c>
      <c r="C37" s="79">
        <v>0.4</v>
      </c>
      <c r="D37" s="79">
        <f t="shared" si="4"/>
        <v>0.31225247634607883</v>
      </c>
      <c r="E37" s="49">
        <v>2370000</v>
      </c>
      <c r="F37" s="49">
        <v>2364000</v>
      </c>
      <c r="G37" s="49">
        <v>128386494</v>
      </c>
      <c r="H37" s="49">
        <f t="shared" si="5"/>
        <v>0.37505621673717698</v>
      </c>
      <c r="I37" s="49">
        <f t="shared" si="16"/>
        <v>0.37505621673717698</v>
      </c>
      <c r="J37" s="48">
        <v>0.6</v>
      </c>
      <c r="K37" s="48">
        <f t="shared" si="6"/>
        <v>0.68774752365392111</v>
      </c>
      <c r="L37" s="48">
        <v>304000</v>
      </c>
      <c r="M37" s="48">
        <v>307500</v>
      </c>
      <c r="N37" s="51">
        <v>122666424</v>
      </c>
      <c r="O37" s="48">
        <f t="shared" si="7"/>
        <v>6.6468441985697098</v>
      </c>
      <c r="P37" s="48">
        <f t="shared" si="17"/>
        <v>6.6468441985697098</v>
      </c>
      <c r="Q37" s="49">
        <v>0</v>
      </c>
      <c r="R37" s="49">
        <f t="shared" si="8"/>
        <v>0</v>
      </c>
      <c r="S37" s="49">
        <v>215000</v>
      </c>
      <c r="T37" s="49">
        <v>221200</v>
      </c>
      <c r="U37" s="49">
        <v>15956260</v>
      </c>
      <c r="V37" s="49">
        <f t="shared" si="9"/>
        <v>0</v>
      </c>
      <c r="W37" s="49">
        <f t="shared" si="18"/>
        <v>0</v>
      </c>
      <c r="X37" s="48">
        <v>0</v>
      </c>
      <c r="Y37" s="48">
        <f t="shared" si="10"/>
        <v>0</v>
      </c>
      <c r="Z37" s="48">
        <v>0</v>
      </c>
      <c r="AA37" s="48">
        <v>0</v>
      </c>
      <c r="AB37" s="48">
        <v>0</v>
      </c>
      <c r="AC37" s="48">
        <f t="shared" si="11"/>
        <v>0</v>
      </c>
      <c r="AD37" s="48">
        <f t="shared" si="19"/>
        <v>0</v>
      </c>
      <c r="AE37" s="49">
        <v>0</v>
      </c>
      <c r="AF37" s="49">
        <f t="shared" si="12"/>
        <v>0</v>
      </c>
      <c r="AG37" s="49">
        <v>0</v>
      </c>
      <c r="AH37" s="49">
        <v>0</v>
      </c>
      <c r="AI37" s="49">
        <v>0</v>
      </c>
      <c r="AJ37" s="49">
        <f t="shared" si="13"/>
        <v>0</v>
      </c>
      <c r="AK37" s="49">
        <f t="shared" si="20"/>
        <v>0</v>
      </c>
      <c r="AL37" s="82">
        <f t="shared" si="21"/>
        <v>0</v>
      </c>
      <c r="AM37" s="82">
        <f t="shared" si="22"/>
        <v>307090353970462.75</v>
      </c>
      <c r="AN37" s="81">
        <f t="shared" si="14"/>
        <v>364550156212119.56</v>
      </c>
      <c r="AO37" s="80">
        <f t="shared" si="0"/>
        <v>1187.1104106616892</v>
      </c>
      <c r="AP37" s="52">
        <f t="shared" si="15"/>
        <v>7.085350614657324E-3</v>
      </c>
      <c r="AQ37" s="48">
        <f t="shared" si="1"/>
        <v>-2.5316455696202532E-3</v>
      </c>
      <c r="AR37" s="48">
        <f t="shared" si="2"/>
        <v>1.1513157894736841E-2</v>
      </c>
      <c r="AS37" s="48">
        <f t="shared" si="3"/>
        <v>2.883720930232558E-2</v>
      </c>
      <c r="AT37" s="48" t="e">
        <f>(#REF!-#REF!)/#REF!</f>
        <v>#REF!</v>
      </c>
    </row>
    <row r="38" spans="1:46" x14ac:dyDescent="0.3">
      <c r="A38" s="48">
        <v>20180222</v>
      </c>
      <c r="B38" s="48" t="s">
        <v>88</v>
      </c>
      <c r="C38" s="79">
        <v>0.4</v>
      </c>
      <c r="D38" s="79">
        <f t="shared" si="4"/>
        <v>0.30988244088207012</v>
      </c>
      <c r="E38" s="49">
        <v>2364000</v>
      </c>
      <c r="F38" s="49">
        <v>2338000</v>
      </c>
      <c r="G38" s="49">
        <v>128386494</v>
      </c>
      <c r="H38" s="49">
        <f t="shared" si="5"/>
        <v>0.37505621673717698</v>
      </c>
      <c r="I38" s="49">
        <f t="shared" si="16"/>
        <v>0.37505621673717698</v>
      </c>
      <c r="J38" s="48">
        <v>0.6</v>
      </c>
      <c r="K38" s="48">
        <f t="shared" si="6"/>
        <v>0.69011755911792994</v>
      </c>
      <c r="L38" s="48">
        <v>307500</v>
      </c>
      <c r="M38" s="48">
        <v>307500</v>
      </c>
      <c r="N38" s="51">
        <v>122666424</v>
      </c>
      <c r="O38" s="48">
        <f t="shared" si="7"/>
        <v>6.6468441985697098</v>
      </c>
      <c r="P38" s="48">
        <f t="shared" si="17"/>
        <v>6.6468441985697098</v>
      </c>
      <c r="Q38" s="49">
        <v>0</v>
      </c>
      <c r="R38" s="49">
        <f t="shared" si="8"/>
        <v>0</v>
      </c>
      <c r="S38" s="49">
        <v>221200</v>
      </c>
      <c r="T38" s="49">
        <v>219300</v>
      </c>
      <c r="U38" s="49">
        <v>15956260</v>
      </c>
      <c r="V38" s="49">
        <f t="shared" si="9"/>
        <v>0</v>
      </c>
      <c r="W38" s="49">
        <f t="shared" si="18"/>
        <v>0</v>
      </c>
      <c r="X38" s="48">
        <v>0</v>
      </c>
      <c r="Y38" s="48">
        <f t="shared" si="10"/>
        <v>0</v>
      </c>
      <c r="Z38" s="48">
        <v>0</v>
      </c>
      <c r="AA38" s="48">
        <v>0</v>
      </c>
      <c r="AB38" s="48">
        <v>0</v>
      </c>
      <c r="AC38" s="48">
        <f t="shared" si="11"/>
        <v>0</v>
      </c>
      <c r="AD38" s="48">
        <f t="shared" si="19"/>
        <v>0</v>
      </c>
      <c r="AE38" s="49">
        <v>0</v>
      </c>
      <c r="AF38" s="49">
        <f t="shared" si="12"/>
        <v>0</v>
      </c>
      <c r="AG38" s="49">
        <v>0</v>
      </c>
      <c r="AH38" s="49">
        <v>0</v>
      </c>
      <c r="AI38" s="49">
        <v>0</v>
      </c>
      <c r="AJ38" s="49">
        <f t="shared" si="13"/>
        <v>0</v>
      </c>
      <c r="AK38" s="49">
        <f t="shared" si="20"/>
        <v>0</v>
      </c>
      <c r="AL38" s="82">
        <f t="shared" si="21"/>
        <v>0</v>
      </c>
      <c r="AM38" s="82">
        <f t="shared" si="22"/>
        <v>307090353970462.75</v>
      </c>
      <c r="AN38" s="81">
        <f t="shared" si="14"/>
        <v>363298200241405</v>
      </c>
      <c r="AO38" s="80">
        <f t="shared" si="0"/>
        <v>1183.0335780470282</v>
      </c>
      <c r="AP38" s="52">
        <f t="shared" si="15"/>
        <v>-3.4342488938233118E-3</v>
      </c>
      <c r="AQ38" s="48">
        <f t="shared" si="1"/>
        <v>-1.0998307952622674E-2</v>
      </c>
      <c r="AR38" s="48">
        <f t="shared" si="2"/>
        <v>0</v>
      </c>
      <c r="AS38" s="48">
        <f t="shared" si="3"/>
        <v>-8.5895117540687165E-3</v>
      </c>
      <c r="AT38" s="48" t="e">
        <f>(#REF!-#REF!)/#REF!</f>
        <v>#REF!</v>
      </c>
    </row>
    <row r="39" spans="1:46" x14ac:dyDescent="0.3">
      <c r="A39" s="48">
        <v>20180223</v>
      </c>
      <c r="B39" s="48" t="s">
        <v>88</v>
      </c>
      <c r="C39" s="79">
        <v>0.4</v>
      </c>
      <c r="D39" s="79">
        <f t="shared" si="4"/>
        <v>0.30481862471490895</v>
      </c>
      <c r="E39" s="49">
        <v>2338000</v>
      </c>
      <c r="F39" s="49">
        <v>2361000</v>
      </c>
      <c r="G39" s="49">
        <v>128386494</v>
      </c>
      <c r="H39" s="49">
        <f t="shared" si="5"/>
        <v>0.37505621673717698</v>
      </c>
      <c r="I39" s="49">
        <f t="shared" si="16"/>
        <v>0.37505621673717698</v>
      </c>
      <c r="J39" s="48">
        <v>0.6</v>
      </c>
      <c r="K39" s="48">
        <f t="shared" si="6"/>
        <v>0.69518137528509105</v>
      </c>
      <c r="L39" s="48">
        <v>307500</v>
      </c>
      <c r="M39" s="48">
        <v>318000</v>
      </c>
      <c r="N39" s="51">
        <v>122666424</v>
      </c>
      <c r="O39" s="48">
        <f t="shared" si="7"/>
        <v>6.6468441985697098</v>
      </c>
      <c r="P39" s="48">
        <f t="shared" si="17"/>
        <v>6.6468441985697098</v>
      </c>
      <c r="Q39" s="49">
        <v>0</v>
      </c>
      <c r="R39" s="49">
        <f t="shared" si="8"/>
        <v>0</v>
      </c>
      <c r="S39" s="49">
        <v>219300</v>
      </c>
      <c r="T39" s="49">
        <v>222700</v>
      </c>
      <c r="U39" s="49">
        <v>15956260</v>
      </c>
      <c r="V39" s="49">
        <f t="shared" si="9"/>
        <v>0</v>
      </c>
      <c r="W39" s="49">
        <f t="shared" si="18"/>
        <v>0</v>
      </c>
      <c r="X39" s="48">
        <v>0</v>
      </c>
      <c r="Y39" s="48">
        <f t="shared" si="10"/>
        <v>0</v>
      </c>
      <c r="Z39" s="48">
        <v>0</v>
      </c>
      <c r="AA39" s="48">
        <v>0</v>
      </c>
      <c r="AB39" s="48">
        <v>0</v>
      </c>
      <c r="AC39" s="48">
        <f t="shared" si="11"/>
        <v>0</v>
      </c>
      <c r="AD39" s="48">
        <f t="shared" si="19"/>
        <v>0</v>
      </c>
      <c r="AE39" s="49">
        <v>0</v>
      </c>
      <c r="AF39" s="49">
        <f t="shared" si="12"/>
        <v>0</v>
      </c>
      <c r="AG39" s="49">
        <v>0</v>
      </c>
      <c r="AH39" s="49">
        <v>0</v>
      </c>
      <c r="AI39" s="49">
        <v>0</v>
      </c>
      <c r="AJ39" s="49">
        <f t="shared" si="13"/>
        <v>0</v>
      </c>
      <c r="AK39" s="49">
        <f t="shared" si="20"/>
        <v>0</v>
      </c>
      <c r="AL39" s="82">
        <f t="shared" si="21"/>
        <v>0</v>
      </c>
      <c r="AM39" s="82">
        <f t="shared" si="22"/>
        <v>307090353970462.75</v>
      </c>
      <c r="AN39" s="81">
        <f t="shared" si="14"/>
        <v>372966818145558.94</v>
      </c>
      <c r="AO39" s="80">
        <f t="shared" si="0"/>
        <v>1214.5181811260425</v>
      </c>
      <c r="AP39" s="52">
        <f t="shared" si="15"/>
        <v>2.6613448395090857E-2</v>
      </c>
      <c r="AQ39" s="48">
        <f t="shared" si="1"/>
        <v>9.8374679213002574E-3</v>
      </c>
      <c r="AR39" s="48">
        <f t="shared" si="2"/>
        <v>3.4146341463414637E-2</v>
      </c>
      <c r="AS39" s="48">
        <f t="shared" si="3"/>
        <v>1.5503875968992248E-2</v>
      </c>
      <c r="AT39" s="48" t="e">
        <f>(#REF!-#REF!)/#REF!</f>
        <v>#REF!</v>
      </c>
    </row>
    <row r="40" spans="1:46" x14ac:dyDescent="0.3">
      <c r="A40" s="48">
        <v>20180226</v>
      </c>
      <c r="B40" s="48" t="s">
        <v>88</v>
      </c>
      <c r="C40" s="79">
        <v>0.4</v>
      </c>
      <c r="D40" s="79">
        <f t="shared" si="4"/>
        <v>0.29996768305035509</v>
      </c>
      <c r="E40" s="49">
        <v>2361000</v>
      </c>
      <c r="F40" s="49">
        <v>2369000</v>
      </c>
      <c r="G40" s="49">
        <v>128386494</v>
      </c>
      <c r="H40" s="49">
        <f t="shared" si="5"/>
        <v>0.37505621673717698</v>
      </c>
      <c r="I40" s="49">
        <f t="shared" si="16"/>
        <v>0.37505621673717698</v>
      </c>
      <c r="J40" s="48">
        <v>0.6</v>
      </c>
      <c r="K40" s="48">
        <f t="shared" si="6"/>
        <v>0.70003231694964496</v>
      </c>
      <c r="L40" s="48">
        <v>318000</v>
      </c>
      <c r="M40" s="48">
        <v>326500</v>
      </c>
      <c r="N40" s="51">
        <v>122666424</v>
      </c>
      <c r="O40" s="48">
        <f t="shared" si="7"/>
        <v>6.6468441985697098</v>
      </c>
      <c r="P40" s="48">
        <f t="shared" si="17"/>
        <v>6.6468441985697098</v>
      </c>
      <c r="Q40" s="49">
        <v>0</v>
      </c>
      <c r="R40" s="49">
        <f t="shared" si="8"/>
        <v>0</v>
      </c>
      <c r="S40" s="49">
        <v>222700</v>
      </c>
      <c r="T40" s="49">
        <v>224300</v>
      </c>
      <c r="U40" s="49">
        <v>15956260</v>
      </c>
      <c r="V40" s="49">
        <f t="shared" si="9"/>
        <v>0</v>
      </c>
      <c r="W40" s="49">
        <f t="shared" si="18"/>
        <v>0</v>
      </c>
      <c r="X40" s="48">
        <v>0</v>
      </c>
      <c r="Y40" s="48">
        <f t="shared" si="10"/>
        <v>0</v>
      </c>
      <c r="Z40" s="48">
        <v>0</v>
      </c>
      <c r="AA40" s="48">
        <v>0</v>
      </c>
      <c r="AB40" s="48">
        <v>0</v>
      </c>
      <c r="AC40" s="48">
        <f t="shared" si="11"/>
        <v>0</v>
      </c>
      <c r="AD40" s="48">
        <f t="shared" si="19"/>
        <v>0</v>
      </c>
      <c r="AE40" s="49">
        <v>0</v>
      </c>
      <c r="AF40" s="49">
        <f t="shared" si="12"/>
        <v>0</v>
      </c>
      <c r="AG40" s="49">
        <v>0</v>
      </c>
      <c r="AH40" s="49">
        <v>0</v>
      </c>
      <c r="AI40" s="49">
        <v>0</v>
      </c>
      <c r="AJ40" s="49">
        <f t="shared" si="13"/>
        <v>0</v>
      </c>
      <c r="AK40" s="49">
        <f t="shared" si="20"/>
        <v>0</v>
      </c>
      <c r="AL40" s="82">
        <f t="shared" si="21"/>
        <v>0</v>
      </c>
      <c r="AM40" s="82">
        <f t="shared" si="22"/>
        <v>307090353970462.75</v>
      </c>
      <c r="AN40" s="81">
        <f t="shared" si="14"/>
        <v>380282464541468.62</v>
      </c>
      <c r="AO40" s="80">
        <f t="shared" si="0"/>
        <v>1238.3406369646041</v>
      </c>
      <c r="AP40" s="52">
        <f t="shared" si="15"/>
        <v>1.9614737933749647E-2</v>
      </c>
      <c r="AQ40" s="48">
        <f t="shared" si="1"/>
        <v>3.3883947479881405E-3</v>
      </c>
      <c r="AR40" s="48">
        <f t="shared" si="2"/>
        <v>2.6729559748427674E-2</v>
      </c>
      <c r="AS40" s="48">
        <f t="shared" si="3"/>
        <v>7.1845532105972157E-3</v>
      </c>
      <c r="AT40" s="48" t="e">
        <f>(#REF!-#REF!)/#REF!</f>
        <v>#REF!</v>
      </c>
    </row>
    <row r="41" spans="1:46" x14ac:dyDescent="0.3">
      <c r="A41" s="48">
        <v>20180227</v>
      </c>
      <c r="B41" s="48" t="s">
        <v>88</v>
      </c>
      <c r="C41" s="79">
        <v>0.4</v>
      </c>
      <c r="D41" s="79">
        <f t="shared" si="4"/>
        <v>0.28499701110201231</v>
      </c>
      <c r="E41" s="49">
        <v>2369000</v>
      </c>
      <c r="F41" s="49">
        <v>2369000</v>
      </c>
      <c r="G41" s="49">
        <v>128386494</v>
      </c>
      <c r="H41" s="49">
        <f t="shared" si="5"/>
        <v>0.37505621673717698</v>
      </c>
      <c r="I41" s="49">
        <f t="shared" si="16"/>
        <v>0.37505621673717698</v>
      </c>
      <c r="J41" s="48">
        <v>0.6</v>
      </c>
      <c r="K41" s="48">
        <f t="shared" si="6"/>
        <v>0.71500298889798763</v>
      </c>
      <c r="L41" s="48">
        <v>326500</v>
      </c>
      <c r="M41" s="48">
        <v>351000</v>
      </c>
      <c r="N41" s="51">
        <v>122666424</v>
      </c>
      <c r="O41" s="48">
        <f t="shared" si="7"/>
        <v>6.6468441985697098</v>
      </c>
      <c r="P41" s="48">
        <f t="shared" si="17"/>
        <v>6.6468441985697098</v>
      </c>
      <c r="Q41" s="49">
        <v>0</v>
      </c>
      <c r="R41" s="49">
        <f t="shared" si="8"/>
        <v>0</v>
      </c>
      <c r="S41" s="49">
        <v>224300</v>
      </c>
      <c r="T41" s="49">
        <v>225200</v>
      </c>
      <c r="U41" s="49">
        <v>15956260</v>
      </c>
      <c r="V41" s="49">
        <f t="shared" si="9"/>
        <v>0</v>
      </c>
      <c r="W41" s="49">
        <f t="shared" si="18"/>
        <v>0</v>
      </c>
      <c r="X41" s="48">
        <v>0</v>
      </c>
      <c r="Y41" s="48">
        <f t="shared" si="10"/>
        <v>0</v>
      </c>
      <c r="Z41" s="48">
        <v>0</v>
      </c>
      <c r="AA41" s="48">
        <v>0</v>
      </c>
      <c r="AB41" s="48">
        <v>0</v>
      </c>
      <c r="AC41" s="48">
        <f t="shared" si="11"/>
        <v>0</v>
      </c>
      <c r="AD41" s="48">
        <f t="shared" si="19"/>
        <v>0</v>
      </c>
      <c r="AE41" s="49">
        <v>0</v>
      </c>
      <c r="AF41" s="49">
        <f t="shared" si="12"/>
        <v>0</v>
      </c>
      <c r="AG41" s="49">
        <v>0</v>
      </c>
      <c r="AH41" s="49">
        <v>0</v>
      </c>
      <c r="AI41" s="49">
        <v>0</v>
      </c>
      <c r="AJ41" s="49">
        <f t="shared" si="13"/>
        <v>0</v>
      </c>
      <c r="AK41" s="49">
        <f t="shared" si="20"/>
        <v>0</v>
      </c>
      <c r="AL41" s="82">
        <f t="shared" si="21"/>
        <v>0</v>
      </c>
      <c r="AM41" s="82">
        <f t="shared" si="22"/>
        <v>307090353970462.75</v>
      </c>
      <c r="AN41" s="81">
        <f t="shared" si="14"/>
        <v>400258407455199.12</v>
      </c>
      <c r="AO41" s="80">
        <f t="shared" si="0"/>
        <v>1303.3897101622986</v>
      </c>
      <c r="AP41" s="52">
        <f t="shared" si="15"/>
        <v>5.2529224395915404E-2</v>
      </c>
      <c r="AQ41" s="48">
        <f t="shared" si="1"/>
        <v>0</v>
      </c>
      <c r="AR41" s="48">
        <f t="shared" si="2"/>
        <v>7.5038284839203676E-2</v>
      </c>
      <c r="AS41" s="48">
        <f t="shared" si="3"/>
        <v>4.012483281319661E-3</v>
      </c>
      <c r="AT41" s="48" t="e">
        <f>(#REF!-#REF!)/#REF!</f>
        <v>#REF!</v>
      </c>
    </row>
    <row r="42" spans="1:46" x14ac:dyDescent="0.3">
      <c r="A42" s="48">
        <v>20180228</v>
      </c>
      <c r="B42" s="48" t="s">
        <v>88</v>
      </c>
      <c r="C42" s="79">
        <v>0.4</v>
      </c>
      <c r="D42" s="79">
        <f t="shared" si="4"/>
        <v>0.28246508083172983</v>
      </c>
      <c r="E42" s="49">
        <v>2369000</v>
      </c>
      <c r="F42" s="49">
        <v>2353000</v>
      </c>
      <c r="G42" s="49">
        <v>128386494</v>
      </c>
      <c r="H42" s="49">
        <f t="shared" si="5"/>
        <v>0.37505621673717698</v>
      </c>
      <c r="I42" s="49">
        <f t="shared" si="16"/>
        <v>0.37505621673717698</v>
      </c>
      <c r="J42" s="48">
        <v>0.6</v>
      </c>
      <c r="K42" s="48">
        <f t="shared" si="6"/>
        <v>0.71753491916827017</v>
      </c>
      <c r="L42" s="48">
        <v>351000</v>
      </c>
      <c r="M42" s="48">
        <v>353000</v>
      </c>
      <c r="N42" s="51">
        <v>122666424</v>
      </c>
      <c r="O42" s="48">
        <f t="shared" si="7"/>
        <v>6.6468441985697098</v>
      </c>
      <c r="P42" s="48">
        <f t="shared" si="17"/>
        <v>6.6468441985697098</v>
      </c>
      <c r="Q42" s="49">
        <v>0</v>
      </c>
      <c r="R42" s="49">
        <f t="shared" si="8"/>
        <v>0</v>
      </c>
      <c r="S42" s="49">
        <v>225200</v>
      </c>
      <c r="T42" s="49">
        <v>234000</v>
      </c>
      <c r="U42" s="49">
        <v>15956260</v>
      </c>
      <c r="V42" s="49">
        <f t="shared" si="9"/>
        <v>0</v>
      </c>
      <c r="W42" s="49">
        <f t="shared" si="18"/>
        <v>0</v>
      </c>
      <c r="X42" s="48">
        <v>0</v>
      </c>
      <c r="Y42" s="48">
        <f t="shared" si="10"/>
        <v>0</v>
      </c>
      <c r="Z42" s="48">
        <v>0</v>
      </c>
      <c r="AA42" s="48">
        <v>0</v>
      </c>
      <c r="AB42" s="48">
        <v>0</v>
      </c>
      <c r="AC42" s="48">
        <f t="shared" si="11"/>
        <v>0</v>
      </c>
      <c r="AD42" s="48">
        <f t="shared" si="19"/>
        <v>0</v>
      </c>
      <c r="AE42" s="49">
        <v>0</v>
      </c>
      <c r="AF42" s="49">
        <f t="shared" si="12"/>
        <v>0</v>
      </c>
      <c r="AG42" s="49">
        <v>0</v>
      </c>
      <c r="AH42" s="49">
        <v>0</v>
      </c>
      <c r="AI42" s="49">
        <v>0</v>
      </c>
      <c r="AJ42" s="49">
        <f t="shared" si="13"/>
        <v>0</v>
      </c>
      <c r="AK42" s="49">
        <f t="shared" si="20"/>
        <v>0</v>
      </c>
      <c r="AL42" s="82">
        <f t="shared" si="21"/>
        <v>0</v>
      </c>
      <c r="AM42" s="82">
        <f t="shared" si="22"/>
        <v>307090353970462.75</v>
      </c>
      <c r="AN42" s="81">
        <f t="shared" si="14"/>
        <v>401118662229129.87</v>
      </c>
      <c r="AO42" s="80">
        <f t="shared" si="0"/>
        <v>1306.1910185160398</v>
      </c>
      <c r="AP42" s="52">
        <f t="shared" si="15"/>
        <v>2.1492484802510723E-3</v>
      </c>
      <c r="AQ42" s="48">
        <f t="shared" si="1"/>
        <v>-6.7539046010975093E-3</v>
      </c>
      <c r="AR42" s="48">
        <f t="shared" si="2"/>
        <v>5.6980056980056983E-3</v>
      </c>
      <c r="AS42" s="48">
        <f t="shared" si="3"/>
        <v>3.9076376554174071E-2</v>
      </c>
      <c r="AT42" s="48" t="e">
        <f>(#REF!-#REF!)/#REF!</f>
        <v>#REF!</v>
      </c>
    </row>
    <row r="43" spans="1:46" x14ac:dyDescent="0.3">
      <c r="A43" s="48">
        <v>20180302</v>
      </c>
      <c r="B43" s="48" t="s">
        <v>88</v>
      </c>
      <c r="C43" s="79">
        <v>0.4</v>
      </c>
      <c r="D43" s="79">
        <f t="shared" si="4"/>
        <v>0.26755957101489924</v>
      </c>
      <c r="E43" s="49">
        <v>2353000</v>
      </c>
      <c r="F43" s="49">
        <v>2301000</v>
      </c>
      <c r="G43" s="49">
        <v>128386494</v>
      </c>
      <c r="H43" s="49">
        <f t="shared" si="5"/>
        <v>0.37505621673717698</v>
      </c>
      <c r="I43" s="49">
        <f t="shared" si="16"/>
        <v>0.37505621673717698</v>
      </c>
      <c r="J43" s="48">
        <v>0.6</v>
      </c>
      <c r="K43" s="48">
        <f t="shared" si="6"/>
        <v>0.73244042898510076</v>
      </c>
      <c r="L43" s="48">
        <v>353000</v>
      </c>
      <c r="M43" s="48">
        <v>372000</v>
      </c>
      <c r="N43" s="51">
        <v>122666424</v>
      </c>
      <c r="O43" s="48">
        <f t="shared" si="7"/>
        <v>6.6468441985697098</v>
      </c>
      <c r="P43" s="48">
        <f t="shared" si="17"/>
        <v>6.6468441985697098</v>
      </c>
      <c r="Q43" s="49">
        <v>0</v>
      </c>
      <c r="R43" s="49">
        <f t="shared" si="8"/>
        <v>0</v>
      </c>
      <c r="S43" s="49">
        <v>234000</v>
      </c>
      <c r="T43" s="49">
        <v>239000</v>
      </c>
      <c r="U43" s="49">
        <v>15956260</v>
      </c>
      <c r="V43" s="49">
        <f t="shared" si="9"/>
        <v>0</v>
      </c>
      <c r="W43" s="49">
        <f t="shared" si="18"/>
        <v>0</v>
      </c>
      <c r="X43" s="48">
        <v>0</v>
      </c>
      <c r="Y43" s="48">
        <f t="shared" si="10"/>
        <v>0</v>
      </c>
      <c r="Z43" s="48">
        <v>0</v>
      </c>
      <c r="AA43" s="48">
        <v>0</v>
      </c>
      <c r="AB43" s="48">
        <v>0</v>
      </c>
      <c r="AC43" s="48">
        <f t="shared" si="11"/>
        <v>0</v>
      </c>
      <c r="AD43" s="48">
        <f t="shared" si="19"/>
        <v>0</v>
      </c>
      <c r="AE43" s="49">
        <v>0</v>
      </c>
      <c r="AF43" s="49">
        <f t="shared" si="12"/>
        <v>0</v>
      </c>
      <c r="AG43" s="49">
        <v>0</v>
      </c>
      <c r="AH43" s="49">
        <v>0</v>
      </c>
      <c r="AI43" s="49">
        <v>0</v>
      </c>
      <c r="AJ43" s="49">
        <f t="shared" si="13"/>
        <v>0</v>
      </c>
      <c r="AK43" s="49">
        <f t="shared" si="20"/>
        <v>0</v>
      </c>
      <c r="AL43" s="82">
        <f t="shared" si="21"/>
        <v>0</v>
      </c>
      <c r="AM43" s="82">
        <f t="shared" si="22"/>
        <v>307090353970462.75</v>
      </c>
      <c r="AN43" s="81">
        <f t="shared" si="14"/>
        <v>414106297853450.94</v>
      </c>
      <c r="AO43" s="80">
        <f t="shared" si="0"/>
        <v>1348.4835733175826</v>
      </c>
      <c r="AP43" s="52">
        <f t="shared" si="15"/>
        <v>3.2378537443620806E-2</v>
      </c>
      <c r="AQ43" s="48">
        <f t="shared" si="1"/>
        <v>-2.2099447513812154E-2</v>
      </c>
      <c r="AR43" s="48">
        <f t="shared" si="2"/>
        <v>5.3824362606232294E-2</v>
      </c>
      <c r="AS43" s="48">
        <f t="shared" si="3"/>
        <v>2.1367521367521368E-2</v>
      </c>
      <c r="AT43" s="48" t="e">
        <f>(#REF!-#REF!)/#REF!</f>
        <v>#REF!</v>
      </c>
    </row>
    <row r="44" spans="1:46" x14ac:dyDescent="0.3">
      <c r="A44" s="48">
        <v>20180305</v>
      </c>
      <c r="B44" s="48" t="s">
        <v>88</v>
      </c>
      <c r="C44" s="79">
        <v>0.4</v>
      </c>
      <c r="D44" s="79">
        <f t="shared" si="4"/>
        <v>0.26326969555290575</v>
      </c>
      <c r="E44" s="49">
        <v>2301000</v>
      </c>
      <c r="F44" s="49">
        <v>2260000</v>
      </c>
      <c r="G44" s="49">
        <v>128386494</v>
      </c>
      <c r="H44" s="49">
        <f t="shared" si="5"/>
        <v>0.37505621673717698</v>
      </c>
      <c r="I44" s="49">
        <f t="shared" si="16"/>
        <v>0.37505621673717698</v>
      </c>
      <c r="J44" s="48">
        <v>0.6</v>
      </c>
      <c r="K44" s="48">
        <f t="shared" si="6"/>
        <v>0.73673030444709431</v>
      </c>
      <c r="L44" s="48">
        <v>372000</v>
      </c>
      <c r="M44" s="48">
        <v>373500</v>
      </c>
      <c r="N44" s="51">
        <v>122666424</v>
      </c>
      <c r="O44" s="48">
        <f t="shared" si="7"/>
        <v>6.6468441985697098</v>
      </c>
      <c r="P44" s="48">
        <f t="shared" si="17"/>
        <v>6.6468441985697098</v>
      </c>
      <c r="Q44" s="49">
        <v>0</v>
      </c>
      <c r="R44" s="49">
        <f t="shared" si="8"/>
        <v>0</v>
      </c>
      <c r="S44" s="49">
        <v>239000</v>
      </c>
      <c r="T44" s="49">
        <v>228900</v>
      </c>
      <c r="U44" s="49">
        <v>15956260</v>
      </c>
      <c r="V44" s="49">
        <f t="shared" si="9"/>
        <v>0</v>
      </c>
      <c r="W44" s="49">
        <f t="shared" si="18"/>
        <v>0</v>
      </c>
      <c r="X44" s="48">
        <v>0</v>
      </c>
      <c r="Y44" s="48">
        <f t="shared" si="10"/>
        <v>0</v>
      </c>
      <c r="Z44" s="48">
        <v>0</v>
      </c>
      <c r="AA44" s="48">
        <v>0</v>
      </c>
      <c r="AB44" s="48">
        <v>0</v>
      </c>
      <c r="AC44" s="48">
        <f t="shared" si="11"/>
        <v>0</v>
      </c>
      <c r="AD44" s="48">
        <f t="shared" si="19"/>
        <v>0</v>
      </c>
      <c r="AE44" s="49">
        <v>0</v>
      </c>
      <c r="AF44" s="49">
        <f t="shared" si="12"/>
        <v>0</v>
      </c>
      <c r="AG44" s="49">
        <v>0</v>
      </c>
      <c r="AH44" s="49">
        <v>0</v>
      </c>
      <c r="AI44" s="49">
        <v>0</v>
      </c>
      <c r="AJ44" s="49">
        <f t="shared" si="13"/>
        <v>0</v>
      </c>
      <c r="AK44" s="49">
        <f t="shared" si="20"/>
        <v>0</v>
      </c>
      <c r="AL44" s="82">
        <f t="shared" si="21"/>
        <v>0</v>
      </c>
      <c r="AM44" s="82">
        <f t="shared" si="22"/>
        <v>307090353970462.75</v>
      </c>
      <c r="AN44" s="81">
        <f t="shared" si="14"/>
        <v>413355076505025.06</v>
      </c>
      <c r="AO44" s="80">
        <f t="shared" si="0"/>
        <v>1346.0373182049973</v>
      </c>
      <c r="AP44" s="52">
        <f t="shared" si="15"/>
        <v>-1.8140785405097086E-3</v>
      </c>
      <c r="AQ44" s="48">
        <f t="shared" si="1"/>
        <v>-1.7818339852238158E-2</v>
      </c>
      <c r="AR44" s="48">
        <f t="shared" si="2"/>
        <v>4.0322580645161289E-3</v>
      </c>
      <c r="AS44" s="48">
        <f t="shared" si="3"/>
        <v>-4.225941422594142E-2</v>
      </c>
      <c r="AT44" s="48" t="e">
        <f>(#REF!-#REF!)/#REF!</f>
        <v>#REF!</v>
      </c>
    </row>
    <row r="45" spans="1:46" x14ac:dyDescent="0.3">
      <c r="A45" s="48">
        <v>20180306</v>
      </c>
      <c r="B45" s="48" t="s">
        <v>88</v>
      </c>
      <c r="C45" s="79">
        <v>0.4</v>
      </c>
      <c r="D45" s="79">
        <f t="shared" si="4"/>
        <v>0.27286163094631061</v>
      </c>
      <c r="E45" s="49">
        <v>2260000</v>
      </c>
      <c r="F45" s="49">
        <v>2351000</v>
      </c>
      <c r="G45" s="49">
        <v>128386494</v>
      </c>
      <c r="H45" s="49">
        <f t="shared" si="5"/>
        <v>0.37505621673717698</v>
      </c>
      <c r="I45" s="49">
        <f t="shared" si="16"/>
        <v>0.37505621673717698</v>
      </c>
      <c r="J45" s="48">
        <v>0.6</v>
      </c>
      <c r="K45" s="48">
        <f t="shared" si="6"/>
        <v>0.72713836905368945</v>
      </c>
      <c r="L45" s="48">
        <v>373500</v>
      </c>
      <c r="M45" s="48">
        <v>370000</v>
      </c>
      <c r="N45" s="51">
        <v>122666424</v>
      </c>
      <c r="O45" s="48">
        <f t="shared" si="7"/>
        <v>6.6468441985697098</v>
      </c>
      <c r="P45" s="48">
        <f t="shared" si="17"/>
        <v>6.6468441985697098</v>
      </c>
      <c r="Q45" s="49">
        <v>0</v>
      </c>
      <c r="R45" s="49">
        <f t="shared" si="8"/>
        <v>0</v>
      </c>
      <c r="S45" s="49">
        <v>228900</v>
      </c>
      <c r="T45" s="49">
        <v>236700</v>
      </c>
      <c r="U45" s="49">
        <v>15956260</v>
      </c>
      <c r="V45" s="49">
        <f t="shared" si="9"/>
        <v>0</v>
      </c>
      <c r="W45" s="49">
        <f t="shared" si="18"/>
        <v>0</v>
      </c>
      <c r="X45" s="48">
        <v>0</v>
      </c>
      <c r="Y45" s="48">
        <f t="shared" si="10"/>
        <v>0</v>
      </c>
      <c r="Z45" s="48">
        <v>0</v>
      </c>
      <c r="AA45" s="48">
        <v>0</v>
      </c>
      <c r="AB45" s="48">
        <v>0</v>
      </c>
      <c r="AC45" s="48">
        <f t="shared" si="11"/>
        <v>0</v>
      </c>
      <c r="AD45" s="48">
        <f t="shared" si="19"/>
        <v>0</v>
      </c>
      <c r="AE45" s="49">
        <v>0</v>
      </c>
      <c r="AF45" s="49">
        <f t="shared" si="12"/>
        <v>0</v>
      </c>
      <c r="AG45" s="49">
        <v>0</v>
      </c>
      <c r="AH45" s="49">
        <v>0</v>
      </c>
      <c r="AI45" s="49">
        <v>0</v>
      </c>
      <c r="AJ45" s="49">
        <f t="shared" si="13"/>
        <v>0</v>
      </c>
      <c r="AK45" s="49">
        <f t="shared" si="20"/>
        <v>0</v>
      </c>
      <c r="AL45" s="82">
        <f t="shared" si="21"/>
        <v>0</v>
      </c>
      <c r="AM45" s="82">
        <f t="shared" si="22"/>
        <v>307090353970462.75</v>
      </c>
      <c r="AN45" s="81">
        <f t="shared" si="14"/>
        <v>414883216271993.06</v>
      </c>
      <c r="AO45" s="80">
        <f t="shared" si="0"/>
        <v>1351.0135076137828</v>
      </c>
      <c r="AP45" s="52">
        <f t="shared" si="15"/>
        <v>3.6969178651165002E-3</v>
      </c>
      <c r="AQ45" s="48">
        <f t="shared" si="1"/>
        <v>4.026548672566372E-2</v>
      </c>
      <c r="AR45" s="48">
        <f t="shared" si="2"/>
        <v>-9.3708165997322627E-3</v>
      </c>
      <c r="AS45" s="48">
        <f t="shared" si="3"/>
        <v>3.4076015727391877E-2</v>
      </c>
      <c r="AT45" s="48" t="e">
        <f>(#REF!-#REF!)/#REF!</f>
        <v>#REF!</v>
      </c>
    </row>
    <row r="46" spans="1:46" x14ac:dyDescent="0.3">
      <c r="A46" s="48">
        <v>20180307</v>
      </c>
      <c r="B46" s="48" t="s">
        <v>88</v>
      </c>
      <c r="C46" s="79">
        <v>0.4</v>
      </c>
      <c r="D46" s="79">
        <f t="shared" si="4"/>
        <v>0.3063982507125555</v>
      </c>
      <c r="E46" s="49">
        <v>2351000</v>
      </c>
      <c r="F46" s="49">
        <v>2431000</v>
      </c>
      <c r="G46" s="49">
        <v>128386494</v>
      </c>
      <c r="H46" s="49">
        <f t="shared" si="5"/>
        <v>0.37505621673717698</v>
      </c>
      <c r="I46" s="49">
        <f t="shared" si="16"/>
        <v>0.37505621673717698</v>
      </c>
      <c r="J46" s="48">
        <v>0.6</v>
      </c>
      <c r="K46" s="48">
        <f t="shared" si="6"/>
        <v>0.69360174928744456</v>
      </c>
      <c r="L46" s="48">
        <v>370000</v>
      </c>
      <c r="M46" s="48">
        <v>325000</v>
      </c>
      <c r="N46" s="51">
        <v>122666424</v>
      </c>
      <c r="O46" s="48">
        <f t="shared" si="7"/>
        <v>6.6468441985697098</v>
      </c>
      <c r="P46" s="48">
        <f t="shared" si="17"/>
        <v>6.6468441985697098</v>
      </c>
      <c r="Q46" s="49">
        <v>0</v>
      </c>
      <c r="R46" s="49">
        <f t="shared" si="8"/>
        <v>0</v>
      </c>
      <c r="S46" s="49">
        <v>236700</v>
      </c>
      <c r="T46" s="49">
        <v>223700</v>
      </c>
      <c r="U46" s="49">
        <v>15956260</v>
      </c>
      <c r="V46" s="49">
        <f t="shared" si="9"/>
        <v>0</v>
      </c>
      <c r="W46" s="49">
        <f t="shared" si="18"/>
        <v>0</v>
      </c>
      <c r="X46" s="48">
        <v>0</v>
      </c>
      <c r="Y46" s="48">
        <f t="shared" si="10"/>
        <v>0</v>
      </c>
      <c r="Z46" s="48">
        <v>0</v>
      </c>
      <c r="AA46" s="48">
        <v>0</v>
      </c>
      <c r="AB46" s="48">
        <v>0</v>
      </c>
      <c r="AC46" s="48">
        <f t="shared" si="11"/>
        <v>0</v>
      </c>
      <c r="AD46" s="48">
        <f t="shared" si="19"/>
        <v>0</v>
      </c>
      <c r="AE46" s="49">
        <v>0</v>
      </c>
      <c r="AF46" s="49">
        <f t="shared" si="12"/>
        <v>0</v>
      </c>
      <c r="AG46" s="49">
        <v>0</v>
      </c>
      <c r="AH46" s="49">
        <v>0</v>
      </c>
      <c r="AI46" s="49">
        <v>0</v>
      </c>
      <c r="AJ46" s="49">
        <f t="shared" si="13"/>
        <v>0</v>
      </c>
      <c r="AK46" s="49">
        <f t="shared" si="20"/>
        <v>0</v>
      </c>
      <c r="AL46" s="82">
        <f t="shared" si="21"/>
        <v>0</v>
      </c>
      <c r="AM46" s="82">
        <f t="shared" si="22"/>
        <v>307090353970462.75</v>
      </c>
      <c r="AN46" s="81">
        <f t="shared" si="14"/>
        <v>382044881097010.12</v>
      </c>
      <c r="AO46" s="80">
        <f t="shared" si="0"/>
        <v>1244.0797184198004</v>
      </c>
      <c r="AP46" s="52">
        <f t="shared" si="15"/>
        <v>-7.9150792047115351E-2</v>
      </c>
      <c r="AQ46" s="48">
        <f t="shared" si="1"/>
        <v>3.4028073160357296E-2</v>
      </c>
      <c r="AR46" s="48">
        <f t="shared" si="2"/>
        <v>-0.12162162162162163</v>
      </c>
      <c r="AS46" s="48">
        <f t="shared" si="3"/>
        <v>-5.4921841994085341E-2</v>
      </c>
      <c r="AT46" s="48" t="e">
        <f>(#REF!-#REF!)/#REF!</f>
        <v>#REF!</v>
      </c>
    </row>
    <row r="47" spans="1:46" x14ac:dyDescent="0.3">
      <c r="A47" s="48">
        <v>20180308</v>
      </c>
      <c r="B47" s="48" t="s">
        <v>88</v>
      </c>
      <c r="C47" s="79">
        <v>0.4</v>
      </c>
      <c r="D47" s="79">
        <f t="shared" si="4"/>
        <v>0.29098080535106796</v>
      </c>
      <c r="E47" s="49">
        <v>2431000</v>
      </c>
      <c r="F47" s="49">
        <v>2460000</v>
      </c>
      <c r="G47" s="49">
        <v>128386494</v>
      </c>
      <c r="H47" s="49">
        <f t="shared" si="5"/>
        <v>0.37505621673717698</v>
      </c>
      <c r="I47" s="49">
        <f t="shared" si="16"/>
        <v>0.37505621673717698</v>
      </c>
      <c r="J47" s="48">
        <v>0.6</v>
      </c>
      <c r="K47" s="48">
        <f t="shared" si="6"/>
        <v>0.70901919464893204</v>
      </c>
      <c r="L47" s="48">
        <v>325000</v>
      </c>
      <c r="M47" s="48">
        <v>354000</v>
      </c>
      <c r="N47" s="51">
        <v>122666424</v>
      </c>
      <c r="O47" s="48">
        <f t="shared" si="7"/>
        <v>6.6468441985697098</v>
      </c>
      <c r="P47" s="48">
        <f t="shared" si="17"/>
        <v>6.6468441985697098</v>
      </c>
      <c r="Q47" s="49">
        <v>0</v>
      </c>
      <c r="R47" s="49">
        <f t="shared" si="8"/>
        <v>0</v>
      </c>
      <c r="S47" s="49">
        <v>223700</v>
      </c>
      <c r="T47" s="49">
        <v>234300</v>
      </c>
      <c r="U47" s="49">
        <v>15956260</v>
      </c>
      <c r="V47" s="49">
        <f t="shared" si="9"/>
        <v>0</v>
      </c>
      <c r="W47" s="49">
        <f t="shared" si="18"/>
        <v>0</v>
      </c>
      <c r="X47" s="48">
        <v>0</v>
      </c>
      <c r="Y47" s="48">
        <f t="shared" si="10"/>
        <v>0</v>
      </c>
      <c r="Z47" s="48">
        <v>0</v>
      </c>
      <c r="AA47" s="48">
        <v>0</v>
      </c>
      <c r="AB47" s="48">
        <v>0</v>
      </c>
      <c r="AC47" s="48">
        <f t="shared" si="11"/>
        <v>0</v>
      </c>
      <c r="AD47" s="48">
        <f t="shared" si="19"/>
        <v>0</v>
      </c>
      <c r="AE47" s="49">
        <v>0</v>
      </c>
      <c r="AF47" s="49">
        <f t="shared" si="12"/>
        <v>0</v>
      </c>
      <c r="AG47" s="49">
        <v>0</v>
      </c>
      <c r="AH47" s="49">
        <v>0</v>
      </c>
      <c r="AI47" s="49">
        <v>0</v>
      </c>
      <c r="AJ47" s="49">
        <f t="shared" si="13"/>
        <v>0</v>
      </c>
      <c r="AK47" s="49">
        <f t="shared" si="20"/>
        <v>0</v>
      </c>
      <c r="AL47" s="82">
        <f t="shared" si="21"/>
        <v>0</v>
      </c>
      <c r="AM47" s="82">
        <f t="shared" si="22"/>
        <v>307090353970462.75</v>
      </c>
      <c r="AN47" s="81">
        <f t="shared" si="14"/>
        <v>407086287178871.12</v>
      </c>
      <c r="AO47" s="80">
        <f t="shared" si="0"/>
        <v>1325.6238169500643</v>
      </c>
      <c r="AP47" s="52">
        <f t="shared" si="15"/>
        <v>6.5545718110282536E-2</v>
      </c>
      <c r="AQ47" s="48">
        <f t="shared" si="1"/>
        <v>1.192924722336487E-2</v>
      </c>
      <c r="AR47" s="48">
        <f t="shared" si="2"/>
        <v>8.9230769230769225E-2</v>
      </c>
      <c r="AS47" s="48">
        <f t="shared" si="3"/>
        <v>4.7384890478319175E-2</v>
      </c>
      <c r="AT47" s="48" t="e">
        <f>(#REF!-#REF!)/#REF!</f>
        <v>#REF!</v>
      </c>
    </row>
    <row r="48" spans="1:46" x14ac:dyDescent="0.3">
      <c r="A48" s="48">
        <v>20180309</v>
      </c>
      <c r="B48" s="48" t="s">
        <v>88</v>
      </c>
      <c r="C48" s="79">
        <v>0.4</v>
      </c>
      <c r="D48" s="79">
        <f t="shared" si="4"/>
        <v>0.3106012408714805</v>
      </c>
      <c r="E48" s="49">
        <v>2460000</v>
      </c>
      <c r="F48" s="49">
        <v>2487000</v>
      </c>
      <c r="G48" s="49">
        <v>128386494</v>
      </c>
      <c r="H48" s="49">
        <f t="shared" si="5"/>
        <v>0.37505621673717698</v>
      </c>
      <c r="I48" s="49">
        <f t="shared" si="16"/>
        <v>0.37505621673717698</v>
      </c>
      <c r="J48" s="48">
        <v>0.6</v>
      </c>
      <c r="K48" s="48">
        <f t="shared" si="6"/>
        <v>0.68939875912851956</v>
      </c>
      <c r="L48" s="48">
        <v>354000</v>
      </c>
      <c r="M48" s="48">
        <v>326000</v>
      </c>
      <c r="N48" s="51">
        <v>122666424</v>
      </c>
      <c r="O48" s="48">
        <f t="shared" si="7"/>
        <v>6.6468441985697098</v>
      </c>
      <c r="P48" s="48">
        <f t="shared" si="17"/>
        <v>6.6468441985697098</v>
      </c>
      <c r="Q48" s="49">
        <v>0</v>
      </c>
      <c r="R48" s="49">
        <f t="shared" si="8"/>
        <v>0</v>
      </c>
      <c r="S48" s="49">
        <v>234300</v>
      </c>
      <c r="T48" s="49">
        <v>243200</v>
      </c>
      <c r="U48" s="49">
        <v>15956260</v>
      </c>
      <c r="V48" s="49">
        <f t="shared" si="9"/>
        <v>0</v>
      </c>
      <c r="W48" s="49">
        <f t="shared" si="18"/>
        <v>0</v>
      </c>
      <c r="X48" s="48">
        <v>0</v>
      </c>
      <c r="Y48" s="48">
        <f t="shared" si="10"/>
        <v>0</v>
      </c>
      <c r="Z48" s="48">
        <v>0</v>
      </c>
      <c r="AA48" s="48">
        <v>0</v>
      </c>
      <c r="AB48" s="48">
        <v>0</v>
      </c>
      <c r="AC48" s="48">
        <f t="shared" si="11"/>
        <v>0</v>
      </c>
      <c r="AD48" s="48">
        <f t="shared" si="19"/>
        <v>0</v>
      </c>
      <c r="AE48" s="49">
        <v>0</v>
      </c>
      <c r="AF48" s="49">
        <f t="shared" si="12"/>
        <v>0</v>
      </c>
      <c r="AG48" s="49">
        <v>0</v>
      </c>
      <c r="AH48" s="49">
        <v>0</v>
      </c>
      <c r="AI48" s="49">
        <v>0</v>
      </c>
      <c r="AJ48" s="49">
        <f t="shared" si="13"/>
        <v>0</v>
      </c>
      <c r="AK48" s="49">
        <f t="shared" si="20"/>
        <v>0</v>
      </c>
      <c r="AL48" s="82">
        <f t="shared" si="21"/>
        <v>0</v>
      </c>
      <c r="AM48" s="82">
        <f t="shared" si="22"/>
        <v>307090353970462.75</v>
      </c>
      <c r="AN48" s="81">
        <f t="shared" si="14"/>
        <v>385556746258042.06</v>
      </c>
      <c r="AO48" s="80">
        <f t="shared" si="0"/>
        <v>1255.515652878913</v>
      </c>
      <c r="AP48" s="52">
        <f t="shared" si="15"/>
        <v>-5.2886922499969152E-2</v>
      </c>
      <c r="AQ48" s="48">
        <f t="shared" si="1"/>
        <v>1.097560975609756E-2</v>
      </c>
      <c r="AR48" s="48">
        <f t="shared" si="2"/>
        <v>-7.909604519774012E-2</v>
      </c>
      <c r="AS48" s="48">
        <f t="shared" si="3"/>
        <v>3.7985488689714041E-2</v>
      </c>
      <c r="AT48" s="48" t="e">
        <f>(#REF!-#REF!)/#REF!</f>
        <v>#REF!</v>
      </c>
    </row>
    <row r="49" spans="1:46" x14ac:dyDescent="0.3">
      <c r="A49" s="48">
        <v>20180312</v>
      </c>
      <c r="B49" s="48" t="s">
        <v>88</v>
      </c>
      <c r="C49" s="79">
        <v>0.4</v>
      </c>
      <c r="D49" s="79">
        <f t="shared" si="4"/>
        <v>0.31325099358650271</v>
      </c>
      <c r="E49" s="49">
        <v>2487000</v>
      </c>
      <c r="F49" s="49">
        <v>2487000</v>
      </c>
      <c r="G49" s="49">
        <v>128386494</v>
      </c>
      <c r="H49" s="49">
        <f t="shared" si="5"/>
        <v>0.37505621673717698</v>
      </c>
      <c r="I49" s="49">
        <f t="shared" si="16"/>
        <v>0.37505621673717698</v>
      </c>
      <c r="J49" s="48">
        <v>0.6</v>
      </c>
      <c r="K49" s="48">
        <f t="shared" si="6"/>
        <v>0.68674900641349734</v>
      </c>
      <c r="L49" s="48">
        <v>326000</v>
      </c>
      <c r="M49" s="48">
        <v>322000</v>
      </c>
      <c r="N49" s="51">
        <v>122666424</v>
      </c>
      <c r="O49" s="48">
        <f t="shared" si="7"/>
        <v>6.6468441985697098</v>
      </c>
      <c r="P49" s="48">
        <f t="shared" si="17"/>
        <v>6.6468441985697098</v>
      </c>
      <c r="Q49" s="49">
        <v>0</v>
      </c>
      <c r="R49" s="49">
        <f t="shared" si="8"/>
        <v>0</v>
      </c>
      <c r="S49" s="49">
        <v>243200</v>
      </c>
      <c r="T49" s="49">
        <v>255300</v>
      </c>
      <c r="U49" s="49">
        <v>15956260</v>
      </c>
      <c r="V49" s="49">
        <f t="shared" si="9"/>
        <v>0</v>
      </c>
      <c r="W49" s="49">
        <f t="shared" si="18"/>
        <v>0</v>
      </c>
      <c r="X49" s="48">
        <v>0</v>
      </c>
      <c r="Y49" s="48">
        <f t="shared" si="10"/>
        <v>0</v>
      </c>
      <c r="Z49" s="48">
        <v>0</v>
      </c>
      <c r="AA49" s="48">
        <v>0</v>
      </c>
      <c r="AB49" s="48">
        <v>0</v>
      </c>
      <c r="AC49" s="48">
        <f t="shared" si="11"/>
        <v>0</v>
      </c>
      <c r="AD49" s="48">
        <f t="shared" si="19"/>
        <v>0</v>
      </c>
      <c r="AE49" s="49">
        <v>0</v>
      </c>
      <c r="AF49" s="49">
        <f t="shared" si="12"/>
        <v>0</v>
      </c>
      <c r="AG49" s="49">
        <v>0</v>
      </c>
      <c r="AH49" s="49">
        <v>0</v>
      </c>
      <c r="AI49" s="49">
        <v>0</v>
      </c>
      <c r="AJ49" s="49">
        <f t="shared" si="13"/>
        <v>0</v>
      </c>
      <c r="AK49" s="49">
        <f t="shared" si="20"/>
        <v>0</v>
      </c>
      <c r="AL49" s="82">
        <f t="shared" si="21"/>
        <v>0</v>
      </c>
      <c r="AM49" s="82">
        <f t="shared" si="22"/>
        <v>307090353970462.75</v>
      </c>
      <c r="AN49" s="81">
        <f t="shared" si="14"/>
        <v>382295367823147.31</v>
      </c>
      <c r="AO49" s="80">
        <f t="shared" si="0"/>
        <v>1244.8953960303099</v>
      </c>
      <c r="AP49" s="52">
        <f t="shared" si="15"/>
        <v>-8.4588804801044633E-3</v>
      </c>
      <c r="AQ49" s="48">
        <f t="shared" si="1"/>
        <v>0</v>
      </c>
      <c r="AR49" s="48">
        <f t="shared" si="2"/>
        <v>-1.2269938650306749E-2</v>
      </c>
      <c r="AS49" s="48">
        <f t="shared" si="3"/>
        <v>4.9753289473684209E-2</v>
      </c>
      <c r="AT49" s="48" t="e">
        <f>(#REF!-#REF!)/#REF!</f>
        <v>#REF!</v>
      </c>
    </row>
    <row r="50" spans="1:46" x14ac:dyDescent="0.3">
      <c r="A50" s="48">
        <v>20180313</v>
      </c>
      <c r="B50" s="48" t="s">
        <v>88</v>
      </c>
      <c r="C50" s="79">
        <v>0.4</v>
      </c>
      <c r="D50" s="79">
        <f t="shared" si="4"/>
        <v>0.32908395046274203</v>
      </c>
      <c r="E50" s="49">
        <v>2487000</v>
      </c>
      <c r="F50" s="49">
        <v>2583000</v>
      </c>
      <c r="G50" s="49">
        <v>128386494</v>
      </c>
      <c r="H50" s="49">
        <f t="shared" si="5"/>
        <v>0.37505621673717698</v>
      </c>
      <c r="I50" s="49">
        <f t="shared" si="16"/>
        <v>0.37505621673717698</v>
      </c>
      <c r="J50" s="48">
        <v>0.6</v>
      </c>
      <c r="K50" s="48">
        <f t="shared" si="6"/>
        <v>0.67091604953725792</v>
      </c>
      <c r="L50" s="48">
        <v>322000</v>
      </c>
      <c r="M50" s="48">
        <v>311000</v>
      </c>
      <c r="N50" s="51">
        <v>122666424</v>
      </c>
      <c r="O50" s="48">
        <f t="shared" si="7"/>
        <v>6.6468441985697098</v>
      </c>
      <c r="P50" s="48">
        <f t="shared" si="17"/>
        <v>6.6468441985697098</v>
      </c>
      <c r="Q50" s="49">
        <v>0</v>
      </c>
      <c r="R50" s="49">
        <f t="shared" si="8"/>
        <v>0</v>
      </c>
      <c r="S50" s="49">
        <v>255300</v>
      </c>
      <c r="T50" s="49">
        <v>256000</v>
      </c>
      <c r="U50" s="49">
        <v>15956260</v>
      </c>
      <c r="V50" s="49">
        <f t="shared" si="9"/>
        <v>0</v>
      </c>
      <c r="W50" s="49">
        <f t="shared" si="18"/>
        <v>0</v>
      </c>
      <c r="X50" s="48">
        <v>0</v>
      </c>
      <c r="Y50" s="48">
        <f t="shared" si="10"/>
        <v>0</v>
      </c>
      <c r="Z50" s="48">
        <v>0</v>
      </c>
      <c r="AA50" s="48">
        <v>0</v>
      </c>
      <c r="AB50" s="48">
        <v>0</v>
      </c>
      <c r="AC50" s="48">
        <f t="shared" si="11"/>
        <v>0</v>
      </c>
      <c r="AD50" s="48">
        <f t="shared" si="19"/>
        <v>0</v>
      </c>
      <c r="AE50" s="49">
        <v>0</v>
      </c>
      <c r="AF50" s="49">
        <f t="shared" si="12"/>
        <v>0</v>
      </c>
      <c r="AG50" s="49">
        <v>0</v>
      </c>
      <c r="AH50" s="49">
        <v>0</v>
      </c>
      <c r="AI50" s="49">
        <v>0</v>
      </c>
      <c r="AJ50" s="49">
        <f t="shared" si="13"/>
        <v>0</v>
      </c>
      <c r="AK50" s="49">
        <f t="shared" si="20"/>
        <v>0</v>
      </c>
      <c r="AL50" s="82">
        <f t="shared" si="21"/>
        <v>0</v>
      </c>
      <c r="AM50" s="82">
        <f t="shared" si="22"/>
        <v>307090353970462.75</v>
      </c>
      <c r="AN50" s="81">
        <f t="shared" si="14"/>
        <v>377949183788286.56</v>
      </c>
      <c r="AO50" s="80">
        <f t="shared" si="0"/>
        <v>1230.7426101200147</v>
      </c>
      <c r="AP50" s="52">
        <f t="shared" si="15"/>
        <v>-1.1368654712215431E-2</v>
      </c>
      <c r="AQ50" s="48">
        <f t="shared" si="1"/>
        <v>3.8600723763570564E-2</v>
      </c>
      <c r="AR50" s="48">
        <f t="shared" si="2"/>
        <v>-3.4161490683229816E-2</v>
      </c>
      <c r="AS50" s="48">
        <f t="shared" si="3"/>
        <v>2.7418723070896985E-3</v>
      </c>
      <c r="AT50" s="48" t="e">
        <f>(#REF!-#REF!)/#REF!</f>
        <v>#REF!</v>
      </c>
    </row>
    <row r="51" spans="1:46" x14ac:dyDescent="0.3">
      <c r="A51" s="48">
        <v>20180314</v>
      </c>
      <c r="B51" s="48" t="s">
        <v>88</v>
      </c>
      <c r="C51" s="79">
        <v>0.4</v>
      </c>
      <c r="D51" s="79">
        <f t="shared" si="4"/>
        <v>0.33273916969012396</v>
      </c>
      <c r="E51" s="49">
        <v>2583000</v>
      </c>
      <c r="F51" s="49">
        <v>2588000</v>
      </c>
      <c r="G51" s="49">
        <v>128386494</v>
      </c>
      <c r="H51" s="49">
        <f t="shared" si="5"/>
        <v>0.37505621673717698</v>
      </c>
      <c r="I51" s="49">
        <f t="shared" si="16"/>
        <v>0.37505621673717698</v>
      </c>
      <c r="J51" s="48">
        <v>0.6</v>
      </c>
      <c r="K51" s="48">
        <f t="shared" si="6"/>
        <v>0.66726083030987604</v>
      </c>
      <c r="L51" s="48">
        <v>311000</v>
      </c>
      <c r="M51" s="48">
        <v>306500</v>
      </c>
      <c r="N51" s="51">
        <v>122666424</v>
      </c>
      <c r="O51" s="48">
        <f t="shared" si="7"/>
        <v>6.6468441985697098</v>
      </c>
      <c r="P51" s="48">
        <f t="shared" si="17"/>
        <v>6.6468441985697098</v>
      </c>
      <c r="Q51" s="49">
        <v>0</v>
      </c>
      <c r="R51" s="49">
        <f t="shared" si="8"/>
        <v>0</v>
      </c>
      <c r="S51" s="49">
        <v>256000</v>
      </c>
      <c r="T51" s="49">
        <v>243500</v>
      </c>
      <c r="U51" s="49">
        <v>15956260</v>
      </c>
      <c r="V51" s="49">
        <f t="shared" si="9"/>
        <v>0</v>
      </c>
      <c r="W51" s="49">
        <f t="shared" si="18"/>
        <v>0</v>
      </c>
      <c r="X51" s="48">
        <v>0</v>
      </c>
      <c r="Y51" s="48">
        <f t="shared" si="10"/>
        <v>0</v>
      </c>
      <c r="Z51" s="48">
        <v>0</v>
      </c>
      <c r="AA51" s="48">
        <v>0</v>
      </c>
      <c r="AB51" s="48">
        <v>0</v>
      </c>
      <c r="AC51" s="48">
        <f t="shared" si="11"/>
        <v>0</v>
      </c>
      <c r="AD51" s="48">
        <f t="shared" si="19"/>
        <v>0</v>
      </c>
      <c r="AE51" s="49">
        <v>0</v>
      </c>
      <c r="AF51" s="49">
        <f t="shared" si="12"/>
        <v>0</v>
      </c>
      <c r="AG51" s="49">
        <v>0</v>
      </c>
      <c r="AH51" s="49">
        <v>0</v>
      </c>
      <c r="AI51" s="49">
        <v>0</v>
      </c>
      <c r="AJ51" s="49">
        <f t="shared" si="13"/>
        <v>0</v>
      </c>
      <c r="AK51" s="49">
        <f t="shared" si="20"/>
        <v>0</v>
      </c>
      <c r="AL51" s="82">
        <f t="shared" si="21"/>
        <v>0</v>
      </c>
      <c r="AM51" s="82">
        <f t="shared" si="22"/>
        <v>307090353970462.75</v>
      </c>
      <c r="AN51" s="81">
        <f t="shared" si="14"/>
        <v>374520893812628.87</v>
      </c>
      <c r="AO51" s="80">
        <f t="shared" si="0"/>
        <v>1219.5788274373865</v>
      </c>
      <c r="AP51" s="52">
        <f t="shared" si="15"/>
        <v>-9.0707696238285975E-3</v>
      </c>
      <c r="AQ51" s="48">
        <f t="shared" si="1"/>
        <v>1.9357336430507162E-3</v>
      </c>
      <c r="AR51" s="48">
        <f t="shared" si="2"/>
        <v>-1.4469453376205787E-2</v>
      </c>
      <c r="AS51" s="48">
        <f t="shared" si="3"/>
        <v>-4.8828125E-2</v>
      </c>
      <c r="AT51" s="48" t="e">
        <f>(#REF!-#REF!)/#REF!</f>
        <v>#REF!</v>
      </c>
    </row>
    <row r="52" spans="1:46" x14ac:dyDescent="0.3">
      <c r="A52" s="48">
        <v>20180315</v>
      </c>
      <c r="B52" s="48" t="s">
        <v>88</v>
      </c>
      <c r="C52" s="79">
        <v>0.4</v>
      </c>
      <c r="D52" s="79">
        <f t="shared" si="4"/>
        <v>0.32061064673991546</v>
      </c>
      <c r="E52" s="49">
        <v>2588000</v>
      </c>
      <c r="F52" s="49">
        <v>2577000</v>
      </c>
      <c r="G52" s="49">
        <v>128386494</v>
      </c>
      <c r="H52" s="49">
        <f t="shared" si="5"/>
        <v>0.37505621673717698</v>
      </c>
      <c r="I52" s="49">
        <f t="shared" si="16"/>
        <v>0.37505621673717698</v>
      </c>
      <c r="J52" s="48">
        <v>0.6</v>
      </c>
      <c r="K52" s="48">
        <f t="shared" si="6"/>
        <v>0.67938935326008465</v>
      </c>
      <c r="L52" s="48">
        <v>306500</v>
      </c>
      <c r="M52" s="48">
        <v>322500</v>
      </c>
      <c r="N52" s="51">
        <v>122666424</v>
      </c>
      <c r="O52" s="48">
        <f t="shared" si="7"/>
        <v>6.6468441985697098</v>
      </c>
      <c r="P52" s="48">
        <f t="shared" si="17"/>
        <v>6.6468441985697098</v>
      </c>
      <c r="Q52" s="49">
        <v>0</v>
      </c>
      <c r="R52" s="49">
        <f t="shared" si="8"/>
        <v>0</v>
      </c>
      <c r="S52" s="49">
        <v>243500</v>
      </c>
      <c r="T52" s="49">
        <v>240000</v>
      </c>
      <c r="U52" s="49">
        <v>15956260</v>
      </c>
      <c r="V52" s="49">
        <f t="shared" si="9"/>
        <v>0</v>
      </c>
      <c r="W52" s="49">
        <f t="shared" si="18"/>
        <v>0</v>
      </c>
      <c r="X52" s="48">
        <v>0</v>
      </c>
      <c r="Y52" s="48">
        <f t="shared" si="10"/>
        <v>0</v>
      </c>
      <c r="Z52" s="48">
        <v>0</v>
      </c>
      <c r="AA52" s="48">
        <v>0</v>
      </c>
      <c r="AB52" s="48">
        <v>0</v>
      </c>
      <c r="AC52" s="48">
        <f t="shared" si="11"/>
        <v>0</v>
      </c>
      <c r="AD52" s="48">
        <f t="shared" si="19"/>
        <v>0</v>
      </c>
      <c r="AE52" s="49">
        <v>0</v>
      </c>
      <c r="AF52" s="49">
        <f t="shared" si="12"/>
        <v>0</v>
      </c>
      <c r="AG52" s="49">
        <v>0</v>
      </c>
      <c r="AH52" s="49">
        <v>0</v>
      </c>
      <c r="AI52" s="49">
        <v>0</v>
      </c>
      <c r="AJ52" s="49">
        <f t="shared" si="13"/>
        <v>0</v>
      </c>
      <c r="AK52" s="49">
        <f t="shared" si="20"/>
        <v>0</v>
      </c>
      <c r="AL52" s="82">
        <f t="shared" si="21"/>
        <v>0</v>
      </c>
      <c r="AM52" s="82">
        <f t="shared" si="22"/>
        <v>307090353970462.75</v>
      </c>
      <c r="AN52" s="81">
        <f t="shared" si="14"/>
        <v>387036733872290.25</v>
      </c>
      <c r="AO52" s="80">
        <f t="shared" si="0"/>
        <v>1260.3350410332885</v>
      </c>
      <c r="AP52" s="52">
        <f t="shared" si="15"/>
        <v>3.3418269224581458E-2</v>
      </c>
      <c r="AQ52" s="48">
        <f t="shared" si="1"/>
        <v>-4.250386398763524E-3</v>
      </c>
      <c r="AR52" s="48">
        <f t="shared" si="2"/>
        <v>5.2202283849918436E-2</v>
      </c>
      <c r="AS52" s="48">
        <f t="shared" si="3"/>
        <v>-1.4373716632443531E-2</v>
      </c>
      <c r="AT52" s="48" t="e">
        <f>(#REF!-#REF!)/#REF!</f>
        <v>#REF!</v>
      </c>
    </row>
    <row r="53" spans="1:46" x14ac:dyDescent="0.3">
      <c r="A53" s="48">
        <v>20180316</v>
      </c>
      <c r="B53" s="48" t="s">
        <v>88</v>
      </c>
      <c r="C53" s="79">
        <v>0.4</v>
      </c>
      <c r="D53" s="79">
        <f t="shared" si="4"/>
        <v>0.3179088591427624</v>
      </c>
      <c r="E53" s="49">
        <v>2577000</v>
      </c>
      <c r="F53" s="49">
        <v>2557000</v>
      </c>
      <c r="G53" s="49">
        <v>128386494</v>
      </c>
      <c r="H53" s="49">
        <f t="shared" si="5"/>
        <v>0.37505621673717698</v>
      </c>
      <c r="I53" s="49">
        <f t="shared" si="16"/>
        <v>0.37505621673717698</v>
      </c>
      <c r="J53" s="48">
        <v>0.6</v>
      </c>
      <c r="K53" s="48">
        <f t="shared" si="6"/>
        <v>0.68209114085723765</v>
      </c>
      <c r="L53" s="48">
        <v>322500</v>
      </c>
      <c r="M53" s="48">
        <v>324000</v>
      </c>
      <c r="N53" s="51">
        <v>122666424</v>
      </c>
      <c r="O53" s="48">
        <f t="shared" si="7"/>
        <v>6.6468441985697098</v>
      </c>
      <c r="P53" s="48">
        <f t="shared" si="17"/>
        <v>6.6468441985697098</v>
      </c>
      <c r="Q53" s="49">
        <v>0</v>
      </c>
      <c r="R53" s="49">
        <f t="shared" si="8"/>
        <v>0</v>
      </c>
      <c r="S53" s="49">
        <v>240000</v>
      </c>
      <c r="T53" s="49">
        <v>241000</v>
      </c>
      <c r="U53" s="49">
        <v>15956260</v>
      </c>
      <c r="V53" s="49">
        <f t="shared" si="9"/>
        <v>0</v>
      </c>
      <c r="W53" s="49">
        <f t="shared" si="18"/>
        <v>0</v>
      </c>
      <c r="X53" s="48">
        <v>0</v>
      </c>
      <c r="Y53" s="48">
        <f t="shared" si="10"/>
        <v>0</v>
      </c>
      <c r="Z53" s="48">
        <v>0</v>
      </c>
      <c r="AA53" s="48">
        <v>0</v>
      </c>
      <c r="AB53" s="48">
        <v>0</v>
      </c>
      <c r="AC53" s="48">
        <f t="shared" si="11"/>
        <v>0</v>
      </c>
      <c r="AD53" s="48">
        <f t="shared" si="19"/>
        <v>0</v>
      </c>
      <c r="AE53" s="49">
        <v>0</v>
      </c>
      <c r="AF53" s="49">
        <f t="shared" si="12"/>
        <v>0</v>
      </c>
      <c r="AG53" s="49">
        <v>0</v>
      </c>
      <c r="AH53" s="49">
        <v>0</v>
      </c>
      <c r="AI53" s="49">
        <v>0</v>
      </c>
      <c r="AJ53" s="49">
        <f t="shared" si="13"/>
        <v>0</v>
      </c>
      <c r="AK53" s="49">
        <f t="shared" si="20"/>
        <v>0</v>
      </c>
      <c r="AL53" s="82">
        <f t="shared" si="21"/>
        <v>0</v>
      </c>
      <c r="AM53" s="82">
        <f t="shared" si="22"/>
        <v>307090353970462.75</v>
      </c>
      <c r="AN53" s="81">
        <f t="shared" si="14"/>
        <v>387296707730980</v>
      </c>
      <c r="AO53" s="80">
        <f t="shared" si="0"/>
        <v>1261.181612263314</v>
      </c>
      <c r="AP53" s="52">
        <f t="shared" si="15"/>
        <v>6.7170331892979127E-4</v>
      </c>
      <c r="AQ53" s="48">
        <f t="shared" si="1"/>
        <v>-7.7609623593325574E-3</v>
      </c>
      <c r="AR53" s="48">
        <f t="shared" si="2"/>
        <v>4.6511627906976744E-3</v>
      </c>
      <c r="AS53" s="48">
        <f t="shared" si="3"/>
        <v>4.1666666666666666E-3</v>
      </c>
      <c r="AT53" s="48" t="e">
        <f>(#REF!-#REF!)/#REF!</f>
        <v>#REF!</v>
      </c>
    </row>
    <row r="54" spans="1:46" x14ac:dyDescent="0.3">
      <c r="A54" s="48">
        <v>20180319</v>
      </c>
      <c r="B54" s="48" t="s">
        <v>88</v>
      </c>
      <c r="C54" s="79">
        <v>0.4</v>
      </c>
      <c r="D54" s="79">
        <f t="shared" si="4"/>
        <v>0.31958088433461346</v>
      </c>
      <c r="E54" s="49">
        <v>2557000</v>
      </c>
      <c r="F54" s="49">
        <v>2537000</v>
      </c>
      <c r="G54" s="49">
        <v>128386494</v>
      </c>
      <c r="H54" s="49">
        <f t="shared" si="5"/>
        <v>0.37505621673717698</v>
      </c>
      <c r="I54" s="49">
        <f t="shared" si="16"/>
        <v>0.37505621673717698</v>
      </c>
      <c r="J54" s="48">
        <v>0.6</v>
      </c>
      <c r="K54" s="48">
        <f t="shared" si="6"/>
        <v>0.68041911566538649</v>
      </c>
      <c r="L54" s="48">
        <v>324000</v>
      </c>
      <c r="M54" s="48">
        <v>319000</v>
      </c>
      <c r="N54" s="51">
        <v>122666424</v>
      </c>
      <c r="O54" s="48">
        <f t="shared" si="7"/>
        <v>6.6468441985697098</v>
      </c>
      <c r="P54" s="48">
        <f t="shared" si="17"/>
        <v>6.6468441985697098</v>
      </c>
      <c r="Q54" s="49">
        <v>0</v>
      </c>
      <c r="R54" s="49">
        <f t="shared" si="8"/>
        <v>0</v>
      </c>
      <c r="S54" s="49">
        <v>241000</v>
      </c>
      <c r="T54" s="49">
        <v>233000</v>
      </c>
      <c r="U54" s="49">
        <v>15956260</v>
      </c>
      <c r="V54" s="49">
        <f t="shared" si="9"/>
        <v>0</v>
      </c>
      <c r="W54" s="49">
        <f t="shared" si="18"/>
        <v>0</v>
      </c>
      <c r="X54" s="48">
        <v>0</v>
      </c>
      <c r="Y54" s="48">
        <f t="shared" si="10"/>
        <v>0</v>
      </c>
      <c r="Z54" s="48">
        <v>0</v>
      </c>
      <c r="AA54" s="48">
        <v>0</v>
      </c>
      <c r="AB54" s="48">
        <v>0</v>
      </c>
      <c r="AC54" s="48">
        <f t="shared" si="11"/>
        <v>0</v>
      </c>
      <c r="AD54" s="48">
        <f t="shared" si="19"/>
        <v>0</v>
      </c>
      <c r="AE54" s="49">
        <v>0</v>
      </c>
      <c r="AF54" s="49">
        <f t="shared" si="12"/>
        <v>0</v>
      </c>
      <c r="AG54" s="49">
        <v>0</v>
      </c>
      <c r="AH54" s="49">
        <v>0</v>
      </c>
      <c r="AI54" s="49">
        <v>0</v>
      </c>
      <c r="AJ54" s="49">
        <f t="shared" si="13"/>
        <v>0</v>
      </c>
      <c r="AK54" s="49">
        <f t="shared" si="20"/>
        <v>0</v>
      </c>
      <c r="AL54" s="82">
        <f t="shared" si="21"/>
        <v>0</v>
      </c>
      <c r="AM54" s="82">
        <f t="shared" si="22"/>
        <v>307090353970462.75</v>
      </c>
      <c r="AN54" s="81">
        <f t="shared" si="14"/>
        <v>382256941632965.75</v>
      </c>
      <c r="AO54" s="80">
        <f t="shared" si="0"/>
        <v>1244.7702661143594</v>
      </c>
      <c r="AP54" s="52">
        <f t="shared" si="15"/>
        <v>-1.3012674772115386E-2</v>
      </c>
      <c r="AQ54" s="48">
        <f t="shared" si="1"/>
        <v>-7.8216660148611658E-3</v>
      </c>
      <c r="AR54" s="48">
        <f t="shared" si="2"/>
        <v>-1.5432098765432098E-2</v>
      </c>
      <c r="AS54" s="48">
        <f t="shared" si="3"/>
        <v>-3.3195020746887967E-2</v>
      </c>
      <c r="AT54" s="48" t="e">
        <f>(#REF!-#REF!)/#REF!</f>
        <v>#REF!</v>
      </c>
    </row>
    <row r="55" spans="1:46" x14ac:dyDescent="0.3">
      <c r="A55" s="48">
        <v>20180320</v>
      </c>
      <c r="B55" s="48" t="s">
        <v>88</v>
      </c>
      <c r="C55" s="79">
        <v>0.4</v>
      </c>
      <c r="D55" s="79">
        <f t="shared" si="4"/>
        <v>0.31917068587291109</v>
      </c>
      <c r="E55" s="49">
        <v>2537000</v>
      </c>
      <c r="F55" s="49">
        <v>2560000</v>
      </c>
      <c r="G55" s="49">
        <v>128386494</v>
      </c>
      <c r="H55" s="49">
        <f t="shared" si="5"/>
        <v>0.37505621673717698</v>
      </c>
      <c r="I55" s="49">
        <f t="shared" si="16"/>
        <v>0.37505621673717698</v>
      </c>
      <c r="J55" s="48">
        <v>0.6</v>
      </c>
      <c r="K55" s="48">
        <f t="shared" si="6"/>
        <v>0.6808293141270888</v>
      </c>
      <c r="L55" s="48">
        <v>319000</v>
      </c>
      <c r="M55" s="48">
        <v>322500</v>
      </c>
      <c r="N55" s="51">
        <v>122666424</v>
      </c>
      <c r="O55" s="48">
        <f t="shared" si="7"/>
        <v>6.6468441985697098</v>
      </c>
      <c r="P55" s="48">
        <f t="shared" si="17"/>
        <v>6.6468441985697098</v>
      </c>
      <c r="Q55" s="49">
        <v>0</v>
      </c>
      <c r="R55" s="49">
        <f t="shared" si="8"/>
        <v>0</v>
      </c>
      <c r="S55" s="49">
        <v>233000</v>
      </c>
      <c r="T55" s="49">
        <v>240600</v>
      </c>
      <c r="U55" s="49">
        <v>15956260</v>
      </c>
      <c r="V55" s="49">
        <f t="shared" si="9"/>
        <v>0</v>
      </c>
      <c r="W55" s="49">
        <f t="shared" si="18"/>
        <v>0</v>
      </c>
      <c r="X55" s="48">
        <v>0</v>
      </c>
      <c r="Y55" s="48">
        <f t="shared" si="10"/>
        <v>0</v>
      </c>
      <c r="Z55" s="48">
        <v>0</v>
      </c>
      <c r="AA55" s="48">
        <v>0</v>
      </c>
      <c r="AB55" s="48">
        <v>0</v>
      </c>
      <c r="AC55" s="48">
        <f t="shared" si="11"/>
        <v>0</v>
      </c>
      <c r="AD55" s="48">
        <f t="shared" si="19"/>
        <v>0</v>
      </c>
      <c r="AE55" s="49">
        <v>0</v>
      </c>
      <c r="AF55" s="49">
        <f t="shared" si="12"/>
        <v>0</v>
      </c>
      <c r="AG55" s="49">
        <v>0</v>
      </c>
      <c r="AH55" s="49">
        <v>0</v>
      </c>
      <c r="AI55" s="49">
        <v>0</v>
      </c>
      <c r="AJ55" s="49">
        <f t="shared" si="13"/>
        <v>0</v>
      </c>
      <c r="AK55" s="49">
        <f t="shared" si="20"/>
        <v>0</v>
      </c>
      <c r="AL55" s="82">
        <f t="shared" si="21"/>
        <v>0</v>
      </c>
      <c r="AM55" s="82">
        <f t="shared" si="22"/>
        <v>307090353970462.75</v>
      </c>
      <c r="AN55" s="81">
        <f t="shared" si="14"/>
        <v>386218147276053.87</v>
      </c>
      <c r="AO55" s="80">
        <f t="shared" si="0"/>
        <v>1257.6694197083179</v>
      </c>
      <c r="AP55" s="52">
        <f t="shared" si="15"/>
        <v>1.0362678114270987E-2</v>
      </c>
      <c r="AQ55" s="48">
        <f t="shared" si="1"/>
        <v>9.0658257784785173E-3</v>
      </c>
      <c r="AR55" s="48">
        <f t="shared" si="2"/>
        <v>1.0971786833855799E-2</v>
      </c>
      <c r="AS55" s="48">
        <f t="shared" si="3"/>
        <v>3.2618025751072963E-2</v>
      </c>
      <c r="AT55" s="48" t="e">
        <f>(#REF!-#REF!)/#REF!</f>
        <v>#REF!</v>
      </c>
    </row>
    <row r="56" spans="1:46" x14ac:dyDescent="0.3">
      <c r="A56" s="48">
        <v>20180321</v>
      </c>
      <c r="B56" s="48" t="s">
        <v>88</v>
      </c>
      <c r="C56" s="79">
        <v>0.4</v>
      </c>
      <c r="D56" s="79">
        <f t="shared" si="4"/>
        <v>0.32615663819501362</v>
      </c>
      <c r="E56" s="49">
        <v>2560000</v>
      </c>
      <c r="F56" s="49">
        <v>2553000</v>
      </c>
      <c r="G56" s="49">
        <v>128386494</v>
      </c>
      <c r="H56" s="49">
        <f t="shared" si="5"/>
        <v>0.37505621673717698</v>
      </c>
      <c r="I56" s="49">
        <f t="shared" si="16"/>
        <v>0.37505621673717698</v>
      </c>
      <c r="J56" s="48">
        <v>0.6</v>
      </c>
      <c r="K56" s="48">
        <f t="shared" si="6"/>
        <v>0.67384336180498638</v>
      </c>
      <c r="L56" s="48">
        <v>322500</v>
      </c>
      <c r="M56" s="48">
        <v>311500</v>
      </c>
      <c r="N56" s="51">
        <v>122666424</v>
      </c>
      <c r="O56" s="48">
        <f t="shared" si="7"/>
        <v>6.6468441985697098</v>
      </c>
      <c r="P56" s="48">
        <f t="shared" si="17"/>
        <v>6.6468441985697098</v>
      </c>
      <c r="Q56" s="49">
        <v>0</v>
      </c>
      <c r="R56" s="49">
        <f t="shared" si="8"/>
        <v>0</v>
      </c>
      <c r="S56" s="49">
        <v>240600</v>
      </c>
      <c r="T56" s="49">
        <v>241000</v>
      </c>
      <c r="U56" s="49">
        <v>15956260</v>
      </c>
      <c r="V56" s="49">
        <f t="shared" si="9"/>
        <v>0</v>
      </c>
      <c r="W56" s="49">
        <f t="shared" si="18"/>
        <v>0</v>
      </c>
      <c r="X56" s="48">
        <v>0</v>
      </c>
      <c r="Y56" s="48">
        <f t="shared" si="10"/>
        <v>0</v>
      </c>
      <c r="Z56" s="48">
        <v>0</v>
      </c>
      <c r="AA56" s="48">
        <v>0</v>
      </c>
      <c r="AB56" s="48">
        <v>0</v>
      </c>
      <c r="AC56" s="48">
        <f t="shared" si="11"/>
        <v>0</v>
      </c>
      <c r="AD56" s="48">
        <f t="shared" si="19"/>
        <v>0</v>
      </c>
      <c r="AE56" s="49">
        <v>0</v>
      </c>
      <c r="AF56" s="49">
        <f t="shared" si="12"/>
        <v>0</v>
      </c>
      <c r="AG56" s="49">
        <v>0</v>
      </c>
      <c r="AH56" s="49">
        <v>0</v>
      </c>
      <c r="AI56" s="49">
        <v>0</v>
      </c>
      <c r="AJ56" s="49">
        <f t="shared" si="13"/>
        <v>0</v>
      </c>
      <c r="AK56" s="49">
        <f t="shared" si="20"/>
        <v>0</v>
      </c>
      <c r="AL56" s="82">
        <f t="shared" si="21"/>
        <v>0</v>
      </c>
      <c r="AM56" s="82">
        <f t="shared" si="22"/>
        <v>307090353970462.75</v>
      </c>
      <c r="AN56" s="81">
        <f t="shared" si="14"/>
        <v>376912291511054.69</v>
      </c>
      <c r="AO56" s="80">
        <f t="shared" si="0"/>
        <v>1227.366104593789</v>
      </c>
      <c r="AP56" s="52">
        <f t="shared" si="15"/>
        <v>-2.4094817477200759E-2</v>
      </c>
      <c r="AQ56" s="48">
        <f t="shared" si="1"/>
        <v>-2.7343749999999998E-3</v>
      </c>
      <c r="AR56" s="48">
        <f t="shared" si="2"/>
        <v>-3.4108527131782945E-2</v>
      </c>
      <c r="AS56" s="48">
        <f t="shared" si="3"/>
        <v>1.6625103906899418E-3</v>
      </c>
      <c r="AT56" s="48" t="e">
        <f>(#REF!-#REF!)/#REF!</f>
        <v>#REF!</v>
      </c>
    </row>
    <row r="57" spans="1:46" x14ac:dyDescent="0.3">
      <c r="A57" s="48">
        <v>20180322</v>
      </c>
      <c r="B57" s="48" t="s">
        <v>88</v>
      </c>
      <c r="C57" s="79">
        <v>0.4</v>
      </c>
      <c r="D57" s="79">
        <f t="shared" si="4"/>
        <v>0.32995205081599216</v>
      </c>
      <c r="E57" s="49">
        <v>2553000</v>
      </c>
      <c r="F57" s="49">
        <v>2589000</v>
      </c>
      <c r="G57" s="49">
        <v>128386494</v>
      </c>
      <c r="H57" s="49">
        <f t="shared" si="5"/>
        <v>0.37505621673717698</v>
      </c>
      <c r="I57" s="49">
        <f t="shared" si="16"/>
        <v>0.37505621673717698</v>
      </c>
      <c r="J57" s="48">
        <v>0.6</v>
      </c>
      <c r="K57" s="48">
        <f t="shared" si="6"/>
        <v>0.6700479491840079</v>
      </c>
      <c r="L57" s="48">
        <v>311500</v>
      </c>
      <c r="M57" s="48">
        <v>310500</v>
      </c>
      <c r="N57" s="51">
        <v>122666424</v>
      </c>
      <c r="O57" s="48">
        <f t="shared" si="7"/>
        <v>6.6468441985697098</v>
      </c>
      <c r="P57" s="48">
        <f t="shared" si="17"/>
        <v>6.6468441985697098</v>
      </c>
      <c r="Q57" s="49">
        <v>0</v>
      </c>
      <c r="R57" s="49">
        <f t="shared" si="8"/>
        <v>0</v>
      </c>
      <c r="S57" s="49">
        <v>241000</v>
      </c>
      <c r="T57" s="49">
        <v>227900</v>
      </c>
      <c r="U57" s="49">
        <v>15956260</v>
      </c>
      <c r="V57" s="49">
        <f t="shared" si="9"/>
        <v>0</v>
      </c>
      <c r="W57" s="49">
        <f t="shared" si="18"/>
        <v>0</v>
      </c>
      <c r="X57" s="48">
        <v>0</v>
      </c>
      <c r="Y57" s="48">
        <f t="shared" si="10"/>
        <v>0</v>
      </c>
      <c r="Z57" s="48">
        <v>0</v>
      </c>
      <c r="AA57" s="48">
        <v>0</v>
      </c>
      <c r="AB57" s="48">
        <v>0</v>
      </c>
      <c r="AC57" s="48">
        <f t="shared" si="11"/>
        <v>0</v>
      </c>
      <c r="AD57" s="48">
        <f t="shared" si="19"/>
        <v>0</v>
      </c>
      <c r="AE57" s="49">
        <v>0</v>
      </c>
      <c r="AF57" s="49">
        <f t="shared" si="12"/>
        <v>0</v>
      </c>
      <c r="AG57" s="49">
        <v>0</v>
      </c>
      <c r="AH57" s="49">
        <v>0</v>
      </c>
      <c r="AI57" s="49">
        <v>0</v>
      </c>
      <c r="AJ57" s="49">
        <f t="shared" si="13"/>
        <v>0</v>
      </c>
      <c r="AK57" s="49">
        <f t="shared" si="20"/>
        <v>0</v>
      </c>
      <c r="AL57" s="82">
        <f t="shared" si="21"/>
        <v>0</v>
      </c>
      <c r="AM57" s="82">
        <f t="shared" si="22"/>
        <v>307090353970462.75</v>
      </c>
      <c r="AN57" s="81">
        <f t="shared" si="14"/>
        <v>377830424400243.44</v>
      </c>
      <c r="AO57" s="80">
        <f t="shared" si="0"/>
        <v>1230.3558855403996</v>
      </c>
      <c r="AP57" s="52">
        <f t="shared" si="15"/>
        <v>2.435932469880379E-3</v>
      </c>
      <c r="AQ57" s="48">
        <f t="shared" si="1"/>
        <v>1.4101057579318449E-2</v>
      </c>
      <c r="AR57" s="48">
        <f t="shared" si="2"/>
        <v>-3.2102728731942215E-3</v>
      </c>
      <c r="AS57" s="48">
        <f t="shared" si="3"/>
        <v>-5.4356846473029047E-2</v>
      </c>
      <c r="AT57" s="48" t="e">
        <f>(#REF!-#REF!)/#REF!</f>
        <v>#REF!</v>
      </c>
    </row>
    <row r="58" spans="1:46" x14ac:dyDescent="0.3">
      <c r="A58" s="48">
        <v>20180323</v>
      </c>
      <c r="B58" s="48" t="s">
        <v>88</v>
      </c>
      <c r="C58" s="79">
        <v>0.4</v>
      </c>
      <c r="D58" s="79">
        <f t="shared" si="4"/>
        <v>0.32858382100838424</v>
      </c>
      <c r="E58" s="49">
        <v>2589000</v>
      </c>
      <c r="F58" s="49">
        <v>2486000</v>
      </c>
      <c r="G58" s="49">
        <v>128386494</v>
      </c>
      <c r="H58" s="49">
        <f t="shared" si="5"/>
        <v>0.37505621673717698</v>
      </c>
      <c r="I58" s="49">
        <f t="shared" si="16"/>
        <v>0.37505621673717698</v>
      </c>
      <c r="J58" s="48">
        <v>0.6</v>
      </c>
      <c r="K58" s="48">
        <f t="shared" si="6"/>
        <v>0.67141617899161588</v>
      </c>
      <c r="L58" s="48">
        <v>310500</v>
      </c>
      <c r="M58" s="48">
        <v>300000</v>
      </c>
      <c r="N58" s="51">
        <v>122666424</v>
      </c>
      <c r="O58" s="48">
        <f t="shared" si="7"/>
        <v>6.6468441985697098</v>
      </c>
      <c r="P58" s="48">
        <f t="shared" si="17"/>
        <v>6.6468441985697098</v>
      </c>
      <c r="Q58" s="49">
        <v>0</v>
      </c>
      <c r="R58" s="49">
        <f t="shared" si="8"/>
        <v>0</v>
      </c>
      <c r="S58" s="49">
        <v>227900</v>
      </c>
      <c r="T58" s="49">
        <v>201500</v>
      </c>
      <c r="U58" s="49">
        <v>15956260</v>
      </c>
      <c r="V58" s="49">
        <f t="shared" si="9"/>
        <v>0</v>
      </c>
      <c r="W58" s="49">
        <f t="shared" si="18"/>
        <v>0</v>
      </c>
      <c r="X58" s="48">
        <v>0</v>
      </c>
      <c r="Y58" s="48">
        <f t="shared" si="10"/>
        <v>0</v>
      </c>
      <c r="Z58" s="48">
        <v>0</v>
      </c>
      <c r="AA58" s="48">
        <v>0</v>
      </c>
      <c r="AB58" s="48">
        <v>0</v>
      </c>
      <c r="AC58" s="48">
        <f t="shared" si="11"/>
        <v>0</v>
      </c>
      <c r="AD58" s="48">
        <f t="shared" si="19"/>
        <v>0</v>
      </c>
      <c r="AE58" s="49">
        <v>0</v>
      </c>
      <c r="AF58" s="49">
        <f t="shared" si="12"/>
        <v>0</v>
      </c>
      <c r="AG58" s="49">
        <v>0</v>
      </c>
      <c r="AH58" s="49">
        <v>0</v>
      </c>
      <c r="AI58" s="49">
        <v>0</v>
      </c>
      <c r="AJ58" s="49">
        <f t="shared" si="13"/>
        <v>0</v>
      </c>
      <c r="AK58" s="49">
        <f t="shared" si="20"/>
        <v>0</v>
      </c>
      <c r="AL58" s="82">
        <f t="shared" si="21"/>
        <v>0</v>
      </c>
      <c r="AM58" s="82">
        <f t="shared" si="22"/>
        <v>307090353970462.75</v>
      </c>
      <c r="AN58" s="81">
        <f t="shared" si="14"/>
        <v>364309634278506.25</v>
      </c>
      <c r="AO58" s="80">
        <f t="shared" si="0"/>
        <v>1186.3271821085825</v>
      </c>
      <c r="AP58" s="52">
        <f t="shared" si="15"/>
        <v>-3.5785339794167551E-2</v>
      </c>
      <c r="AQ58" s="48">
        <f t="shared" si="1"/>
        <v>-3.9783700270374665E-2</v>
      </c>
      <c r="AR58" s="48">
        <f t="shared" si="2"/>
        <v>-3.3816425120772944E-2</v>
      </c>
      <c r="AS58" s="48">
        <f t="shared" si="3"/>
        <v>-0.11584028082492322</v>
      </c>
      <c r="AT58" s="48" t="e">
        <f>(#REF!-#REF!)/#REF!</f>
        <v>#REF!</v>
      </c>
    </row>
    <row r="59" spans="1:46" x14ac:dyDescent="0.3">
      <c r="A59" s="48">
        <v>20180326</v>
      </c>
      <c r="B59" s="48" t="s">
        <v>88</v>
      </c>
      <c r="C59" s="79">
        <v>0.4</v>
      </c>
      <c r="D59" s="79">
        <f t="shared" si="4"/>
        <v>0.33105947865555224</v>
      </c>
      <c r="E59" s="49">
        <v>2486000</v>
      </c>
      <c r="F59" s="49">
        <v>2514000</v>
      </c>
      <c r="G59" s="49">
        <v>128386494</v>
      </c>
      <c r="H59" s="49">
        <f t="shared" si="5"/>
        <v>0.37505621673717698</v>
      </c>
      <c r="I59" s="49">
        <f t="shared" si="16"/>
        <v>0.37505621673717698</v>
      </c>
      <c r="J59" s="48">
        <v>0.6</v>
      </c>
      <c r="K59" s="48">
        <f t="shared" si="6"/>
        <v>0.66894052134444781</v>
      </c>
      <c r="L59" s="48">
        <v>300000</v>
      </c>
      <c r="M59" s="48">
        <v>300000</v>
      </c>
      <c r="N59" s="51">
        <v>122666424</v>
      </c>
      <c r="O59" s="48">
        <f t="shared" si="7"/>
        <v>6.6468441985697098</v>
      </c>
      <c r="P59" s="48">
        <f t="shared" si="17"/>
        <v>6.6468441985697098</v>
      </c>
      <c r="Q59" s="49">
        <v>0</v>
      </c>
      <c r="R59" s="49">
        <f t="shared" si="8"/>
        <v>0</v>
      </c>
      <c r="S59" s="49">
        <v>201500</v>
      </c>
      <c r="T59" s="49">
        <v>208600</v>
      </c>
      <c r="U59" s="49">
        <v>15956260</v>
      </c>
      <c r="V59" s="49">
        <f t="shared" si="9"/>
        <v>0</v>
      </c>
      <c r="W59" s="49">
        <f t="shared" si="18"/>
        <v>0</v>
      </c>
      <c r="X59" s="48">
        <v>0</v>
      </c>
      <c r="Y59" s="48">
        <f t="shared" si="10"/>
        <v>0</v>
      </c>
      <c r="Z59" s="48">
        <v>0</v>
      </c>
      <c r="AA59" s="48">
        <v>0</v>
      </c>
      <c r="AB59" s="48">
        <v>0</v>
      </c>
      <c r="AC59" s="48">
        <f t="shared" si="11"/>
        <v>0</v>
      </c>
      <c r="AD59" s="48">
        <f t="shared" si="19"/>
        <v>0</v>
      </c>
      <c r="AE59" s="49">
        <v>0</v>
      </c>
      <c r="AF59" s="49">
        <f t="shared" si="12"/>
        <v>0</v>
      </c>
      <c r="AG59" s="49">
        <v>0</v>
      </c>
      <c r="AH59" s="49">
        <v>0</v>
      </c>
      <c r="AI59" s="49">
        <v>0</v>
      </c>
      <c r="AJ59" s="49">
        <f t="shared" si="13"/>
        <v>0</v>
      </c>
      <c r="AK59" s="49">
        <f t="shared" si="20"/>
        <v>0</v>
      </c>
      <c r="AL59" s="82">
        <f t="shared" si="21"/>
        <v>0</v>
      </c>
      <c r="AM59" s="82">
        <f t="shared" si="22"/>
        <v>307090353970462.75</v>
      </c>
      <c r="AN59" s="81">
        <f t="shared" si="14"/>
        <v>365657894554660.37</v>
      </c>
      <c r="AO59" s="80">
        <f t="shared" si="0"/>
        <v>1190.7176172320635</v>
      </c>
      <c r="AP59" s="52">
        <f t="shared" si="15"/>
        <v>3.7008636316310374E-3</v>
      </c>
      <c r="AQ59" s="48">
        <f t="shared" si="1"/>
        <v>1.1263073209975865E-2</v>
      </c>
      <c r="AR59" s="48">
        <f t="shared" si="2"/>
        <v>0</v>
      </c>
      <c r="AS59" s="48">
        <f t="shared" si="3"/>
        <v>3.5235732009925559E-2</v>
      </c>
      <c r="AT59" s="48" t="e">
        <f>(#REF!-#REF!)/#REF!</f>
        <v>#REF!</v>
      </c>
    </row>
    <row r="60" spans="1:46" x14ac:dyDescent="0.3">
      <c r="A60" s="48">
        <v>20180327</v>
      </c>
      <c r="B60" s="48" t="s">
        <v>88</v>
      </c>
      <c r="C60" s="79">
        <v>0.4</v>
      </c>
      <c r="D60" s="79">
        <f t="shared" si="4"/>
        <v>0.33196052191453423</v>
      </c>
      <c r="E60" s="49">
        <v>2514000</v>
      </c>
      <c r="F60" s="49">
        <v>2499000</v>
      </c>
      <c r="G60" s="49">
        <v>128386494</v>
      </c>
      <c r="H60" s="49">
        <f t="shared" si="5"/>
        <v>0.37505621673717698</v>
      </c>
      <c r="I60" s="49">
        <f t="shared" si="16"/>
        <v>0.37505621673717698</v>
      </c>
      <c r="J60" s="48">
        <v>0.6</v>
      </c>
      <c r="K60" s="48">
        <f t="shared" si="6"/>
        <v>0.66803947808546571</v>
      </c>
      <c r="L60" s="48">
        <v>300000</v>
      </c>
      <c r="M60" s="48">
        <v>297000</v>
      </c>
      <c r="N60" s="51">
        <v>122666424</v>
      </c>
      <c r="O60" s="48">
        <f t="shared" si="7"/>
        <v>6.6468441985697098</v>
      </c>
      <c r="P60" s="48">
        <f t="shared" si="17"/>
        <v>6.6468441985697098</v>
      </c>
      <c r="Q60" s="49">
        <v>0</v>
      </c>
      <c r="R60" s="49">
        <f t="shared" si="8"/>
        <v>0</v>
      </c>
      <c r="S60" s="49">
        <v>208600</v>
      </c>
      <c r="T60" s="49">
        <v>213100</v>
      </c>
      <c r="U60" s="49">
        <v>15956260</v>
      </c>
      <c r="V60" s="49">
        <f t="shared" si="9"/>
        <v>0</v>
      </c>
      <c r="W60" s="49">
        <f t="shared" si="18"/>
        <v>0</v>
      </c>
      <c r="X60" s="48">
        <v>0</v>
      </c>
      <c r="Y60" s="48">
        <f t="shared" si="10"/>
        <v>0</v>
      </c>
      <c r="Z60" s="48">
        <v>0</v>
      </c>
      <c r="AA60" s="48">
        <v>0</v>
      </c>
      <c r="AB60" s="48">
        <v>0</v>
      </c>
      <c r="AC60" s="48">
        <f t="shared" si="11"/>
        <v>0</v>
      </c>
      <c r="AD60" s="48">
        <f t="shared" si="19"/>
        <v>0</v>
      </c>
      <c r="AE60" s="49">
        <v>0</v>
      </c>
      <c r="AF60" s="49">
        <f t="shared" si="12"/>
        <v>0</v>
      </c>
      <c r="AG60" s="49">
        <v>0</v>
      </c>
      <c r="AH60" s="49">
        <v>0</v>
      </c>
      <c r="AI60" s="49">
        <v>0</v>
      </c>
      <c r="AJ60" s="49">
        <f t="shared" si="13"/>
        <v>0</v>
      </c>
      <c r="AK60" s="49">
        <f t="shared" si="20"/>
        <v>0</v>
      </c>
      <c r="AL60" s="82">
        <f t="shared" si="21"/>
        <v>0</v>
      </c>
      <c r="AM60" s="82">
        <f t="shared" si="22"/>
        <v>307090353970462.75</v>
      </c>
      <c r="AN60" s="81">
        <f t="shared" si="14"/>
        <v>362489578437692.5</v>
      </c>
      <c r="AO60" s="80">
        <f t="shared" si="0"/>
        <v>1180.4004057794609</v>
      </c>
      <c r="AP60" s="52">
        <f t="shared" si="15"/>
        <v>-8.664700432152771E-3</v>
      </c>
      <c r="AQ60" s="48">
        <f t="shared" si="1"/>
        <v>-5.9665871121718375E-3</v>
      </c>
      <c r="AR60" s="48">
        <f t="shared" si="2"/>
        <v>-0.01</v>
      </c>
      <c r="AS60" s="48">
        <f t="shared" si="3"/>
        <v>2.1572387344199424E-2</v>
      </c>
      <c r="AT60" s="48" t="e">
        <f>(#REF!-#REF!)/#REF!</f>
        <v>#REF!</v>
      </c>
    </row>
    <row r="61" spans="1:46" x14ac:dyDescent="0.3">
      <c r="A61" s="48">
        <v>20180328</v>
      </c>
      <c r="B61" s="48" t="s">
        <v>88</v>
      </c>
      <c r="C61" s="79">
        <v>0.4</v>
      </c>
      <c r="D61" s="79">
        <f t="shared" si="4"/>
        <v>0.33187912814181608</v>
      </c>
      <c r="E61" s="49">
        <v>2499000</v>
      </c>
      <c r="F61" s="49">
        <v>2435000</v>
      </c>
      <c r="G61" s="49">
        <v>128386494</v>
      </c>
      <c r="H61" s="49">
        <f t="shared" si="5"/>
        <v>0.37505621673717698</v>
      </c>
      <c r="I61" s="49">
        <f t="shared" si="16"/>
        <v>0.37505621673717698</v>
      </c>
      <c r="J61" s="48">
        <v>0.6</v>
      </c>
      <c r="K61" s="48">
        <f t="shared" si="6"/>
        <v>0.66812087185818381</v>
      </c>
      <c r="L61" s="48">
        <v>297000</v>
      </c>
      <c r="M61" s="48">
        <v>289500</v>
      </c>
      <c r="N61" s="51">
        <v>122666424</v>
      </c>
      <c r="O61" s="48">
        <f t="shared" si="7"/>
        <v>6.6468441985697098</v>
      </c>
      <c r="P61" s="48">
        <f t="shared" si="17"/>
        <v>6.6468441985697098</v>
      </c>
      <c r="Q61" s="49">
        <v>0</v>
      </c>
      <c r="R61" s="49">
        <f t="shared" si="8"/>
        <v>0</v>
      </c>
      <c r="S61" s="49">
        <v>213100</v>
      </c>
      <c r="T61" s="49">
        <v>212000</v>
      </c>
      <c r="U61" s="49">
        <v>15956260</v>
      </c>
      <c r="V61" s="49">
        <f t="shared" si="9"/>
        <v>0</v>
      </c>
      <c r="W61" s="49">
        <f t="shared" si="18"/>
        <v>0</v>
      </c>
      <c r="X61" s="48">
        <v>0</v>
      </c>
      <c r="Y61" s="48">
        <f t="shared" si="10"/>
        <v>0</v>
      </c>
      <c r="Z61" s="48">
        <v>0</v>
      </c>
      <c r="AA61" s="48">
        <v>0</v>
      </c>
      <c r="AB61" s="48">
        <v>0</v>
      </c>
      <c r="AC61" s="48">
        <f t="shared" si="11"/>
        <v>0</v>
      </c>
      <c r="AD61" s="48">
        <f t="shared" si="19"/>
        <v>0</v>
      </c>
      <c r="AE61" s="49">
        <v>0</v>
      </c>
      <c r="AF61" s="49">
        <f t="shared" si="12"/>
        <v>0</v>
      </c>
      <c r="AG61" s="49">
        <v>0</v>
      </c>
      <c r="AH61" s="49">
        <v>0</v>
      </c>
      <c r="AI61" s="49">
        <v>0</v>
      </c>
      <c r="AJ61" s="49">
        <f t="shared" si="13"/>
        <v>0</v>
      </c>
      <c r="AK61" s="49">
        <f t="shared" si="20"/>
        <v>0</v>
      </c>
      <c r="AL61" s="82">
        <f t="shared" si="21"/>
        <v>0</v>
      </c>
      <c r="AM61" s="82">
        <f t="shared" si="22"/>
        <v>307090353970462.75</v>
      </c>
      <c r="AN61" s="81">
        <f t="shared" si="14"/>
        <v>353292756098198.25</v>
      </c>
      <c r="AO61" s="80">
        <f t="shared" si="0"/>
        <v>1150.4521439060877</v>
      </c>
      <c r="AP61" s="52">
        <f t="shared" si="15"/>
        <v>-2.5371273787047961E-2</v>
      </c>
      <c r="AQ61" s="48">
        <f t="shared" si="1"/>
        <v>-2.5610244097639057E-2</v>
      </c>
      <c r="AR61" s="48">
        <f t="shared" si="2"/>
        <v>-2.5252525252525252E-2</v>
      </c>
      <c r="AS61" s="48">
        <f t="shared" si="3"/>
        <v>-5.1618958235570157E-3</v>
      </c>
      <c r="AT61" s="48" t="e">
        <f>(#REF!-#REF!)/#REF!</f>
        <v>#REF!</v>
      </c>
    </row>
    <row r="62" spans="1:46" x14ac:dyDescent="0.3">
      <c r="A62" s="48">
        <v>20180329</v>
      </c>
      <c r="B62" s="48" t="s">
        <v>88</v>
      </c>
      <c r="C62" s="79">
        <v>0.4</v>
      </c>
      <c r="D62" s="79">
        <f t="shared" si="4"/>
        <v>0.31356873980316069</v>
      </c>
      <c r="E62" s="49">
        <v>2435000</v>
      </c>
      <c r="F62" s="49">
        <v>2452000</v>
      </c>
      <c r="G62" s="49">
        <v>128386494</v>
      </c>
      <c r="H62" s="49">
        <f t="shared" si="5"/>
        <v>0.37505621673717698</v>
      </c>
      <c r="I62" s="49">
        <f t="shared" si="16"/>
        <v>0.37505621673717698</v>
      </c>
      <c r="J62" s="48">
        <v>0.6</v>
      </c>
      <c r="K62" s="48">
        <f t="shared" si="6"/>
        <v>0.68643126019683931</v>
      </c>
      <c r="L62" s="48">
        <v>289500</v>
      </c>
      <c r="M62" s="48">
        <v>317000</v>
      </c>
      <c r="N62" s="51">
        <v>122666424</v>
      </c>
      <c r="O62" s="48">
        <f t="shared" si="7"/>
        <v>6.6468441985697098</v>
      </c>
      <c r="P62" s="48">
        <f t="shared" si="17"/>
        <v>6.6468441985697098</v>
      </c>
      <c r="Q62" s="49">
        <v>0</v>
      </c>
      <c r="R62" s="49">
        <f t="shared" si="8"/>
        <v>0</v>
      </c>
      <c r="S62" s="49">
        <v>212000</v>
      </c>
      <c r="T62" s="49">
        <v>221000</v>
      </c>
      <c r="U62" s="49">
        <v>15956260</v>
      </c>
      <c r="V62" s="49">
        <f t="shared" si="9"/>
        <v>0</v>
      </c>
      <c r="W62" s="49">
        <f t="shared" si="18"/>
        <v>0</v>
      </c>
      <c r="X62" s="48">
        <v>0</v>
      </c>
      <c r="Y62" s="48">
        <f t="shared" si="10"/>
        <v>0</v>
      </c>
      <c r="Z62" s="48">
        <v>0</v>
      </c>
      <c r="AA62" s="48">
        <v>0</v>
      </c>
      <c r="AB62" s="48">
        <v>0</v>
      </c>
      <c r="AC62" s="48">
        <f t="shared" si="11"/>
        <v>0</v>
      </c>
      <c r="AD62" s="48">
        <f t="shared" si="19"/>
        <v>0</v>
      </c>
      <c r="AE62" s="49">
        <v>0</v>
      </c>
      <c r="AF62" s="49">
        <f t="shared" si="12"/>
        <v>0</v>
      </c>
      <c r="AG62" s="49">
        <v>0</v>
      </c>
      <c r="AH62" s="49">
        <v>0</v>
      </c>
      <c r="AI62" s="49">
        <v>0</v>
      </c>
      <c r="AJ62" s="49">
        <f t="shared" si="13"/>
        <v>0</v>
      </c>
      <c r="AK62" s="49">
        <f t="shared" si="20"/>
        <v>0</v>
      </c>
      <c r="AL62" s="82">
        <f t="shared" si="21"/>
        <v>0</v>
      </c>
      <c r="AM62" s="82">
        <f t="shared" si="22"/>
        <v>307090353970462.75</v>
      </c>
      <c r="AN62" s="81">
        <f t="shared" si="14"/>
        <v>376533319434336.19</v>
      </c>
      <c r="AO62" s="80">
        <f t="shared" si="0"/>
        <v>1226.132031065205</v>
      </c>
      <c r="AP62" s="52">
        <f t="shared" si="15"/>
        <v>6.5782733823385398E-2</v>
      </c>
      <c r="AQ62" s="48">
        <f t="shared" si="1"/>
        <v>6.9815195071868588E-3</v>
      </c>
      <c r="AR62" s="48">
        <f t="shared" si="2"/>
        <v>9.499136442141623E-2</v>
      </c>
      <c r="AS62" s="48">
        <f t="shared" si="3"/>
        <v>4.2452830188679243E-2</v>
      </c>
      <c r="AT62" s="48" t="e">
        <f>(#REF!-#REF!)/#REF!</f>
        <v>#REF!</v>
      </c>
    </row>
    <row r="63" spans="1:46" x14ac:dyDescent="0.3">
      <c r="A63" s="48">
        <v>20180330</v>
      </c>
      <c r="B63" s="48" t="s">
        <v>88</v>
      </c>
      <c r="C63" s="79">
        <v>0.4</v>
      </c>
      <c r="D63" s="79">
        <f t="shared" si="4"/>
        <v>0.31954141895967569</v>
      </c>
      <c r="E63" s="49">
        <v>2452000</v>
      </c>
      <c r="F63" s="49">
        <v>2461000</v>
      </c>
      <c r="G63" s="49">
        <v>128386494</v>
      </c>
      <c r="H63" s="49">
        <f t="shared" si="5"/>
        <v>0.37505621673717698</v>
      </c>
      <c r="I63" s="49">
        <f t="shared" si="16"/>
        <v>0.37505621673717698</v>
      </c>
      <c r="J63" s="48">
        <v>0.6</v>
      </c>
      <c r="K63" s="48">
        <f t="shared" si="6"/>
        <v>0.6804585810403242</v>
      </c>
      <c r="L63" s="48">
        <v>317000</v>
      </c>
      <c r="M63" s="48">
        <v>309500</v>
      </c>
      <c r="N63" s="51">
        <v>122666424</v>
      </c>
      <c r="O63" s="48">
        <f t="shared" si="7"/>
        <v>6.6468441985697098</v>
      </c>
      <c r="P63" s="48">
        <f t="shared" si="17"/>
        <v>6.6468441985697098</v>
      </c>
      <c r="Q63" s="49">
        <v>0</v>
      </c>
      <c r="R63" s="49">
        <f t="shared" si="8"/>
        <v>0</v>
      </c>
      <c r="S63" s="49">
        <v>221000</v>
      </c>
      <c r="T63" s="49">
        <v>224900</v>
      </c>
      <c r="U63" s="49">
        <v>15956260</v>
      </c>
      <c r="V63" s="49">
        <f t="shared" si="9"/>
        <v>0</v>
      </c>
      <c r="W63" s="49">
        <f t="shared" si="18"/>
        <v>0</v>
      </c>
      <c r="X63" s="48">
        <v>0</v>
      </c>
      <c r="Y63" s="48">
        <f t="shared" si="10"/>
        <v>0</v>
      </c>
      <c r="Z63" s="48">
        <v>0</v>
      </c>
      <c r="AA63" s="48">
        <v>0</v>
      </c>
      <c r="AB63" s="48">
        <v>0</v>
      </c>
      <c r="AC63" s="48">
        <f t="shared" si="11"/>
        <v>0</v>
      </c>
      <c r="AD63" s="48">
        <f t="shared" si="19"/>
        <v>0</v>
      </c>
      <c r="AE63" s="49">
        <v>0</v>
      </c>
      <c r="AF63" s="49">
        <f t="shared" si="12"/>
        <v>0</v>
      </c>
      <c r="AG63" s="49">
        <v>0</v>
      </c>
      <c r="AH63" s="49">
        <v>0</v>
      </c>
      <c r="AI63" s="49">
        <v>0</v>
      </c>
      <c r="AJ63" s="49">
        <f t="shared" si="13"/>
        <v>0</v>
      </c>
      <c r="AK63" s="49">
        <f t="shared" si="20"/>
        <v>0</v>
      </c>
      <c r="AL63" s="82">
        <f t="shared" si="21"/>
        <v>0</v>
      </c>
      <c r="AM63" s="82">
        <f t="shared" si="22"/>
        <v>307090353970462.75</v>
      </c>
      <c r="AN63" s="81">
        <f t="shared" si="14"/>
        <v>370851604243386.62</v>
      </c>
      <c r="AO63" s="80">
        <f t="shared" si="0"/>
        <v>1207.6302607637645</v>
      </c>
      <c r="AP63" s="52">
        <f t="shared" si="15"/>
        <v>-1.5089541609452162E-2</v>
      </c>
      <c r="AQ63" s="48">
        <f t="shared" si="1"/>
        <v>3.67047308319739E-3</v>
      </c>
      <c r="AR63" s="48">
        <f t="shared" si="2"/>
        <v>-2.365930599369085E-2</v>
      </c>
      <c r="AS63" s="48">
        <f t="shared" si="3"/>
        <v>1.7647058823529412E-2</v>
      </c>
      <c r="AT63" s="48" t="e">
        <f>(#REF!-#REF!)/#REF!</f>
        <v>#REF!</v>
      </c>
    </row>
    <row r="64" spans="1:46" x14ac:dyDescent="0.3">
      <c r="A64" s="48">
        <v>20180402</v>
      </c>
      <c r="B64" s="48" t="s">
        <v>88</v>
      </c>
      <c r="C64" s="79">
        <v>0.4</v>
      </c>
      <c r="D64" s="79">
        <f t="shared" si="4"/>
        <v>0.32041582324225093</v>
      </c>
      <c r="E64" s="49">
        <v>2461000</v>
      </c>
      <c r="F64" s="49">
        <v>2427000</v>
      </c>
      <c r="G64" s="49">
        <v>128386494</v>
      </c>
      <c r="H64" s="49">
        <f t="shared" si="5"/>
        <v>0.37505621673717698</v>
      </c>
      <c r="I64" s="49">
        <f t="shared" si="16"/>
        <v>0.37505621673717698</v>
      </c>
      <c r="J64" s="48">
        <v>0.6</v>
      </c>
      <c r="K64" s="48">
        <f t="shared" si="6"/>
        <v>0.67958417675774907</v>
      </c>
      <c r="L64" s="48">
        <v>309500</v>
      </c>
      <c r="M64" s="48">
        <v>304000</v>
      </c>
      <c r="N64" s="51">
        <v>122666424</v>
      </c>
      <c r="O64" s="48">
        <f t="shared" si="7"/>
        <v>6.6468441985697098</v>
      </c>
      <c r="P64" s="48">
        <f t="shared" si="17"/>
        <v>6.6468441985697098</v>
      </c>
      <c r="Q64" s="49">
        <v>0</v>
      </c>
      <c r="R64" s="49">
        <f t="shared" si="8"/>
        <v>0</v>
      </c>
      <c r="S64" s="49">
        <v>224900</v>
      </c>
      <c r="T64" s="49">
        <v>224000</v>
      </c>
      <c r="U64" s="49">
        <v>15956260</v>
      </c>
      <c r="V64" s="49">
        <f t="shared" si="9"/>
        <v>0</v>
      </c>
      <c r="W64" s="49">
        <f t="shared" si="18"/>
        <v>0</v>
      </c>
      <c r="X64" s="48">
        <v>0</v>
      </c>
      <c r="Y64" s="48">
        <f t="shared" si="10"/>
        <v>0</v>
      </c>
      <c r="Z64" s="48">
        <v>0</v>
      </c>
      <c r="AA64" s="48">
        <v>0</v>
      </c>
      <c r="AB64" s="48">
        <v>0</v>
      </c>
      <c r="AC64" s="48">
        <f t="shared" si="11"/>
        <v>0</v>
      </c>
      <c r="AD64" s="48">
        <f t="shared" si="19"/>
        <v>0</v>
      </c>
      <c r="AE64" s="49">
        <v>0</v>
      </c>
      <c r="AF64" s="49">
        <f t="shared" si="12"/>
        <v>0</v>
      </c>
      <c r="AG64" s="49">
        <v>0</v>
      </c>
      <c r="AH64" s="49">
        <v>0</v>
      </c>
      <c r="AI64" s="49">
        <v>0</v>
      </c>
      <c r="AJ64" s="49">
        <f t="shared" si="13"/>
        <v>0</v>
      </c>
      <c r="AK64" s="49">
        <f t="shared" si="20"/>
        <v>0</v>
      </c>
      <c r="AL64" s="82">
        <f t="shared" si="21"/>
        <v>0</v>
      </c>
      <c r="AM64" s="82">
        <f t="shared" si="22"/>
        <v>307090353970462.75</v>
      </c>
      <c r="AN64" s="81">
        <f t="shared" si="14"/>
        <v>364730035702933.44</v>
      </c>
      <c r="AO64" s="80">
        <f t="shared" si="0"/>
        <v>1187.6961649469938</v>
      </c>
      <c r="AP64" s="52">
        <f t="shared" si="15"/>
        <v>-1.6506787271265755E-2</v>
      </c>
      <c r="AQ64" s="48">
        <f t="shared" si="1"/>
        <v>-1.3815522145469321E-2</v>
      </c>
      <c r="AR64" s="48">
        <f t="shared" si="2"/>
        <v>-1.7770597738287562E-2</v>
      </c>
      <c r="AS64" s="48">
        <f t="shared" si="3"/>
        <v>-4.0017785682525571E-3</v>
      </c>
      <c r="AT64" s="48" t="e">
        <f>(#REF!-#REF!)/#REF!</f>
        <v>#REF!</v>
      </c>
    </row>
    <row r="65" spans="1:46" x14ac:dyDescent="0.3">
      <c r="A65" s="48">
        <v>20180403</v>
      </c>
      <c r="B65" s="48" t="s">
        <v>88</v>
      </c>
      <c r="C65" s="79">
        <v>0.4</v>
      </c>
      <c r="D65" s="79">
        <f t="shared" si="4"/>
        <v>0.32213712972372804</v>
      </c>
      <c r="E65" s="49">
        <v>2427000</v>
      </c>
      <c r="F65" s="49">
        <v>2406000</v>
      </c>
      <c r="G65" s="49">
        <v>128386494</v>
      </c>
      <c r="H65" s="49">
        <f t="shared" si="5"/>
        <v>0.37505621673717698</v>
      </c>
      <c r="I65" s="49">
        <f t="shared" si="16"/>
        <v>0.37505621673717698</v>
      </c>
      <c r="J65" s="48">
        <v>0.6</v>
      </c>
      <c r="K65" s="48">
        <f t="shared" si="6"/>
        <v>0.6778628702762719</v>
      </c>
      <c r="L65" s="48">
        <v>304000</v>
      </c>
      <c r="M65" s="48">
        <v>299000</v>
      </c>
      <c r="N65" s="51">
        <v>122666424</v>
      </c>
      <c r="O65" s="48">
        <f t="shared" si="7"/>
        <v>6.6468441985697098</v>
      </c>
      <c r="P65" s="48">
        <f t="shared" si="17"/>
        <v>6.6468441985697098</v>
      </c>
      <c r="Q65" s="49">
        <v>0</v>
      </c>
      <c r="R65" s="49">
        <f t="shared" si="8"/>
        <v>0</v>
      </c>
      <c r="S65" s="49">
        <v>224000</v>
      </c>
      <c r="T65" s="49">
        <v>237300</v>
      </c>
      <c r="U65" s="49">
        <v>15956260</v>
      </c>
      <c r="V65" s="49">
        <f t="shared" si="9"/>
        <v>0</v>
      </c>
      <c r="W65" s="49">
        <f t="shared" si="18"/>
        <v>0</v>
      </c>
      <c r="X65" s="48">
        <v>0</v>
      </c>
      <c r="Y65" s="48">
        <f t="shared" si="10"/>
        <v>0</v>
      </c>
      <c r="Z65" s="48">
        <v>0</v>
      </c>
      <c r="AA65" s="48">
        <v>0</v>
      </c>
      <c r="AB65" s="48">
        <v>0</v>
      </c>
      <c r="AC65" s="48">
        <f t="shared" si="11"/>
        <v>0</v>
      </c>
      <c r="AD65" s="48">
        <f t="shared" si="19"/>
        <v>0</v>
      </c>
      <c r="AE65" s="49">
        <v>0</v>
      </c>
      <c r="AF65" s="49">
        <f t="shared" si="12"/>
        <v>0</v>
      </c>
      <c r="AG65" s="49">
        <v>0</v>
      </c>
      <c r="AH65" s="49">
        <v>0</v>
      </c>
      <c r="AI65" s="49">
        <v>0</v>
      </c>
      <c r="AJ65" s="49">
        <f t="shared" si="13"/>
        <v>0</v>
      </c>
      <c r="AK65" s="49">
        <f t="shared" si="20"/>
        <v>0</v>
      </c>
      <c r="AL65" s="82">
        <f t="shared" si="21"/>
        <v>0</v>
      </c>
      <c r="AM65" s="82">
        <f t="shared" si="22"/>
        <v>307090353970462.75</v>
      </c>
      <c r="AN65" s="81">
        <f t="shared" si="14"/>
        <v>359642117452199.37</v>
      </c>
      <c r="AO65" s="80">
        <f t="shared" si="0"/>
        <v>1171.1280175436291</v>
      </c>
      <c r="AP65" s="52">
        <f t="shared" si="15"/>
        <v>-1.3949819737023523E-2</v>
      </c>
      <c r="AQ65" s="48">
        <f t="shared" si="1"/>
        <v>-8.65265760197775E-3</v>
      </c>
      <c r="AR65" s="48">
        <f t="shared" si="2"/>
        <v>-1.6447368421052631E-2</v>
      </c>
      <c r="AS65" s="48">
        <f t="shared" si="3"/>
        <v>5.9374999999999997E-2</v>
      </c>
      <c r="AT65" s="48" t="e">
        <f>(#REF!-#REF!)/#REF!</f>
        <v>#REF!</v>
      </c>
    </row>
    <row r="66" spans="1:46" x14ac:dyDescent="0.3">
      <c r="A66" s="48">
        <v>20180404</v>
      </c>
      <c r="B66" s="48" t="s">
        <v>88</v>
      </c>
      <c r="C66" s="79">
        <v>0.4</v>
      </c>
      <c r="D66" s="79">
        <f t="shared" si="4"/>
        <v>0.32030777631725948</v>
      </c>
      <c r="E66" s="49">
        <v>2406000</v>
      </c>
      <c r="F66" s="49">
        <v>2346000</v>
      </c>
      <c r="G66" s="49">
        <v>128386494</v>
      </c>
      <c r="H66" s="49">
        <f t="shared" si="5"/>
        <v>0.37505621673717698</v>
      </c>
      <c r="I66" s="49">
        <f t="shared" si="16"/>
        <v>0.37505621673717698</v>
      </c>
      <c r="J66" s="48">
        <v>0.6</v>
      </c>
      <c r="K66" s="48">
        <f t="shared" si="6"/>
        <v>0.6796922236827404</v>
      </c>
      <c r="L66" s="48">
        <v>299000</v>
      </c>
      <c r="M66" s="48">
        <v>294000</v>
      </c>
      <c r="N66" s="51">
        <v>122666424</v>
      </c>
      <c r="O66" s="48">
        <f t="shared" si="7"/>
        <v>6.6468441985697098</v>
      </c>
      <c r="P66" s="48">
        <f t="shared" si="17"/>
        <v>6.6468441985697098</v>
      </c>
      <c r="Q66" s="49">
        <v>0</v>
      </c>
      <c r="R66" s="49">
        <f t="shared" si="8"/>
        <v>0</v>
      </c>
      <c r="S66" s="49">
        <v>237300</v>
      </c>
      <c r="T66" s="49">
        <v>241600</v>
      </c>
      <c r="U66" s="49">
        <v>15956260</v>
      </c>
      <c r="V66" s="49">
        <f t="shared" si="9"/>
        <v>0</v>
      </c>
      <c r="W66" s="49">
        <f t="shared" si="18"/>
        <v>0</v>
      </c>
      <c r="X66" s="48">
        <v>0</v>
      </c>
      <c r="Y66" s="48">
        <f t="shared" si="10"/>
        <v>0</v>
      </c>
      <c r="Z66" s="48">
        <v>0</v>
      </c>
      <c r="AA66" s="48">
        <v>0</v>
      </c>
      <c r="AB66" s="48">
        <v>0</v>
      </c>
      <c r="AC66" s="48">
        <f t="shared" si="11"/>
        <v>0</v>
      </c>
      <c r="AD66" s="48">
        <f t="shared" si="19"/>
        <v>0</v>
      </c>
      <c r="AE66" s="49">
        <v>0</v>
      </c>
      <c r="AF66" s="49">
        <f t="shared" si="12"/>
        <v>0</v>
      </c>
      <c r="AG66" s="49">
        <v>0</v>
      </c>
      <c r="AH66" s="49">
        <v>0</v>
      </c>
      <c r="AI66" s="49">
        <v>0</v>
      </c>
      <c r="AJ66" s="49">
        <f t="shared" si="13"/>
        <v>0</v>
      </c>
      <c r="AK66" s="49">
        <f t="shared" si="20"/>
        <v>0</v>
      </c>
      <c r="AL66" s="82">
        <f t="shared" si="21"/>
        <v>0</v>
      </c>
      <c r="AM66" s="82">
        <f t="shared" si="22"/>
        <v>307090353970462.75</v>
      </c>
      <c r="AN66" s="81">
        <f t="shared" si="14"/>
        <v>352676265245393.5</v>
      </c>
      <c r="AO66" s="80">
        <f t="shared" si="0"/>
        <v>1148.4446212182731</v>
      </c>
      <c r="AP66" s="52">
        <f t="shared" si="15"/>
        <v>-1.9368844383838592E-2</v>
      </c>
      <c r="AQ66" s="48">
        <f t="shared" si="1"/>
        <v>-2.4937655860349128E-2</v>
      </c>
      <c r="AR66" s="48">
        <f t="shared" si="2"/>
        <v>-1.6722408026755852E-2</v>
      </c>
      <c r="AS66" s="48">
        <f t="shared" si="3"/>
        <v>1.8120522545301308E-2</v>
      </c>
      <c r="AT66" s="48" t="e">
        <f>(#REF!-#REF!)/#REF!</f>
        <v>#REF!</v>
      </c>
    </row>
    <row r="67" spans="1:46" x14ac:dyDescent="0.3">
      <c r="A67" s="48">
        <v>20180405</v>
      </c>
      <c r="B67" s="48" t="s">
        <v>88</v>
      </c>
      <c r="C67" s="79">
        <v>0.4</v>
      </c>
      <c r="D67" s="79">
        <f t="shared" si="4"/>
        <v>0.32790025158941488</v>
      </c>
      <c r="E67" s="49">
        <v>2346000</v>
      </c>
      <c r="F67" s="49">
        <v>2437000</v>
      </c>
      <c r="G67" s="49">
        <v>128386494</v>
      </c>
      <c r="H67" s="49">
        <f t="shared" si="5"/>
        <v>0.37505621673717698</v>
      </c>
      <c r="I67" s="49">
        <f t="shared" si="16"/>
        <v>0.37505621673717698</v>
      </c>
      <c r="J67" s="48">
        <v>0.6</v>
      </c>
      <c r="K67" s="48">
        <f t="shared" si="6"/>
        <v>0.67209974841058517</v>
      </c>
      <c r="L67" s="48">
        <v>294000</v>
      </c>
      <c r="M67" s="48">
        <v>295000</v>
      </c>
      <c r="N67" s="51">
        <v>122666424</v>
      </c>
      <c r="O67" s="48">
        <f t="shared" si="7"/>
        <v>6.6468441985697098</v>
      </c>
      <c r="P67" s="48">
        <f t="shared" si="17"/>
        <v>6.6468441985697098</v>
      </c>
      <c r="Q67" s="49">
        <v>0</v>
      </c>
      <c r="R67" s="49">
        <f t="shared" si="8"/>
        <v>0</v>
      </c>
      <c r="S67" s="49">
        <v>241600</v>
      </c>
      <c r="T67" s="49">
        <v>240400</v>
      </c>
      <c r="U67" s="49">
        <v>15956260</v>
      </c>
      <c r="V67" s="49">
        <f t="shared" si="9"/>
        <v>0</v>
      </c>
      <c r="W67" s="49">
        <f t="shared" si="18"/>
        <v>0</v>
      </c>
      <c r="X67" s="48">
        <v>0</v>
      </c>
      <c r="Y67" s="48">
        <f t="shared" si="10"/>
        <v>0</v>
      </c>
      <c r="Z67" s="48">
        <v>0</v>
      </c>
      <c r="AA67" s="48">
        <v>0</v>
      </c>
      <c r="AB67" s="48">
        <v>0</v>
      </c>
      <c r="AC67" s="48">
        <f t="shared" si="11"/>
        <v>0</v>
      </c>
      <c r="AD67" s="48">
        <f t="shared" si="19"/>
        <v>0</v>
      </c>
      <c r="AE67" s="49">
        <v>0</v>
      </c>
      <c r="AF67" s="49">
        <f t="shared" si="12"/>
        <v>0</v>
      </c>
      <c r="AG67" s="49">
        <v>0</v>
      </c>
      <c r="AH67" s="49">
        <v>0</v>
      </c>
      <c r="AI67" s="49">
        <v>0</v>
      </c>
      <c r="AJ67" s="49">
        <f t="shared" si="13"/>
        <v>0</v>
      </c>
      <c r="AK67" s="49">
        <f t="shared" si="20"/>
        <v>0</v>
      </c>
      <c r="AL67" s="82">
        <f t="shared" si="21"/>
        <v>0</v>
      </c>
      <c r="AM67" s="82">
        <f t="shared" si="22"/>
        <v>307090353970462.75</v>
      </c>
      <c r="AN67" s="81">
        <f t="shared" si="14"/>
        <v>357873455751618.06</v>
      </c>
      <c r="AO67" s="80">
        <f t="shared" ref="AO67:AO130" si="23">AN67/AM67*1000</f>
        <v>1165.3685995817368</v>
      </c>
      <c r="AP67" s="52">
        <f t="shared" si="15"/>
        <v>1.4736434000196435E-2</v>
      </c>
      <c r="AQ67" s="48">
        <f t="shared" ref="AQ67:AQ130" si="24">(F67-E67)/E67</f>
        <v>3.8789428815004259E-2</v>
      </c>
      <c r="AR67" s="48">
        <f t="shared" ref="AR67:AR130" si="25">(M67-L67)/L67</f>
        <v>3.4013605442176869E-3</v>
      </c>
      <c r="AS67" s="48">
        <f t="shared" ref="AS67:AS130" si="26">(T67-S67)/S67</f>
        <v>-4.9668874172185433E-3</v>
      </c>
      <c r="AT67" s="48" t="e">
        <f>(#REF!-#REF!)/#REF!</f>
        <v>#REF!</v>
      </c>
    </row>
    <row r="68" spans="1:46" x14ac:dyDescent="0.3">
      <c r="A68" s="48">
        <v>20180406</v>
      </c>
      <c r="B68" s="48" t="s">
        <v>88</v>
      </c>
      <c r="C68" s="79">
        <v>0.4</v>
      </c>
      <c r="D68" s="79">
        <f t="shared" ref="D68:D131" si="27">F68*G68*I68/AN68</f>
        <v>0.32861056457803817</v>
      </c>
      <c r="E68" s="49">
        <v>2437000</v>
      </c>
      <c r="F68" s="49">
        <v>2420000</v>
      </c>
      <c r="G68" s="49">
        <v>128386494</v>
      </c>
      <c r="H68" s="49">
        <f t="shared" ref="H68:H131" si="28">I67</f>
        <v>0.37505621673717698</v>
      </c>
      <c r="I68" s="49">
        <f t="shared" si="16"/>
        <v>0.37505621673717698</v>
      </c>
      <c r="J68" s="48">
        <v>0.6</v>
      </c>
      <c r="K68" s="48">
        <f t="shared" ref="K68:K131" si="29">M68*N68*P68/AN68</f>
        <v>0.67138943542196183</v>
      </c>
      <c r="L68" s="48">
        <v>295000</v>
      </c>
      <c r="M68" s="48">
        <v>292000</v>
      </c>
      <c r="N68" s="51">
        <v>122666424</v>
      </c>
      <c r="O68" s="48">
        <f t="shared" ref="O68:O131" si="30">P67</f>
        <v>6.6468441985697098</v>
      </c>
      <c r="P68" s="48">
        <f t="shared" si="17"/>
        <v>6.6468441985697098</v>
      </c>
      <c r="Q68" s="49">
        <v>0</v>
      </c>
      <c r="R68" s="49">
        <f t="shared" ref="R68:R131" si="31">T68*U68*W68/AN68</f>
        <v>0</v>
      </c>
      <c r="S68" s="49">
        <v>240400</v>
      </c>
      <c r="T68" s="49">
        <v>241600</v>
      </c>
      <c r="U68" s="49">
        <v>15956260</v>
      </c>
      <c r="V68" s="49">
        <f t="shared" ref="V68:V131" si="32">W67</f>
        <v>0</v>
      </c>
      <c r="W68" s="49">
        <f t="shared" si="18"/>
        <v>0</v>
      </c>
      <c r="X68" s="48">
        <v>0</v>
      </c>
      <c r="Y68" s="48">
        <f t="shared" ref="Y68:Y131" si="33">AA68*AB68*AD68/AN68</f>
        <v>0</v>
      </c>
      <c r="Z68" s="48">
        <v>0</v>
      </c>
      <c r="AA68" s="48">
        <v>0</v>
      </c>
      <c r="AB68" s="48">
        <v>0</v>
      </c>
      <c r="AC68" s="48">
        <f t="shared" ref="AC68:AC131" si="34">AD67</f>
        <v>0</v>
      </c>
      <c r="AD68" s="48">
        <f t="shared" si="19"/>
        <v>0</v>
      </c>
      <c r="AE68" s="49">
        <v>0</v>
      </c>
      <c r="AF68" s="49">
        <f t="shared" ref="AF68:AF131" si="35">AH68*AI68*AK68/AN68</f>
        <v>0</v>
      </c>
      <c r="AG68" s="49">
        <v>0</v>
      </c>
      <c r="AH68" s="49">
        <v>0</v>
      </c>
      <c r="AI68" s="49">
        <v>0</v>
      </c>
      <c r="AJ68" s="49">
        <f t="shared" ref="AJ68:AJ131" si="36">AK67</f>
        <v>0</v>
      </c>
      <c r="AK68" s="49">
        <f t="shared" si="20"/>
        <v>0</v>
      </c>
      <c r="AL68" s="82">
        <f t="shared" si="21"/>
        <v>0</v>
      </c>
      <c r="AM68" s="82">
        <f t="shared" si="22"/>
        <v>307090353970462.75</v>
      </c>
      <c r="AN68" s="81">
        <f t="shared" ref="AN68:AN131" si="37">F68*G68*I68+M68*N68*P68+T68*U68*W68+AA68*AB68*AD68+AH68*AI68*AK68</f>
        <v>354608835329210.56</v>
      </c>
      <c r="AO68" s="80">
        <f t="shared" si="23"/>
        <v>1154.7377856203141</v>
      </c>
      <c r="AP68" s="52">
        <f t="shared" ref="AP68:AP131" si="38">(AO68-AO67)/AO67</f>
        <v>-9.1222759607889371E-3</v>
      </c>
      <c r="AQ68" s="48">
        <f t="shared" si="24"/>
        <v>-6.9757899056216658E-3</v>
      </c>
      <c r="AR68" s="48">
        <f t="shared" si="25"/>
        <v>-1.0169491525423728E-2</v>
      </c>
      <c r="AS68" s="48">
        <f t="shared" si="26"/>
        <v>4.9916805324459234E-3</v>
      </c>
      <c r="AT68" s="48" t="e">
        <f>(#REF!-#REF!)/#REF!</f>
        <v>#REF!</v>
      </c>
    </row>
    <row r="69" spans="1:46" x14ac:dyDescent="0.3">
      <c r="A69" s="48">
        <v>20180409</v>
      </c>
      <c r="B69" s="48" t="s">
        <v>88</v>
      </c>
      <c r="C69" s="79">
        <v>0.4</v>
      </c>
      <c r="D69" s="79">
        <f t="shared" si="27"/>
        <v>0.3219306358850379</v>
      </c>
      <c r="E69" s="49">
        <v>2420000</v>
      </c>
      <c r="F69" s="49">
        <v>2460000</v>
      </c>
      <c r="G69" s="49">
        <v>128386494</v>
      </c>
      <c r="H69" s="49">
        <f t="shared" si="28"/>
        <v>0.37505621673717698</v>
      </c>
      <c r="I69" s="49">
        <f t="shared" ref="I69:I132" si="39">IF(B69="Y",ROUND(C69*(E69*G69+L69*N69+S69*U69+Z69*AB69+AG69*AI69)/(E69*G69),17),IF(AL69=0,H69,ROUND(F68*G68*I68/AN68*(E69*G69+L69*N69+S69*U69+Z69*AB69+AG69*AI69)/(E69*G69),17)))</f>
        <v>0.37505621673717698</v>
      </c>
      <c r="J69" s="48">
        <v>0.6</v>
      </c>
      <c r="K69" s="48">
        <f t="shared" si="29"/>
        <v>0.6780693641149621</v>
      </c>
      <c r="L69" s="48">
        <v>292000</v>
      </c>
      <c r="M69" s="48">
        <v>306000</v>
      </c>
      <c r="N69" s="51">
        <v>122666424</v>
      </c>
      <c r="O69" s="48">
        <f t="shared" si="30"/>
        <v>6.6468441985697098</v>
      </c>
      <c r="P69" s="48">
        <f t="shared" ref="P69:P132" si="40">IF(B69="Y",ROUND(J69*(E69*G69+L69*N69+S69*U69+Z69*AB69+AG69*AI69)/(L69*N69),17),IF(AL69=0,O69,ROUND(M68*N68*P68/AN68*(E69*G69+L69*N69+S69*U69+Z69*AB69+AG69*AI69)/(L69*N69),17)))</f>
        <v>6.6468441985697098</v>
      </c>
      <c r="Q69" s="49">
        <v>0</v>
      </c>
      <c r="R69" s="49">
        <f t="shared" si="31"/>
        <v>0</v>
      </c>
      <c r="S69" s="49">
        <v>241600</v>
      </c>
      <c r="T69" s="49">
        <v>255100</v>
      </c>
      <c r="U69" s="49">
        <v>15956260</v>
      </c>
      <c r="V69" s="49">
        <f t="shared" si="32"/>
        <v>0</v>
      </c>
      <c r="W69" s="49">
        <f t="shared" ref="W69:W132" si="41">IF(B69="Y",ROUND(Q69*(E69*G69+L69*N69+S69*U69+Z69*AB69+AG69*AI69)/(S69*U69),17),IF(AL69=0,V69,ROUND(T68*U68*W68/AN68*(E69*G69+L69*N69+S69*U69+Z69*AB69+AG69*AI69)/(S69*U69),17)))</f>
        <v>0</v>
      </c>
      <c r="X69" s="48">
        <v>0</v>
      </c>
      <c r="Y69" s="48">
        <f t="shared" si="33"/>
        <v>0</v>
      </c>
      <c r="Z69" s="48">
        <v>0</v>
      </c>
      <c r="AA69" s="48">
        <v>0</v>
      </c>
      <c r="AB69" s="48">
        <v>0</v>
      </c>
      <c r="AC69" s="48">
        <f t="shared" si="34"/>
        <v>0</v>
      </c>
      <c r="AD69" s="48">
        <f t="shared" ref="AD69:AD132" si="42">IFERROR(IF(B69="Y",ROUND(X69*(E69*G69+L69*N69+S69*U69+Z69*AB69+AG69*AI69)/(Z69*AB69),17),IF(AL69=0,AC69,ROUND(AA68*AB68*AD68/AN68*(E69*G69+L69*N69+S69*U69+Z69*AB69+AG69*AI69)/(Z69*AB69),17))),0)</f>
        <v>0</v>
      </c>
      <c r="AE69" s="49">
        <v>0</v>
      </c>
      <c r="AF69" s="49">
        <f t="shared" si="35"/>
        <v>0</v>
      </c>
      <c r="AG69" s="49">
        <v>0</v>
      </c>
      <c r="AH69" s="49">
        <v>0</v>
      </c>
      <c r="AI69" s="49">
        <v>0</v>
      </c>
      <c r="AJ69" s="49">
        <f t="shared" si="36"/>
        <v>0</v>
      </c>
      <c r="AK69" s="49">
        <f t="shared" ref="AK69:AK132" si="43">IFERROR(IF(B69="Y",ROUND(AE69*(E69*G69+L69*N69+S69*U69+Z69*AB69+AG69*AI69)/(AG69*AI69),17),IF(AL69=0,AJ69,ROUND(AH68*AI68*AK68/AN68*(E69*G69+L69*N69+S69*U69+Z69*AB69+AG69*AI69)/(AG69*AI69),17))),0)</f>
        <v>0</v>
      </c>
      <c r="AL69" s="82">
        <f t="shared" ref="AL69:AL132" si="44">IF(AN68&lt;&gt;(E69*G69*H69+L69*N69*O69+S69*U69*V69+Z69*AB69*AC69+AG69*AI69*AJ69),1,0)</f>
        <v>0</v>
      </c>
      <c r="AM69" s="82">
        <f t="shared" ref="AM69:AM132" si="45">IF(AND(AL69=0,B69="N"),AM68,AM68*(E69*G69*I69+L69*N69*P69+S69*U69*W69+Z69*AB69*AD69+AG69*AI69*AK69)/AN68)</f>
        <v>307090353970462.75</v>
      </c>
      <c r="AN69" s="81">
        <f t="shared" si="37"/>
        <v>367949745960133.87</v>
      </c>
      <c r="AO69" s="80">
        <f t="shared" si="23"/>
        <v>1198.1807347668266</v>
      </c>
      <c r="AP69" s="52">
        <f t="shared" si="38"/>
        <v>3.762148401784169E-2</v>
      </c>
      <c r="AQ69" s="48">
        <f t="shared" si="24"/>
        <v>1.6528925619834711E-2</v>
      </c>
      <c r="AR69" s="48">
        <f t="shared" si="25"/>
        <v>4.7945205479452052E-2</v>
      </c>
      <c r="AS69" s="48">
        <f t="shared" si="26"/>
        <v>5.587748344370861E-2</v>
      </c>
      <c r="AT69" s="48" t="e">
        <f>(#REF!-#REF!)/#REF!</f>
        <v>#REF!</v>
      </c>
    </row>
    <row r="70" spans="1:46" x14ac:dyDescent="0.3">
      <c r="A70" s="48">
        <v>20180410</v>
      </c>
      <c r="B70" s="48" t="s">
        <v>88</v>
      </c>
      <c r="C70" s="79">
        <v>0.4</v>
      </c>
      <c r="D70" s="79">
        <f t="shared" si="27"/>
        <v>0.32265731822542176</v>
      </c>
      <c r="E70" s="49">
        <v>2460000</v>
      </c>
      <c r="F70" s="49">
        <v>2444000</v>
      </c>
      <c r="G70" s="49">
        <v>128386494</v>
      </c>
      <c r="H70" s="49">
        <f t="shared" si="28"/>
        <v>0.37505621673717698</v>
      </c>
      <c r="I70" s="49">
        <f t="shared" si="39"/>
        <v>0.37505621673717698</v>
      </c>
      <c r="J70" s="48">
        <v>0.6</v>
      </c>
      <c r="K70" s="48">
        <f t="shared" si="29"/>
        <v>0.67734268177457824</v>
      </c>
      <c r="L70" s="48">
        <v>306000</v>
      </c>
      <c r="M70" s="48">
        <v>303000</v>
      </c>
      <c r="N70" s="51">
        <v>122666424</v>
      </c>
      <c r="O70" s="48">
        <f t="shared" si="30"/>
        <v>6.6468441985697098</v>
      </c>
      <c r="P70" s="48">
        <f t="shared" si="40"/>
        <v>6.6468441985697098</v>
      </c>
      <c r="Q70" s="49">
        <v>0</v>
      </c>
      <c r="R70" s="49">
        <f t="shared" si="31"/>
        <v>0</v>
      </c>
      <c r="S70" s="49">
        <v>255100</v>
      </c>
      <c r="T70" s="49">
        <v>260200</v>
      </c>
      <c r="U70" s="49">
        <v>15956260</v>
      </c>
      <c r="V70" s="49">
        <f t="shared" si="32"/>
        <v>0</v>
      </c>
      <c r="W70" s="49">
        <f t="shared" si="41"/>
        <v>0</v>
      </c>
      <c r="X70" s="48">
        <v>0</v>
      </c>
      <c r="Y70" s="48">
        <f t="shared" si="33"/>
        <v>0</v>
      </c>
      <c r="Z70" s="48">
        <v>0</v>
      </c>
      <c r="AA70" s="48">
        <v>0</v>
      </c>
      <c r="AB70" s="48">
        <v>0</v>
      </c>
      <c r="AC70" s="48">
        <f t="shared" si="34"/>
        <v>0</v>
      </c>
      <c r="AD70" s="48">
        <f t="shared" si="42"/>
        <v>0</v>
      </c>
      <c r="AE70" s="49">
        <v>0</v>
      </c>
      <c r="AF70" s="49">
        <f t="shared" si="35"/>
        <v>0</v>
      </c>
      <c r="AG70" s="49">
        <v>0</v>
      </c>
      <c r="AH70" s="49">
        <v>0</v>
      </c>
      <c r="AI70" s="49">
        <v>0</v>
      </c>
      <c r="AJ70" s="49">
        <f t="shared" si="36"/>
        <v>0</v>
      </c>
      <c r="AK70" s="49">
        <f t="shared" si="43"/>
        <v>0</v>
      </c>
      <c r="AL70" s="82">
        <f t="shared" si="44"/>
        <v>0</v>
      </c>
      <c r="AM70" s="82">
        <f t="shared" si="45"/>
        <v>307090353970462.75</v>
      </c>
      <c r="AN70" s="81">
        <f t="shared" si="37"/>
        <v>364733277690446.19</v>
      </c>
      <c r="AO70" s="80">
        <f t="shared" si="23"/>
        <v>1187.7067220598137</v>
      </c>
      <c r="AP70" s="52">
        <f t="shared" si="38"/>
        <v>-8.7415966582463853E-3</v>
      </c>
      <c r="AQ70" s="48">
        <f t="shared" si="24"/>
        <v>-6.5040650406504065E-3</v>
      </c>
      <c r="AR70" s="48">
        <f t="shared" si="25"/>
        <v>-9.8039215686274508E-3</v>
      </c>
      <c r="AS70" s="48">
        <f t="shared" si="26"/>
        <v>1.9992159937279499E-2</v>
      </c>
      <c r="AT70" s="48" t="e">
        <f>(#REF!-#REF!)/#REF!</f>
        <v>#REF!</v>
      </c>
    </row>
    <row r="71" spans="1:46" x14ac:dyDescent="0.3">
      <c r="A71" s="48">
        <v>20180411</v>
      </c>
      <c r="B71" s="48" t="s">
        <v>88</v>
      </c>
      <c r="C71" s="79">
        <v>0.4</v>
      </c>
      <c r="D71" s="79">
        <f t="shared" si="27"/>
        <v>0.32621455373982783</v>
      </c>
      <c r="E71" s="49">
        <v>2444000</v>
      </c>
      <c r="F71" s="49">
        <v>2443000</v>
      </c>
      <c r="G71" s="49">
        <v>128386494</v>
      </c>
      <c r="H71" s="49">
        <f t="shared" si="28"/>
        <v>0.37505621673717698</v>
      </c>
      <c r="I71" s="49">
        <f t="shared" si="39"/>
        <v>0.37505621673717698</v>
      </c>
      <c r="J71" s="48">
        <v>0.6</v>
      </c>
      <c r="K71" s="48">
        <f t="shared" si="29"/>
        <v>0.67378544626017212</v>
      </c>
      <c r="L71" s="48">
        <v>303000</v>
      </c>
      <c r="M71" s="48">
        <v>298000</v>
      </c>
      <c r="N71" s="51">
        <v>122666424</v>
      </c>
      <c r="O71" s="48">
        <f t="shared" si="30"/>
        <v>6.6468441985697098</v>
      </c>
      <c r="P71" s="48">
        <f t="shared" si="40"/>
        <v>6.6468441985697098</v>
      </c>
      <c r="Q71" s="49">
        <v>0</v>
      </c>
      <c r="R71" s="49">
        <f t="shared" si="31"/>
        <v>0</v>
      </c>
      <c r="S71" s="49">
        <v>260200</v>
      </c>
      <c r="T71" s="49">
        <v>256500</v>
      </c>
      <c r="U71" s="49">
        <v>15956260</v>
      </c>
      <c r="V71" s="49">
        <f t="shared" si="32"/>
        <v>0</v>
      </c>
      <c r="W71" s="49">
        <f t="shared" si="41"/>
        <v>0</v>
      </c>
      <c r="X71" s="48">
        <v>0</v>
      </c>
      <c r="Y71" s="48">
        <f t="shared" si="33"/>
        <v>0</v>
      </c>
      <c r="Z71" s="48">
        <v>0</v>
      </c>
      <c r="AA71" s="48">
        <v>0</v>
      </c>
      <c r="AB71" s="48">
        <v>0</v>
      </c>
      <c r="AC71" s="48">
        <f t="shared" si="34"/>
        <v>0</v>
      </c>
      <c r="AD71" s="48">
        <f t="shared" si="42"/>
        <v>0</v>
      </c>
      <c r="AE71" s="49">
        <v>0</v>
      </c>
      <c r="AF71" s="49">
        <f t="shared" si="35"/>
        <v>0</v>
      </c>
      <c r="AG71" s="49">
        <v>0</v>
      </c>
      <c r="AH71" s="49">
        <v>0</v>
      </c>
      <c r="AI71" s="49">
        <v>0</v>
      </c>
      <c r="AJ71" s="49">
        <f t="shared" si="36"/>
        <v>0</v>
      </c>
      <c r="AK71" s="49">
        <f t="shared" si="43"/>
        <v>0</v>
      </c>
      <c r="AL71" s="82">
        <f t="shared" si="44"/>
        <v>0</v>
      </c>
      <c r="AM71" s="82">
        <f t="shared" si="45"/>
        <v>307090353970462.75</v>
      </c>
      <c r="AN71" s="81">
        <f t="shared" si="37"/>
        <v>360608402494107.94</v>
      </c>
      <c r="AO71" s="80">
        <f t="shared" si="23"/>
        <v>1174.2745997446498</v>
      </c>
      <c r="AP71" s="52">
        <f t="shared" si="38"/>
        <v>-1.1309292155784819E-2</v>
      </c>
      <c r="AQ71" s="48">
        <f t="shared" si="24"/>
        <v>-4.0916530278232408E-4</v>
      </c>
      <c r="AR71" s="48">
        <f t="shared" si="25"/>
        <v>-1.65016501650165E-2</v>
      </c>
      <c r="AS71" s="48">
        <f t="shared" si="26"/>
        <v>-1.4219830899308224E-2</v>
      </c>
      <c r="AT71" s="48" t="e">
        <f>(#REF!-#REF!)/#REF!</f>
        <v>#REF!</v>
      </c>
    </row>
    <row r="72" spans="1:46" x14ac:dyDescent="0.3">
      <c r="A72" s="48">
        <v>20180412</v>
      </c>
      <c r="B72" s="48" t="s">
        <v>88</v>
      </c>
      <c r="C72" s="79">
        <v>0.4</v>
      </c>
      <c r="D72" s="79">
        <f t="shared" si="27"/>
        <v>0.32647502165538511</v>
      </c>
      <c r="E72" s="49">
        <v>2443000</v>
      </c>
      <c r="F72" s="49">
        <v>2450000</v>
      </c>
      <c r="G72" s="49">
        <v>128386494</v>
      </c>
      <c r="H72" s="49">
        <f t="shared" si="28"/>
        <v>0.37505621673717698</v>
      </c>
      <c r="I72" s="49">
        <f t="shared" si="39"/>
        <v>0.37505621673717698</v>
      </c>
      <c r="J72" s="48">
        <v>0.6</v>
      </c>
      <c r="K72" s="48">
        <f t="shared" si="29"/>
        <v>0.67352497834461489</v>
      </c>
      <c r="L72" s="48">
        <v>298000</v>
      </c>
      <c r="M72" s="48">
        <v>298500</v>
      </c>
      <c r="N72" s="51">
        <v>122666424</v>
      </c>
      <c r="O72" s="48">
        <f t="shared" si="30"/>
        <v>6.6468441985697098</v>
      </c>
      <c r="P72" s="48">
        <f t="shared" si="40"/>
        <v>6.6468441985697098</v>
      </c>
      <c r="Q72" s="49">
        <v>0</v>
      </c>
      <c r="R72" s="49">
        <f t="shared" si="31"/>
        <v>0</v>
      </c>
      <c r="S72" s="49">
        <v>256500</v>
      </c>
      <c r="T72" s="49">
        <v>232100</v>
      </c>
      <c r="U72" s="49">
        <v>15956260</v>
      </c>
      <c r="V72" s="49">
        <f t="shared" si="32"/>
        <v>0</v>
      </c>
      <c r="W72" s="49">
        <f t="shared" si="41"/>
        <v>0</v>
      </c>
      <c r="X72" s="48">
        <v>0</v>
      </c>
      <c r="Y72" s="48">
        <f t="shared" si="33"/>
        <v>0</v>
      </c>
      <c r="Z72" s="48">
        <v>0</v>
      </c>
      <c r="AA72" s="48">
        <v>0</v>
      </c>
      <c r="AB72" s="48">
        <v>0</v>
      </c>
      <c r="AC72" s="48">
        <f t="shared" si="34"/>
        <v>0</v>
      </c>
      <c r="AD72" s="48">
        <f t="shared" si="42"/>
        <v>0</v>
      </c>
      <c r="AE72" s="49">
        <v>0</v>
      </c>
      <c r="AF72" s="49">
        <f t="shared" si="35"/>
        <v>0</v>
      </c>
      <c r="AG72" s="49">
        <v>0</v>
      </c>
      <c r="AH72" s="49">
        <v>0</v>
      </c>
      <c r="AI72" s="49">
        <v>0</v>
      </c>
      <c r="AJ72" s="49">
        <f t="shared" si="36"/>
        <v>0</v>
      </c>
      <c r="AK72" s="49">
        <f t="shared" si="43"/>
        <v>0</v>
      </c>
      <c r="AL72" s="82">
        <f t="shared" si="44"/>
        <v>0</v>
      </c>
      <c r="AM72" s="82">
        <f t="shared" si="45"/>
        <v>307090353970462.75</v>
      </c>
      <c r="AN72" s="81">
        <f t="shared" si="37"/>
        <v>361353139867508.31</v>
      </c>
      <c r="AO72" s="80">
        <f t="shared" si="23"/>
        <v>1176.6997406315954</v>
      </c>
      <c r="AP72" s="52">
        <f t="shared" si="38"/>
        <v>2.0652246820914042E-3</v>
      </c>
      <c r="AQ72" s="48">
        <f t="shared" si="24"/>
        <v>2.8653295128939827E-3</v>
      </c>
      <c r="AR72" s="48">
        <f t="shared" si="25"/>
        <v>1.6778523489932886E-3</v>
      </c>
      <c r="AS72" s="48">
        <f t="shared" si="26"/>
        <v>-9.5126705653021448E-2</v>
      </c>
      <c r="AT72" s="48" t="e">
        <f>(#REF!-#REF!)/#REF!</f>
        <v>#REF!</v>
      </c>
    </row>
    <row r="73" spans="1:46" x14ac:dyDescent="0.3">
      <c r="A73" s="48">
        <v>20180413</v>
      </c>
      <c r="B73" s="48" t="s">
        <v>88</v>
      </c>
      <c r="C73" s="79">
        <v>0.4</v>
      </c>
      <c r="D73" s="79">
        <f t="shared" si="27"/>
        <v>0.33646489436260918</v>
      </c>
      <c r="E73" s="49">
        <v>2450000</v>
      </c>
      <c r="F73" s="49">
        <v>2490000</v>
      </c>
      <c r="G73" s="49">
        <v>128386494</v>
      </c>
      <c r="H73" s="49">
        <f t="shared" si="28"/>
        <v>0.37505621673717698</v>
      </c>
      <c r="I73" s="49">
        <f t="shared" si="39"/>
        <v>0.37505621673717698</v>
      </c>
      <c r="J73" s="48">
        <v>0.6</v>
      </c>
      <c r="K73" s="48">
        <f t="shared" si="29"/>
        <v>0.66353510563739093</v>
      </c>
      <c r="L73" s="48">
        <v>298500</v>
      </c>
      <c r="M73" s="48">
        <v>290000</v>
      </c>
      <c r="N73" s="51">
        <v>122666424</v>
      </c>
      <c r="O73" s="48">
        <f t="shared" si="30"/>
        <v>6.6468441985697098</v>
      </c>
      <c r="P73" s="48">
        <f t="shared" si="40"/>
        <v>6.6468441985697098</v>
      </c>
      <c r="Q73" s="49">
        <v>0</v>
      </c>
      <c r="R73" s="49">
        <f t="shared" si="31"/>
        <v>0</v>
      </c>
      <c r="S73" s="49">
        <v>232100</v>
      </c>
      <c r="T73" s="49">
        <v>236000</v>
      </c>
      <c r="U73" s="49">
        <v>15956260</v>
      </c>
      <c r="V73" s="49">
        <f t="shared" si="32"/>
        <v>0</v>
      </c>
      <c r="W73" s="49">
        <f t="shared" si="41"/>
        <v>0</v>
      </c>
      <c r="X73" s="48">
        <v>0</v>
      </c>
      <c r="Y73" s="48">
        <f t="shared" si="33"/>
        <v>0</v>
      </c>
      <c r="Z73" s="48">
        <v>0</v>
      </c>
      <c r="AA73" s="48">
        <v>0</v>
      </c>
      <c r="AB73" s="48">
        <v>0</v>
      </c>
      <c r="AC73" s="48">
        <f t="shared" si="34"/>
        <v>0</v>
      </c>
      <c r="AD73" s="48">
        <f t="shared" si="42"/>
        <v>0</v>
      </c>
      <c r="AE73" s="49">
        <v>0</v>
      </c>
      <c r="AF73" s="49">
        <f t="shared" si="35"/>
        <v>0</v>
      </c>
      <c r="AG73" s="49">
        <v>0</v>
      </c>
      <c r="AH73" s="49">
        <v>0</v>
      </c>
      <c r="AI73" s="49">
        <v>0</v>
      </c>
      <c r="AJ73" s="49">
        <f t="shared" si="36"/>
        <v>0</v>
      </c>
      <c r="AK73" s="49">
        <f t="shared" si="43"/>
        <v>0</v>
      </c>
      <c r="AL73" s="82">
        <f t="shared" si="44"/>
        <v>0</v>
      </c>
      <c r="AM73" s="82">
        <f t="shared" si="45"/>
        <v>307090353970462.75</v>
      </c>
      <c r="AN73" s="81">
        <f t="shared" si="37"/>
        <v>356348796802148.5</v>
      </c>
      <c r="AO73" s="80">
        <f t="shared" si="23"/>
        <v>1160.4037450047149</v>
      </c>
      <c r="AP73" s="52">
        <f t="shared" si="38"/>
        <v>-1.3848898800754081E-2</v>
      </c>
      <c r="AQ73" s="48">
        <f t="shared" si="24"/>
        <v>1.6326530612244899E-2</v>
      </c>
      <c r="AR73" s="48">
        <f t="shared" si="25"/>
        <v>-2.8475711892797319E-2</v>
      </c>
      <c r="AS73" s="48">
        <f t="shared" si="26"/>
        <v>1.6803102111158982E-2</v>
      </c>
      <c r="AT73" s="48" t="e">
        <f>(#REF!-#REF!)/#REF!</f>
        <v>#REF!</v>
      </c>
    </row>
    <row r="74" spans="1:46" x14ac:dyDescent="0.3">
      <c r="A74" s="48">
        <v>20180416</v>
      </c>
      <c r="B74" s="48" t="s">
        <v>88</v>
      </c>
      <c r="C74" s="79">
        <v>0.4</v>
      </c>
      <c r="D74" s="79">
        <f t="shared" si="27"/>
        <v>0.33468053974642992</v>
      </c>
      <c r="E74" s="49">
        <v>2490000</v>
      </c>
      <c r="F74" s="49">
        <v>2517000</v>
      </c>
      <c r="G74" s="49">
        <v>128386494</v>
      </c>
      <c r="H74" s="49">
        <f t="shared" si="28"/>
        <v>0.37505621673717698</v>
      </c>
      <c r="I74" s="49">
        <f t="shared" si="39"/>
        <v>0.37505621673717698</v>
      </c>
      <c r="J74" s="48">
        <v>0.6</v>
      </c>
      <c r="K74" s="48">
        <f t="shared" si="29"/>
        <v>0.66531946025357003</v>
      </c>
      <c r="L74" s="48">
        <v>290000</v>
      </c>
      <c r="M74" s="48">
        <v>295500</v>
      </c>
      <c r="N74" s="51">
        <v>122666424</v>
      </c>
      <c r="O74" s="48">
        <f t="shared" si="30"/>
        <v>6.6468441985697098</v>
      </c>
      <c r="P74" s="48">
        <f t="shared" si="40"/>
        <v>6.6468441985697098</v>
      </c>
      <c r="Q74" s="49">
        <v>0</v>
      </c>
      <c r="R74" s="49">
        <f t="shared" si="31"/>
        <v>0</v>
      </c>
      <c r="S74" s="49">
        <v>236000</v>
      </c>
      <c r="T74" s="49">
        <v>227300</v>
      </c>
      <c r="U74" s="49">
        <v>15956260</v>
      </c>
      <c r="V74" s="49">
        <f t="shared" si="32"/>
        <v>0</v>
      </c>
      <c r="W74" s="49">
        <f t="shared" si="41"/>
        <v>0</v>
      </c>
      <c r="X74" s="48">
        <v>0</v>
      </c>
      <c r="Y74" s="48">
        <f t="shared" si="33"/>
        <v>0</v>
      </c>
      <c r="Z74" s="48">
        <v>0</v>
      </c>
      <c r="AA74" s="48">
        <v>0</v>
      </c>
      <c r="AB74" s="48">
        <v>0</v>
      </c>
      <c r="AC74" s="48">
        <f t="shared" si="34"/>
        <v>0</v>
      </c>
      <c r="AD74" s="48">
        <f t="shared" si="42"/>
        <v>0</v>
      </c>
      <c r="AE74" s="49">
        <v>0</v>
      </c>
      <c r="AF74" s="49">
        <f t="shared" si="35"/>
        <v>0</v>
      </c>
      <c r="AG74" s="49">
        <v>0</v>
      </c>
      <c r="AH74" s="49">
        <v>0</v>
      </c>
      <c r="AI74" s="49">
        <v>0</v>
      </c>
      <c r="AJ74" s="49">
        <f t="shared" si="36"/>
        <v>0</v>
      </c>
      <c r="AK74" s="49">
        <f t="shared" si="43"/>
        <v>0</v>
      </c>
      <c r="AL74" s="82">
        <f t="shared" si="44"/>
        <v>0</v>
      </c>
      <c r="AM74" s="82">
        <f t="shared" si="45"/>
        <v>307090353970462.75</v>
      </c>
      <c r="AN74" s="81">
        <f t="shared" si="37"/>
        <v>362133300273563.19</v>
      </c>
      <c r="AO74" s="80">
        <f t="shared" si="23"/>
        <v>1179.2402320406152</v>
      </c>
      <c r="AP74" s="52">
        <f t="shared" si="38"/>
        <v>1.6232701003411322E-2</v>
      </c>
      <c r="AQ74" s="48">
        <f t="shared" si="24"/>
        <v>1.0843373493975903E-2</v>
      </c>
      <c r="AR74" s="48">
        <f t="shared" si="25"/>
        <v>1.896551724137931E-2</v>
      </c>
      <c r="AS74" s="48">
        <f t="shared" si="26"/>
        <v>-3.6864406779661019E-2</v>
      </c>
      <c r="AT74" s="48" t="e">
        <f>(#REF!-#REF!)/#REF!</f>
        <v>#REF!</v>
      </c>
    </row>
    <row r="75" spans="1:46" s="47" customFormat="1" x14ac:dyDescent="0.3">
      <c r="A75" s="48">
        <v>20180417</v>
      </c>
      <c r="B75" s="48" t="s">
        <v>88</v>
      </c>
      <c r="C75" s="79">
        <v>0.4</v>
      </c>
      <c r="D75" s="79">
        <f t="shared" si="27"/>
        <v>0.33727086456217337</v>
      </c>
      <c r="E75" s="49">
        <v>2517000</v>
      </c>
      <c r="F75" s="49">
        <v>2499000</v>
      </c>
      <c r="G75" s="49">
        <v>128386494</v>
      </c>
      <c r="H75" s="49">
        <f t="shared" si="28"/>
        <v>0.37505621673717698</v>
      </c>
      <c r="I75" s="49">
        <f t="shared" si="39"/>
        <v>0.37672562624571299</v>
      </c>
      <c r="J75" s="48">
        <v>0.6</v>
      </c>
      <c r="K75" s="48">
        <f t="shared" si="29"/>
        <v>0.66272913543782663</v>
      </c>
      <c r="L75" s="48">
        <v>295500</v>
      </c>
      <c r="M75" s="48">
        <v>290000</v>
      </c>
      <c r="N75" s="51">
        <v>125108377</v>
      </c>
      <c r="O75" s="48">
        <f t="shared" si="30"/>
        <v>6.6468441985697098</v>
      </c>
      <c r="P75" s="48">
        <f t="shared" si="40"/>
        <v>6.5461146707734796</v>
      </c>
      <c r="Q75" s="49">
        <v>0</v>
      </c>
      <c r="R75" s="49">
        <f t="shared" si="31"/>
        <v>0</v>
      </c>
      <c r="S75" s="49">
        <v>227300</v>
      </c>
      <c r="T75" s="49">
        <v>234100</v>
      </c>
      <c r="U75" s="49">
        <v>15956260</v>
      </c>
      <c r="V75" s="49">
        <f t="shared" si="32"/>
        <v>0</v>
      </c>
      <c r="W75" s="49">
        <f t="shared" si="41"/>
        <v>0</v>
      </c>
      <c r="X75" s="48">
        <v>0</v>
      </c>
      <c r="Y75" s="48">
        <f t="shared" si="33"/>
        <v>0</v>
      </c>
      <c r="Z75" s="48">
        <v>0</v>
      </c>
      <c r="AA75" s="48">
        <v>0</v>
      </c>
      <c r="AB75" s="48">
        <v>0</v>
      </c>
      <c r="AC75" s="48">
        <f t="shared" si="34"/>
        <v>0</v>
      </c>
      <c r="AD75" s="48">
        <f t="shared" si="42"/>
        <v>0</v>
      </c>
      <c r="AE75" s="49">
        <v>0</v>
      </c>
      <c r="AF75" s="49">
        <f t="shared" si="35"/>
        <v>0</v>
      </c>
      <c r="AG75" s="49">
        <v>0</v>
      </c>
      <c r="AH75" s="49">
        <v>0</v>
      </c>
      <c r="AI75" s="49">
        <v>0</v>
      </c>
      <c r="AJ75" s="49">
        <f t="shared" si="36"/>
        <v>0</v>
      </c>
      <c r="AK75" s="49">
        <f t="shared" si="43"/>
        <v>0</v>
      </c>
      <c r="AL75" s="82">
        <f t="shared" si="44"/>
        <v>1</v>
      </c>
      <c r="AM75" s="82">
        <f t="shared" si="45"/>
        <v>308457241210348.81</v>
      </c>
      <c r="AN75" s="81">
        <f t="shared" si="37"/>
        <v>358370236215494.25</v>
      </c>
      <c r="AO75" s="80">
        <f t="shared" si="23"/>
        <v>1161.8149562944054</v>
      </c>
      <c r="AP75" s="52">
        <f t="shared" si="38"/>
        <v>-1.4776697124771778E-2</v>
      </c>
      <c r="AQ75" s="48">
        <f t="shared" si="24"/>
        <v>-7.1513706793802142E-3</v>
      </c>
      <c r="AR75" s="48">
        <f t="shared" si="25"/>
        <v>-1.8612521150592216E-2</v>
      </c>
      <c r="AS75" s="48">
        <f t="shared" si="26"/>
        <v>2.9916410030796304E-2</v>
      </c>
      <c r="AT75" s="48" t="e">
        <f>(#REF!-#REF!)/#REF!</f>
        <v>#REF!</v>
      </c>
    </row>
    <row r="76" spans="1:46" x14ac:dyDescent="0.3">
      <c r="A76" s="48">
        <v>20180418</v>
      </c>
      <c r="B76" s="48" t="s">
        <v>88</v>
      </c>
      <c r="C76" s="79">
        <v>0.4</v>
      </c>
      <c r="D76" s="79">
        <f t="shared" si="27"/>
        <v>0.34771563613279038</v>
      </c>
      <c r="E76" s="49">
        <v>2499000</v>
      </c>
      <c r="F76" s="49">
        <v>2568000</v>
      </c>
      <c r="G76" s="49">
        <v>128386494</v>
      </c>
      <c r="H76" s="49">
        <f t="shared" si="28"/>
        <v>0.37672562624571299</v>
      </c>
      <c r="I76" s="49">
        <f t="shared" si="39"/>
        <v>0.37672562624571299</v>
      </c>
      <c r="J76" s="48">
        <v>0.6</v>
      </c>
      <c r="K76" s="48">
        <f t="shared" si="29"/>
        <v>0.65228436386720956</v>
      </c>
      <c r="L76" s="48">
        <v>290000</v>
      </c>
      <c r="M76" s="48">
        <v>284500</v>
      </c>
      <c r="N76" s="51">
        <v>125108377</v>
      </c>
      <c r="O76" s="48">
        <f t="shared" si="30"/>
        <v>6.5461146707734796</v>
      </c>
      <c r="P76" s="48">
        <f t="shared" si="40"/>
        <v>6.5461146707734796</v>
      </c>
      <c r="Q76" s="49">
        <v>0</v>
      </c>
      <c r="R76" s="49">
        <f t="shared" si="31"/>
        <v>0</v>
      </c>
      <c r="S76" s="49">
        <v>234100</v>
      </c>
      <c r="T76" s="49">
        <v>233500</v>
      </c>
      <c r="U76" s="49">
        <v>15956260</v>
      </c>
      <c r="V76" s="49">
        <f t="shared" si="32"/>
        <v>0</v>
      </c>
      <c r="W76" s="49">
        <f t="shared" si="41"/>
        <v>0</v>
      </c>
      <c r="X76" s="48">
        <v>0</v>
      </c>
      <c r="Y76" s="48">
        <f t="shared" si="33"/>
        <v>0</v>
      </c>
      <c r="Z76" s="48">
        <v>0</v>
      </c>
      <c r="AA76" s="48">
        <v>0</v>
      </c>
      <c r="AB76" s="48">
        <v>0</v>
      </c>
      <c r="AC76" s="48">
        <f t="shared" si="34"/>
        <v>0</v>
      </c>
      <c r="AD76" s="48">
        <f t="shared" si="42"/>
        <v>0</v>
      </c>
      <c r="AE76" s="49">
        <v>0</v>
      </c>
      <c r="AF76" s="49">
        <f t="shared" si="35"/>
        <v>0</v>
      </c>
      <c r="AG76" s="49">
        <v>0</v>
      </c>
      <c r="AH76" s="49">
        <v>0</v>
      </c>
      <c r="AI76" s="49">
        <v>0</v>
      </c>
      <c r="AJ76" s="49">
        <f t="shared" si="36"/>
        <v>0</v>
      </c>
      <c r="AK76" s="49">
        <f t="shared" si="43"/>
        <v>0</v>
      </c>
      <c r="AL76" s="82">
        <f t="shared" si="44"/>
        <v>0</v>
      </c>
      <c r="AM76" s="82">
        <f t="shared" si="45"/>
        <v>308457241210348.81</v>
      </c>
      <c r="AN76" s="81">
        <f t="shared" si="37"/>
        <v>357203167696255.56</v>
      </c>
      <c r="AO76" s="80">
        <f t="shared" si="23"/>
        <v>1158.0313896818686</v>
      </c>
      <c r="AP76" s="52">
        <f t="shared" si="38"/>
        <v>-3.2566000222655311E-3</v>
      </c>
      <c r="AQ76" s="48">
        <f t="shared" si="24"/>
        <v>2.7611044417767107E-2</v>
      </c>
      <c r="AR76" s="48">
        <f t="shared" si="25"/>
        <v>-1.896551724137931E-2</v>
      </c>
      <c r="AS76" s="48">
        <f t="shared" si="26"/>
        <v>-2.5630072618539087E-3</v>
      </c>
      <c r="AT76" s="48" t="e">
        <f>(#REF!-#REF!)/#REF!</f>
        <v>#REF!</v>
      </c>
    </row>
    <row r="77" spans="1:46" x14ac:dyDescent="0.3">
      <c r="A77" s="48">
        <v>20180419</v>
      </c>
      <c r="B77" s="48" t="s">
        <v>88</v>
      </c>
      <c r="C77" s="79">
        <v>0.4</v>
      </c>
      <c r="D77" s="79">
        <f t="shared" si="27"/>
        <v>0.36901054780790477</v>
      </c>
      <c r="E77" s="49">
        <v>2568000</v>
      </c>
      <c r="F77" s="49">
        <v>2639000</v>
      </c>
      <c r="G77" s="49">
        <v>128386494</v>
      </c>
      <c r="H77" s="49">
        <f t="shared" si="28"/>
        <v>0.37672562624571299</v>
      </c>
      <c r="I77" s="49">
        <f t="shared" si="39"/>
        <v>0.37672562624571299</v>
      </c>
      <c r="J77" s="48">
        <v>0.6</v>
      </c>
      <c r="K77" s="48">
        <f t="shared" si="29"/>
        <v>0.63098945219209523</v>
      </c>
      <c r="L77" s="48">
        <v>284500</v>
      </c>
      <c r="M77" s="48">
        <v>266500</v>
      </c>
      <c r="N77" s="51">
        <v>125108377</v>
      </c>
      <c r="O77" s="48">
        <f t="shared" si="30"/>
        <v>6.5461146707734796</v>
      </c>
      <c r="P77" s="48">
        <f t="shared" si="40"/>
        <v>6.5461146707734796</v>
      </c>
      <c r="Q77" s="49">
        <v>0</v>
      </c>
      <c r="R77" s="49">
        <f t="shared" si="31"/>
        <v>0</v>
      </c>
      <c r="S77" s="49">
        <v>233500</v>
      </c>
      <c r="T77" s="49">
        <v>223200</v>
      </c>
      <c r="U77" s="49">
        <v>15956260</v>
      </c>
      <c r="V77" s="49">
        <f t="shared" si="32"/>
        <v>0</v>
      </c>
      <c r="W77" s="49">
        <f t="shared" si="41"/>
        <v>0</v>
      </c>
      <c r="X77" s="48">
        <v>0</v>
      </c>
      <c r="Y77" s="48">
        <f t="shared" si="33"/>
        <v>0</v>
      </c>
      <c r="Z77" s="48">
        <v>0</v>
      </c>
      <c r="AA77" s="48">
        <v>0</v>
      </c>
      <c r="AB77" s="48">
        <v>0</v>
      </c>
      <c r="AC77" s="48">
        <f t="shared" si="34"/>
        <v>0</v>
      </c>
      <c r="AD77" s="48">
        <f t="shared" si="42"/>
        <v>0</v>
      </c>
      <c r="AE77" s="49">
        <v>0</v>
      </c>
      <c r="AF77" s="49">
        <f t="shared" si="35"/>
        <v>0</v>
      </c>
      <c r="AG77" s="49">
        <v>0</v>
      </c>
      <c r="AH77" s="49">
        <v>0</v>
      </c>
      <c r="AI77" s="49">
        <v>0</v>
      </c>
      <c r="AJ77" s="49">
        <f t="shared" si="36"/>
        <v>0</v>
      </c>
      <c r="AK77" s="49">
        <f t="shared" si="43"/>
        <v>0</v>
      </c>
      <c r="AL77" s="82">
        <f t="shared" si="44"/>
        <v>0</v>
      </c>
      <c r="AM77" s="82">
        <f t="shared" si="45"/>
        <v>308457241210348.81</v>
      </c>
      <c r="AN77" s="81">
        <f t="shared" si="37"/>
        <v>345895659865269.62</v>
      </c>
      <c r="AO77" s="80">
        <f t="shared" si="23"/>
        <v>1121.3731229262669</v>
      </c>
      <c r="AP77" s="52">
        <f t="shared" si="38"/>
        <v>-3.1655676246973241E-2</v>
      </c>
      <c r="AQ77" s="48">
        <f t="shared" si="24"/>
        <v>2.764797507788162E-2</v>
      </c>
      <c r="AR77" s="48">
        <f t="shared" si="25"/>
        <v>-6.32688927943761E-2</v>
      </c>
      <c r="AS77" s="48">
        <f t="shared" si="26"/>
        <v>-4.411134903640257E-2</v>
      </c>
      <c r="AT77" s="48" t="e">
        <f>(#REF!-#REF!)/#REF!</f>
        <v>#REF!</v>
      </c>
    </row>
    <row r="78" spans="1:46" x14ac:dyDescent="0.3">
      <c r="A78" s="48">
        <v>20180420</v>
      </c>
      <c r="B78" s="48" t="s">
        <v>88</v>
      </c>
      <c r="C78" s="79">
        <v>0.4</v>
      </c>
      <c r="D78" s="79">
        <f t="shared" si="27"/>
        <v>0.36169285742094864</v>
      </c>
      <c r="E78" s="49">
        <v>2639000</v>
      </c>
      <c r="F78" s="49">
        <v>2581000</v>
      </c>
      <c r="G78" s="49">
        <v>128386494</v>
      </c>
      <c r="H78" s="49">
        <f t="shared" si="28"/>
        <v>0.37672562624571299</v>
      </c>
      <c r="I78" s="49">
        <f t="shared" si="39"/>
        <v>0.37672562624571299</v>
      </c>
      <c r="J78" s="48">
        <v>0.6</v>
      </c>
      <c r="K78" s="48">
        <f t="shared" si="29"/>
        <v>0.6383071425790513</v>
      </c>
      <c r="L78" s="48">
        <v>266500</v>
      </c>
      <c r="M78" s="48">
        <v>269000</v>
      </c>
      <c r="N78" s="51">
        <v>125108377</v>
      </c>
      <c r="O78" s="48">
        <f t="shared" si="30"/>
        <v>6.5461146707734796</v>
      </c>
      <c r="P78" s="48">
        <f t="shared" si="40"/>
        <v>6.5461146707734796</v>
      </c>
      <c r="Q78" s="49">
        <v>0</v>
      </c>
      <c r="R78" s="49">
        <f t="shared" si="31"/>
        <v>0</v>
      </c>
      <c r="S78" s="49">
        <v>223200</v>
      </c>
      <c r="T78" s="49">
        <v>224200</v>
      </c>
      <c r="U78" s="49">
        <v>15956260</v>
      </c>
      <c r="V78" s="49">
        <f t="shared" si="32"/>
        <v>0</v>
      </c>
      <c r="W78" s="49">
        <f t="shared" si="41"/>
        <v>0</v>
      </c>
      <c r="X78" s="48">
        <v>0</v>
      </c>
      <c r="Y78" s="48">
        <f t="shared" si="33"/>
        <v>0</v>
      </c>
      <c r="Z78" s="48">
        <v>0</v>
      </c>
      <c r="AA78" s="48">
        <v>0</v>
      </c>
      <c r="AB78" s="48">
        <v>0</v>
      </c>
      <c r="AC78" s="48">
        <f t="shared" si="34"/>
        <v>0</v>
      </c>
      <c r="AD78" s="48">
        <f t="shared" si="42"/>
        <v>0</v>
      </c>
      <c r="AE78" s="49">
        <v>0</v>
      </c>
      <c r="AF78" s="49">
        <f t="shared" si="35"/>
        <v>0</v>
      </c>
      <c r="AG78" s="49">
        <v>0</v>
      </c>
      <c r="AH78" s="49">
        <v>0</v>
      </c>
      <c r="AI78" s="49">
        <v>0</v>
      </c>
      <c r="AJ78" s="49">
        <f t="shared" si="36"/>
        <v>0</v>
      </c>
      <c r="AK78" s="49">
        <f t="shared" si="43"/>
        <v>0</v>
      </c>
      <c r="AL78" s="82">
        <f t="shared" si="44"/>
        <v>0</v>
      </c>
      <c r="AM78" s="82">
        <f t="shared" si="45"/>
        <v>308457241210348.81</v>
      </c>
      <c r="AN78" s="81">
        <f t="shared" si="37"/>
        <v>345137838344049.31</v>
      </c>
      <c r="AO78" s="80">
        <f t="shared" si="23"/>
        <v>1118.9163107008617</v>
      </c>
      <c r="AP78" s="52">
        <f t="shared" si="38"/>
        <v>-2.1908962995243315E-3</v>
      </c>
      <c r="AQ78" s="48">
        <f t="shared" si="24"/>
        <v>-2.197802197802198E-2</v>
      </c>
      <c r="AR78" s="48">
        <f t="shared" si="25"/>
        <v>9.3808630393996256E-3</v>
      </c>
      <c r="AS78" s="48">
        <f t="shared" si="26"/>
        <v>4.4802867383512543E-3</v>
      </c>
      <c r="AT78" s="48" t="e">
        <f>(#REF!-#REF!)/#REF!</f>
        <v>#REF!</v>
      </c>
    </row>
    <row r="79" spans="1:46" x14ac:dyDescent="0.3">
      <c r="A79" s="48">
        <v>20180423</v>
      </c>
      <c r="B79" s="48" t="s">
        <v>88</v>
      </c>
      <c r="C79" s="79">
        <v>0.4</v>
      </c>
      <c r="D79" s="79">
        <f t="shared" si="27"/>
        <v>0.37957273582705708</v>
      </c>
      <c r="E79" s="49">
        <v>2581000</v>
      </c>
      <c r="F79" s="49">
        <v>2595000</v>
      </c>
      <c r="G79" s="49">
        <v>128386494</v>
      </c>
      <c r="H79" s="49">
        <f t="shared" si="28"/>
        <v>0.37672562624571299</v>
      </c>
      <c r="I79" s="49">
        <f t="shared" si="39"/>
        <v>0.37672562624571299</v>
      </c>
      <c r="J79" s="48">
        <v>0.6</v>
      </c>
      <c r="K79" s="48">
        <f t="shared" si="29"/>
        <v>0.62042726417294303</v>
      </c>
      <c r="L79" s="48">
        <v>269000</v>
      </c>
      <c r="M79" s="48">
        <v>250500</v>
      </c>
      <c r="N79" s="51">
        <v>125108377</v>
      </c>
      <c r="O79" s="48">
        <f t="shared" si="30"/>
        <v>6.5461146707734796</v>
      </c>
      <c r="P79" s="48">
        <f t="shared" si="40"/>
        <v>6.5461146707734796</v>
      </c>
      <c r="Q79" s="49">
        <v>0</v>
      </c>
      <c r="R79" s="49">
        <f t="shared" si="31"/>
        <v>0</v>
      </c>
      <c r="S79" s="49">
        <v>224200</v>
      </c>
      <c r="T79" s="49">
        <v>214000</v>
      </c>
      <c r="U79" s="49">
        <v>15956260</v>
      </c>
      <c r="V79" s="49">
        <f t="shared" si="32"/>
        <v>0</v>
      </c>
      <c r="W79" s="49">
        <f t="shared" si="41"/>
        <v>0</v>
      </c>
      <c r="X79" s="48">
        <v>0</v>
      </c>
      <c r="Y79" s="48">
        <f t="shared" si="33"/>
        <v>0</v>
      </c>
      <c r="Z79" s="48">
        <v>0</v>
      </c>
      <c r="AA79" s="48">
        <v>0</v>
      </c>
      <c r="AB79" s="48">
        <v>0</v>
      </c>
      <c r="AC79" s="48">
        <f t="shared" si="34"/>
        <v>0</v>
      </c>
      <c r="AD79" s="48">
        <f t="shared" si="42"/>
        <v>0</v>
      </c>
      <c r="AE79" s="49">
        <v>0</v>
      </c>
      <c r="AF79" s="49">
        <f t="shared" si="35"/>
        <v>0</v>
      </c>
      <c r="AG79" s="49">
        <v>0</v>
      </c>
      <c r="AH79" s="49">
        <v>0</v>
      </c>
      <c r="AI79" s="49">
        <v>0</v>
      </c>
      <c r="AJ79" s="49">
        <f t="shared" si="36"/>
        <v>0</v>
      </c>
      <c r="AK79" s="49">
        <f t="shared" si="43"/>
        <v>0</v>
      </c>
      <c r="AL79" s="82">
        <f t="shared" si="44"/>
        <v>0</v>
      </c>
      <c r="AM79" s="82">
        <f t="shared" si="45"/>
        <v>308457241210348.81</v>
      </c>
      <c r="AN79" s="81">
        <f t="shared" si="37"/>
        <v>330663954127847.62</v>
      </c>
      <c r="AO79" s="80">
        <f t="shared" si="23"/>
        <v>1071.9928403378128</v>
      </c>
      <c r="AP79" s="52">
        <f t="shared" si="38"/>
        <v>-4.1936532620261077E-2</v>
      </c>
      <c r="AQ79" s="48">
        <f t="shared" si="24"/>
        <v>5.424254165052305E-3</v>
      </c>
      <c r="AR79" s="48">
        <f t="shared" si="25"/>
        <v>-6.8773234200743494E-2</v>
      </c>
      <c r="AS79" s="48">
        <f t="shared" si="26"/>
        <v>-4.5495093666369314E-2</v>
      </c>
      <c r="AT79" s="48" t="e">
        <f>(#REF!-#REF!)/#REF!</f>
        <v>#REF!</v>
      </c>
    </row>
    <row r="80" spans="1:46" x14ac:dyDescent="0.3">
      <c r="A80" s="48">
        <v>20180424</v>
      </c>
      <c r="B80" s="48" t="s">
        <v>88</v>
      </c>
      <c r="C80" s="79">
        <v>0.4</v>
      </c>
      <c r="D80" s="79">
        <f t="shared" si="27"/>
        <v>0.37484572740330335</v>
      </c>
      <c r="E80" s="49">
        <v>2595000</v>
      </c>
      <c r="F80" s="49">
        <v>2523000</v>
      </c>
      <c r="G80" s="49">
        <v>128386494</v>
      </c>
      <c r="H80" s="49">
        <f t="shared" si="28"/>
        <v>0.37672562624571299</v>
      </c>
      <c r="I80" s="49">
        <f t="shared" si="39"/>
        <v>0.37672562624571299</v>
      </c>
      <c r="J80" s="48">
        <v>0.6</v>
      </c>
      <c r="K80" s="48">
        <f t="shared" si="29"/>
        <v>0.62515427259669665</v>
      </c>
      <c r="L80" s="48">
        <v>250500</v>
      </c>
      <c r="M80" s="48">
        <v>248500</v>
      </c>
      <c r="N80" s="51">
        <v>125108377</v>
      </c>
      <c r="O80" s="48">
        <f t="shared" si="30"/>
        <v>6.5461146707734796</v>
      </c>
      <c r="P80" s="48">
        <f t="shared" si="40"/>
        <v>6.5461146707734796</v>
      </c>
      <c r="Q80" s="49">
        <v>0</v>
      </c>
      <c r="R80" s="49">
        <f t="shared" si="31"/>
        <v>0</v>
      </c>
      <c r="S80" s="49">
        <v>214000</v>
      </c>
      <c r="T80" s="49">
        <v>208900</v>
      </c>
      <c r="U80" s="49">
        <v>15956260</v>
      </c>
      <c r="V80" s="49">
        <f t="shared" si="32"/>
        <v>0</v>
      </c>
      <c r="W80" s="49">
        <f t="shared" si="41"/>
        <v>0</v>
      </c>
      <c r="X80" s="48">
        <v>0</v>
      </c>
      <c r="Y80" s="48">
        <f t="shared" si="33"/>
        <v>0</v>
      </c>
      <c r="Z80" s="48">
        <v>0</v>
      </c>
      <c r="AA80" s="48">
        <v>0</v>
      </c>
      <c r="AB80" s="48">
        <v>0</v>
      </c>
      <c r="AC80" s="48">
        <f t="shared" si="34"/>
        <v>0</v>
      </c>
      <c r="AD80" s="48">
        <f t="shared" si="42"/>
        <v>0</v>
      </c>
      <c r="AE80" s="49">
        <v>0</v>
      </c>
      <c r="AF80" s="49">
        <f t="shared" si="35"/>
        <v>0</v>
      </c>
      <c r="AG80" s="49">
        <v>0</v>
      </c>
      <c r="AH80" s="49">
        <v>0</v>
      </c>
      <c r="AI80" s="49">
        <v>0</v>
      </c>
      <c r="AJ80" s="49">
        <f t="shared" si="36"/>
        <v>0</v>
      </c>
      <c r="AK80" s="49">
        <f t="shared" si="43"/>
        <v>0</v>
      </c>
      <c r="AL80" s="82">
        <f t="shared" si="44"/>
        <v>0</v>
      </c>
      <c r="AM80" s="82">
        <f t="shared" si="45"/>
        <v>308457241210348.81</v>
      </c>
      <c r="AN80" s="81">
        <f t="shared" si="37"/>
        <v>325543619834152.75</v>
      </c>
      <c r="AO80" s="80">
        <f t="shared" si="23"/>
        <v>1055.3930215959886</v>
      </c>
      <c r="AP80" s="52">
        <f t="shared" si="38"/>
        <v>-1.5485008963859527E-2</v>
      </c>
      <c r="AQ80" s="48">
        <f t="shared" si="24"/>
        <v>-2.7745664739884393E-2</v>
      </c>
      <c r="AR80" s="48">
        <f t="shared" si="25"/>
        <v>-7.9840319361277438E-3</v>
      </c>
      <c r="AS80" s="48">
        <f t="shared" si="26"/>
        <v>-2.3831775700934581E-2</v>
      </c>
      <c r="AT80" s="48" t="e">
        <f>(#REF!-#REF!)/#REF!</f>
        <v>#REF!</v>
      </c>
    </row>
    <row r="81" spans="1:46" x14ac:dyDescent="0.3">
      <c r="A81" s="48">
        <v>20180425</v>
      </c>
      <c r="B81" s="48" t="s">
        <v>88</v>
      </c>
      <c r="C81" s="79">
        <v>0.4</v>
      </c>
      <c r="D81" s="79">
        <f t="shared" si="27"/>
        <v>0.37222489308150286</v>
      </c>
      <c r="E81" s="49">
        <v>2523000</v>
      </c>
      <c r="F81" s="49">
        <v>2520000</v>
      </c>
      <c r="G81" s="49">
        <v>128386494</v>
      </c>
      <c r="H81" s="49">
        <f t="shared" si="28"/>
        <v>0.37672562624571299</v>
      </c>
      <c r="I81" s="49">
        <f t="shared" si="39"/>
        <v>0.37672562624571299</v>
      </c>
      <c r="J81" s="48">
        <v>0.6</v>
      </c>
      <c r="K81" s="48">
        <f t="shared" si="29"/>
        <v>0.62777510691849714</v>
      </c>
      <c r="L81" s="48">
        <v>248500</v>
      </c>
      <c r="M81" s="48">
        <v>251000</v>
      </c>
      <c r="N81" s="51">
        <v>125108377</v>
      </c>
      <c r="O81" s="48">
        <f t="shared" si="30"/>
        <v>6.5461146707734796</v>
      </c>
      <c r="P81" s="48">
        <f t="shared" si="40"/>
        <v>6.5461146707734796</v>
      </c>
      <c r="Q81" s="49">
        <v>0</v>
      </c>
      <c r="R81" s="49">
        <f t="shared" si="31"/>
        <v>0</v>
      </c>
      <c r="S81" s="49">
        <v>208900</v>
      </c>
      <c r="T81" s="49">
        <v>215000</v>
      </c>
      <c r="U81" s="49">
        <v>15956260</v>
      </c>
      <c r="V81" s="49">
        <f t="shared" si="32"/>
        <v>0</v>
      </c>
      <c r="W81" s="49">
        <f t="shared" si="41"/>
        <v>0</v>
      </c>
      <c r="X81" s="48">
        <v>0</v>
      </c>
      <c r="Y81" s="48">
        <f t="shared" si="33"/>
        <v>0</v>
      </c>
      <c r="Z81" s="48">
        <v>0</v>
      </c>
      <c r="AA81" s="48">
        <v>0</v>
      </c>
      <c r="AB81" s="48">
        <v>0</v>
      </c>
      <c r="AC81" s="48">
        <f t="shared" si="34"/>
        <v>0</v>
      </c>
      <c r="AD81" s="48">
        <f t="shared" si="42"/>
        <v>0</v>
      </c>
      <c r="AE81" s="49">
        <v>0</v>
      </c>
      <c r="AF81" s="49">
        <f t="shared" si="35"/>
        <v>0</v>
      </c>
      <c r="AG81" s="49">
        <v>0</v>
      </c>
      <c r="AH81" s="49">
        <v>0</v>
      </c>
      <c r="AI81" s="49">
        <v>0</v>
      </c>
      <c r="AJ81" s="49">
        <f t="shared" si="36"/>
        <v>0</v>
      </c>
      <c r="AK81" s="49">
        <f t="shared" si="43"/>
        <v>0</v>
      </c>
      <c r="AL81" s="82">
        <f t="shared" si="44"/>
        <v>0</v>
      </c>
      <c r="AM81" s="82">
        <f t="shared" si="45"/>
        <v>308457241210348.81</v>
      </c>
      <c r="AN81" s="81">
        <f t="shared" si="37"/>
        <v>327445954842382.69</v>
      </c>
      <c r="AO81" s="80">
        <f t="shared" si="23"/>
        <v>1061.5602783631355</v>
      </c>
      <c r="AP81" s="52">
        <f t="shared" si="38"/>
        <v>5.843564095033193E-3</v>
      </c>
      <c r="AQ81" s="48">
        <f t="shared" si="24"/>
        <v>-1.1890606420927466E-3</v>
      </c>
      <c r="AR81" s="48">
        <f t="shared" si="25"/>
        <v>1.0060362173038229E-2</v>
      </c>
      <c r="AS81" s="48">
        <f t="shared" si="26"/>
        <v>2.9200574437529919E-2</v>
      </c>
      <c r="AT81" s="48" t="e">
        <f>(#REF!-#REF!)/#REF!</f>
        <v>#REF!</v>
      </c>
    </row>
    <row r="82" spans="1:46" x14ac:dyDescent="0.3">
      <c r="A82" s="48">
        <v>20180426</v>
      </c>
      <c r="B82" s="48" t="s">
        <v>88</v>
      </c>
      <c r="C82" s="79">
        <v>0.4</v>
      </c>
      <c r="D82" s="79">
        <f t="shared" si="27"/>
        <v>0.37463911845023778</v>
      </c>
      <c r="E82" s="49">
        <v>2520000</v>
      </c>
      <c r="F82" s="49">
        <v>2607000</v>
      </c>
      <c r="G82" s="49">
        <v>128386494</v>
      </c>
      <c r="H82" s="49">
        <f t="shared" si="28"/>
        <v>0.37672562624571299</v>
      </c>
      <c r="I82" s="49">
        <f t="shared" si="39"/>
        <v>0.37672562624571299</v>
      </c>
      <c r="J82" s="48">
        <v>0.6</v>
      </c>
      <c r="K82" s="48">
        <f t="shared" si="29"/>
        <v>0.62536088154976233</v>
      </c>
      <c r="L82" s="48">
        <v>251000</v>
      </c>
      <c r="M82" s="48">
        <v>257000</v>
      </c>
      <c r="N82" s="51">
        <v>125108377</v>
      </c>
      <c r="O82" s="48">
        <f t="shared" si="30"/>
        <v>6.5461146707734796</v>
      </c>
      <c r="P82" s="48">
        <f t="shared" si="40"/>
        <v>6.5461146707734796</v>
      </c>
      <c r="Q82" s="49">
        <v>0</v>
      </c>
      <c r="R82" s="49">
        <f t="shared" si="31"/>
        <v>0</v>
      </c>
      <c r="S82" s="49">
        <v>215000</v>
      </c>
      <c r="T82" s="49">
        <v>218700</v>
      </c>
      <c r="U82" s="49">
        <v>15956260</v>
      </c>
      <c r="V82" s="49">
        <f t="shared" si="32"/>
        <v>0</v>
      </c>
      <c r="W82" s="49">
        <f t="shared" si="41"/>
        <v>0</v>
      </c>
      <c r="X82" s="48">
        <v>0</v>
      </c>
      <c r="Y82" s="48">
        <f t="shared" si="33"/>
        <v>0</v>
      </c>
      <c r="Z82" s="48">
        <v>0</v>
      </c>
      <c r="AA82" s="48">
        <v>0</v>
      </c>
      <c r="AB82" s="48">
        <v>0</v>
      </c>
      <c r="AC82" s="48">
        <f t="shared" si="34"/>
        <v>0</v>
      </c>
      <c r="AD82" s="48">
        <f t="shared" si="42"/>
        <v>0</v>
      </c>
      <c r="AE82" s="49">
        <v>0</v>
      </c>
      <c r="AF82" s="49">
        <f t="shared" si="35"/>
        <v>0</v>
      </c>
      <c r="AG82" s="49">
        <v>0</v>
      </c>
      <c r="AH82" s="49">
        <v>0</v>
      </c>
      <c r="AI82" s="49">
        <v>0</v>
      </c>
      <c r="AJ82" s="49">
        <f t="shared" si="36"/>
        <v>0</v>
      </c>
      <c r="AK82" s="49">
        <f t="shared" si="43"/>
        <v>0</v>
      </c>
      <c r="AL82" s="82">
        <f t="shared" si="44"/>
        <v>0</v>
      </c>
      <c r="AM82" s="82">
        <f t="shared" si="45"/>
        <v>308457241210348.81</v>
      </c>
      <c r="AN82" s="81">
        <f t="shared" si="37"/>
        <v>336567681499847.62</v>
      </c>
      <c r="AO82" s="80">
        <f t="shared" si="23"/>
        <v>1091.1323727697131</v>
      </c>
      <c r="AP82" s="52">
        <f t="shared" si="38"/>
        <v>2.7857197569766005E-2</v>
      </c>
      <c r="AQ82" s="48">
        <f t="shared" si="24"/>
        <v>3.4523809523809526E-2</v>
      </c>
      <c r="AR82" s="48">
        <f t="shared" si="25"/>
        <v>2.3904382470119521E-2</v>
      </c>
      <c r="AS82" s="48">
        <f t="shared" si="26"/>
        <v>1.7209302325581394E-2</v>
      </c>
      <c r="AT82" s="48" t="e">
        <f>(#REF!-#REF!)/#REF!</f>
        <v>#REF!</v>
      </c>
    </row>
    <row r="83" spans="1:46" x14ac:dyDescent="0.3">
      <c r="A83" s="48">
        <v>20180427</v>
      </c>
      <c r="B83" s="48" t="s">
        <v>88</v>
      </c>
      <c r="C83" s="79">
        <v>0.4</v>
      </c>
      <c r="D83" s="79">
        <f t="shared" si="27"/>
        <v>0.36143507836419553</v>
      </c>
      <c r="E83" s="49">
        <v>2607000</v>
      </c>
      <c r="F83" s="49">
        <v>2650000</v>
      </c>
      <c r="G83" s="49">
        <v>128386494</v>
      </c>
      <c r="H83" s="49">
        <f t="shared" si="28"/>
        <v>0.37672562624571299</v>
      </c>
      <c r="I83" s="49">
        <f t="shared" si="39"/>
        <v>0.37672562624571299</v>
      </c>
      <c r="J83" s="48">
        <v>0.6</v>
      </c>
      <c r="K83" s="48">
        <f t="shared" si="29"/>
        <v>0.63856492163580458</v>
      </c>
      <c r="L83" s="48">
        <v>257000</v>
      </c>
      <c r="M83" s="48">
        <v>276500</v>
      </c>
      <c r="N83" s="51">
        <v>125108377</v>
      </c>
      <c r="O83" s="48">
        <f t="shared" si="30"/>
        <v>6.5461146707734796</v>
      </c>
      <c r="P83" s="48">
        <f t="shared" si="40"/>
        <v>6.5461146707734796</v>
      </c>
      <c r="Q83" s="49">
        <v>0</v>
      </c>
      <c r="R83" s="49">
        <f t="shared" si="31"/>
        <v>0</v>
      </c>
      <c r="S83" s="49">
        <v>218700</v>
      </c>
      <c r="T83" s="49">
        <v>223000</v>
      </c>
      <c r="U83" s="49">
        <v>15956260</v>
      </c>
      <c r="V83" s="49">
        <f t="shared" si="32"/>
        <v>0</v>
      </c>
      <c r="W83" s="49">
        <f t="shared" si="41"/>
        <v>0</v>
      </c>
      <c r="X83" s="48">
        <v>0</v>
      </c>
      <c r="Y83" s="48">
        <f t="shared" si="33"/>
        <v>0</v>
      </c>
      <c r="Z83" s="48">
        <v>0</v>
      </c>
      <c r="AA83" s="48">
        <v>0</v>
      </c>
      <c r="AB83" s="48">
        <v>0</v>
      </c>
      <c r="AC83" s="48">
        <f t="shared" si="34"/>
        <v>0</v>
      </c>
      <c r="AD83" s="48">
        <f t="shared" si="42"/>
        <v>0</v>
      </c>
      <c r="AE83" s="49">
        <v>0</v>
      </c>
      <c r="AF83" s="49">
        <f t="shared" si="35"/>
        <v>0</v>
      </c>
      <c r="AG83" s="49">
        <v>0</v>
      </c>
      <c r="AH83" s="49">
        <v>0</v>
      </c>
      <c r="AI83" s="49">
        <v>0</v>
      </c>
      <c r="AJ83" s="49">
        <f t="shared" si="36"/>
        <v>0</v>
      </c>
      <c r="AK83" s="49">
        <f t="shared" si="43"/>
        <v>0</v>
      </c>
      <c r="AL83" s="82">
        <f t="shared" si="44"/>
        <v>0</v>
      </c>
      <c r="AM83" s="82">
        <f t="shared" si="45"/>
        <v>308457241210348.81</v>
      </c>
      <c r="AN83" s="81">
        <f t="shared" si="37"/>
        <v>354617428992323.25</v>
      </c>
      <c r="AO83" s="80">
        <f t="shared" si="23"/>
        <v>1149.6485788462849</v>
      </c>
      <c r="AP83" s="52">
        <f t="shared" si="38"/>
        <v>5.362887907727925E-2</v>
      </c>
      <c r="AQ83" s="48">
        <f t="shared" si="24"/>
        <v>1.6494054468738015E-2</v>
      </c>
      <c r="AR83" s="48">
        <f t="shared" si="25"/>
        <v>7.5875486381322951E-2</v>
      </c>
      <c r="AS83" s="48">
        <f t="shared" si="26"/>
        <v>1.9661636945587563E-2</v>
      </c>
      <c r="AT83" s="48" t="e">
        <f>(#REF!-#REF!)/#REF!</f>
        <v>#REF!</v>
      </c>
    </row>
    <row r="84" spans="1:46" x14ac:dyDescent="0.3">
      <c r="A84" s="48">
        <v>20180430</v>
      </c>
      <c r="B84" s="48" t="s">
        <v>88</v>
      </c>
      <c r="C84" s="79">
        <v>0.4</v>
      </c>
      <c r="D84" s="79">
        <f t="shared" si="27"/>
        <v>0.36608509664917199</v>
      </c>
      <c r="E84" s="49">
        <v>2650000</v>
      </c>
      <c r="F84" s="49">
        <v>2650000</v>
      </c>
      <c r="G84" s="49">
        <v>128386494</v>
      </c>
      <c r="H84" s="49">
        <f t="shared" si="28"/>
        <v>0.37672562624571299</v>
      </c>
      <c r="I84" s="49">
        <f t="shared" si="39"/>
        <v>0.37672562624571299</v>
      </c>
      <c r="J84" s="48">
        <v>0.6</v>
      </c>
      <c r="K84" s="48">
        <f t="shared" si="29"/>
        <v>0.63391490335082812</v>
      </c>
      <c r="L84" s="48">
        <v>276500</v>
      </c>
      <c r="M84" s="48">
        <v>271000</v>
      </c>
      <c r="N84" s="51">
        <v>125108377</v>
      </c>
      <c r="O84" s="48">
        <f t="shared" si="30"/>
        <v>6.5461146707734796</v>
      </c>
      <c r="P84" s="48">
        <f t="shared" si="40"/>
        <v>6.5461146707734796</v>
      </c>
      <c r="Q84" s="49">
        <v>0</v>
      </c>
      <c r="R84" s="49">
        <f t="shared" si="31"/>
        <v>0</v>
      </c>
      <c r="S84" s="49">
        <v>223000</v>
      </c>
      <c r="T84" s="49">
        <v>216500</v>
      </c>
      <c r="U84" s="49">
        <v>15956260</v>
      </c>
      <c r="V84" s="49">
        <f t="shared" si="32"/>
        <v>0</v>
      </c>
      <c r="W84" s="49">
        <f t="shared" si="41"/>
        <v>0</v>
      </c>
      <c r="X84" s="48">
        <v>0</v>
      </c>
      <c r="Y84" s="48">
        <f t="shared" si="33"/>
        <v>0</v>
      </c>
      <c r="Z84" s="48">
        <v>0</v>
      </c>
      <c r="AA84" s="48">
        <v>0</v>
      </c>
      <c r="AB84" s="48">
        <v>0</v>
      </c>
      <c r="AC84" s="48">
        <f t="shared" si="34"/>
        <v>0</v>
      </c>
      <c r="AD84" s="48">
        <f t="shared" si="42"/>
        <v>0</v>
      </c>
      <c r="AE84" s="49">
        <v>0</v>
      </c>
      <c r="AF84" s="49">
        <f t="shared" si="35"/>
        <v>0</v>
      </c>
      <c r="AG84" s="49">
        <v>0</v>
      </c>
      <c r="AH84" s="49">
        <v>0</v>
      </c>
      <c r="AI84" s="49">
        <v>0</v>
      </c>
      <c r="AJ84" s="49">
        <f t="shared" si="36"/>
        <v>0</v>
      </c>
      <c r="AK84" s="49">
        <f t="shared" si="43"/>
        <v>0</v>
      </c>
      <c r="AL84" s="82">
        <f t="shared" si="44"/>
        <v>0</v>
      </c>
      <c r="AM84" s="82">
        <f t="shared" si="45"/>
        <v>308457241210348.81</v>
      </c>
      <c r="AN84" s="81">
        <f t="shared" si="37"/>
        <v>350113073190683.25</v>
      </c>
      <c r="AO84" s="80">
        <f t="shared" si="23"/>
        <v>1135.0457256794557</v>
      </c>
      <c r="AP84" s="52">
        <f t="shared" si="38"/>
        <v>-1.2702014716082779E-2</v>
      </c>
      <c r="AQ84" s="48">
        <f t="shared" si="24"/>
        <v>0</v>
      </c>
      <c r="AR84" s="48">
        <f t="shared" si="25"/>
        <v>-1.9891500904159132E-2</v>
      </c>
      <c r="AS84" s="48">
        <f t="shared" si="26"/>
        <v>-2.914798206278027E-2</v>
      </c>
      <c r="AT84" s="48" t="e">
        <f>(#REF!-#REF!)/#REF!</f>
        <v>#REF!</v>
      </c>
    </row>
    <row r="85" spans="1:46" x14ac:dyDescent="0.3">
      <c r="A85" s="48">
        <v>20180502</v>
      </c>
      <c r="B85" s="48" t="s">
        <v>88</v>
      </c>
      <c r="C85" s="79">
        <v>0.4</v>
      </c>
      <c r="D85" s="79">
        <f t="shared" si="27"/>
        <v>0.37665789607895267</v>
      </c>
      <c r="E85" s="49">
        <v>2650000</v>
      </c>
      <c r="F85" s="49">
        <v>2650000</v>
      </c>
      <c r="G85" s="49">
        <v>128386494</v>
      </c>
      <c r="H85" s="49">
        <f t="shared" si="28"/>
        <v>0.37672562624571299</v>
      </c>
      <c r="I85" s="49">
        <f t="shared" si="39"/>
        <v>0.37672562624571299</v>
      </c>
      <c r="J85" s="48">
        <v>0.6</v>
      </c>
      <c r="K85" s="48">
        <f t="shared" si="29"/>
        <v>0.62334210392104716</v>
      </c>
      <c r="L85" s="48">
        <v>271000</v>
      </c>
      <c r="M85" s="48">
        <v>259000</v>
      </c>
      <c r="N85" s="51">
        <v>125108377</v>
      </c>
      <c r="O85" s="48">
        <f t="shared" si="30"/>
        <v>6.5461146707734796</v>
      </c>
      <c r="P85" s="48">
        <f t="shared" si="40"/>
        <v>6.5461146707734796</v>
      </c>
      <c r="Q85" s="49">
        <v>0</v>
      </c>
      <c r="R85" s="49">
        <f t="shared" si="31"/>
        <v>0</v>
      </c>
      <c r="S85" s="49">
        <v>216500</v>
      </c>
      <c r="T85" s="49">
        <v>214700</v>
      </c>
      <c r="U85" s="49">
        <v>15956260</v>
      </c>
      <c r="V85" s="49">
        <f t="shared" si="32"/>
        <v>0</v>
      </c>
      <c r="W85" s="49">
        <f t="shared" si="41"/>
        <v>0</v>
      </c>
      <c r="X85" s="48">
        <v>0</v>
      </c>
      <c r="Y85" s="48">
        <f t="shared" si="33"/>
        <v>0</v>
      </c>
      <c r="Z85" s="48">
        <v>0</v>
      </c>
      <c r="AA85" s="48">
        <v>0</v>
      </c>
      <c r="AB85" s="48">
        <v>0</v>
      </c>
      <c r="AC85" s="48">
        <f t="shared" si="34"/>
        <v>0</v>
      </c>
      <c r="AD85" s="48">
        <f t="shared" si="42"/>
        <v>0</v>
      </c>
      <c r="AE85" s="49">
        <v>0</v>
      </c>
      <c r="AF85" s="49">
        <f t="shared" si="35"/>
        <v>0</v>
      </c>
      <c r="AG85" s="49">
        <v>0</v>
      </c>
      <c r="AH85" s="49">
        <v>0</v>
      </c>
      <c r="AI85" s="49">
        <v>0</v>
      </c>
      <c r="AJ85" s="49">
        <f t="shared" si="36"/>
        <v>0</v>
      </c>
      <c r="AK85" s="49">
        <f t="shared" si="43"/>
        <v>0</v>
      </c>
      <c r="AL85" s="82">
        <f t="shared" si="44"/>
        <v>0</v>
      </c>
      <c r="AM85" s="82">
        <f t="shared" si="45"/>
        <v>308457241210348.81</v>
      </c>
      <c r="AN85" s="81">
        <f t="shared" si="37"/>
        <v>340285387805287</v>
      </c>
      <c r="AO85" s="80">
        <f t="shared" si="23"/>
        <v>1103.1849551336463</v>
      </c>
      <c r="AP85" s="52">
        <f t="shared" si="38"/>
        <v>-2.8070032620700836E-2</v>
      </c>
      <c r="AQ85" s="48">
        <f t="shared" si="24"/>
        <v>0</v>
      </c>
      <c r="AR85" s="48">
        <f t="shared" si="25"/>
        <v>-4.4280442804428041E-2</v>
      </c>
      <c r="AS85" s="48">
        <f t="shared" si="26"/>
        <v>-8.3140877598152432E-3</v>
      </c>
      <c r="AT85" s="48" t="e">
        <f>(#REF!-#REF!)/#REF!</f>
        <v>#REF!</v>
      </c>
    </row>
    <row r="86" spans="1:46" x14ac:dyDescent="0.3">
      <c r="A86" s="48">
        <v>20180503</v>
      </c>
      <c r="B86" s="48" t="s">
        <v>88</v>
      </c>
      <c r="C86" s="79">
        <v>0.4</v>
      </c>
      <c r="D86" s="79">
        <f t="shared" si="27"/>
        <v>0.37395785350925093</v>
      </c>
      <c r="E86" s="49">
        <v>2650000</v>
      </c>
      <c r="F86" s="49">
        <v>2650000</v>
      </c>
      <c r="G86" s="49">
        <v>128386494</v>
      </c>
      <c r="H86" s="49">
        <f t="shared" si="28"/>
        <v>0.37672562624571299</v>
      </c>
      <c r="I86" s="49">
        <f t="shared" si="39"/>
        <v>0.37672562624571299</v>
      </c>
      <c r="J86" s="48">
        <v>0.6</v>
      </c>
      <c r="K86" s="48">
        <f t="shared" si="29"/>
        <v>0.62604214649074907</v>
      </c>
      <c r="L86" s="48">
        <v>259000</v>
      </c>
      <c r="M86" s="48">
        <v>262000</v>
      </c>
      <c r="N86" s="51">
        <v>125108377</v>
      </c>
      <c r="O86" s="48">
        <f t="shared" si="30"/>
        <v>6.5461146707734796</v>
      </c>
      <c r="P86" s="48">
        <f t="shared" si="40"/>
        <v>6.5461146707734796</v>
      </c>
      <c r="Q86" s="49">
        <v>0</v>
      </c>
      <c r="R86" s="49">
        <f t="shared" si="31"/>
        <v>0</v>
      </c>
      <c r="S86" s="49">
        <v>214700</v>
      </c>
      <c r="T86" s="49">
        <v>207700</v>
      </c>
      <c r="U86" s="49">
        <v>15956260</v>
      </c>
      <c r="V86" s="49">
        <f t="shared" si="32"/>
        <v>0</v>
      </c>
      <c r="W86" s="49">
        <f t="shared" si="41"/>
        <v>0</v>
      </c>
      <c r="X86" s="48">
        <v>0</v>
      </c>
      <c r="Y86" s="48">
        <f t="shared" si="33"/>
        <v>0</v>
      </c>
      <c r="Z86" s="48">
        <v>0</v>
      </c>
      <c r="AA86" s="48">
        <v>0</v>
      </c>
      <c r="AB86" s="48">
        <v>0</v>
      </c>
      <c r="AC86" s="48">
        <f t="shared" si="34"/>
        <v>0</v>
      </c>
      <c r="AD86" s="48">
        <f t="shared" si="42"/>
        <v>0</v>
      </c>
      <c r="AE86" s="49">
        <v>0</v>
      </c>
      <c r="AF86" s="49">
        <f t="shared" si="35"/>
        <v>0</v>
      </c>
      <c r="AG86" s="49">
        <v>0</v>
      </c>
      <c r="AH86" s="49">
        <v>0</v>
      </c>
      <c r="AI86" s="49">
        <v>0</v>
      </c>
      <c r="AJ86" s="49">
        <f t="shared" si="36"/>
        <v>0</v>
      </c>
      <c r="AK86" s="49">
        <f t="shared" si="43"/>
        <v>0</v>
      </c>
      <c r="AL86" s="82">
        <f t="shared" si="44"/>
        <v>0</v>
      </c>
      <c r="AM86" s="82">
        <f t="shared" si="45"/>
        <v>308457241210348.81</v>
      </c>
      <c r="AN86" s="81">
        <f t="shared" si="37"/>
        <v>342742309151636.06</v>
      </c>
      <c r="AO86" s="80">
        <f t="shared" si="23"/>
        <v>1111.1501477700988</v>
      </c>
      <c r="AP86" s="52">
        <f t="shared" si="38"/>
        <v>7.2201788098963937E-3</v>
      </c>
      <c r="AQ86" s="48">
        <f t="shared" si="24"/>
        <v>0</v>
      </c>
      <c r="AR86" s="48">
        <f t="shared" si="25"/>
        <v>1.1583011583011582E-2</v>
      </c>
      <c r="AS86" s="48">
        <f t="shared" si="26"/>
        <v>-3.2603632976245925E-2</v>
      </c>
      <c r="AT86" s="48" t="e">
        <f>(#REF!-#REF!)/#REF!</f>
        <v>#REF!</v>
      </c>
    </row>
    <row r="87" spans="1:46" x14ac:dyDescent="0.3">
      <c r="A87" s="48">
        <v>20180504</v>
      </c>
      <c r="B87" s="48" t="s">
        <v>88</v>
      </c>
      <c r="C87" s="79">
        <v>0.4</v>
      </c>
      <c r="D87" s="79">
        <f t="shared" si="27"/>
        <v>0.38004337309299541</v>
      </c>
      <c r="E87" s="49">
        <v>53000</v>
      </c>
      <c r="F87" s="49">
        <v>51900</v>
      </c>
      <c r="G87" s="49">
        <v>6419324700</v>
      </c>
      <c r="H87" s="49">
        <f t="shared" si="28"/>
        <v>0.37672562624571299</v>
      </c>
      <c r="I87" s="49">
        <f t="shared" si="39"/>
        <v>0.37672562624571299</v>
      </c>
      <c r="J87" s="48">
        <v>0.6</v>
      </c>
      <c r="K87" s="48">
        <f t="shared" si="29"/>
        <v>0.61995662690700448</v>
      </c>
      <c r="L87" s="48">
        <v>262000</v>
      </c>
      <c r="M87" s="48">
        <v>250000</v>
      </c>
      <c r="N87" s="51">
        <v>125108377</v>
      </c>
      <c r="O87" s="48">
        <f t="shared" si="30"/>
        <v>6.5461146707734796</v>
      </c>
      <c r="P87" s="48">
        <f t="shared" si="40"/>
        <v>6.5461146707734796</v>
      </c>
      <c r="Q87" s="49">
        <v>0</v>
      </c>
      <c r="R87" s="49">
        <f t="shared" si="31"/>
        <v>0</v>
      </c>
      <c r="S87" s="49">
        <v>207700</v>
      </c>
      <c r="T87" s="49">
        <v>200200</v>
      </c>
      <c r="U87" s="49">
        <v>15956260</v>
      </c>
      <c r="V87" s="49">
        <f t="shared" si="32"/>
        <v>0</v>
      </c>
      <c r="W87" s="49">
        <f t="shared" si="41"/>
        <v>0</v>
      </c>
      <c r="X87" s="48">
        <v>0</v>
      </c>
      <c r="Y87" s="48">
        <f t="shared" si="33"/>
        <v>0</v>
      </c>
      <c r="Z87" s="48">
        <v>0</v>
      </c>
      <c r="AA87" s="48">
        <v>0</v>
      </c>
      <c r="AB87" s="48">
        <v>0</v>
      </c>
      <c r="AC87" s="48">
        <f t="shared" si="34"/>
        <v>0</v>
      </c>
      <c r="AD87" s="48">
        <f t="shared" si="42"/>
        <v>0</v>
      </c>
      <c r="AE87" s="49">
        <v>0</v>
      </c>
      <c r="AF87" s="49">
        <f t="shared" si="35"/>
        <v>0</v>
      </c>
      <c r="AG87" s="49">
        <v>0</v>
      </c>
      <c r="AH87" s="49">
        <v>0</v>
      </c>
      <c r="AI87" s="49">
        <v>0</v>
      </c>
      <c r="AJ87" s="49">
        <f t="shared" si="36"/>
        <v>0</v>
      </c>
      <c r="AK87" s="49">
        <f t="shared" si="43"/>
        <v>0</v>
      </c>
      <c r="AL87" s="82">
        <f t="shared" si="44"/>
        <v>0</v>
      </c>
      <c r="AM87" s="82">
        <f t="shared" si="45"/>
        <v>308457241210348.81</v>
      </c>
      <c r="AN87" s="81">
        <f t="shared" si="37"/>
        <v>330254467236789.5</v>
      </c>
      <c r="AO87" s="80">
        <f t="shared" si="23"/>
        <v>1070.6653082317375</v>
      </c>
      <c r="AP87" s="52">
        <f t="shared" si="38"/>
        <v>-3.6435075511268997E-2</v>
      </c>
      <c r="AQ87" s="48">
        <f t="shared" si="24"/>
        <v>-2.0754716981132074E-2</v>
      </c>
      <c r="AR87" s="48">
        <f t="shared" si="25"/>
        <v>-4.5801526717557252E-2</v>
      </c>
      <c r="AS87" s="48">
        <f t="shared" si="26"/>
        <v>-3.6109773712084736E-2</v>
      </c>
      <c r="AT87" s="48" t="e">
        <f>(#REF!-#REF!)/#REF!</f>
        <v>#REF!</v>
      </c>
    </row>
    <row r="88" spans="1:46" x14ac:dyDescent="0.3">
      <c r="A88" s="48">
        <v>20180508</v>
      </c>
      <c r="B88" s="48" t="s">
        <v>88</v>
      </c>
      <c r="C88" s="79">
        <v>0.4</v>
      </c>
      <c r="D88" s="79">
        <f t="shared" si="27"/>
        <v>0.39691459450712541</v>
      </c>
      <c r="E88" s="49">
        <v>51900</v>
      </c>
      <c r="F88" s="49">
        <v>52600</v>
      </c>
      <c r="G88" s="49">
        <v>6419324700</v>
      </c>
      <c r="H88" s="49">
        <f t="shared" si="28"/>
        <v>0.37672562624571299</v>
      </c>
      <c r="I88" s="49">
        <f t="shared" si="39"/>
        <v>0.37672562624571299</v>
      </c>
      <c r="J88" s="48">
        <v>0.6</v>
      </c>
      <c r="K88" s="48">
        <f t="shared" si="29"/>
        <v>0.6030854054928747</v>
      </c>
      <c r="L88" s="48">
        <v>250000</v>
      </c>
      <c r="M88" s="48">
        <v>236000</v>
      </c>
      <c r="N88" s="51">
        <v>125108377</v>
      </c>
      <c r="O88" s="48">
        <f t="shared" si="30"/>
        <v>6.5461146707734796</v>
      </c>
      <c r="P88" s="48">
        <f t="shared" si="40"/>
        <v>6.5461146707734796</v>
      </c>
      <c r="Q88" s="49">
        <v>0</v>
      </c>
      <c r="R88" s="49">
        <f t="shared" si="31"/>
        <v>0</v>
      </c>
      <c r="S88" s="49">
        <v>200200</v>
      </c>
      <c r="T88" s="49">
        <v>194500</v>
      </c>
      <c r="U88" s="49">
        <v>15956260</v>
      </c>
      <c r="V88" s="49">
        <f t="shared" si="32"/>
        <v>0</v>
      </c>
      <c r="W88" s="49">
        <f t="shared" si="41"/>
        <v>0</v>
      </c>
      <c r="X88" s="48">
        <v>0</v>
      </c>
      <c r="Y88" s="48">
        <f t="shared" si="33"/>
        <v>0</v>
      </c>
      <c r="Z88" s="48">
        <v>0</v>
      </c>
      <c r="AA88" s="48">
        <v>0</v>
      </c>
      <c r="AB88" s="48">
        <v>0</v>
      </c>
      <c r="AC88" s="48">
        <f t="shared" si="34"/>
        <v>0</v>
      </c>
      <c r="AD88" s="48">
        <f t="shared" si="42"/>
        <v>0</v>
      </c>
      <c r="AE88" s="49">
        <v>0</v>
      </c>
      <c r="AF88" s="49">
        <f t="shared" si="35"/>
        <v>0</v>
      </c>
      <c r="AG88" s="49">
        <v>0</v>
      </c>
      <c r="AH88" s="49">
        <v>0</v>
      </c>
      <c r="AI88" s="49">
        <v>0</v>
      </c>
      <c r="AJ88" s="49">
        <f t="shared" si="36"/>
        <v>0</v>
      </c>
      <c r="AK88" s="49">
        <f t="shared" si="43"/>
        <v>0</v>
      </c>
      <c r="AL88" s="82">
        <f t="shared" si="44"/>
        <v>0</v>
      </c>
      <c r="AM88" s="82">
        <f t="shared" si="45"/>
        <v>308457241210348.81</v>
      </c>
      <c r="AN88" s="81">
        <f t="shared" si="37"/>
        <v>320481661169537.87</v>
      </c>
      <c r="AO88" s="80">
        <f t="shared" si="23"/>
        <v>1038.9824531659774</v>
      </c>
      <c r="AP88" s="52">
        <f t="shared" si="38"/>
        <v>-2.9591745265461246E-2</v>
      </c>
      <c r="AQ88" s="48">
        <f t="shared" si="24"/>
        <v>1.348747591522158E-2</v>
      </c>
      <c r="AR88" s="48">
        <f t="shared" si="25"/>
        <v>-5.6000000000000001E-2</v>
      </c>
      <c r="AS88" s="48">
        <f t="shared" si="26"/>
        <v>-2.8471528471528472E-2</v>
      </c>
      <c r="AT88" s="48" t="e">
        <f>(#REF!-#REF!)/#REF!</f>
        <v>#REF!</v>
      </c>
    </row>
    <row r="89" spans="1:46" x14ac:dyDescent="0.3">
      <c r="A89" s="48">
        <v>20180509</v>
      </c>
      <c r="B89" s="48" t="s">
        <v>88</v>
      </c>
      <c r="C89" s="79">
        <v>0.4</v>
      </c>
      <c r="D89" s="79">
        <f t="shared" si="27"/>
        <v>0.36721408467857419</v>
      </c>
      <c r="E89" s="49">
        <v>52600</v>
      </c>
      <c r="F89" s="49">
        <v>50900</v>
      </c>
      <c r="G89" s="49">
        <v>6419324700</v>
      </c>
      <c r="H89" s="49">
        <f t="shared" si="28"/>
        <v>0.37672562624571299</v>
      </c>
      <c r="I89" s="49">
        <f t="shared" si="39"/>
        <v>0.37672562624571299</v>
      </c>
      <c r="J89" s="48">
        <v>0.6</v>
      </c>
      <c r="K89" s="48">
        <f t="shared" si="29"/>
        <v>0.63278591532142581</v>
      </c>
      <c r="L89" s="48">
        <v>236000</v>
      </c>
      <c r="M89" s="48">
        <v>259000</v>
      </c>
      <c r="N89" s="51">
        <v>125108377</v>
      </c>
      <c r="O89" s="48">
        <f t="shared" si="30"/>
        <v>6.5461146707734796</v>
      </c>
      <c r="P89" s="48">
        <f t="shared" si="40"/>
        <v>6.5461146707734796</v>
      </c>
      <c r="Q89" s="49">
        <v>0</v>
      </c>
      <c r="R89" s="49">
        <f t="shared" si="31"/>
        <v>0</v>
      </c>
      <c r="S89" s="49">
        <v>194500</v>
      </c>
      <c r="T89" s="49">
        <v>201900</v>
      </c>
      <c r="U89" s="49">
        <v>15956260</v>
      </c>
      <c r="V89" s="49">
        <f t="shared" si="32"/>
        <v>0</v>
      </c>
      <c r="W89" s="49">
        <f t="shared" si="41"/>
        <v>0</v>
      </c>
      <c r="X89" s="48">
        <v>0</v>
      </c>
      <c r="Y89" s="48">
        <f t="shared" si="33"/>
        <v>0</v>
      </c>
      <c r="Z89" s="48">
        <v>0</v>
      </c>
      <c r="AA89" s="48">
        <v>0</v>
      </c>
      <c r="AB89" s="48">
        <v>0</v>
      </c>
      <c r="AC89" s="48">
        <f t="shared" si="34"/>
        <v>0</v>
      </c>
      <c r="AD89" s="48">
        <f t="shared" si="42"/>
        <v>0</v>
      </c>
      <c r="AE89" s="49">
        <v>0</v>
      </c>
      <c r="AF89" s="49">
        <f t="shared" si="35"/>
        <v>0</v>
      </c>
      <c r="AG89" s="49">
        <v>0</v>
      </c>
      <c r="AH89" s="49">
        <v>0</v>
      </c>
      <c r="AI89" s="49">
        <v>0</v>
      </c>
      <c r="AJ89" s="49">
        <f t="shared" si="36"/>
        <v>0</v>
      </c>
      <c r="AK89" s="49">
        <f t="shared" si="43"/>
        <v>0</v>
      </c>
      <c r="AL89" s="82">
        <f t="shared" si="44"/>
        <v>0</v>
      </c>
      <c r="AM89" s="82">
        <f t="shared" si="45"/>
        <v>308457241210348.81</v>
      </c>
      <c r="AN89" s="81">
        <f t="shared" si="37"/>
        <v>335206907158154.62</v>
      </c>
      <c r="AO89" s="80">
        <f t="shared" si="23"/>
        <v>1086.7208234205928</v>
      </c>
      <c r="AP89" s="52">
        <f t="shared" si="38"/>
        <v>4.5947234343705651E-2</v>
      </c>
      <c r="AQ89" s="48">
        <f t="shared" si="24"/>
        <v>-3.2319391634980987E-2</v>
      </c>
      <c r="AR89" s="48">
        <f t="shared" si="25"/>
        <v>9.7457627118644072E-2</v>
      </c>
      <c r="AS89" s="48">
        <f t="shared" si="26"/>
        <v>3.8046272493573265E-2</v>
      </c>
      <c r="AT89" s="48" t="e">
        <f>(#REF!-#REF!)/#REF!</f>
        <v>#REF!</v>
      </c>
    </row>
    <row r="90" spans="1:46" x14ac:dyDescent="0.3">
      <c r="A90" s="48">
        <v>20180510</v>
      </c>
      <c r="B90" s="48" t="s">
        <v>88</v>
      </c>
      <c r="C90" s="79">
        <v>0.4</v>
      </c>
      <c r="D90" s="79">
        <f t="shared" si="27"/>
        <v>0.37039365681832859</v>
      </c>
      <c r="E90" s="49">
        <v>50900</v>
      </c>
      <c r="F90" s="49">
        <v>51600</v>
      </c>
      <c r="G90" s="49">
        <v>6419324700</v>
      </c>
      <c r="H90" s="49">
        <f t="shared" si="28"/>
        <v>0.37672562624571299</v>
      </c>
      <c r="I90" s="49">
        <f t="shared" si="39"/>
        <v>0.37672562624571299</v>
      </c>
      <c r="J90" s="48">
        <v>0.6</v>
      </c>
      <c r="K90" s="48">
        <f t="shared" si="29"/>
        <v>0.62960634318167141</v>
      </c>
      <c r="L90" s="48">
        <v>259000</v>
      </c>
      <c r="M90" s="48">
        <v>259000</v>
      </c>
      <c r="N90" s="51">
        <v>125108377</v>
      </c>
      <c r="O90" s="48">
        <f t="shared" si="30"/>
        <v>6.5461146707734796</v>
      </c>
      <c r="P90" s="48">
        <f t="shared" si="40"/>
        <v>6.5461146707734796</v>
      </c>
      <c r="Q90" s="49">
        <v>0</v>
      </c>
      <c r="R90" s="49">
        <f t="shared" si="31"/>
        <v>0</v>
      </c>
      <c r="S90" s="49">
        <v>201900</v>
      </c>
      <c r="T90" s="49">
        <v>198600</v>
      </c>
      <c r="U90" s="49">
        <v>15956260</v>
      </c>
      <c r="V90" s="49">
        <f t="shared" si="32"/>
        <v>0</v>
      </c>
      <c r="W90" s="49">
        <f t="shared" si="41"/>
        <v>0</v>
      </c>
      <c r="X90" s="48">
        <v>0</v>
      </c>
      <c r="Y90" s="48">
        <f t="shared" si="33"/>
        <v>0</v>
      </c>
      <c r="Z90" s="48">
        <v>0</v>
      </c>
      <c r="AA90" s="48">
        <v>0</v>
      </c>
      <c r="AB90" s="48">
        <v>0</v>
      </c>
      <c r="AC90" s="48">
        <f t="shared" si="34"/>
        <v>0</v>
      </c>
      <c r="AD90" s="48">
        <f t="shared" si="42"/>
        <v>0</v>
      </c>
      <c r="AE90" s="49">
        <v>0</v>
      </c>
      <c r="AF90" s="49">
        <f t="shared" si="35"/>
        <v>0</v>
      </c>
      <c r="AG90" s="49">
        <v>0</v>
      </c>
      <c r="AH90" s="49">
        <v>0</v>
      </c>
      <c r="AI90" s="49">
        <v>0</v>
      </c>
      <c r="AJ90" s="49">
        <f t="shared" si="36"/>
        <v>0</v>
      </c>
      <c r="AK90" s="49">
        <f t="shared" si="43"/>
        <v>0</v>
      </c>
      <c r="AL90" s="82">
        <f t="shared" si="44"/>
        <v>0</v>
      </c>
      <c r="AM90" s="82">
        <f t="shared" si="45"/>
        <v>308457241210348.81</v>
      </c>
      <c r="AN90" s="81">
        <f t="shared" si="37"/>
        <v>336899734040532.06</v>
      </c>
      <c r="AO90" s="80">
        <f t="shared" si="23"/>
        <v>1092.2088673249439</v>
      </c>
      <c r="AP90" s="52">
        <f t="shared" si="38"/>
        <v>5.0500954670922712E-3</v>
      </c>
      <c r="AQ90" s="48">
        <f t="shared" si="24"/>
        <v>1.37524557956778E-2</v>
      </c>
      <c r="AR90" s="48">
        <f t="shared" si="25"/>
        <v>0</v>
      </c>
      <c r="AS90" s="48">
        <f t="shared" si="26"/>
        <v>-1.6344725111441308E-2</v>
      </c>
      <c r="AT90" s="48" t="e">
        <f>(#REF!-#REF!)/#REF!</f>
        <v>#REF!</v>
      </c>
    </row>
    <row r="91" spans="1:46" x14ac:dyDescent="0.3">
      <c r="A91" s="48">
        <v>20180511</v>
      </c>
      <c r="B91" s="48" t="s">
        <v>88</v>
      </c>
      <c r="C91" s="79">
        <v>0.4</v>
      </c>
      <c r="D91" s="79">
        <f t="shared" si="27"/>
        <v>0.36813806135995075</v>
      </c>
      <c r="E91" s="49">
        <v>51600</v>
      </c>
      <c r="F91" s="49">
        <v>51300</v>
      </c>
      <c r="G91" s="49">
        <v>6419324700</v>
      </c>
      <c r="H91" s="49">
        <f t="shared" si="28"/>
        <v>0.37672562624571299</v>
      </c>
      <c r="I91" s="49">
        <f t="shared" si="39"/>
        <v>0.37672562624571299</v>
      </c>
      <c r="J91" s="48">
        <v>0.6</v>
      </c>
      <c r="K91" s="48">
        <f t="shared" si="29"/>
        <v>0.63186193864004925</v>
      </c>
      <c r="L91" s="48">
        <v>259000</v>
      </c>
      <c r="M91" s="48">
        <v>260000</v>
      </c>
      <c r="N91" s="51">
        <v>125108377</v>
      </c>
      <c r="O91" s="48">
        <f t="shared" si="30"/>
        <v>6.5461146707734796</v>
      </c>
      <c r="P91" s="48">
        <f t="shared" si="40"/>
        <v>6.5461146707734796</v>
      </c>
      <c r="Q91" s="49">
        <v>0</v>
      </c>
      <c r="R91" s="49">
        <f t="shared" si="31"/>
        <v>0</v>
      </c>
      <c r="S91" s="49">
        <v>198600</v>
      </c>
      <c r="T91" s="49">
        <v>198700</v>
      </c>
      <c r="U91" s="49">
        <v>15956260</v>
      </c>
      <c r="V91" s="49">
        <f t="shared" si="32"/>
        <v>0</v>
      </c>
      <c r="W91" s="49">
        <f t="shared" si="41"/>
        <v>0</v>
      </c>
      <c r="X91" s="48">
        <v>0</v>
      </c>
      <c r="Y91" s="48">
        <f t="shared" si="33"/>
        <v>0</v>
      </c>
      <c r="Z91" s="48">
        <v>0</v>
      </c>
      <c r="AA91" s="48">
        <v>0</v>
      </c>
      <c r="AB91" s="48">
        <v>0</v>
      </c>
      <c r="AC91" s="48">
        <f t="shared" si="34"/>
        <v>0</v>
      </c>
      <c r="AD91" s="48">
        <f t="shared" si="42"/>
        <v>0</v>
      </c>
      <c r="AE91" s="49">
        <v>0</v>
      </c>
      <c r="AF91" s="49">
        <f t="shared" si="35"/>
        <v>0</v>
      </c>
      <c r="AG91" s="49">
        <v>0</v>
      </c>
      <c r="AH91" s="49">
        <v>0</v>
      </c>
      <c r="AI91" s="49">
        <v>0</v>
      </c>
      <c r="AJ91" s="49">
        <f t="shared" si="36"/>
        <v>0</v>
      </c>
      <c r="AK91" s="49">
        <f t="shared" si="43"/>
        <v>0</v>
      </c>
      <c r="AL91" s="82">
        <f t="shared" si="44"/>
        <v>0</v>
      </c>
      <c r="AM91" s="82">
        <f t="shared" si="45"/>
        <v>308457241210348.81</v>
      </c>
      <c r="AN91" s="81">
        <f t="shared" si="37"/>
        <v>336993210587343.81</v>
      </c>
      <c r="AO91" s="80">
        <f t="shared" si="23"/>
        <v>1092.5119127209441</v>
      </c>
      <c r="AP91" s="52">
        <f t="shared" si="38"/>
        <v>2.7746102880712466E-4</v>
      </c>
      <c r="AQ91" s="48">
        <f t="shared" si="24"/>
        <v>-5.8139534883720929E-3</v>
      </c>
      <c r="AR91" s="48">
        <f t="shared" si="25"/>
        <v>3.8610038610038611E-3</v>
      </c>
      <c r="AS91" s="48">
        <f t="shared" si="26"/>
        <v>5.0352467270896274E-4</v>
      </c>
      <c r="AT91" s="48" t="e">
        <f>(#REF!-#REF!)/#REF!</f>
        <v>#REF!</v>
      </c>
    </row>
    <row r="92" spans="1:46" x14ac:dyDescent="0.3">
      <c r="A92" s="48">
        <v>20180514</v>
      </c>
      <c r="B92" s="48" t="s">
        <v>88</v>
      </c>
      <c r="C92" s="79">
        <v>0.4</v>
      </c>
      <c r="D92" s="79">
        <f t="shared" si="27"/>
        <v>0.36714962844746046</v>
      </c>
      <c r="E92" s="49">
        <v>51300</v>
      </c>
      <c r="F92" s="49">
        <v>50100</v>
      </c>
      <c r="G92" s="49">
        <v>6419324700</v>
      </c>
      <c r="H92" s="49">
        <f t="shared" si="28"/>
        <v>0.37672562624571299</v>
      </c>
      <c r="I92" s="49">
        <f t="shared" si="39"/>
        <v>0.37672562624571299</v>
      </c>
      <c r="J92" s="48">
        <v>0.6</v>
      </c>
      <c r="K92" s="48">
        <f t="shared" si="29"/>
        <v>0.63285037155253965</v>
      </c>
      <c r="L92" s="48">
        <v>260000</v>
      </c>
      <c r="M92" s="48">
        <v>255000</v>
      </c>
      <c r="N92" s="51">
        <v>125108377</v>
      </c>
      <c r="O92" s="48">
        <f t="shared" si="30"/>
        <v>6.5461146707734796</v>
      </c>
      <c r="P92" s="48">
        <f t="shared" si="40"/>
        <v>6.5461146707734796</v>
      </c>
      <c r="Q92" s="49">
        <v>0</v>
      </c>
      <c r="R92" s="49">
        <f t="shared" si="31"/>
        <v>0</v>
      </c>
      <c r="S92" s="49">
        <v>198700</v>
      </c>
      <c r="T92" s="49">
        <v>187700</v>
      </c>
      <c r="U92" s="49">
        <v>15956260</v>
      </c>
      <c r="V92" s="49">
        <f t="shared" si="32"/>
        <v>0</v>
      </c>
      <c r="W92" s="49">
        <f t="shared" si="41"/>
        <v>0</v>
      </c>
      <c r="X92" s="48">
        <v>0</v>
      </c>
      <c r="Y92" s="48">
        <f t="shared" si="33"/>
        <v>0</v>
      </c>
      <c r="Z92" s="48">
        <v>0</v>
      </c>
      <c r="AA92" s="48">
        <v>0</v>
      </c>
      <c r="AB92" s="48">
        <v>0</v>
      </c>
      <c r="AC92" s="48">
        <f t="shared" si="34"/>
        <v>0</v>
      </c>
      <c r="AD92" s="48">
        <f t="shared" si="42"/>
        <v>0</v>
      </c>
      <c r="AE92" s="49">
        <v>0</v>
      </c>
      <c r="AF92" s="49">
        <f t="shared" si="35"/>
        <v>0</v>
      </c>
      <c r="AG92" s="49">
        <v>0</v>
      </c>
      <c r="AH92" s="49">
        <v>0</v>
      </c>
      <c r="AI92" s="49">
        <v>0</v>
      </c>
      <c r="AJ92" s="49">
        <f t="shared" si="36"/>
        <v>0</v>
      </c>
      <c r="AK92" s="49">
        <f t="shared" si="43"/>
        <v>0</v>
      </c>
      <c r="AL92" s="82">
        <f t="shared" si="44"/>
        <v>0</v>
      </c>
      <c r="AM92" s="82">
        <f t="shared" si="45"/>
        <v>308457241210348.81</v>
      </c>
      <c r="AN92" s="81">
        <f t="shared" si="37"/>
        <v>329996352735543.5</v>
      </c>
      <c r="AO92" s="80">
        <f t="shared" si="23"/>
        <v>1069.8285163955882</v>
      </c>
      <c r="AP92" s="52">
        <f t="shared" si="38"/>
        <v>-2.0762607767692023E-2</v>
      </c>
      <c r="AQ92" s="48">
        <f t="shared" si="24"/>
        <v>-2.3391812865497075E-2</v>
      </c>
      <c r="AR92" s="48">
        <f t="shared" si="25"/>
        <v>-1.9230769230769232E-2</v>
      </c>
      <c r="AS92" s="48">
        <f t="shared" si="26"/>
        <v>-5.5359838953195774E-2</v>
      </c>
      <c r="AT92" s="48" t="e">
        <f>(#REF!-#REF!)/#REF!</f>
        <v>#REF!</v>
      </c>
    </row>
    <row r="93" spans="1:46" s="47" customFormat="1" x14ac:dyDescent="0.3">
      <c r="A93" s="48">
        <v>20180515</v>
      </c>
      <c r="B93" s="48" t="s">
        <v>88</v>
      </c>
      <c r="C93" s="79">
        <v>0.4</v>
      </c>
      <c r="D93" s="79">
        <f t="shared" si="27"/>
        <v>0.35153121354707817</v>
      </c>
      <c r="E93" s="49">
        <v>50100</v>
      </c>
      <c r="F93" s="49">
        <v>49200</v>
      </c>
      <c r="G93" s="49">
        <v>6419324700</v>
      </c>
      <c r="H93" s="49">
        <f t="shared" si="28"/>
        <v>0.37672562624571299</v>
      </c>
      <c r="I93" s="49">
        <f t="shared" si="39"/>
        <v>0.40707264925330899</v>
      </c>
      <c r="J93" s="48">
        <v>0.6</v>
      </c>
      <c r="K93" s="48">
        <f t="shared" si="29"/>
        <v>0.64846878645292183</v>
      </c>
      <c r="L93" s="48">
        <v>255000</v>
      </c>
      <c r="M93" s="48">
        <v>268000</v>
      </c>
      <c r="N93" s="51">
        <v>125395903</v>
      </c>
      <c r="O93" s="48">
        <f t="shared" si="30"/>
        <v>6.5461146707734796</v>
      </c>
      <c r="P93" s="48">
        <f t="shared" si="40"/>
        <v>7.0572160272718403</v>
      </c>
      <c r="Q93" s="49">
        <v>0</v>
      </c>
      <c r="R93" s="49">
        <f t="shared" si="31"/>
        <v>0</v>
      </c>
      <c r="S93" s="49">
        <v>187700</v>
      </c>
      <c r="T93" s="49">
        <v>196900</v>
      </c>
      <c r="U93" s="49">
        <v>15956260</v>
      </c>
      <c r="V93" s="49">
        <f t="shared" si="32"/>
        <v>0</v>
      </c>
      <c r="W93" s="49">
        <f t="shared" si="41"/>
        <v>0</v>
      </c>
      <c r="X93" s="48">
        <v>0</v>
      </c>
      <c r="Y93" s="48">
        <f t="shared" si="33"/>
        <v>0</v>
      </c>
      <c r="Z93" s="48">
        <v>0</v>
      </c>
      <c r="AA93" s="48">
        <v>0</v>
      </c>
      <c r="AB93" s="48">
        <v>0</v>
      </c>
      <c r="AC93" s="48">
        <f t="shared" si="34"/>
        <v>0</v>
      </c>
      <c r="AD93" s="48">
        <f t="shared" si="42"/>
        <v>0</v>
      </c>
      <c r="AE93" s="49">
        <v>0</v>
      </c>
      <c r="AF93" s="49">
        <f t="shared" si="35"/>
        <v>0</v>
      </c>
      <c r="AG93" s="49">
        <v>0</v>
      </c>
      <c r="AH93" s="49">
        <v>0</v>
      </c>
      <c r="AI93" s="49">
        <v>0</v>
      </c>
      <c r="AJ93" s="49">
        <f t="shared" si="36"/>
        <v>0</v>
      </c>
      <c r="AK93" s="49">
        <f t="shared" si="43"/>
        <v>0</v>
      </c>
      <c r="AL93" s="82">
        <f t="shared" si="44"/>
        <v>1</v>
      </c>
      <c r="AM93" s="82">
        <f t="shared" si="45"/>
        <v>333304924361493.37</v>
      </c>
      <c r="AN93" s="81">
        <f t="shared" si="37"/>
        <v>365731592069434.31</v>
      </c>
      <c r="AO93" s="80">
        <f t="shared" si="23"/>
        <v>1097.2882947050969</v>
      </c>
      <c r="AP93" s="52">
        <f t="shared" si="38"/>
        <v>2.5667457810925418E-2</v>
      </c>
      <c r="AQ93" s="48">
        <f t="shared" si="24"/>
        <v>-1.7964071856287425E-2</v>
      </c>
      <c r="AR93" s="48">
        <f t="shared" si="25"/>
        <v>5.0980392156862744E-2</v>
      </c>
      <c r="AS93" s="48">
        <f t="shared" si="26"/>
        <v>4.9014384656366546E-2</v>
      </c>
      <c r="AT93" s="48" t="e">
        <f>(#REF!-#REF!)/#REF!</f>
        <v>#REF!</v>
      </c>
    </row>
    <row r="94" spans="1:46" x14ac:dyDescent="0.3">
      <c r="A94" s="48">
        <v>20180516</v>
      </c>
      <c r="B94" s="48" t="s">
        <v>88</v>
      </c>
      <c r="C94" s="79">
        <v>0.4</v>
      </c>
      <c r="D94" s="79">
        <f t="shared" si="27"/>
        <v>0.35410249549469686</v>
      </c>
      <c r="E94" s="49">
        <v>49200</v>
      </c>
      <c r="F94" s="49">
        <v>49850</v>
      </c>
      <c r="G94" s="49">
        <v>6419324700</v>
      </c>
      <c r="H94" s="49">
        <f t="shared" si="28"/>
        <v>0.40707264925330899</v>
      </c>
      <c r="I94" s="49">
        <f t="shared" si="39"/>
        <v>0.40707264925330899</v>
      </c>
      <c r="J94" s="48">
        <v>0.6</v>
      </c>
      <c r="K94" s="48">
        <f t="shared" si="29"/>
        <v>0.64589750450530314</v>
      </c>
      <c r="L94" s="48">
        <v>268000</v>
      </c>
      <c r="M94" s="48">
        <v>268500</v>
      </c>
      <c r="N94" s="51">
        <v>125395903</v>
      </c>
      <c r="O94" s="48">
        <f t="shared" si="30"/>
        <v>7.0572160272718403</v>
      </c>
      <c r="P94" s="48">
        <f t="shared" si="40"/>
        <v>7.0572160272718403</v>
      </c>
      <c r="Q94" s="49">
        <v>0</v>
      </c>
      <c r="R94" s="49">
        <f t="shared" si="31"/>
        <v>0</v>
      </c>
      <c r="S94" s="49">
        <v>196900</v>
      </c>
      <c r="T94" s="49">
        <v>205500</v>
      </c>
      <c r="U94" s="49">
        <v>15956260</v>
      </c>
      <c r="V94" s="49">
        <f t="shared" si="32"/>
        <v>0</v>
      </c>
      <c r="W94" s="49">
        <f t="shared" si="41"/>
        <v>0</v>
      </c>
      <c r="X94" s="48">
        <v>0</v>
      </c>
      <c r="Y94" s="48">
        <f t="shared" si="33"/>
        <v>0</v>
      </c>
      <c r="Z94" s="48">
        <v>0</v>
      </c>
      <c r="AA94" s="48">
        <v>0</v>
      </c>
      <c r="AB94" s="48">
        <v>0</v>
      </c>
      <c r="AC94" s="48">
        <f t="shared" si="34"/>
        <v>0</v>
      </c>
      <c r="AD94" s="48">
        <f t="shared" si="42"/>
        <v>0</v>
      </c>
      <c r="AE94" s="49">
        <v>0</v>
      </c>
      <c r="AF94" s="49">
        <f t="shared" si="35"/>
        <v>0</v>
      </c>
      <c r="AG94" s="49">
        <v>0</v>
      </c>
      <c r="AH94" s="49">
        <v>0</v>
      </c>
      <c r="AI94" s="49">
        <v>0</v>
      </c>
      <c r="AJ94" s="49">
        <f t="shared" si="36"/>
        <v>0</v>
      </c>
      <c r="AK94" s="49">
        <f t="shared" si="43"/>
        <v>0</v>
      </c>
      <c r="AL94" s="82">
        <f t="shared" si="44"/>
        <v>0</v>
      </c>
      <c r="AM94" s="82">
        <f t="shared" si="45"/>
        <v>333304924361493.37</v>
      </c>
      <c r="AN94" s="81">
        <f t="shared" si="37"/>
        <v>367872600540467.25</v>
      </c>
      <c r="AO94" s="80">
        <f t="shared" si="23"/>
        <v>1103.7118675794982</v>
      </c>
      <c r="AP94" s="52">
        <f t="shared" si="38"/>
        <v>5.8540430125773755E-3</v>
      </c>
      <c r="AQ94" s="48">
        <f t="shared" si="24"/>
        <v>1.3211382113821139E-2</v>
      </c>
      <c r="AR94" s="48">
        <f t="shared" si="25"/>
        <v>1.8656716417910447E-3</v>
      </c>
      <c r="AS94" s="48">
        <f t="shared" si="26"/>
        <v>4.3676993397663788E-2</v>
      </c>
      <c r="AT94" s="48" t="e">
        <f>(#REF!-#REF!)/#REF!</f>
        <v>#REF!</v>
      </c>
    </row>
    <row r="95" spans="1:46" x14ac:dyDescent="0.3">
      <c r="A95" s="48">
        <v>20180517</v>
      </c>
      <c r="B95" s="48" t="s">
        <v>88</v>
      </c>
      <c r="C95" s="79">
        <v>0.4</v>
      </c>
      <c r="D95" s="79">
        <f t="shared" si="27"/>
        <v>0.35288286481808345</v>
      </c>
      <c r="E95" s="49">
        <v>49850</v>
      </c>
      <c r="F95" s="49">
        <v>49400</v>
      </c>
      <c r="G95" s="49">
        <v>6419324700</v>
      </c>
      <c r="H95" s="49">
        <f t="shared" si="28"/>
        <v>0.40707264925330899</v>
      </c>
      <c r="I95" s="49">
        <f t="shared" si="39"/>
        <v>0.40707264925330899</v>
      </c>
      <c r="J95" s="48">
        <v>0.6</v>
      </c>
      <c r="K95" s="48">
        <f t="shared" si="29"/>
        <v>0.64711713518191649</v>
      </c>
      <c r="L95" s="48">
        <v>268500</v>
      </c>
      <c r="M95" s="48">
        <v>267500</v>
      </c>
      <c r="N95" s="51">
        <v>125395903</v>
      </c>
      <c r="O95" s="48">
        <f t="shared" si="30"/>
        <v>7.0572160272718403</v>
      </c>
      <c r="P95" s="48">
        <f t="shared" si="40"/>
        <v>7.0572160272718403</v>
      </c>
      <c r="Q95" s="49">
        <v>0</v>
      </c>
      <c r="R95" s="49">
        <f t="shared" si="31"/>
        <v>0</v>
      </c>
      <c r="S95" s="49">
        <v>205500</v>
      </c>
      <c r="T95" s="49">
        <v>213000</v>
      </c>
      <c r="U95" s="49">
        <v>15956260</v>
      </c>
      <c r="V95" s="49">
        <f t="shared" si="32"/>
        <v>0</v>
      </c>
      <c r="W95" s="49">
        <f t="shared" si="41"/>
        <v>0</v>
      </c>
      <c r="X95" s="48">
        <v>0</v>
      </c>
      <c r="Y95" s="48">
        <f t="shared" si="33"/>
        <v>0</v>
      </c>
      <c r="Z95" s="48">
        <v>0</v>
      </c>
      <c r="AA95" s="48">
        <v>0</v>
      </c>
      <c r="AB95" s="48">
        <v>0</v>
      </c>
      <c r="AC95" s="48">
        <f t="shared" si="34"/>
        <v>0</v>
      </c>
      <c r="AD95" s="48">
        <f t="shared" si="42"/>
        <v>0</v>
      </c>
      <c r="AE95" s="49">
        <v>0</v>
      </c>
      <c r="AF95" s="49">
        <f t="shared" si="35"/>
        <v>0</v>
      </c>
      <c r="AG95" s="49">
        <v>0</v>
      </c>
      <c r="AH95" s="49">
        <v>0</v>
      </c>
      <c r="AI95" s="49">
        <v>0</v>
      </c>
      <c r="AJ95" s="49">
        <f t="shared" si="36"/>
        <v>0</v>
      </c>
      <c r="AK95" s="49">
        <f t="shared" si="43"/>
        <v>0</v>
      </c>
      <c r="AL95" s="82">
        <f t="shared" si="44"/>
        <v>0</v>
      </c>
      <c r="AM95" s="82">
        <f t="shared" si="45"/>
        <v>333304924361493.37</v>
      </c>
      <c r="AN95" s="81">
        <f t="shared" si="37"/>
        <v>365811745383640.62</v>
      </c>
      <c r="AO95" s="80">
        <f t="shared" si="23"/>
        <v>1097.5287751431215</v>
      </c>
      <c r="AP95" s="52">
        <f t="shared" si="38"/>
        <v>-5.6020892934100187E-3</v>
      </c>
      <c r="AQ95" s="48">
        <f t="shared" si="24"/>
        <v>-9.0270812437311942E-3</v>
      </c>
      <c r="AR95" s="48">
        <f t="shared" si="25"/>
        <v>-3.7243947858472998E-3</v>
      </c>
      <c r="AS95" s="48">
        <f t="shared" si="26"/>
        <v>3.6496350364963501E-2</v>
      </c>
      <c r="AT95" s="48" t="e">
        <f>(#REF!-#REF!)/#REF!</f>
        <v>#REF!</v>
      </c>
    </row>
    <row r="96" spans="1:46" x14ac:dyDescent="0.3">
      <c r="A96" s="48">
        <v>20180518</v>
      </c>
      <c r="B96" s="48" t="s">
        <v>88</v>
      </c>
      <c r="C96" s="79">
        <v>0.4</v>
      </c>
      <c r="D96" s="79">
        <f t="shared" si="27"/>
        <v>0.35122218149577572</v>
      </c>
      <c r="E96" s="49">
        <v>49400</v>
      </c>
      <c r="F96" s="49">
        <v>49500</v>
      </c>
      <c r="G96" s="49">
        <v>6419324700</v>
      </c>
      <c r="H96" s="49">
        <f t="shared" si="28"/>
        <v>0.40707264925330899</v>
      </c>
      <c r="I96" s="49">
        <f t="shared" si="39"/>
        <v>0.40707264925330899</v>
      </c>
      <c r="J96" s="48">
        <v>0.6</v>
      </c>
      <c r="K96" s="48">
        <f t="shared" si="29"/>
        <v>0.64877781850422422</v>
      </c>
      <c r="L96" s="48">
        <v>267500</v>
      </c>
      <c r="M96" s="48">
        <v>270000</v>
      </c>
      <c r="N96" s="51">
        <v>125395903</v>
      </c>
      <c r="O96" s="48">
        <f t="shared" si="30"/>
        <v>7.0572160272718403</v>
      </c>
      <c r="P96" s="48">
        <f t="shared" si="40"/>
        <v>7.0572160272718403</v>
      </c>
      <c r="Q96" s="49">
        <v>0</v>
      </c>
      <c r="R96" s="49">
        <f t="shared" si="31"/>
        <v>0</v>
      </c>
      <c r="S96" s="49">
        <v>213000</v>
      </c>
      <c r="T96" s="49">
        <v>220100</v>
      </c>
      <c r="U96" s="49">
        <v>15956260</v>
      </c>
      <c r="V96" s="49">
        <f t="shared" si="32"/>
        <v>0</v>
      </c>
      <c r="W96" s="49">
        <f t="shared" si="41"/>
        <v>0</v>
      </c>
      <c r="X96" s="48">
        <v>0</v>
      </c>
      <c r="Y96" s="48">
        <f t="shared" si="33"/>
        <v>0</v>
      </c>
      <c r="Z96" s="48">
        <v>0</v>
      </c>
      <c r="AA96" s="48">
        <v>0</v>
      </c>
      <c r="AB96" s="48">
        <v>0</v>
      </c>
      <c r="AC96" s="48">
        <f t="shared" si="34"/>
        <v>0</v>
      </c>
      <c r="AD96" s="48">
        <f t="shared" si="42"/>
        <v>0</v>
      </c>
      <c r="AE96" s="49">
        <v>0</v>
      </c>
      <c r="AF96" s="49">
        <f t="shared" si="35"/>
        <v>0</v>
      </c>
      <c r="AG96" s="49">
        <v>0</v>
      </c>
      <c r="AH96" s="49">
        <v>0</v>
      </c>
      <c r="AI96" s="49">
        <v>0</v>
      </c>
      <c r="AJ96" s="49">
        <f t="shared" si="36"/>
        <v>0</v>
      </c>
      <c r="AK96" s="49">
        <f t="shared" si="43"/>
        <v>0</v>
      </c>
      <c r="AL96" s="82">
        <f t="shared" si="44"/>
        <v>0</v>
      </c>
      <c r="AM96" s="82">
        <f t="shared" si="45"/>
        <v>333304924361493.37</v>
      </c>
      <c r="AN96" s="81">
        <f t="shared" si="37"/>
        <v>368285423475859.81</v>
      </c>
      <c r="AO96" s="80">
        <f t="shared" si="23"/>
        <v>1104.9504419455486</v>
      </c>
      <c r="AP96" s="52">
        <f t="shared" si="38"/>
        <v>6.7621614763214884E-3</v>
      </c>
      <c r="AQ96" s="48">
        <f t="shared" si="24"/>
        <v>2.0242914979757085E-3</v>
      </c>
      <c r="AR96" s="48">
        <f t="shared" si="25"/>
        <v>9.3457943925233638E-3</v>
      </c>
      <c r="AS96" s="48">
        <f t="shared" si="26"/>
        <v>3.3333333333333333E-2</v>
      </c>
      <c r="AT96" s="48" t="e">
        <f>(#REF!-#REF!)/#REF!</f>
        <v>#REF!</v>
      </c>
    </row>
    <row r="97" spans="1:46" x14ac:dyDescent="0.3">
      <c r="A97" s="48">
        <v>20180521</v>
      </c>
      <c r="B97" s="48" t="s">
        <v>88</v>
      </c>
      <c r="C97" s="79">
        <v>0.4</v>
      </c>
      <c r="D97" s="79">
        <f t="shared" si="27"/>
        <v>0.35351571302682083</v>
      </c>
      <c r="E97" s="49">
        <v>49500</v>
      </c>
      <c r="F97" s="49">
        <v>50000</v>
      </c>
      <c r="G97" s="49">
        <v>6419324700</v>
      </c>
      <c r="H97" s="49">
        <f t="shared" si="28"/>
        <v>0.40707264925330899</v>
      </c>
      <c r="I97" s="49">
        <f t="shared" si="39"/>
        <v>0.40707264925330899</v>
      </c>
      <c r="J97" s="48">
        <v>0.6</v>
      </c>
      <c r="K97" s="48">
        <f t="shared" si="29"/>
        <v>0.64648428697317928</v>
      </c>
      <c r="L97" s="48">
        <v>270000</v>
      </c>
      <c r="M97" s="48">
        <v>270000</v>
      </c>
      <c r="N97" s="51">
        <v>125395903</v>
      </c>
      <c r="O97" s="48">
        <f t="shared" si="30"/>
        <v>7.0572160272718403</v>
      </c>
      <c r="P97" s="48">
        <f t="shared" si="40"/>
        <v>7.0572160272718403</v>
      </c>
      <c r="Q97" s="49">
        <v>0</v>
      </c>
      <c r="R97" s="49">
        <f t="shared" si="31"/>
        <v>0</v>
      </c>
      <c r="S97" s="49">
        <v>220100</v>
      </c>
      <c r="T97" s="49">
        <v>224300</v>
      </c>
      <c r="U97" s="49">
        <v>15956260</v>
      </c>
      <c r="V97" s="49">
        <f t="shared" si="32"/>
        <v>0</v>
      </c>
      <c r="W97" s="49">
        <f t="shared" si="41"/>
        <v>0</v>
      </c>
      <c r="X97" s="48">
        <v>0</v>
      </c>
      <c r="Y97" s="48">
        <f t="shared" si="33"/>
        <v>0</v>
      </c>
      <c r="Z97" s="48">
        <v>0</v>
      </c>
      <c r="AA97" s="48">
        <v>0</v>
      </c>
      <c r="AB97" s="48">
        <v>0</v>
      </c>
      <c r="AC97" s="48">
        <f t="shared" si="34"/>
        <v>0</v>
      </c>
      <c r="AD97" s="48">
        <f t="shared" si="42"/>
        <v>0</v>
      </c>
      <c r="AE97" s="49">
        <v>0</v>
      </c>
      <c r="AF97" s="49">
        <f t="shared" si="35"/>
        <v>0</v>
      </c>
      <c r="AG97" s="49">
        <v>0</v>
      </c>
      <c r="AH97" s="49">
        <v>0</v>
      </c>
      <c r="AI97" s="49">
        <v>0</v>
      </c>
      <c r="AJ97" s="49">
        <f t="shared" si="36"/>
        <v>0</v>
      </c>
      <c r="AK97" s="49">
        <f t="shared" si="43"/>
        <v>0</v>
      </c>
      <c r="AL97" s="82">
        <f t="shared" si="44"/>
        <v>0</v>
      </c>
      <c r="AM97" s="82">
        <f t="shared" si="45"/>
        <v>333304924361493.37</v>
      </c>
      <c r="AN97" s="81">
        <f t="shared" si="37"/>
        <v>369591989231882.87</v>
      </c>
      <c r="AO97" s="80">
        <f t="shared" si="23"/>
        <v>1108.8704733057994</v>
      </c>
      <c r="AP97" s="52">
        <f t="shared" si="38"/>
        <v>3.5476988029875E-3</v>
      </c>
      <c r="AQ97" s="48">
        <f t="shared" si="24"/>
        <v>1.0101010101010102E-2</v>
      </c>
      <c r="AR97" s="48">
        <f t="shared" si="25"/>
        <v>0</v>
      </c>
      <c r="AS97" s="48">
        <f t="shared" si="26"/>
        <v>1.9082235347569285E-2</v>
      </c>
      <c r="AT97" s="48" t="e">
        <f>(#REF!-#REF!)/#REF!</f>
        <v>#REF!</v>
      </c>
    </row>
    <row r="98" spans="1:46" x14ac:dyDescent="0.3">
      <c r="A98" s="48">
        <v>20180523</v>
      </c>
      <c r="B98" s="48" t="s">
        <v>88</v>
      </c>
      <c r="C98" s="79">
        <v>0.4</v>
      </c>
      <c r="D98" s="79">
        <f t="shared" si="27"/>
        <v>0.37265312825716768</v>
      </c>
      <c r="E98" s="49">
        <v>50000</v>
      </c>
      <c r="F98" s="49">
        <v>51800</v>
      </c>
      <c r="G98" s="49">
        <v>6419324700</v>
      </c>
      <c r="H98" s="49">
        <f t="shared" si="28"/>
        <v>0.40707264925330899</v>
      </c>
      <c r="I98" s="49">
        <f t="shared" si="39"/>
        <v>0.40707264925330899</v>
      </c>
      <c r="J98" s="48">
        <v>0.6</v>
      </c>
      <c r="K98" s="48">
        <f t="shared" si="29"/>
        <v>0.62734687174283232</v>
      </c>
      <c r="L98" s="48">
        <v>270000</v>
      </c>
      <c r="M98" s="48">
        <v>257500</v>
      </c>
      <c r="N98" s="51">
        <v>125395903</v>
      </c>
      <c r="O98" s="48">
        <f t="shared" si="30"/>
        <v>7.0572160272718403</v>
      </c>
      <c r="P98" s="48">
        <f t="shared" si="40"/>
        <v>7.0572160272718403</v>
      </c>
      <c r="Q98" s="49">
        <v>0</v>
      </c>
      <c r="R98" s="49">
        <f t="shared" si="31"/>
        <v>0</v>
      </c>
      <c r="S98" s="49">
        <v>224300</v>
      </c>
      <c r="T98" s="49">
        <v>256000</v>
      </c>
      <c r="U98" s="49">
        <v>15956260</v>
      </c>
      <c r="V98" s="49">
        <f t="shared" si="32"/>
        <v>0</v>
      </c>
      <c r="W98" s="49">
        <f t="shared" si="41"/>
        <v>0</v>
      </c>
      <c r="X98" s="48">
        <v>0</v>
      </c>
      <c r="Y98" s="48">
        <f t="shared" si="33"/>
        <v>0</v>
      </c>
      <c r="Z98" s="48">
        <v>0</v>
      </c>
      <c r="AA98" s="48">
        <v>0</v>
      </c>
      <c r="AB98" s="48">
        <v>0</v>
      </c>
      <c r="AC98" s="48">
        <f t="shared" si="34"/>
        <v>0</v>
      </c>
      <c r="AD98" s="48">
        <f t="shared" si="42"/>
        <v>0</v>
      </c>
      <c r="AE98" s="49">
        <v>0</v>
      </c>
      <c r="AF98" s="49">
        <f t="shared" si="35"/>
        <v>0</v>
      </c>
      <c r="AG98" s="49">
        <v>0</v>
      </c>
      <c r="AH98" s="49">
        <v>0</v>
      </c>
      <c r="AI98" s="49">
        <v>0</v>
      </c>
      <c r="AJ98" s="49">
        <f t="shared" si="36"/>
        <v>0</v>
      </c>
      <c r="AK98" s="49">
        <f t="shared" si="43"/>
        <v>0</v>
      </c>
      <c r="AL98" s="82">
        <f t="shared" si="44"/>
        <v>0</v>
      </c>
      <c r="AM98" s="82">
        <f t="shared" si="45"/>
        <v>333304924361493.37</v>
      </c>
      <c r="AN98" s="81">
        <f t="shared" si="37"/>
        <v>363233801248493.25</v>
      </c>
      <c r="AO98" s="80">
        <f t="shared" si="23"/>
        <v>1089.7942835508181</v>
      </c>
      <c r="AP98" s="52">
        <f t="shared" si="38"/>
        <v>-1.7203262431644231E-2</v>
      </c>
      <c r="AQ98" s="48">
        <f t="shared" si="24"/>
        <v>3.5999999999999997E-2</v>
      </c>
      <c r="AR98" s="48">
        <f t="shared" si="25"/>
        <v>-4.6296296296296294E-2</v>
      </c>
      <c r="AS98" s="48">
        <f t="shared" si="26"/>
        <v>0.1413285777975925</v>
      </c>
      <c r="AT98" s="48" t="e">
        <f>(#REF!-#REF!)/#REF!</f>
        <v>#REF!</v>
      </c>
    </row>
    <row r="99" spans="1:46" x14ac:dyDescent="0.3">
      <c r="A99" s="48">
        <v>20180524</v>
      </c>
      <c r="B99" s="48" t="s">
        <v>88</v>
      </c>
      <c r="C99" s="79">
        <v>0.4</v>
      </c>
      <c r="D99" s="79">
        <f t="shared" si="27"/>
        <v>0.36460666632708782</v>
      </c>
      <c r="E99" s="49">
        <v>51800</v>
      </c>
      <c r="F99" s="49">
        <v>51400</v>
      </c>
      <c r="G99" s="49">
        <v>6419324700</v>
      </c>
      <c r="H99" s="49">
        <f t="shared" si="28"/>
        <v>0.40707264925330899</v>
      </c>
      <c r="I99" s="49">
        <f t="shared" si="39"/>
        <v>0.40707264925330899</v>
      </c>
      <c r="J99" s="48">
        <v>0.6</v>
      </c>
      <c r="K99" s="48">
        <f t="shared" si="29"/>
        <v>0.63539333367291218</v>
      </c>
      <c r="L99" s="48">
        <v>257500</v>
      </c>
      <c r="M99" s="48">
        <v>264500</v>
      </c>
      <c r="N99" s="51">
        <v>125395903</v>
      </c>
      <c r="O99" s="48">
        <f t="shared" si="30"/>
        <v>7.0572160272718403</v>
      </c>
      <c r="P99" s="48">
        <f t="shared" si="40"/>
        <v>7.0572160272718403</v>
      </c>
      <c r="Q99" s="49">
        <v>0</v>
      </c>
      <c r="R99" s="49">
        <f t="shared" si="31"/>
        <v>0</v>
      </c>
      <c r="S99" s="49">
        <v>256000</v>
      </c>
      <c r="T99" s="49">
        <v>255000</v>
      </c>
      <c r="U99" s="49">
        <v>15956260</v>
      </c>
      <c r="V99" s="49">
        <f t="shared" si="32"/>
        <v>0</v>
      </c>
      <c r="W99" s="49">
        <f t="shared" si="41"/>
        <v>0</v>
      </c>
      <c r="X99" s="48">
        <v>0</v>
      </c>
      <c r="Y99" s="48">
        <f t="shared" si="33"/>
        <v>0</v>
      </c>
      <c r="Z99" s="48">
        <v>0</v>
      </c>
      <c r="AA99" s="48">
        <v>0</v>
      </c>
      <c r="AB99" s="48">
        <v>0</v>
      </c>
      <c r="AC99" s="48">
        <f t="shared" si="34"/>
        <v>0</v>
      </c>
      <c r="AD99" s="48">
        <f t="shared" si="42"/>
        <v>0</v>
      </c>
      <c r="AE99" s="49">
        <v>0</v>
      </c>
      <c r="AF99" s="49">
        <f t="shared" si="35"/>
        <v>0</v>
      </c>
      <c r="AG99" s="49">
        <v>0</v>
      </c>
      <c r="AH99" s="49">
        <v>0</v>
      </c>
      <c r="AI99" s="49">
        <v>0</v>
      </c>
      <c r="AJ99" s="49">
        <f t="shared" si="36"/>
        <v>0</v>
      </c>
      <c r="AK99" s="49">
        <f t="shared" si="43"/>
        <v>0</v>
      </c>
      <c r="AL99" s="82">
        <f t="shared" si="44"/>
        <v>0</v>
      </c>
      <c r="AM99" s="82">
        <f t="shared" si="45"/>
        <v>333304924361493.37</v>
      </c>
      <c r="AN99" s="81">
        <f t="shared" si="37"/>
        <v>368383170478515.56</v>
      </c>
      <c r="AO99" s="80">
        <f t="shared" si="23"/>
        <v>1105.2437079476729</v>
      </c>
      <c r="AP99" s="52">
        <f t="shared" si="38"/>
        <v>1.4176459383248652E-2</v>
      </c>
      <c r="AQ99" s="48">
        <f t="shared" si="24"/>
        <v>-7.7220077220077222E-3</v>
      </c>
      <c r="AR99" s="48">
        <f t="shared" si="25"/>
        <v>2.7184466019417475E-2</v>
      </c>
      <c r="AS99" s="48">
        <f t="shared" si="26"/>
        <v>-3.90625E-3</v>
      </c>
      <c r="AT99" s="48" t="e">
        <f>(#REF!-#REF!)/#REF!</f>
        <v>#REF!</v>
      </c>
    </row>
    <row r="100" spans="1:46" x14ac:dyDescent="0.3">
      <c r="A100" s="48">
        <v>20180525</v>
      </c>
      <c r="B100" s="48" t="s">
        <v>88</v>
      </c>
      <c r="C100" s="79">
        <v>0.4</v>
      </c>
      <c r="D100" s="79">
        <f t="shared" si="27"/>
        <v>0.36138044184209184</v>
      </c>
      <c r="E100" s="49">
        <v>51400</v>
      </c>
      <c r="F100" s="49">
        <v>52700</v>
      </c>
      <c r="G100" s="49">
        <v>6419324700</v>
      </c>
      <c r="H100" s="49">
        <f t="shared" si="28"/>
        <v>0.40707264925330899</v>
      </c>
      <c r="I100" s="49">
        <f t="shared" si="39"/>
        <v>0.40707264925330899</v>
      </c>
      <c r="J100" s="48">
        <v>0.6</v>
      </c>
      <c r="K100" s="48">
        <f t="shared" si="29"/>
        <v>0.63861955815790827</v>
      </c>
      <c r="L100" s="48">
        <v>264500</v>
      </c>
      <c r="M100" s="48">
        <v>275000</v>
      </c>
      <c r="N100" s="51">
        <v>125395903</v>
      </c>
      <c r="O100" s="48">
        <f t="shared" si="30"/>
        <v>7.0572160272718403</v>
      </c>
      <c r="P100" s="48">
        <f t="shared" si="40"/>
        <v>7.0572160272718403</v>
      </c>
      <c r="Q100" s="49">
        <v>0</v>
      </c>
      <c r="R100" s="49">
        <f t="shared" si="31"/>
        <v>0</v>
      </c>
      <c r="S100" s="49">
        <v>255000</v>
      </c>
      <c r="T100" s="49">
        <v>259800</v>
      </c>
      <c r="U100" s="49">
        <v>15956260</v>
      </c>
      <c r="V100" s="49">
        <f t="shared" si="32"/>
        <v>0</v>
      </c>
      <c r="W100" s="49">
        <f t="shared" si="41"/>
        <v>0</v>
      </c>
      <c r="X100" s="48">
        <v>0</v>
      </c>
      <c r="Y100" s="48">
        <f t="shared" si="33"/>
        <v>0</v>
      </c>
      <c r="Z100" s="48">
        <v>0</v>
      </c>
      <c r="AA100" s="48">
        <v>0</v>
      </c>
      <c r="AB100" s="48">
        <v>0</v>
      </c>
      <c r="AC100" s="48">
        <f t="shared" si="34"/>
        <v>0</v>
      </c>
      <c r="AD100" s="48">
        <f t="shared" si="42"/>
        <v>0</v>
      </c>
      <c r="AE100" s="49">
        <v>0</v>
      </c>
      <c r="AF100" s="49">
        <f t="shared" si="35"/>
        <v>0</v>
      </c>
      <c r="AG100" s="49">
        <v>0</v>
      </c>
      <c r="AH100" s="49">
        <v>0</v>
      </c>
      <c r="AI100" s="49">
        <v>0</v>
      </c>
      <c r="AJ100" s="49">
        <f t="shared" si="36"/>
        <v>0</v>
      </c>
      <c r="AK100" s="49">
        <f t="shared" si="43"/>
        <v>0</v>
      </c>
      <c r="AL100" s="82">
        <f t="shared" si="44"/>
        <v>0</v>
      </c>
      <c r="AM100" s="82">
        <f t="shared" si="45"/>
        <v>333304924361493.37</v>
      </c>
      <c r="AN100" s="81">
        <f t="shared" si="37"/>
        <v>381072174196436.75</v>
      </c>
      <c r="AO100" s="80">
        <f t="shared" si="23"/>
        <v>1143.3139637119084</v>
      </c>
      <c r="AP100" s="52">
        <f t="shared" si="38"/>
        <v>3.4445123270530252E-2</v>
      </c>
      <c r="AQ100" s="48">
        <f t="shared" si="24"/>
        <v>2.5291828793774319E-2</v>
      </c>
      <c r="AR100" s="48">
        <f t="shared" si="25"/>
        <v>3.9697542533081283E-2</v>
      </c>
      <c r="AS100" s="48">
        <f t="shared" si="26"/>
        <v>1.8823529411764704E-2</v>
      </c>
      <c r="AT100" s="48" t="e">
        <f>(#REF!-#REF!)/#REF!</f>
        <v>#REF!</v>
      </c>
    </row>
    <row r="101" spans="1:46" x14ac:dyDescent="0.3">
      <c r="A101" s="48">
        <v>20180528</v>
      </c>
      <c r="B101" s="48" t="s">
        <v>88</v>
      </c>
      <c r="C101" s="79">
        <v>0.4</v>
      </c>
      <c r="D101" s="79">
        <f t="shared" si="27"/>
        <v>0.3630051717570279</v>
      </c>
      <c r="E101" s="49">
        <v>52700</v>
      </c>
      <c r="F101" s="49">
        <v>52300</v>
      </c>
      <c r="G101" s="49">
        <v>6419324700</v>
      </c>
      <c r="H101" s="49">
        <f t="shared" si="28"/>
        <v>0.40707264925330899</v>
      </c>
      <c r="I101" s="49">
        <f t="shared" si="39"/>
        <v>0.40707264925330899</v>
      </c>
      <c r="J101" s="48">
        <v>0.6</v>
      </c>
      <c r="K101" s="48">
        <f t="shared" si="29"/>
        <v>0.63699482824297216</v>
      </c>
      <c r="L101" s="48">
        <v>275000</v>
      </c>
      <c r="M101" s="48">
        <v>271000</v>
      </c>
      <c r="N101" s="51">
        <v>125395903</v>
      </c>
      <c r="O101" s="48">
        <f t="shared" si="30"/>
        <v>7.0572160272718403</v>
      </c>
      <c r="P101" s="48">
        <f t="shared" si="40"/>
        <v>7.0572160272718403</v>
      </c>
      <c r="Q101" s="49">
        <v>0</v>
      </c>
      <c r="R101" s="49">
        <f t="shared" si="31"/>
        <v>0</v>
      </c>
      <c r="S101" s="49">
        <v>259800</v>
      </c>
      <c r="T101" s="49">
        <v>261000</v>
      </c>
      <c r="U101" s="49">
        <v>15956260</v>
      </c>
      <c r="V101" s="49">
        <f t="shared" si="32"/>
        <v>0</v>
      </c>
      <c r="W101" s="49">
        <f t="shared" si="41"/>
        <v>0</v>
      </c>
      <c r="X101" s="48">
        <v>0</v>
      </c>
      <c r="Y101" s="48">
        <f t="shared" si="33"/>
        <v>0</v>
      </c>
      <c r="Z101" s="48">
        <v>0</v>
      </c>
      <c r="AA101" s="48">
        <v>0</v>
      </c>
      <c r="AB101" s="48">
        <v>0</v>
      </c>
      <c r="AC101" s="48">
        <f t="shared" si="34"/>
        <v>0</v>
      </c>
      <c r="AD101" s="48">
        <f t="shared" si="42"/>
        <v>0</v>
      </c>
      <c r="AE101" s="49">
        <v>0</v>
      </c>
      <c r="AF101" s="49">
        <f t="shared" si="35"/>
        <v>0</v>
      </c>
      <c r="AG101" s="49">
        <v>0</v>
      </c>
      <c r="AH101" s="49">
        <v>0</v>
      </c>
      <c r="AI101" s="49">
        <v>0</v>
      </c>
      <c r="AJ101" s="49">
        <f t="shared" si="36"/>
        <v>0</v>
      </c>
      <c r="AK101" s="49">
        <f t="shared" si="43"/>
        <v>0</v>
      </c>
      <c r="AL101" s="82">
        <f t="shared" si="44"/>
        <v>0</v>
      </c>
      <c r="AM101" s="82">
        <f t="shared" si="45"/>
        <v>333304924361493.37</v>
      </c>
      <c r="AN101" s="81">
        <f t="shared" si="37"/>
        <v>376487137685995</v>
      </c>
      <c r="AO101" s="80">
        <f t="shared" si="23"/>
        <v>1129.5576817751046</v>
      </c>
      <c r="AP101" s="52">
        <f t="shared" si="38"/>
        <v>-1.2031937309802784E-2</v>
      </c>
      <c r="AQ101" s="48">
        <f t="shared" si="24"/>
        <v>-7.5901328273244783E-3</v>
      </c>
      <c r="AR101" s="48">
        <f t="shared" si="25"/>
        <v>-1.4545454545454545E-2</v>
      </c>
      <c r="AS101" s="48">
        <f t="shared" si="26"/>
        <v>4.6189376443418013E-3</v>
      </c>
      <c r="AT101" s="48" t="e">
        <f>(#REF!-#REF!)/#REF!</f>
        <v>#REF!</v>
      </c>
    </row>
    <row r="102" spans="1:46" x14ac:dyDescent="0.3">
      <c r="A102" s="48">
        <v>20180529</v>
      </c>
      <c r="B102" s="48" t="s">
        <v>88</v>
      </c>
      <c r="C102" s="79">
        <v>0.4</v>
      </c>
      <c r="D102" s="79">
        <f t="shared" si="27"/>
        <v>0.35897784374114855</v>
      </c>
      <c r="E102" s="49">
        <v>52300</v>
      </c>
      <c r="F102" s="49">
        <v>51300</v>
      </c>
      <c r="G102" s="49">
        <v>6419324700</v>
      </c>
      <c r="H102" s="49">
        <f t="shared" si="28"/>
        <v>0.40707264925330899</v>
      </c>
      <c r="I102" s="49">
        <f t="shared" si="39"/>
        <v>0.40707264925330899</v>
      </c>
      <c r="J102" s="48">
        <v>0.6</v>
      </c>
      <c r="K102" s="48">
        <f t="shared" si="29"/>
        <v>0.64102215625885151</v>
      </c>
      <c r="L102" s="48">
        <v>271000</v>
      </c>
      <c r="M102" s="48">
        <v>270500</v>
      </c>
      <c r="N102" s="51">
        <v>125395903</v>
      </c>
      <c r="O102" s="48">
        <f t="shared" si="30"/>
        <v>7.0572160272718403</v>
      </c>
      <c r="P102" s="48">
        <f t="shared" si="40"/>
        <v>7.0572160272718403</v>
      </c>
      <c r="Q102" s="49">
        <v>0</v>
      </c>
      <c r="R102" s="49">
        <f t="shared" si="31"/>
        <v>0</v>
      </c>
      <c r="S102" s="49">
        <v>261000</v>
      </c>
      <c r="T102" s="49">
        <v>249000</v>
      </c>
      <c r="U102" s="49">
        <v>15956260</v>
      </c>
      <c r="V102" s="49">
        <f t="shared" si="32"/>
        <v>0</v>
      </c>
      <c r="W102" s="49">
        <f t="shared" si="41"/>
        <v>0</v>
      </c>
      <c r="X102" s="48">
        <v>0</v>
      </c>
      <c r="Y102" s="48">
        <f t="shared" si="33"/>
        <v>0</v>
      </c>
      <c r="Z102" s="48">
        <v>0</v>
      </c>
      <c r="AA102" s="48">
        <v>0</v>
      </c>
      <c r="AB102" s="48">
        <v>0</v>
      </c>
      <c r="AC102" s="48">
        <f t="shared" si="34"/>
        <v>0</v>
      </c>
      <c r="AD102" s="48">
        <f t="shared" si="42"/>
        <v>0</v>
      </c>
      <c r="AE102" s="49">
        <v>0</v>
      </c>
      <c r="AF102" s="49">
        <f t="shared" si="35"/>
        <v>0</v>
      </c>
      <c r="AG102" s="49">
        <v>0</v>
      </c>
      <c r="AH102" s="49">
        <v>0</v>
      </c>
      <c r="AI102" s="49">
        <v>0</v>
      </c>
      <c r="AJ102" s="49">
        <f t="shared" si="36"/>
        <v>0</v>
      </c>
      <c r="AK102" s="49">
        <f t="shared" si="43"/>
        <v>0</v>
      </c>
      <c r="AL102" s="82">
        <f t="shared" si="44"/>
        <v>0</v>
      </c>
      <c r="AM102" s="82">
        <f t="shared" si="45"/>
        <v>333304924361493.37</v>
      </c>
      <c r="AN102" s="81">
        <f t="shared" si="37"/>
        <v>373431533185745.87</v>
      </c>
      <c r="AO102" s="80">
        <f t="shared" si="23"/>
        <v>1120.3900869485274</v>
      </c>
      <c r="AP102" s="52">
        <f t="shared" si="38"/>
        <v>-8.1160926745859514E-3</v>
      </c>
      <c r="AQ102" s="48">
        <f t="shared" si="24"/>
        <v>-1.9120458891013385E-2</v>
      </c>
      <c r="AR102" s="48">
        <f t="shared" si="25"/>
        <v>-1.8450184501845018E-3</v>
      </c>
      <c r="AS102" s="48">
        <f t="shared" si="26"/>
        <v>-4.5977011494252873E-2</v>
      </c>
      <c r="AT102" s="48" t="e">
        <f>(#REF!-#REF!)/#REF!</f>
        <v>#REF!</v>
      </c>
    </row>
    <row r="103" spans="1:46" x14ac:dyDescent="0.3">
      <c r="A103" s="48">
        <v>20180530</v>
      </c>
      <c r="B103" s="48" t="s">
        <v>88</v>
      </c>
      <c r="C103" s="79">
        <v>0.4</v>
      </c>
      <c r="D103" s="79">
        <f t="shared" si="27"/>
        <v>0.35164466160029739</v>
      </c>
      <c r="E103" s="49">
        <v>51300</v>
      </c>
      <c r="F103" s="49">
        <v>49500</v>
      </c>
      <c r="G103" s="49">
        <v>6419324700</v>
      </c>
      <c r="H103" s="49">
        <f t="shared" si="28"/>
        <v>0.40707264925330899</v>
      </c>
      <c r="I103" s="49">
        <f t="shared" si="39"/>
        <v>0.40707264925330899</v>
      </c>
      <c r="J103" s="48">
        <v>0.6</v>
      </c>
      <c r="K103" s="48">
        <f t="shared" si="29"/>
        <v>0.64835533839970261</v>
      </c>
      <c r="L103" s="48">
        <v>270500</v>
      </c>
      <c r="M103" s="48">
        <v>269500</v>
      </c>
      <c r="N103" s="51">
        <v>125395903</v>
      </c>
      <c r="O103" s="48">
        <f t="shared" si="30"/>
        <v>7.0572160272718403</v>
      </c>
      <c r="P103" s="48">
        <f t="shared" si="40"/>
        <v>7.0572160272718403</v>
      </c>
      <c r="Q103" s="49">
        <v>0</v>
      </c>
      <c r="R103" s="49">
        <f t="shared" si="31"/>
        <v>0</v>
      </c>
      <c r="S103" s="49">
        <v>249000</v>
      </c>
      <c r="T103" s="49">
        <v>261400</v>
      </c>
      <c r="U103" s="49">
        <v>15956260</v>
      </c>
      <c r="V103" s="49">
        <f t="shared" si="32"/>
        <v>0</v>
      </c>
      <c r="W103" s="49">
        <f t="shared" si="41"/>
        <v>0</v>
      </c>
      <c r="X103" s="48">
        <v>0</v>
      </c>
      <c r="Y103" s="48">
        <f t="shared" si="33"/>
        <v>0</v>
      </c>
      <c r="Z103" s="48">
        <v>0</v>
      </c>
      <c r="AA103" s="48">
        <v>0</v>
      </c>
      <c r="AB103" s="48">
        <v>0</v>
      </c>
      <c r="AC103" s="48">
        <f t="shared" si="34"/>
        <v>0</v>
      </c>
      <c r="AD103" s="48">
        <f t="shared" si="42"/>
        <v>0</v>
      </c>
      <c r="AE103" s="49">
        <v>0</v>
      </c>
      <c r="AF103" s="49">
        <f t="shared" si="35"/>
        <v>0</v>
      </c>
      <c r="AG103" s="49">
        <v>0</v>
      </c>
      <c r="AH103" s="49">
        <v>0</v>
      </c>
      <c r="AI103" s="49">
        <v>0</v>
      </c>
      <c r="AJ103" s="49">
        <f t="shared" si="36"/>
        <v>0</v>
      </c>
      <c r="AK103" s="49">
        <f t="shared" si="43"/>
        <v>0</v>
      </c>
      <c r="AL103" s="82">
        <f t="shared" si="44"/>
        <v>0</v>
      </c>
      <c r="AM103" s="82">
        <f t="shared" si="45"/>
        <v>333304924361493.37</v>
      </c>
      <c r="AN103" s="81">
        <f t="shared" si="37"/>
        <v>367842950487656.87</v>
      </c>
      <c r="AO103" s="80">
        <f t="shared" si="23"/>
        <v>1103.6229098394733</v>
      </c>
      <c r="AP103" s="52">
        <f t="shared" si="38"/>
        <v>-1.4965481491112442E-2</v>
      </c>
      <c r="AQ103" s="48">
        <f t="shared" si="24"/>
        <v>-3.5087719298245612E-2</v>
      </c>
      <c r="AR103" s="48">
        <f t="shared" si="25"/>
        <v>-3.6968576709796672E-3</v>
      </c>
      <c r="AS103" s="48">
        <f t="shared" si="26"/>
        <v>4.9799196787148593E-2</v>
      </c>
      <c r="AT103" s="48" t="e">
        <f>(#REF!-#REF!)/#REF!</f>
        <v>#REF!</v>
      </c>
    </row>
    <row r="104" spans="1:46" x14ac:dyDescent="0.3">
      <c r="A104" s="48">
        <v>20180531</v>
      </c>
      <c r="B104" s="48" t="s">
        <v>88</v>
      </c>
      <c r="C104" s="79">
        <v>0.4</v>
      </c>
      <c r="D104" s="79">
        <f t="shared" si="27"/>
        <v>0.36056541336318043</v>
      </c>
      <c r="E104" s="49">
        <v>49500</v>
      </c>
      <c r="F104" s="49">
        <v>50700</v>
      </c>
      <c r="G104" s="49">
        <v>6419324700</v>
      </c>
      <c r="H104" s="49">
        <f t="shared" si="28"/>
        <v>0.40707264925330899</v>
      </c>
      <c r="I104" s="49">
        <f t="shared" si="39"/>
        <v>0.40707264925330899</v>
      </c>
      <c r="J104" s="48">
        <v>0.6</v>
      </c>
      <c r="K104" s="48">
        <f t="shared" si="29"/>
        <v>0.63943458663681951</v>
      </c>
      <c r="L104" s="48">
        <v>269500</v>
      </c>
      <c r="M104" s="48">
        <v>265500</v>
      </c>
      <c r="N104" s="51">
        <v>125395903</v>
      </c>
      <c r="O104" s="48">
        <f t="shared" si="30"/>
        <v>7.0572160272718403</v>
      </c>
      <c r="P104" s="48">
        <f t="shared" si="40"/>
        <v>7.0572160272718403</v>
      </c>
      <c r="Q104" s="49">
        <v>0</v>
      </c>
      <c r="R104" s="49">
        <f t="shared" si="31"/>
        <v>0</v>
      </c>
      <c r="S104" s="49">
        <v>261400</v>
      </c>
      <c r="T104" s="49">
        <v>265000</v>
      </c>
      <c r="U104" s="49">
        <v>15956260</v>
      </c>
      <c r="V104" s="49">
        <f t="shared" si="32"/>
        <v>0</v>
      </c>
      <c r="W104" s="49">
        <f t="shared" si="41"/>
        <v>0</v>
      </c>
      <c r="X104" s="48">
        <v>0</v>
      </c>
      <c r="Y104" s="48">
        <f t="shared" si="33"/>
        <v>0</v>
      </c>
      <c r="Z104" s="48">
        <v>0</v>
      </c>
      <c r="AA104" s="48">
        <v>0</v>
      </c>
      <c r="AB104" s="48">
        <v>0</v>
      </c>
      <c r="AC104" s="48">
        <f t="shared" si="34"/>
        <v>0</v>
      </c>
      <c r="AD104" s="48">
        <f t="shared" si="42"/>
        <v>0</v>
      </c>
      <c r="AE104" s="49">
        <v>0</v>
      </c>
      <c r="AF104" s="49">
        <f t="shared" si="35"/>
        <v>0</v>
      </c>
      <c r="AG104" s="49">
        <v>0</v>
      </c>
      <c r="AH104" s="49">
        <v>0</v>
      </c>
      <c r="AI104" s="49">
        <v>0</v>
      </c>
      <c r="AJ104" s="49">
        <f t="shared" si="36"/>
        <v>0</v>
      </c>
      <c r="AK104" s="49">
        <f t="shared" si="43"/>
        <v>0</v>
      </c>
      <c r="AL104" s="82">
        <f t="shared" si="44"/>
        <v>0</v>
      </c>
      <c r="AM104" s="82">
        <f t="shared" si="45"/>
        <v>333304924361493.37</v>
      </c>
      <c r="AN104" s="81">
        <f t="shared" si="37"/>
        <v>367438924396489.06</v>
      </c>
      <c r="AO104" s="80">
        <f t="shared" si="23"/>
        <v>1102.4107282554726</v>
      </c>
      <c r="AP104" s="52">
        <f t="shared" si="38"/>
        <v>-1.0983657308972162E-3</v>
      </c>
      <c r="AQ104" s="48">
        <f t="shared" si="24"/>
        <v>2.4242424242424242E-2</v>
      </c>
      <c r="AR104" s="48">
        <f t="shared" si="25"/>
        <v>-1.4842300556586271E-2</v>
      </c>
      <c r="AS104" s="48">
        <f t="shared" si="26"/>
        <v>1.3771996939556235E-2</v>
      </c>
      <c r="AT104" s="48" t="e">
        <f>(#REF!-#REF!)/#REF!</f>
        <v>#REF!</v>
      </c>
    </row>
    <row r="105" spans="1:46" x14ac:dyDescent="0.3">
      <c r="A105" s="48">
        <v>20180601</v>
      </c>
      <c r="B105" s="48" t="s">
        <v>88</v>
      </c>
      <c r="C105" s="79">
        <v>0.4</v>
      </c>
      <c r="D105" s="79">
        <f t="shared" si="27"/>
        <v>0.35644377691897866</v>
      </c>
      <c r="E105" s="49">
        <v>50700</v>
      </c>
      <c r="F105" s="49">
        <v>51300</v>
      </c>
      <c r="G105" s="49">
        <v>6419324700</v>
      </c>
      <c r="H105" s="49">
        <f t="shared" si="28"/>
        <v>0.40707264925330899</v>
      </c>
      <c r="I105" s="49">
        <f t="shared" si="39"/>
        <v>0.40707264925330899</v>
      </c>
      <c r="J105" s="48">
        <v>0.6</v>
      </c>
      <c r="K105" s="48">
        <f t="shared" si="29"/>
        <v>0.64355622308102134</v>
      </c>
      <c r="L105" s="48">
        <v>265500</v>
      </c>
      <c r="M105" s="48">
        <v>273500</v>
      </c>
      <c r="N105" s="51">
        <v>125395903</v>
      </c>
      <c r="O105" s="48">
        <f t="shared" si="30"/>
        <v>7.0572160272718403</v>
      </c>
      <c r="P105" s="48">
        <f t="shared" si="40"/>
        <v>7.0572160272718403</v>
      </c>
      <c r="Q105" s="49">
        <v>0</v>
      </c>
      <c r="R105" s="49">
        <f t="shared" si="31"/>
        <v>0</v>
      </c>
      <c r="S105" s="49">
        <v>265000</v>
      </c>
      <c r="T105" s="49">
        <v>263500</v>
      </c>
      <c r="U105" s="49">
        <v>15956260</v>
      </c>
      <c r="V105" s="49">
        <f t="shared" si="32"/>
        <v>0</v>
      </c>
      <c r="W105" s="49">
        <f t="shared" si="41"/>
        <v>0</v>
      </c>
      <c r="X105" s="48">
        <v>0</v>
      </c>
      <c r="Y105" s="48">
        <f t="shared" si="33"/>
        <v>0</v>
      </c>
      <c r="Z105" s="48">
        <v>0</v>
      </c>
      <c r="AA105" s="48">
        <v>0</v>
      </c>
      <c r="AB105" s="48">
        <v>0</v>
      </c>
      <c r="AC105" s="48">
        <f t="shared" si="34"/>
        <v>0</v>
      </c>
      <c r="AD105" s="48">
        <f t="shared" si="42"/>
        <v>0</v>
      </c>
      <c r="AE105" s="49">
        <v>0</v>
      </c>
      <c r="AF105" s="49">
        <f t="shared" si="35"/>
        <v>0</v>
      </c>
      <c r="AG105" s="49">
        <v>0</v>
      </c>
      <c r="AH105" s="49">
        <v>0</v>
      </c>
      <c r="AI105" s="49">
        <v>0</v>
      </c>
      <c r="AJ105" s="49">
        <f t="shared" si="36"/>
        <v>0</v>
      </c>
      <c r="AK105" s="49">
        <f t="shared" si="43"/>
        <v>0</v>
      </c>
      <c r="AL105" s="82">
        <f t="shared" si="44"/>
        <v>0</v>
      </c>
      <c r="AM105" s="82">
        <f t="shared" si="45"/>
        <v>333304924361493.37</v>
      </c>
      <c r="AN105" s="81">
        <f t="shared" si="37"/>
        <v>376086371114963.37</v>
      </c>
      <c r="AO105" s="80">
        <f t="shared" si="23"/>
        <v>1128.3552795849796</v>
      </c>
      <c r="AP105" s="52">
        <f t="shared" si="38"/>
        <v>2.3534378489370646E-2</v>
      </c>
      <c r="AQ105" s="48">
        <f t="shared" si="24"/>
        <v>1.1834319526627219E-2</v>
      </c>
      <c r="AR105" s="48">
        <f t="shared" si="25"/>
        <v>3.0131826741996232E-2</v>
      </c>
      <c r="AS105" s="48">
        <f t="shared" si="26"/>
        <v>-5.6603773584905656E-3</v>
      </c>
      <c r="AT105" s="48" t="e">
        <f>(#REF!-#REF!)/#REF!</f>
        <v>#REF!</v>
      </c>
    </row>
    <row r="106" spans="1:46" x14ac:dyDescent="0.3">
      <c r="A106" s="48">
        <v>20180604</v>
      </c>
      <c r="B106" s="48" t="s">
        <v>88</v>
      </c>
      <c r="C106" s="79">
        <v>0.4</v>
      </c>
      <c r="D106" s="79">
        <f t="shared" si="27"/>
        <v>0.36151105211254442</v>
      </c>
      <c r="E106" s="49">
        <v>51300</v>
      </c>
      <c r="F106" s="49">
        <v>51100</v>
      </c>
      <c r="G106" s="49">
        <v>6419324700</v>
      </c>
      <c r="H106" s="49">
        <f t="shared" si="28"/>
        <v>0.40707264925330899</v>
      </c>
      <c r="I106" s="49">
        <f t="shared" si="39"/>
        <v>0.40707264925330899</v>
      </c>
      <c r="J106" s="48">
        <v>0.6</v>
      </c>
      <c r="K106" s="48">
        <f t="shared" si="29"/>
        <v>0.63848894788745547</v>
      </c>
      <c r="L106" s="48">
        <v>273500</v>
      </c>
      <c r="M106" s="48">
        <v>266500</v>
      </c>
      <c r="N106" s="51">
        <v>125395903</v>
      </c>
      <c r="O106" s="48">
        <f t="shared" si="30"/>
        <v>7.0572160272718403</v>
      </c>
      <c r="P106" s="48">
        <f t="shared" si="40"/>
        <v>7.0572160272718403</v>
      </c>
      <c r="Q106" s="49">
        <v>0</v>
      </c>
      <c r="R106" s="49">
        <f t="shared" si="31"/>
        <v>0</v>
      </c>
      <c r="S106" s="49">
        <v>263500</v>
      </c>
      <c r="T106" s="49">
        <v>253000</v>
      </c>
      <c r="U106" s="49">
        <v>15956260</v>
      </c>
      <c r="V106" s="49">
        <f t="shared" si="32"/>
        <v>0</v>
      </c>
      <c r="W106" s="49">
        <f t="shared" si="41"/>
        <v>0</v>
      </c>
      <c r="X106" s="48">
        <v>0</v>
      </c>
      <c r="Y106" s="48">
        <f t="shared" si="33"/>
        <v>0</v>
      </c>
      <c r="Z106" s="48">
        <v>0</v>
      </c>
      <c r="AA106" s="48">
        <v>0</v>
      </c>
      <c r="AB106" s="48">
        <v>0</v>
      </c>
      <c r="AC106" s="48">
        <f t="shared" si="34"/>
        <v>0</v>
      </c>
      <c r="AD106" s="48">
        <f t="shared" si="42"/>
        <v>0</v>
      </c>
      <c r="AE106" s="49">
        <v>0</v>
      </c>
      <c r="AF106" s="49">
        <f t="shared" si="35"/>
        <v>0</v>
      </c>
      <c r="AG106" s="49">
        <v>0</v>
      </c>
      <c r="AH106" s="49">
        <v>0</v>
      </c>
      <c r="AI106" s="49">
        <v>0</v>
      </c>
      <c r="AJ106" s="49">
        <f t="shared" si="36"/>
        <v>0</v>
      </c>
      <c r="AK106" s="49">
        <f t="shared" si="43"/>
        <v>0</v>
      </c>
      <c r="AL106" s="82">
        <f t="shared" si="44"/>
        <v>0</v>
      </c>
      <c r="AM106" s="82">
        <f t="shared" si="45"/>
        <v>333304924361493.37</v>
      </c>
      <c r="AN106" s="81">
        <f t="shared" si="37"/>
        <v>369369122977713.37</v>
      </c>
      <c r="AO106" s="80">
        <f t="shared" si="23"/>
        <v>1108.2018175558239</v>
      </c>
      <c r="AP106" s="52">
        <f t="shared" si="38"/>
        <v>-1.7860918802602942E-2</v>
      </c>
      <c r="AQ106" s="48">
        <f t="shared" si="24"/>
        <v>-3.8986354775828458E-3</v>
      </c>
      <c r="AR106" s="48">
        <f t="shared" si="25"/>
        <v>-2.5594149908592323E-2</v>
      </c>
      <c r="AS106" s="48">
        <f t="shared" si="26"/>
        <v>-3.9848197343453511E-2</v>
      </c>
      <c r="AT106" s="48" t="e">
        <f>(#REF!-#REF!)/#REF!</f>
        <v>#REF!</v>
      </c>
    </row>
    <row r="107" spans="1:46" x14ac:dyDescent="0.3">
      <c r="A107" s="48">
        <v>20180605</v>
      </c>
      <c r="B107" s="48" t="s">
        <v>88</v>
      </c>
      <c r="C107" s="79">
        <v>0.4</v>
      </c>
      <c r="D107" s="79">
        <f t="shared" si="27"/>
        <v>0.36198017495353618</v>
      </c>
      <c r="E107" s="49">
        <v>51100</v>
      </c>
      <c r="F107" s="49">
        <v>51300</v>
      </c>
      <c r="G107" s="49">
        <v>6419324700</v>
      </c>
      <c r="H107" s="49">
        <f t="shared" si="28"/>
        <v>0.40707264925330899</v>
      </c>
      <c r="I107" s="49">
        <f t="shared" si="39"/>
        <v>0.40707264925330899</v>
      </c>
      <c r="J107" s="48">
        <v>0.6</v>
      </c>
      <c r="K107" s="48">
        <f t="shared" si="29"/>
        <v>0.63801982504646382</v>
      </c>
      <c r="L107" s="48">
        <v>266500</v>
      </c>
      <c r="M107" s="48">
        <v>267000</v>
      </c>
      <c r="N107" s="51">
        <v>125395903</v>
      </c>
      <c r="O107" s="48">
        <f t="shared" si="30"/>
        <v>7.0572160272718403</v>
      </c>
      <c r="P107" s="48">
        <f t="shared" si="40"/>
        <v>7.0572160272718403</v>
      </c>
      <c r="Q107" s="49">
        <v>0</v>
      </c>
      <c r="R107" s="49">
        <f t="shared" si="31"/>
        <v>0</v>
      </c>
      <c r="S107" s="49">
        <v>253000</v>
      </c>
      <c r="T107" s="49">
        <v>245000</v>
      </c>
      <c r="U107" s="49">
        <v>15956260</v>
      </c>
      <c r="V107" s="49">
        <f t="shared" si="32"/>
        <v>0</v>
      </c>
      <c r="W107" s="49">
        <f t="shared" si="41"/>
        <v>0</v>
      </c>
      <c r="X107" s="48">
        <v>0</v>
      </c>
      <c r="Y107" s="48">
        <f t="shared" si="33"/>
        <v>0</v>
      </c>
      <c r="Z107" s="48">
        <v>0</v>
      </c>
      <c r="AA107" s="48">
        <v>0</v>
      </c>
      <c r="AB107" s="48">
        <v>0</v>
      </c>
      <c r="AC107" s="48">
        <f t="shared" si="34"/>
        <v>0</v>
      </c>
      <c r="AD107" s="48">
        <f t="shared" si="42"/>
        <v>0</v>
      </c>
      <c r="AE107" s="49">
        <v>0</v>
      </c>
      <c r="AF107" s="49">
        <f t="shared" si="35"/>
        <v>0</v>
      </c>
      <c r="AG107" s="49">
        <v>0</v>
      </c>
      <c r="AH107" s="49">
        <v>0</v>
      </c>
      <c r="AI107" s="49">
        <v>0</v>
      </c>
      <c r="AJ107" s="49">
        <f t="shared" si="36"/>
        <v>0</v>
      </c>
      <c r="AK107" s="49">
        <f t="shared" si="43"/>
        <v>0</v>
      </c>
      <c r="AL107" s="82">
        <f t="shared" si="44"/>
        <v>0</v>
      </c>
      <c r="AM107" s="82">
        <f t="shared" si="45"/>
        <v>333304924361493.37</v>
      </c>
      <c r="AN107" s="81">
        <f t="shared" si="37"/>
        <v>370334222268325.5</v>
      </c>
      <c r="AO107" s="80">
        <f t="shared" si="23"/>
        <v>1111.0973622059996</v>
      </c>
      <c r="AP107" s="52">
        <f t="shared" si="38"/>
        <v>2.6128315296954662E-3</v>
      </c>
      <c r="AQ107" s="48">
        <f t="shared" si="24"/>
        <v>3.9138943248532287E-3</v>
      </c>
      <c r="AR107" s="48">
        <f t="shared" si="25"/>
        <v>1.876172607879925E-3</v>
      </c>
      <c r="AS107" s="48">
        <f t="shared" si="26"/>
        <v>-3.1620553359683792E-2</v>
      </c>
      <c r="AT107" s="48" t="e">
        <f>(#REF!-#REF!)/#REF!</f>
        <v>#REF!</v>
      </c>
    </row>
    <row r="108" spans="1:46" x14ac:dyDescent="0.3">
      <c r="A108" s="48">
        <v>20180607</v>
      </c>
      <c r="B108" s="48" t="s">
        <v>88</v>
      </c>
      <c r="C108" s="79">
        <v>0.4</v>
      </c>
      <c r="D108" s="79">
        <f t="shared" si="27"/>
        <v>0.355399267757253</v>
      </c>
      <c r="E108" s="49">
        <v>51300</v>
      </c>
      <c r="F108" s="49">
        <v>50600</v>
      </c>
      <c r="G108" s="49">
        <v>6419324700</v>
      </c>
      <c r="H108" s="49">
        <f t="shared" si="28"/>
        <v>0.40707264925330899</v>
      </c>
      <c r="I108" s="49">
        <f t="shared" si="39"/>
        <v>0.40707264925330899</v>
      </c>
      <c r="J108" s="48">
        <v>0.6</v>
      </c>
      <c r="K108" s="48">
        <f t="shared" si="29"/>
        <v>0.64460073224274694</v>
      </c>
      <c r="L108" s="48">
        <v>267000</v>
      </c>
      <c r="M108" s="48">
        <v>271000</v>
      </c>
      <c r="N108" s="51">
        <v>125395903</v>
      </c>
      <c r="O108" s="48">
        <f t="shared" si="30"/>
        <v>7.0572160272718403</v>
      </c>
      <c r="P108" s="48">
        <f t="shared" si="40"/>
        <v>7.0572160272718403</v>
      </c>
      <c r="Q108" s="49">
        <v>0</v>
      </c>
      <c r="R108" s="49">
        <f t="shared" si="31"/>
        <v>0</v>
      </c>
      <c r="S108" s="49">
        <v>245000</v>
      </c>
      <c r="T108" s="49">
        <v>257100</v>
      </c>
      <c r="U108" s="49">
        <v>15956260</v>
      </c>
      <c r="V108" s="49">
        <f t="shared" si="32"/>
        <v>0</v>
      </c>
      <c r="W108" s="49">
        <f t="shared" si="41"/>
        <v>0</v>
      </c>
      <c r="X108" s="48">
        <v>0</v>
      </c>
      <c r="Y108" s="48">
        <f t="shared" si="33"/>
        <v>0</v>
      </c>
      <c r="Z108" s="48">
        <v>0</v>
      </c>
      <c r="AA108" s="48">
        <v>0</v>
      </c>
      <c r="AB108" s="48">
        <v>0</v>
      </c>
      <c r="AC108" s="48">
        <f t="shared" si="34"/>
        <v>0</v>
      </c>
      <c r="AD108" s="48">
        <f t="shared" si="42"/>
        <v>0</v>
      </c>
      <c r="AE108" s="49">
        <v>0</v>
      </c>
      <c r="AF108" s="49">
        <f t="shared" si="35"/>
        <v>0</v>
      </c>
      <c r="AG108" s="49">
        <v>0</v>
      </c>
      <c r="AH108" s="49">
        <v>0</v>
      </c>
      <c r="AI108" s="49">
        <v>0</v>
      </c>
      <c r="AJ108" s="49">
        <f t="shared" si="36"/>
        <v>0</v>
      </c>
      <c r="AK108" s="49">
        <f t="shared" si="43"/>
        <v>0</v>
      </c>
      <c r="AL108" s="82">
        <f t="shared" si="44"/>
        <v>0</v>
      </c>
      <c r="AM108" s="82">
        <f t="shared" si="45"/>
        <v>333304924361493.37</v>
      </c>
      <c r="AN108" s="81">
        <f t="shared" si="37"/>
        <v>372044814115516.5</v>
      </c>
      <c r="AO108" s="80">
        <f t="shared" si="23"/>
        <v>1116.2295751502515</v>
      </c>
      <c r="AP108" s="52">
        <f t="shared" si="38"/>
        <v>4.6190488060041043E-3</v>
      </c>
      <c r="AQ108" s="48">
        <f t="shared" si="24"/>
        <v>-1.364522417153996E-2</v>
      </c>
      <c r="AR108" s="48">
        <f t="shared" si="25"/>
        <v>1.4981273408239701E-2</v>
      </c>
      <c r="AS108" s="48">
        <f t="shared" si="26"/>
        <v>4.9387755102040819E-2</v>
      </c>
      <c r="AT108" s="48" t="e">
        <f>(#REF!-#REF!)/#REF!</f>
        <v>#REF!</v>
      </c>
    </row>
    <row r="109" spans="1:46" x14ac:dyDescent="0.3">
      <c r="A109" s="48">
        <v>20180608</v>
      </c>
      <c r="B109" s="48" t="s">
        <v>88</v>
      </c>
      <c r="C109" s="79">
        <v>0.4</v>
      </c>
      <c r="D109" s="79">
        <f t="shared" si="27"/>
        <v>0.35233480707785919</v>
      </c>
      <c r="E109" s="49">
        <v>50600</v>
      </c>
      <c r="F109" s="49">
        <v>49650</v>
      </c>
      <c r="G109" s="49">
        <v>6419324700</v>
      </c>
      <c r="H109" s="49">
        <f t="shared" si="28"/>
        <v>0.40707264925330899</v>
      </c>
      <c r="I109" s="49">
        <f t="shared" si="39"/>
        <v>0.40707264925330899</v>
      </c>
      <c r="J109" s="48">
        <v>0.6</v>
      </c>
      <c r="K109" s="48">
        <f t="shared" si="29"/>
        <v>0.64766519292214086</v>
      </c>
      <c r="L109" s="48">
        <v>271000</v>
      </c>
      <c r="M109" s="48">
        <v>269500</v>
      </c>
      <c r="N109" s="51">
        <v>125395903</v>
      </c>
      <c r="O109" s="48">
        <f t="shared" si="30"/>
        <v>7.0572160272718403</v>
      </c>
      <c r="P109" s="48">
        <f t="shared" si="40"/>
        <v>7.0572160272718403</v>
      </c>
      <c r="Q109" s="49">
        <v>0</v>
      </c>
      <c r="R109" s="49">
        <f t="shared" si="31"/>
        <v>0</v>
      </c>
      <c r="S109" s="49">
        <v>257100</v>
      </c>
      <c r="T109" s="49">
        <v>248300</v>
      </c>
      <c r="U109" s="49">
        <v>15956260</v>
      </c>
      <c r="V109" s="49">
        <f t="shared" si="32"/>
        <v>0</v>
      </c>
      <c r="W109" s="49">
        <f t="shared" si="41"/>
        <v>0</v>
      </c>
      <c r="X109" s="48">
        <v>0</v>
      </c>
      <c r="Y109" s="48">
        <f t="shared" si="33"/>
        <v>0</v>
      </c>
      <c r="Z109" s="48">
        <v>0</v>
      </c>
      <c r="AA109" s="48">
        <v>0</v>
      </c>
      <c r="AB109" s="48">
        <v>0</v>
      </c>
      <c r="AC109" s="48">
        <f t="shared" si="34"/>
        <v>0</v>
      </c>
      <c r="AD109" s="48">
        <f t="shared" si="42"/>
        <v>0</v>
      </c>
      <c r="AE109" s="49">
        <v>0</v>
      </c>
      <c r="AF109" s="49">
        <f t="shared" si="35"/>
        <v>0</v>
      </c>
      <c r="AG109" s="49">
        <v>0</v>
      </c>
      <c r="AH109" s="49">
        <v>0</v>
      </c>
      <c r="AI109" s="49">
        <v>0</v>
      </c>
      <c r="AJ109" s="49">
        <f t="shared" si="36"/>
        <v>0</v>
      </c>
      <c r="AK109" s="49">
        <f t="shared" si="43"/>
        <v>0</v>
      </c>
      <c r="AL109" s="82">
        <f t="shared" si="44"/>
        <v>0</v>
      </c>
      <c r="AM109" s="82">
        <f t="shared" si="45"/>
        <v>333304924361493.37</v>
      </c>
      <c r="AN109" s="81">
        <f t="shared" si="37"/>
        <v>368234920214463.81</v>
      </c>
      <c r="AO109" s="80">
        <f t="shared" si="23"/>
        <v>1104.7989192475486</v>
      </c>
      <c r="AP109" s="52">
        <f t="shared" si="38"/>
        <v>-1.0240416628599274E-2</v>
      </c>
      <c r="AQ109" s="48">
        <f t="shared" si="24"/>
        <v>-1.8774703557312252E-2</v>
      </c>
      <c r="AR109" s="48">
        <f t="shared" si="25"/>
        <v>-5.5350553505535052E-3</v>
      </c>
      <c r="AS109" s="48">
        <f t="shared" si="26"/>
        <v>-3.4227926876701675E-2</v>
      </c>
      <c r="AT109" s="48" t="e">
        <f>(#REF!-#REF!)/#REF!</f>
        <v>#REF!</v>
      </c>
    </row>
    <row r="110" spans="1:46" x14ac:dyDescent="0.3">
      <c r="A110" s="48">
        <v>20180611</v>
      </c>
      <c r="B110" s="48" t="s">
        <v>88</v>
      </c>
      <c r="C110" s="79">
        <v>0.4</v>
      </c>
      <c r="D110" s="79">
        <f t="shared" si="27"/>
        <v>0.35518594004835385</v>
      </c>
      <c r="E110" s="49">
        <v>49650</v>
      </c>
      <c r="F110" s="49">
        <v>49900</v>
      </c>
      <c r="G110" s="49">
        <v>6419324700</v>
      </c>
      <c r="H110" s="49">
        <f t="shared" si="28"/>
        <v>0.40707264925330899</v>
      </c>
      <c r="I110" s="49">
        <f t="shared" si="39"/>
        <v>0.40707264925330899</v>
      </c>
      <c r="J110" s="48">
        <v>0.6</v>
      </c>
      <c r="K110" s="48">
        <f t="shared" si="29"/>
        <v>0.64481405995164609</v>
      </c>
      <c r="L110" s="48">
        <v>269500</v>
      </c>
      <c r="M110" s="48">
        <v>267500</v>
      </c>
      <c r="N110" s="51">
        <v>125395903</v>
      </c>
      <c r="O110" s="48">
        <f t="shared" si="30"/>
        <v>7.0572160272718403</v>
      </c>
      <c r="P110" s="48">
        <f t="shared" si="40"/>
        <v>7.0572160272718403</v>
      </c>
      <c r="Q110" s="49">
        <v>0</v>
      </c>
      <c r="R110" s="49">
        <f t="shared" si="31"/>
        <v>0</v>
      </c>
      <c r="S110" s="49">
        <v>248300</v>
      </c>
      <c r="T110" s="49">
        <v>245000</v>
      </c>
      <c r="U110" s="49">
        <v>15956260</v>
      </c>
      <c r="V110" s="49">
        <f t="shared" si="32"/>
        <v>0</v>
      </c>
      <c r="W110" s="49">
        <f t="shared" si="41"/>
        <v>0</v>
      </c>
      <c r="X110" s="48">
        <v>0</v>
      </c>
      <c r="Y110" s="48">
        <f t="shared" si="33"/>
        <v>0</v>
      </c>
      <c r="Z110" s="48">
        <v>0</v>
      </c>
      <c r="AA110" s="48">
        <v>0</v>
      </c>
      <c r="AB110" s="48">
        <v>0</v>
      </c>
      <c r="AC110" s="48">
        <f t="shared" si="34"/>
        <v>0</v>
      </c>
      <c r="AD110" s="48">
        <f t="shared" si="42"/>
        <v>0</v>
      </c>
      <c r="AE110" s="49">
        <v>0</v>
      </c>
      <c r="AF110" s="49">
        <f t="shared" si="35"/>
        <v>0</v>
      </c>
      <c r="AG110" s="49">
        <v>0</v>
      </c>
      <c r="AH110" s="49">
        <v>0</v>
      </c>
      <c r="AI110" s="49">
        <v>0</v>
      </c>
      <c r="AJ110" s="49">
        <f t="shared" si="36"/>
        <v>0</v>
      </c>
      <c r="AK110" s="49">
        <f t="shared" si="43"/>
        <v>0</v>
      </c>
      <c r="AL110" s="82">
        <f t="shared" si="44"/>
        <v>0</v>
      </c>
      <c r="AM110" s="82">
        <f t="shared" si="45"/>
        <v>333304924361493.37</v>
      </c>
      <c r="AN110" s="81">
        <f t="shared" si="37"/>
        <v>367118311139663.75</v>
      </c>
      <c r="AO110" s="80">
        <f t="shared" si="23"/>
        <v>1101.4488065033725</v>
      </c>
      <c r="AP110" s="52">
        <f t="shared" si="38"/>
        <v>-3.0323280425164044E-3</v>
      </c>
      <c r="AQ110" s="48">
        <f t="shared" si="24"/>
        <v>5.0352467270896274E-3</v>
      </c>
      <c r="AR110" s="48">
        <f t="shared" si="25"/>
        <v>-7.4211502782931356E-3</v>
      </c>
      <c r="AS110" s="48">
        <f t="shared" si="26"/>
        <v>-1.3290374546919049E-2</v>
      </c>
      <c r="AT110" s="48" t="e">
        <f>(#REF!-#REF!)/#REF!</f>
        <v>#REF!</v>
      </c>
    </row>
    <row r="111" spans="1:46" x14ac:dyDescent="0.3">
      <c r="A111" s="48">
        <v>20180612</v>
      </c>
      <c r="B111" s="48" t="s">
        <v>88</v>
      </c>
      <c r="C111" s="79">
        <v>0.4</v>
      </c>
      <c r="D111" s="79">
        <f t="shared" si="27"/>
        <v>0.3482493335625616</v>
      </c>
      <c r="E111" s="49">
        <v>49900</v>
      </c>
      <c r="F111" s="49">
        <v>49400</v>
      </c>
      <c r="G111" s="49">
        <v>6419324700</v>
      </c>
      <c r="H111" s="49">
        <f t="shared" si="28"/>
        <v>0.40707264925330899</v>
      </c>
      <c r="I111" s="49">
        <f t="shared" si="39"/>
        <v>0.40707264925330899</v>
      </c>
      <c r="J111" s="48">
        <v>0.6</v>
      </c>
      <c r="K111" s="48">
        <f t="shared" si="29"/>
        <v>0.6517506664374384</v>
      </c>
      <c r="L111" s="48">
        <v>267500</v>
      </c>
      <c r="M111" s="48">
        <v>273000</v>
      </c>
      <c r="N111" s="51">
        <v>125395903</v>
      </c>
      <c r="O111" s="48">
        <f t="shared" si="30"/>
        <v>7.0572160272718403</v>
      </c>
      <c r="P111" s="48">
        <f t="shared" si="40"/>
        <v>7.0572160272718403</v>
      </c>
      <c r="Q111" s="49">
        <v>0</v>
      </c>
      <c r="R111" s="49">
        <f t="shared" si="31"/>
        <v>0</v>
      </c>
      <c r="S111" s="49">
        <v>245000</v>
      </c>
      <c r="T111" s="49">
        <v>246500</v>
      </c>
      <c r="U111" s="49">
        <v>15956260</v>
      </c>
      <c r="V111" s="49">
        <f t="shared" si="32"/>
        <v>0</v>
      </c>
      <c r="W111" s="49">
        <f t="shared" si="41"/>
        <v>0</v>
      </c>
      <c r="X111" s="48">
        <v>0</v>
      </c>
      <c r="Y111" s="48">
        <f t="shared" si="33"/>
        <v>0</v>
      </c>
      <c r="Z111" s="48">
        <v>0</v>
      </c>
      <c r="AA111" s="48">
        <v>0</v>
      </c>
      <c r="AB111" s="48">
        <v>0</v>
      </c>
      <c r="AC111" s="48">
        <f t="shared" si="34"/>
        <v>0</v>
      </c>
      <c r="AD111" s="48">
        <f t="shared" si="42"/>
        <v>0</v>
      </c>
      <c r="AE111" s="49">
        <v>0</v>
      </c>
      <c r="AF111" s="49">
        <f t="shared" si="35"/>
        <v>0</v>
      </c>
      <c r="AG111" s="49">
        <v>0</v>
      </c>
      <c r="AH111" s="49">
        <v>0</v>
      </c>
      <c r="AI111" s="49">
        <v>0</v>
      </c>
      <c r="AJ111" s="49">
        <f t="shared" si="36"/>
        <v>0</v>
      </c>
      <c r="AK111" s="49">
        <f t="shared" si="43"/>
        <v>0</v>
      </c>
      <c r="AL111" s="82">
        <f t="shared" si="44"/>
        <v>0</v>
      </c>
      <c r="AM111" s="82">
        <f t="shared" si="45"/>
        <v>333304924361493.37</v>
      </c>
      <c r="AN111" s="81">
        <f t="shared" si="37"/>
        <v>370678948253872.69</v>
      </c>
      <c r="AO111" s="80">
        <f t="shared" si="23"/>
        <v>1112.1316283099509</v>
      </c>
      <c r="AP111" s="52">
        <f t="shared" si="38"/>
        <v>9.6988818213819741E-3</v>
      </c>
      <c r="AQ111" s="48">
        <f t="shared" si="24"/>
        <v>-1.002004008016032E-2</v>
      </c>
      <c r="AR111" s="48">
        <f t="shared" si="25"/>
        <v>2.0560747663551402E-2</v>
      </c>
      <c r="AS111" s="48">
        <f t="shared" si="26"/>
        <v>6.1224489795918364E-3</v>
      </c>
      <c r="AT111" s="48" t="e">
        <f>(#REF!-#REF!)/#REF!</f>
        <v>#REF!</v>
      </c>
    </row>
    <row r="112" spans="1:46" x14ac:dyDescent="0.3">
      <c r="A112" s="48">
        <v>20180614</v>
      </c>
      <c r="B112" s="48" t="s">
        <v>88</v>
      </c>
      <c r="C112" s="79">
        <v>0.4</v>
      </c>
      <c r="D112" s="79">
        <f t="shared" si="27"/>
        <v>0.33700881940251637</v>
      </c>
      <c r="E112" s="49">
        <v>49400</v>
      </c>
      <c r="F112" s="49">
        <v>48200</v>
      </c>
      <c r="G112" s="49">
        <v>6419324700</v>
      </c>
      <c r="H112" s="49">
        <f t="shared" si="28"/>
        <v>0.40707264925330899</v>
      </c>
      <c r="I112" s="49">
        <f t="shared" si="39"/>
        <v>0.40707264925330899</v>
      </c>
      <c r="J112" s="48">
        <v>0.6</v>
      </c>
      <c r="K112" s="48">
        <f t="shared" si="29"/>
        <v>0.66299118059748363</v>
      </c>
      <c r="L112" s="48">
        <v>273000</v>
      </c>
      <c r="M112" s="48">
        <v>280000</v>
      </c>
      <c r="N112" s="51">
        <v>125395903</v>
      </c>
      <c r="O112" s="48">
        <f t="shared" si="30"/>
        <v>7.0572160272718403</v>
      </c>
      <c r="P112" s="48">
        <f t="shared" si="40"/>
        <v>7.0572160272718403</v>
      </c>
      <c r="Q112" s="49">
        <v>0</v>
      </c>
      <c r="R112" s="49">
        <f t="shared" si="31"/>
        <v>0</v>
      </c>
      <c r="S112" s="49">
        <v>246500</v>
      </c>
      <c r="T112" s="49">
        <v>236100</v>
      </c>
      <c r="U112" s="49">
        <v>15956260</v>
      </c>
      <c r="V112" s="49">
        <f t="shared" si="32"/>
        <v>0</v>
      </c>
      <c r="W112" s="49">
        <f t="shared" si="41"/>
        <v>0</v>
      </c>
      <c r="X112" s="48">
        <v>0</v>
      </c>
      <c r="Y112" s="48">
        <f t="shared" si="33"/>
        <v>0</v>
      </c>
      <c r="Z112" s="48">
        <v>0</v>
      </c>
      <c r="AA112" s="48">
        <v>0</v>
      </c>
      <c r="AB112" s="48">
        <v>0</v>
      </c>
      <c r="AC112" s="48">
        <f t="shared" si="34"/>
        <v>0</v>
      </c>
      <c r="AD112" s="48">
        <f t="shared" si="42"/>
        <v>0</v>
      </c>
      <c r="AE112" s="49">
        <v>0</v>
      </c>
      <c r="AF112" s="49">
        <f t="shared" si="35"/>
        <v>0</v>
      </c>
      <c r="AG112" s="49">
        <v>0</v>
      </c>
      <c r="AH112" s="49">
        <v>0</v>
      </c>
      <c r="AI112" s="49">
        <v>0</v>
      </c>
      <c r="AJ112" s="49">
        <f t="shared" si="36"/>
        <v>0</v>
      </c>
      <c r="AK112" s="49">
        <f t="shared" si="43"/>
        <v>0</v>
      </c>
      <c r="AL112" s="82">
        <f t="shared" si="44"/>
        <v>0</v>
      </c>
      <c r="AM112" s="82">
        <f t="shared" si="45"/>
        <v>333304924361493.37</v>
      </c>
      <c r="AN112" s="81">
        <f t="shared" si="37"/>
        <v>373737812274258</v>
      </c>
      <c r="AO112" s="80">
        <f t="shared" si="23"/>
        <v>1121.3090025304045</v>
      </c>
      <c r="AP112" s="52">
        <f t="shared" si="38"/>
        <v>8.2520575684013591E-3</v>
      </c>
      <c r="AQ112" s="48">
        <f t="shared" si="24"/>
        <v>-2.4291497975708502E-2</v>
      </c>
      <c r="AR112" s="48">
        <f t="shared" si="25"/>
        <v>2.564102564102564E-2</v>
      </c>
      <c r="AS112" s="48">
        <f t="shared" si="26"/>
        <v>-4.2190669371196754E-2</v>
      </c>
      <c r="AT112" s="48" t="e">
        <f>(#REF!-#REF!)/#REF!</f>
        <v>#REF!</v>
      </c>
    </row>
    <row r="113" spans="1:46" x14ac:dyDescent="0.3">
      <c r="A113" s="48">
        <v>20180615</v>
      </c>
      <c r="B113" s="48" t="s">
        <v>88</v>
      </c>
      <c r="C113" s="79">
        <v>0.4</v>
      </c>
      <c r="D113" s="79">
        <f t="shared" si="27"/>
        <v>0.3203618669579632</v>
      </c>
      <c r="E113" s="49">
        <v>48200</v>
      </c>
      <c r="F113" s="49">
        <v>47650</v>
      </c>
      <c r="G113" s="49">
        <v>6419324700</v>
      </c>
      <c r="H113" s="49">
        <f t="shared" si="28"/>
        <v>0.40707264925330899</v>
      </c>
      <c r="I113" s="49">
        <f t="shared" si="39"/>
        <v>0.40707264925330899</v>
      </c>
      <c r="J113" s="48">
        <v>0.6</v>
      </c>
      <c r="K113" s="48">
        <f t="shared" si="29"/>
        <v>0.6796381330420368</v>
      </c>
      <c r="L113" s="48">
        <v>280000</v>
      </c>
      <c r="M113" s="48">
        <v>298500</v>
      </c>
      <c r="N113" s="51">
        <v>125395903</v>
      </c>
      <c r="O113" s="48">
        <f t="shared" si="30"/>
        <v>7.0572160272718403</v>
      </c>
      <c r="P113" s="48">
        <f t="shared" si="40"/>
        <v>7.0572160272718403</v>
      </c>
      <c r="Q113" s="49">
        <v>0</v>
      </c>
      <c r="R113" s="49">
        <f t="shared" si="31"/>
        <v>0</v>
      </c>
      <c r="S113" s="49">
        <v>236100</v>
      </c>
      <c r="T113" s="49">
        <v>232700</v>
      </c>
      <c r="U113" s="49">
        <v>15956260</v>
      </c>
      <c r="V113" s="49">
        <f t="shared" si="32"/>
        <v>0</v>
      </c>
      <c r="W113" s="49">
        <f t="shared" si="41"/>
        <v>0</v>
      </c>
      <c r="X113" s="48">
        <v>0</v>
      </c>
      <c r="Y113" s="48">
        <f t="shared" si="33"/>
        <v>0</v>
      </c>
      <c r="Z113" s="48">
        <v>0</v>
      </c>
      <c r="AA113" s="48">
        <v>0</v>
      </c>
      <c r="AB113" s="48">
        <v>0</v>
      </c>
      <c r="AC113" s="48">
        <f t="shared" si="34"/>
        <v>0</v>
      </c>
      <c r="AD113" s="48">
        <f t="shared" si="42"/>
        <v>0</v>
      </c>
      <c r="AE113" s="49">
        <v>0</v>
      </c>
      <c r="AF113" s="49">
        <f t="shared" si="35"/>
        <v>0</v>
      </c>
      <c r="AG113" s="49">
        <v>0</v>
      </c>
      <c r="AH113" s="49">
        <v>0</v>
      </c>
      <c r="AI113" s="49">
        <v>0</v>
      </c>
      <c r="AJ113" s="49">
        <f t="shared" si="36"/>
        <v>0</v>
      </c>
      <c r="AK113" s="49">
        <f t="shared" si="43"/>
        <v>0</v>
      </c>
      <c r="AL113" s="82">
        <f t="shared" si="44"/>
        <v>0</v>
      </c>
      <c r="AM113" s="82">
        <f t="shared" si="45"/>
        <v>333304924361493.37</v>
      </c>
      <c r="AN113" s="81">
        <f t="shared" si="37"/>
        <v>388672090506140.37</v>
      </c>
      <c r="AO113" s="80">
        <f t="shared" si="23"/>
        <v>1166.1156559589178</v>
      </c>
      <c r="AP113" s="52">
        <f t="shared" si="38"/>
        <v>3.9959238111350451E-2</v>
      </c>
      <c r="AQ113" s="48">
        <f t="shared" si="24"/>
        <v>-1.1410788381742738E-2</v>
      </c>
      <c r="AR113" s="48">
        <f t="shared" si="25"/>
        <v>6.6071428571428573E-2</v>
      </c>
      <c r="AS113" s="48">
        <f t="shared" si="26"/>
        <v>-1.4400677678949597E-2</v>
      </c>
      <c r="AT113" s="48" t="e">
        <f>(#REF!-#REF!)/#REF!</f>
        <v>#REF!</v>
      </c>
    </row>
    <row r="114" spans="1:46" x14ac:dyDescent="0.3">
      <c r="A114" s="48">
        <v>20180618</v>
      </c>
      <c r="B114" s="48" t="s">
        <v>88</v>
      </c>
      <c r="C114" s="79">
        <v>0.4</v>
      </c>
      <c r="D114" s="79">
        <f t="shared" si="27"/>
        <v>0.31089610948932778</v>
      </c>
      <c r="E114" s="49">
        <v>47650</v>
      </c>
      <c r="F114" s="49">
        <v>46600</v>
      </c>
      <c r="G114" s="49">
        <v>6419324700</v>
      </c>
      <c r="H114" s="49">
        <f t="shared" si="28"/>
        <v>0.40707264925330899</v>
      </c>
      <c r="I114" s="49">
        <f t="shared" si="39"/>
        <v>0.40707264925330899</v>
      </c>
      <c r="J114" s="48">
        <v>0.6</v>
      </c>
      <c r="K114" s="48">
        <f t="shared" si="29"/>
        <v>0.68910389051067222</v>
      </c>
      <c r="L114" s="48">
        <v>298500</v>
      </c>
      <c r="M114" s="48">
        <v>305000</v>
      </c>
      <c r="N114" s="51">
        <v>125395903</v>
      </c>
      <c r="O114" s="48">
        <f t="shared" si="30"/>
        <v>7.0572160272718403</v>
      </c>
      <c r="P114" s="48">
        <f t="shared" si="40"/>
        <v>7.0572160272718403</v>
      </c>
      <c r="Q114" s="49">
        <v>0</v>
      </c>
      <c r="R114" s="49">
        <f t="shared" si="31"/>
        <v>0</v>
      </c>
      <c r="S114" s="49">
        <v>232700</v>
      </c>
      <c r="T114" s="49">
        <v>218900</v>
      </c>
      <c r="U114" s="49">
        <v>15956260</v>
      </c>
      <c r="V114" s="49">
        <f t="shared" si="32"/>
        <v>0</v>
      </c>
      <c r="W114" s="49">
        <f t="shared" si="41"/>
        <v>0</v>
      </c>
      <c r="X114" s="48">
        <v>0</v>
      </c>
      <c r="Y114" s="48">
        <f t="shared" si="33"/>
        <v>0</v>
      </c>
      <c r="Z114" s="48">
        <v>0</v>
      </c>
      <c r="AA114" s="48">
        <v>0</v>
      </c>
      <c r="AB114" s="48">
        <v>0</v>
      </c>
      <c r="AC114" s="48">
        <f t="shared" si="34"/>
        <v>0</v>
      </c>
      <c r="AD114" s="48">
        <f t="shared" si="42"/>
        <v>0</v>
      </c>
      <c r="AE114" s="49">
        <v>0</v>
      </c>
      <c r="AF114" s="49">
        <f t="shared" si="35"/>
        <v>0</v>
      </c>
      <c r="AG114" s="49">
        <v>0</v>
      </c>
      <c r="AH114" s="49">
        <v>0</v>
      </c>
      <c r="AI114" s="49">
        <v>0</v>
      </c>
      <c r="AJ114" s="49">
        <f t="shared" si="36"/>
        <v>0</v>
      </c>
      <c r="AK114" s="49">
        <f t="shared" si="43"/>
        <v>0</v>
      </c>
      <c r="AL114" s="82">
        <f t="shared" si="44"/>
        <v>0</v>
      </c>
      <c r="AM114" s="82">
        <f t="shared" si="45"/>
        <v>333304924361493.37</v>
      </c>
      <c r="AN114" s="81">
        <f t="shared" si="37"/>
        <v>391680451265129.69</v>
      </c>
      <c r="AO114" s="80">
        <f t="shared" si="23"/>
        <v>1175.141507481371</v>
      </c>
      <c r="AP114" s="52">
        <f t="shared" si="38"/>
        <v>7.7400997716912346E-3</v>
      </c>
      <c r="AQ114" s="48">
        <f t="shared" si="24"/>
        <v>-2.2035676810073453E-2</v>
      </c>
      <c r="AR114" s="48">
        <f t="shared" si="25"/>
        <v>2.1775544388609715E-2</v>
      </c>
      <c r="AS114" s="48">
        <f t="shared" si="26"/>
        <v>-5.9303824666953157E-2</v>
      </c>
      <c r="AT114" s="48" t="e">
        <f>(#REF!-#REF!)/#REF!</f>
        <v>#REF!</v>
      </c>
    </row>
    <row r="115" spans="1:46" x14ac:dyDescent="0.3">
      <c r="A115" s="48">
        <v>20180619</v>
      </c>
      <c r="B115" s="48" t="s">
        <v>88</v>
      </c>
      <c r="C115" s="79">
        <v>0.4</v>
      </c>
      <c r="D115" s="79">
        <f t="shared" si="27"/>
        <v>0.32556849229369278</v>
      </c>
      <c r="E115" s="49">
        <v>46600</v>
      </c>
      <c r="F115" s="49">
        <v>47000</v>
      </c>
      <c r="G115" s="49">
        <v>6419324700</v>
      </c>
      <c r="H115" s="49">
        <f t="shared" si="28"/>
        <v>0.40707264925330899</v>
      </c>
      <c r="I115" s="49">
        <f t="shared" si="39"/>
        <v>0.40707264925330899</v>
      </c>
      <c r="J115" s="48">
        <v>0.6</v>
      </c>
      <c r="K115" s="48">
        <f t="shared" si="29"/>
        <v>0.67443150770630722</v>
      </c>
      <c r="L115" s="48">
        <v>305000</v>
      </c>
      <c r="M115" s="48">
        <v>287500</v>
      </c>
      <c r="N115" s="51">
        <v>125395903</v>
      </c>
      <c r="O115" s="48">
        <f t="shared" si="30"/>
        <v>7.0572160272718403</v>
      </c>
      <c r="P115" s="48">
        <f t="shared" si="40"/>
        <v>7.0572160272718403</v>
      </c>
      <c r="Q115" s="49">
        <v>0</v>
      </c>
      <c r="R115" s="49">
        <f t="shared" si="31"/>
        <v>0</v>
      </c>
      <c r="S115" s="49">
        <v>218900</v>
      </c>
      <c r="T115" s="49">
        <v>222300</v>
      </c>
      <c r="U115" s="49">
        <v>15956260</v>
      </c>
      <c r="V115" s="49">
        <f t="shared" si="32"/>
        <v>0</v>
      </c>
      <c r="W115" s="49">
        <f t="shared" si="41"/>
        <v>0</v>
      </c>
      <c r="X115" s="48">
        <v>0</v>
      </c>
      <c r="Y115" s="48">
        <f t="shared" si="33"/>
        <v>0</v>
      </c>
      <c r="Z115" s="48">
        <v>0</v>
      </c>
      <c r="AA115" s="48">
        <v>0</v>
      </c>
      <c r="AB115" s="48">
        <v>0</v>
      </c>
      <c r="AC115" s="48">
        <f t="shared" si="34"/>
        <v>0</v>
      </c>
      <c r="AD115" s="48">
        <f t="shared" si="42"/>
        <v>0</v>
      </c>
      <c r="AE115" s="49">
        <v>0</v>
      </c>
      <c r="AF115" s="49">
        <f t="shared" si="35"/>
        <v>0</v>
      </c>
      <c r="AG115" s="49">
        <v>0</v>
      </c>
      <c r="AH115" s="49">
        <v>0</v>
      </c>
      <c r="AI115" s="49">
        <v>0</v>
      </c>
      <c r="AJ115" s="49">
        <f t="shared" si="36"/>
        <v>0</v>
      </c>
      <c r="AK115" s="49">
        <f t="shared" si="43"/>
        <v>0</v>
      </c>
      <c r="AL115" s="82">
        <f t="shared" si="44"/>
        <v>0</v>
      </c>
      <c r="AM115" s="82">
        <f t="shared" si="45"/>
        <v>333304924361493.37</v>
      </c>
      <c r="AN115" s="81">
        <f t="shared" si="37"/>
        <v>377239149282846.25</v>
      </c>
      <c r="AO115" s="80">
        <f t="shared" si="23"/>
        <v>1131.8139088569333</v>
      </c>
      <c r="AP115" s="52">
        <f t="shared" si="38"/>
        <v>-3.6870111683230303E-2</v>
      </c>
      <c r="AQ115" s="48">
        <f t="shared" si="24"/>
        <v>8.5836909871244635E-3</v>
      </c>
      <c r="AR115" s="48">
        <f t="shared" si="25"/>
        <v>-5.737704918032787E-2</v>
      </c>
      <c r="AS115" s="48">
        <f t="shared" si="26"/>
        <v>1.5532206486980357E-2</v>
      </c>
      <c r="AT115" s="48" t="e">
        <f>(#REF!-#REF!)/#REF!</f>
        <v>#REF!</v>
      </c>
    </row>
    <row r="116" spans="1:46" x14ac:dyDescent="0.3">
      <c r="A116" s="48">
        <v>20180620</v>
      </c>
      <c r="B116" s="48" t="s">
        <v>88</v>
      </c>
      <c r="C116" s="79">
        <v>0.4</v>
      </c>
      <c r="D116" s="79">
        <f t="shared" si="27"/>
        <v>0.31847118273078401</v>
      </c>
      <c r="E116" s="49">
        <v>47000</v>
      </c>
      <c r="F116" s="49">
        <v>47000</v>
      </c>
      <c r="G116" s="49">
        <v>6419324700</v>
      </c>
      <c r="H116" s="49">
        <f t="shared" si="28"/>
        <v>0.40707264925330899</v>
      </c>
      <c r="I116" s="49">
        <f t="shared" si="39"/>
        <v>0.40707264925330899</v>
      </c>
      <c r="J116" s="48">
        <v>0.6</v>
      </c>
      <c r="K116" s="48">
        <f t="shared" si="29"/>
        <v>0.68152881726921599</v>
      </c>
      <c r="L116" s="48">
        <v>287500</v>
      </c>
      <c r="M116" s="48">
        <v>297000</v>
      </c>
      <c r="N116" s="51">
        <v>125395903</v>
      </c>
      <c r="O116" s="48">
        <f t="shared" si="30"/>
        <v>7.0572160272718403</v>
      </c>
      <c r="P116" s="48">
        <f t="shared" si="40"/>
        <v>7.0572160272718403</v>
      </c>
      <c r="Q116" s="49">
        <v>0</v>
      </c>
      <c r="R116" s="49">
        <f t="shared" si="31"/>
        <v>0</v>
      </c>
      <c r="S116" s="49">
        <v>222300</v>
      </c>
      <c r="T116" s="49">
        <v>234400</v>
      </c>
      <c r="U116" s="49">
        <v>15956260</v>
      </c>
      <c r="V116" s="49">
        <f t="shared" si="32"/>
        <v>0</v>
      </c>
      <c r="W116" s="49">
        <f t="shared" si="41"/>
        <v>0</v>
      </c>
      <c r="X116" s="48">
        <v>0</v>
      </c>
      <c r="Y116" s="48">
        <f t="shared" si="33"/>
        <v>0</v>
      </c>
      <c r="Z116" s="48">
        <v>0</v>
      </c>
      <c r="AA116" s="48">
        <v>0</v>
      </c>
      <c r="AB116" s="48">
        <v>0</v>
      </c>
      <c r="AC116" s="48">
        <f t="shared" si="34"/>
        <v>0</v>
      </c>
      <c r="AD116" s="48">
        <f t="shared" si="42"/>
        <v>0</v>
      </c>
      <c r="AE116" s="49">
        <v>0</v>
      </c>
      <c r="AF116" s="49">
        <f t="shared" si="35"/>
        <v>0</v>
      </c>
      <c r="AG116" s="49">
        <v>0</v>
      </c>
      <c r="AH116" s="49">
        <v>0</v>
      </c>
      <c r="AI116" s="49">
        <v>0</v>
      </c>
      <c r="AJ116" s="49">
        <f t="shared" si="36"/>
        <v>0</v>
      </c>
      <c r="AK116" s="49">
        <f t="shared" si="43"/>
        <v>0</v>
      </c>
      <c r="AL116" s="82">
        <f t="shared" si="44"/>
        <v>0</v>
      </c>
      <c r="AM116" s="82">
        <f t="shared" si="45"/>
        <v>333304924361493.37</v>
      </c>
      <c r="AN116" s="81">
        <f t="shared" si="37"/>
        <v>385646136058701.56</v>
      </c>
      <c r="AO116" s="80">
        <f t="shared" si="23"/>
        <v>1157.0370188723655</v>
      </c>
      <c r="AP116" s="52">
        <f t="shared" si="38"/>
        <v>2.2285562863338635E-2</v>
      </c>
      <c r="AQ116" s="48">
        <f t="shared" si="24"/>
        <v>0</v>
      </c>
      <c r="AR116" s="48">
        <f t="shared" si="25"/>
        <v>3.3043478260869563E-2</v>
      </c>
      <c r="AS116" s="48">
        <f t="shared" si="26"/>
        <v>5.4430949167791273E-2</v>
      </c>
      <c r="AT116" s="48" t="e">
        <f>(#REF!-#REF!)/#REF!</f>
        <v>#REF!</v>
      </c>
    </row>
    <row r="117" spans="1:46" x14ac:dyDescent="0.3">
      <c r="A117" s="48">
        <v>20180621</v>
      </c>
      <c r="B117" s="48" t="s">
        <v>88</v>
      </c>
      <c r="C117" s="79">
        <v>0.4</v>
      </c>
      <c r="D117" s="79">
        <f t="shared" si="27"/>
        <v>0.32239982328780642</v>
      </c>
      <c r="E117" s="49">
        <v>47000</v>
      </c>
      <c r="F117" s="49">
        <v>47050</v>
      </c>
      <c r="G117" s="49">
        <v>6419324700</v>
      </c>
      <c r="H117" s="49">
        <f t="shared" si="28"/>
        <v>0.40707264925330899</v>
      </c>
      <c r="I117" s="49">
        <f t="shared" si="39"/>
        <v>0.40707264925330899</v>
      </c>
      <c r="J117" s="48">
        <v>0.6</v>
      </c>
      <c r="K117" s="48">
        <f t="shared" si="29"/>
        <v>0.67760017671219364</v>
      </c>
      <c r="L117" s="48">
        <v>297000</v>
      </c>
      <c r="M117" s="48">
        <v>292000</v>
      </c>
      <c r="N117" s="51">
        <v>125395903</v>
      </c>
      <c r="O117" s="48">
        <f t="shared" si="30"/>
        <v>7.0572160272718403</v>
      </c>
      <c r="P117" s="48">
        <f t="shared" si="40"/>
        <v>7.0572160272718403</v>
      </c>
      <c r="Q117" s="49">
        <v>0</v>
      </c>
      <c r="R117" s="49">
        <f t="shared" si="31"/>
        <v>0</v>
      </c>
      <c r="S117" s="49">
        <v>234400</v>
      </c>
      <c r="T117" s="49">
        <v>231000</v>
      </c>
      <c r="U117" s="49">
        <v>15956260</v>
      </c>
      <c r="V117" s="49">
        <f t="shared" si="32"/>
        <v>0</v>
      </c>
      <c r="W117" s="49">
        <f t="shared" si="41"/>
        <v>0</v>
      </c>
      <c r="X117" s="48">
        <v>0</v>
      </c>
      <c r="Y117" s="48">
        <f t="shared" si="33"/>
        <v>0</v>
      </c>
      <c r="Z117" s="48">
        <v>0</v>
      </c>
      <c r="AA117" s="48">
        <v>0</v>
      </c>
      <c r="AB117" s="48">
        <v>0</v>
      </c>
      <c r="AC117" s="48">
        <f t="shared" si="34"/>
        <v>0</v>
      </c>
      <c r="AD117" s="48">
        <f t="shared" si="42"/>
        <v>0</v>
      </c>
      <c r="AE117" s="49">
        <v>0</v>
      </c>
      <c r="AF117" s="49">
        <f t="shared" si="35"/>
        <v>0</v>
      </c>
      <c r="AG117" s="49">
        <v>0</v>
      </c>
      <c r="AH117" s="49">
        <v>0</v>
      </c>
      <c r="AI117" s="49">
        <v>0</v>
      </c>
      <c r="AJ117" s="49">
        <f t="shared" si="36"/>
        <v>0</v>
      </c>
      <c r="AK117" s="49">
        <f t="shared" si="43"/>
        <v>0</v>
      </c>
      <c r="AL117" s="82">
        <f t="shared" si="44"/>
        <v>0</v>
      </c>
      <c r="AM117" s="82">
        <f t="shared" si="45"/>
        <v>333304924361493.37</v>
      </c>
      <c r="AN117" s="81">
        <f t="shared" si="37"/>
        <v>381352062752274.75</v>
      </c>
      <c r="AO117" s="80">
        <f t="shared" si="23"/>
        <v>1144.1537009476365</v>
      </c>
      <c r="AP117" s="52">
        <f t="shared" si="38"/>
        <v>-1.1134749981711845E-2</v>
      </c>
      <c r="AQ117" s="48">
        <f t="shared" si="24"/>
        <v>1.0638297872340426E-3</v>
      </c>
      <c r="AR117" s="48">
        <f t="shared" si="25"/>
        <v>-1.6835016835016835E-2</v>
      </c>
      <c r="AS117" s="48">
        <f t="shared" si="26"/>
        <v>-1.4505119453924915E-2</v>
      </c>
      <c r="AT117" s="48" t="e">
        <f>(#REF!-#REF!)/#REF!</f>
        <v>#REF!</v>
      </c>
    </row>
    <row r="118" spans="1:46" x14ac:dyDescent="0.3">
      <c r="A118" s="48">
        <v>20180622</v>
      </c>
      <c r="B118" s="48" t="s">
        <v>88</v>
      </c>
      <c r="C118" s="79">
        <v>0.4</v>
      </c>
      <c r="D118" s="79">
        <f t="shared" si="27"/>
        <v>0.32072582928922089</v>
      </c>
      <c r="E118" s="49">
        <v>47050</v>
      </c>
      <c r="F118" s="49">
        <v>47250</v>
      </c>
      <c r="G118" s="49">
        <v>6419324700</v>
      </c>
      <c r="H118" s="49">
        <f t="shared" si="28"/>
        <v>0.40707264925330899</v>
      </c>
      <c r="I118" s="49">
        <f t="shared" si="39"/>
        <v>0.40707264925330899</v>
      </c>
      <c r="J118" s="48">
        <v>0.6</v>
      </c>
      <c r="K118" s="48">
        <f t="shared" si="29"/>
        <v>0.67927417071077922</v>
      </c>
      <c r="L118" s="48">
        <v>292000</v>
      </c>
      <c r="M118" s="48">
        <v>295500</v>
      </c>
      <c r="N118" s="51">
        <v>125395903</v>
      </c>
      <c r="O118" s="48">
        <f t="shared" si="30"/>
        <v>7.0572160272718403</v>
      </c>
      <c r="P118" s="48">
        <f t="shared" si="40"/>
        <v>7.0572160272718403</v>
      </c>
      <c r="Q118" s="49">
        <v>0</v>
      </c>
      <c r="R118" s="49">
        <f t="shared" si="31"/>
        <v>0</v>
      </c>
      <c r="S118" s="49">
        <v>231000</v>
      </c>
      <c r="T118" s="49">
        <v>232000</v>
      </c>
      <c r="U118" s="49">
        <v>15956260</v>
      </c>
      <c r="V118" s="49">
        <f t="shared" si="32"/>
        <v>0</v>
      </c>
      <c r="W118" s="49">
        <f t="shared" si="41"/>
        <v>0</v>
      </c>
      <c r="X118" s="48">
        <v>0</v>
      </c>
      <c r="Y118" s="48">
        <f t="shared" si="33"/>
        <v>0</v>
      </c>
      <c r="Z118" s="48">
        <v>0</v>
      </c>
      <c r="AA118" s="48">
        <v>0</v>
      </c>
      <c r="AB118" s="48">
        <v>0</v>
      </c>
      <c r="AC118" s="48">
        <f t="shared" si="34"/>
        <v>0</v>
      </c>
      <c r="AD118" s="48">
        <f t="shared" si="42"/>
        <v>0</v>
      </c>
      <c r="AE118" s="49">
        <v>0</v>
      </c>
      <c r="AF118" s="49">
        <f t="shared" si="35"/>
        <v>0</v>
      </c>
      <c r="AG118" s="49">
        <v>0</v>
      </c>
      <c r="AH118" s="49">
        <v>0</v>
      </c>
      <c r="AI118" s="49">
        <v>0</v>
      </c>
      <c r="AJ118" s="49">
        <f t="shared" si="36"/>
        <v>0</v>
      </c>
      <c r="AK118" s="49">
        <f t="shared" si="43"/>
        <v>0</v>
      </c>
      <c r="AL118" s="82">
        <f t="shared" si="44"/>
        <v>0</v>
      </c>
      <c r="AM118" s="82">
        <f t="shared" si="45"/>
        <v>333304924361493.37</v>
      </c>
      <c r="AN118" s="81">
        <f t="shared" si="37"/>
        <v>384971999972104.37</v>
      </c>
      <c r="AO118" s="80">
        <f t="shared" si="23"/>
        <v>1155.0144382342648</v>
      </c>
      <c r="AP118" s="52">
        <f t="shared" si="38"/>
        <v>9.4923761358574835E-3</v>
      </c>
      <c r="AQ118" s="48">
        <f t="shared" si="24"/>
        <v>4.2507970244420826E-3</v>
      </c>
      <c r="AR118" s="48">
        <f t="shared" si="25"/>
        <v>1.1986301369863013E-2</v>
      </c>
      <c r="AS118" s="48">
        <f t="shared" si="26"/>
        <v>4.329004329004329E-3</v>
      </c>
      <c r="AT118" s="48" t="e">
        <f>(#REF!-#REF!)/#REF!</f>
        <v>#REF!</v>
      </c>
    </row>
    <row r="119" spans="1:46" x14ac:dyDescent="0.3">
      <c r="A119" s="48">
        <v>20180625</v>
      </c>
      <c r="B119" s="48" t="s">
        <v>88</v>
      </c>
      <c r="C119" s="79">
        <v>0.4</v>
      </c>
      <c r="D119" s="79">
        <f t="shared" si="27"/>
        <v>0.31758152065326978</v>
      </c>
      <c r="E119" s="49">
        <v>47250</v>
      </c>
      <c r="F119" s="49">
        <v>46650</v>
      </c>
      <c r="G119" s="49">
        <v>6419324700</v>
      </c>
      <c r="H119" s="49">
        <f t="shared" si="28"/>
        <v>0.40707264925330899</v>
      </c>
      <c r="I119" s="49">
        <f t="shared" si="39"/>
        <v>0.40707264925330899</v>
      </c>
      <c r="J119" s="48">
        <v>0.6</v>
      </c>
      <c r="K119" s="48">
        <f t="shared" si="29"/>
        <v>0.68241847934673017</v>
      </c>
      <c r="L119" s="48">
        <v>295500</v>
      </c>
      <c r="M119" s="48">
        <v>296000</v>
      </c>
      <c r="N119" s="51">
        <v>125395903</v>
      </c>
      <c r="O119" s="48">
        <f t="shared" si="30"/>
        <v>7.0572160272718403</v>
      </c>
      <c r="P119" s="48">
        <f t="shared" si="40"/>
        <v>7.0572160272718403</v>
      </c>
      <c r="Q119" s="49">
        <v>0</v>
      </c>
      <c r="R119" s="49">
        <f t="shared" si="31"/>
        <v>0</v>
      </c>
      <c r="S119" s="49">
        <v>232000</v>
      </c>
      <c r="T119" s="49">
        <v>230900</v>
      </c>
      <c r="U119" s="49">
        <v>15956260</v>
      </c>
      <c r="V119" s="49">
        <f t="shared" si="32"/>
        <v>0</v>
      </c>
      <c r="W119" s="49">
        <f t="shared" si="41"/>
        <v>0</v>
      </c>
      <c r="X119" s="48">
        <v>0</v>
      </c>
      <c r="Y119" s="48">
        <f t="shared" si="33"/>
        <v>0</v>
      </c>
      <c r="Z119" s="48">
        <v>0</v>
      </c>
      <c r="AA119" s="48">
        <v>0</v>
      </c>
      <c r="AB119" s="48">
        <v>0</v>
      </c>
      <c r="AC119" s="48">
        <f t="shared" si="34"/>
        <v>0</v>
      </c>
      <c r="AD119" s="48">
        <f t="shared" si="42"/>
        <v>0</v>
      </c>
      <c r="AE119" s="49">
        <v>0</v>
      </c>
      <c r="AF119" s="49">
        <f t="shared" si="35"/>
        <v>0</v>
      </c>
      <c r="AG119" s="49">
        <v>0</v>
      </c>
      <c r="AH119" s="49">
        <v>0</v>
      </c>
      <c r="AI119" s="49">
        <v>0</v>
      </c>
      <c r="AJ119" s="49">
        <f t="shared" si="36"/>
        <v>0</v>
      </c>
      <c r="AK119" s="49">
        <f t="shared" si="43"/>
        <v>0</v>
      </c>
      <c r="AL119" s="82">
        <f t="shared" si="44"/>
        <v>0</v>
      </c>
      <c r="AM119" s="82">
        <f t="shared" si="45"/>
        <v>333304924361493.37</v>
      </c>
      <c r="AN119" s="81">
        <f t="shared" si="37"/>
        <v>383846594053079.62</v>
      </c>
      <c r="AO119" s="80">
        <f t="shared" si="23"/>
        <v>1151.6379327080392</v>
      </c>
      <c r="AP119" s="52">
        <f t="shared" si="38"/>
        <v>-2.9233448643183032E-3</v>
      </c>
      <c r="AQ119" s="48">
        <f t="shared" si="24"/>
        <v>-1.2698412698412698E-2</v>
      </c>
      <c r="AR119" s="48">
        <f t="shared" si="25"/>
        <v>1.6920473773265651E-3</v>
      </c>
      <c r="AS119" s="48">
        <f t="shared" si="26"/>
        <v>-4.7413793103448275E-3</v>
      </c>
      <c r="AT119" s="48" t="e">
        <f>(#REF!-#REF!)/#REF!</f>
        <v>#REF!</v>
      </c>
    </row>
    <row r="120" spans="1:46" x14ac:dyDescent="0.3">
      <c r="A120" s="48">
        <v>20180626</v>
      </c>
      <c r="B120" s="48" t="s">
        <v>88</v>
      </c>
      <c r="C120" s="79">
        <v>0.4</v>
      </c>
      <c r="D120" s="79">
        <f t="shared" si="27"/>
        <v>0.31557457442815429</v>
      </c>
      <c r="E120" s="49">
        <v>46650</v>
      </c>
      <c r="F120" s="49">
        <v>47000</v>
      </c>
      <c r="G120" s="49">
        <v>6419324700</v>
      </c>
      <c r="H120" s="49">
        <f t="shared" si="28"/>
        <v>0.40707264925330899</v>
      </c>
      <c r="I120" s="49">
        <f t="shared" si="39"/>
        <v>0.40707264925330899</v>
      </c>
      <c r="J120" s="48">
        <v>0.6</v>
      </c>
      <c r="K120" s="48">
        <f t="shared" si="29"/>
        <v>0.68442542557184571</v>
      </c>
      <c r="L120" s="48">
        <v>296000</v>
      </c>
      <c r="M120" s="48">
        <v>301000</v>
      </c>
      <c r="N120" s="51">
        <v>125395903</v>
      </c>
      <c r="O120" s="48">
        <f t="shared" si="30"/>
        <v>7.0572160272718403</v>
      </c>
      <c r="P120" s="48">
        <f t="shared" si="40"/>
        <v>7.0572160272718403</v>
      </c>
      <c r="Q120" s="49">
        <v>0</v>
      </c>
      <c r="R120" s="49">
        <f t="shared" si="31"/>
        <v>0</v>
      </c>
      <c r="S120" s="49">
        <v>230900</v>
      </c>
      <c r="T120" s="49">
        <v>223800</v>
      </c>
      <c r="U120" s="49">
        <v>15956260</v>
      </c>
      <c r="V120" s="49">
        <f t="shared" si="32"/>
        <v>0</v>
      </c>
      <c r="W120" s="49">
        <f t="shared" si="41"/>
        <v>0</v>
      </c>
      <c r="X120" s="48">
        <v>0</v>
      </c>
      <c r="Y120" s="48">
        <f t="shared" si="33"/>
        <v>0</v>
      </c>
      <c r="Z120" s="48">
        <v>0</v>
      </c>
      <c r="AA120" s="48">
        <v>0</v>
      </c>
      <c r="AB120" s="48">
        <v>0</v>
      </c>
      <c r="AC120" s="48">
        <f t="shared" si="34"/>
        <v>0</v>
      </c>
      <c r="AD120" s="48">
        <f t="shared" si="42"/>
        <v>0</v>
      </c>
      <c r="AE120" s="49">
        <v>0</v>
      </c>
      <c r="AF120" s="49">
        <f t="shared" si="35"/>
        <v>0</v>
      </c>
      <c r="AG120" s="49">
        <v>0</v>
      </c>
      <c r="AH120" s="49">
        <v>0</v>
      </c>
      <c r="AI120" s="49">
        <v>0</v>
      </c>
      <c r="AJ120" s="49">
        <f t="shared" si="36"/>
        <v>0</v>
      </c>
      <c r="AK120" s="49">
        <f t="shared" si="43"/>
        <v>0</v>
      </c>
      <c r="AL120" s="82">
        <f t="shared" si="44"/>
        <v>0</v>
      </c>
      <c r="AM120" s="82">
        <f t="shared" si="45"/>
        <v>333304924361493.37</v>
      </c>
      <c r="AN120" s="81">
        <f t="shared" si="37"/>
        <v>389185919964324.87</v>
      </c>
      <c r="AO120" s="80">
        <f t="shared" si="23"/>
        <v>1167.6572757209688</v>
      </c>
      <c r="AP120" s="52">
        <f t="shared" si="38"/>
        <v>1.3910051551758611E-2</v>
      </c>
      <c r="AQ120" s="48">
        <f t="shared" si="24"/>
        <v>7.502679528403001E-3</v>
      </c>
      <c r="AR120" s="48">
        <f t="shared" si="25"/>
        <v>1.6891891891891893E-2</v>
      </c>
      <c r="AS120" s="48">
        <f t="shared" si="26"/>
        <v>-3.0749242096145518E-2</v>
      </c>
      <c r="AT120" s="48" t="e">
        <f>(#REF!-#REF!)/#REF!</f>
        <v>#REF!</v>
      </c>
    </row>
    <row r="121" spans="1:46" x14ac:dyDescent="0.3">
      <c r="A121" s="48">
        <v>20180627</v>
      </c>
      <c r="B121" s="48" t="s">
        <v>88</v>
      </c>
      <c r="C121" s="79">
        <v>0.4</v>
      </c>
      <c r="D121" s="79">
        <f t="shared" si="27"/>
        <v>0.31919141414674712</v>
      </c>
      <c r="E121" s="49">
        <v>47000</v>
      </c>
      <c r="F121" s="49">
        <v>47950</v>
      </c>
      <c r="G121" s="49">
        <v>6419324700</v>
      </c>
      <c r="H121" s="49">
        <f t="shared" si="28"/>
        <v>0.40707264925330899</v>
      </c>
      <c r="I121" s="49">
        <f t="shared" si="39"/>
        <v>0.40707264925330899</v>
      </c>
      <c r="J121" s="48">
        <v>0.6</v>
      </c>
      <c r="K121" s="48">
        <f t="shared" si="29"/>
        <v>0.68080858585325277</v>
      </c>
      <c r="L121" s="48">
        <v>301000</v>
      </c>
      <c r="M121" s="48">
        <v>302000</v>
      </c>
      <c r="N121" s="51">
        <v>125395903</v>
      </c>
      <c r="O121" s="48">
        <f t="shared" si="30"/>
        <v>7.0572160272718403</v>
      </c>
      <c r="P121" s="48">
        <f t="shared" si="40"/>
        <v>7.0572160272718403</v>
      </c>
      <c r="Q121" s="49">
        <v>0</v>
      </c>
      <c r="R121" s="49">
        <f t="shared" si="31"/>
        <v>0</v>
      </c>
      <c r="S121" s="49">
        <v>223800</v>
      </c>
      <c r="T121" s="49">
        <v>227100</v>
      </c>
      <c r="U121" s="49">
        <v>15956260</v>
      </c>
      <c r="V121" s="49">
        <f t="shared" si="32"/>
        <v>0</v>
      </c>
      <c r="W121" s="49">
        <f t="shared" si="41"/>
        <v>0</v>
      </c>
      <c r="X121" s="48">
        <v>0</v>
      </c>
      <c r="Y121" s="48">
        <f t="shared" si="33"/>
        <v>0</v>
      </c>
      <c r="Z121" s="48">
        <v>0</v>
      </c>
      <c r="AA121" s="48">
        <v>0</v>
      </c>
      <c r="AB121" s="48">
        <v>0</v>
      </c>
      <c r="AC121" s="48">
        <f t="shared" si="34"/>
        <v>0</v>
      </c>
      <c r="AD121" s="48">
        <f t="shared" si="42"/>
        <v>0</v>
      </c>
      <c r="AE121" s="49">
        <v>0</v>
      </c>
      <c r="AF121" s="49">
        <f t="shared" si="35"/>
        <v>0</v>
      </c>
      <c r="AG121" s="49">
        <v>0</v>
      </c>
      <c r="AH121" s="49">
        <v>0</v>
      </c>
      <c r="AI121" s="49">
        <v>0</v>
      </c>
      <c r="AJ121" s="49">
        <f t="shared" si="36"/>
        <v>0</v>
      </c>
      <c r="AK121" s="49">
        <f t="shared" si="43"/>
        <v>0</v>
      </c>
      <c r="AL121" s="82">
        <f t="shared" si="44"/>
        <v>0</v>
      </c>
      <c r="AM121" s="82">
        <f t="shared" si="45"/>
        <v>333304924361493.37</v>
      </c>
      <c r="AN121" s="81">
        <f t="shared" si="37"/>
        <v>392553340877174.62</v>
      </c>
      <c r="AO121" s="80">
        <f t="shared" si="23"/>
        <v>1177.7603995175962</v>
      </c>
      <c r="AP121" s="52">
        <f t="shared" si="38"/>
        <v>8.6524736381994038E-3</v>
      </c>
      <c r="AQ121" s="48">
        <f t="shared" si="24"/>
        <v>2.021276595744681E-2</v>
      </c>
      <c r="AR121" s="48">
        <f t="shared" si="25"/>
        <v>3.3222591362126247E-3</v>
      </c>
      <c r="AS121" s="48">
        <f t="shared" si="26"/>
        <v>1.4745308310991957E-2</v>
      </c>
      <c r="AT121" s="48" t="e">
        <f>(#REF!-#REF!)/#REF!</f>
        <v>#REF!</v>
      </c>
    </row>
    <row r="122" spans="1:46" x14ac:dyDescent="0.3">
      <c r="A122" s="48">
        <v>20180628</v>
      </c>
      <c r="B122" s="48" t="s">
        <v>88</v>
      </c>
      <c r="C122" s="79">
        <v>0.4</v>
      </c>
      <c r="D122" s="79">
        <f t="shared" si="27"/>
        <v>0.31681833117264252</v>
      </c>
      <c r="E122" s="49">
        <v>47950</v>
      </c>
      <c r="F122" s="49">
        <v>46800</v>
      </c>
      <c r="G122" s="49">
        <v>6419324700</v>
      </c>
      <c r="H122" s="49">
        <f t="shared" si="28"/>
        <v>0.40707264925330899</v>
      </c>
      <c r="I122" s="49">
        <f t="shared" si="39"/>
        <v>0.40707264925330899</v>
      </c>
      <c r="J122" s="48">
        <v>0.6</v>
      </c>
      <c r="K122" s="48">
        <f t="shared" si="29"/>
        <v>0.68318166882735742</v>
      </c>
      <c r="L122" s="48">
        <v>302000</v>
      </c>
      <c r="M122" s="48">
        <v>298000</v>
      </c>
      <c r="N122" s="51">
        <v>125395903</v>
      </c>
      <c r="O122" s="48">
        <f t="shared" si="30"/>
        <v>7.0572160272718403</v>
      </c>
      <c r="P122" s="48">
        <f t="shared" si="40"/>
        <v>7.0572160272718403</v>
      </c>
      <c r="Q122" s="49">
        <v>0</v>
      </c>
      <c r="R122" s="49">
        <f t="shared" si="31"/>
        <v>0</v>
      </c>
      <c r="S122" s="49">
        <v>227100</v>
      </c>
      <c r="T122" s="49">
        <v>227600</v>
      </c>
      <c r="U122" s="49">
        <v>15956260</v>
      </c>
      <c r="V122" s="49">
        <f t="shared" si="32"/>
        <v>0</v>
      </c>
      <c r="W122" s="49">
        <f t="shared" si="41"/>
        <v>0</v>
      </c>
      <c r="X122" s="48">
        <v>0</v>
      </c>
      <c r="Y122" s="48">
        <f t="shared" si="33"/>
        <v>0</v>
      </c>
      <c r="Z122" s="48">
        <v>0</v>
      </c>
      <c r="AA122" s="48">
        <v>0</v>
      </c>
      <c r="AB122" s="48">
        <v>0</v>
      </c>
      <c r="AC122" s="48">
        <f t="shared" si="34"/>
        <v>0</v>
      </c>
      <c r="AD122" s="48">
        <f t="shared" si="42"/>
        <v>0</v>
      </c>
      <c r="AE122" s="49">
        <v>0</v>
      </c>
      <c r="AF122" s="49">
        <f t="shared" si="35"/>
        <v>0</v>
      </c>
      <c r="AG122" s="49">
        <v>0</v>
      </c>
      <c r="AH122" s="49">
        <v>0</v>
      </c>
      <c r="AI122" s="49">
        <v>0</v>
      </c>
      <c r="AJ122" s="49">
        <f t="shared" si="36"/>
        <v>0</v>
      </c>
      <c r="AK122" s="49">
        <f t="shared" si="43"/>
        <v>0</v>
      </c>
      <c r="AL122" s="82">
        <f t="shared" si="44"/>
        <v>0</v>
      </c>
      <c r="AM122" s="82">
        <f t="shared" si="45"/>
        <v>333304924361493.37</v>
      </c>
      <c r="AN122" s="81">
        <f t="shared" si="37"/>
        <v>386008455732698.19</v>
      </c>
      <c r="AO122" s="80">
        <f t="shared" si="23"/>
        <v>1158.1240705404161</v>
      </c>
      <c r="AP122" s="52">
        <f t="shared" si="38"/>
        <v>-1.6672600798280326E-2</v>
      </c>
      <c r="AQ122" s="48">
        <f t="shared" si="24"/>
        <v>-2.3983315954118872E-2</v>
      </c>
      <c r="AR122" s="48">
        <f t="shared" si="25"/>
        <v>-1.3245033112582781E-2</v>
      </c>
      <c r="AS122" s="48">
        <f t="shared" si="26"/>
        <v>2.2016732716864818E-3</v>
      </c>
      <c r="AT122" s="48" t="e">
        <f>(#REF!-#REF!)/#REF!</f>
        <v>#REF!</v>
      </c>
    </row>
    <row r="123" spans="1:46" x14ac:dyDescent="0.3">
      <c r="A123" s="48">
        <v>20180629</v>
      </c>
      <c r="B123" s="48" t="s">
        <v>88</v>
      </c>
      <c r="C123" s="79">
        <v>0.4</v>
      </c>
      <c r="D123" s="79">
        <f t="shared" si="27"/>
        <v>0.31218355211663568</v>
      </c>
      <c r="E123" s="49">
        <v>46800</v>
      </c>
      <c r="F123" s="49">
        <v>46650</v>
      </c>
      <c r="G123" s="49">
        <v>6419324700</v>
      </c>
      <c r="H123" s="49">
        <f t="shared" si="28"/>
        <v>0.40707264925330899</v>
      </c>
      <c r="I123" s="49">
        <f t="shared" si="39"/>
        <v>0.40707264925330899</v>
      </c>
      <c r="J123" s="48">
        <v>0.6</v>
      </c>
      <c r="K123" s="48">
        <f t="shared" si="29"/>
        <v>0.68781644788336438</v>
      </c>
      <c r="L123" s="48">
        <v>298000</v>
      </c>
      <c r="M123" s="48">
        <v>303500</v>
      </c>
      <c r="N123" s="51">
        <v>125395903</v>
      </c>
      <c r="O123" s="48">
        <f t="shared" si="30"/>
        <v>7.0572160272718403</v>
      </c>
      <c r="P123" s="48">
        <f t="shared" si="40"/>
        <v>7.0572160272718403</v>
      </c>
      <c r="Q123" s="49">
        <v>0</v>
      </c>
      <c r="R123" s="49">
        <f t="shared" si="31"/>
        <v>0</v>
      </c>
      <c r="S123" s="49">
        <v>227600</v>
      </c>
      <c r="T123" s="49">
        <v>235600</v>
      </c>
      <c r="U123" s="49">
        <v>15956260</v>
      </c>
      <c r="V123" s="49">
        <f t="shared" si="32"/>
        <v>0</v>
      </c>
      <c r="W123" s="49">
        <f t="shared" si="41"/>
        <v>0</v>
      </c>
      <c r="X123" s="48">
        <v>0</v>
      </c>
      <c r="Y123" s="48">
        <f t="shared" si="33"/>
        <v>0</v>
      </c>
      <c r="Z123" s="48">
        <v>0</v>
      </c>
      <c r="AA123" s="48">
        <v>0</v>
      </c>
      <c r="AB123" s="48">
        <v>0</v>
      </c>
      <c r="AC123" s="48">
        <f t="shared" si="34"/>
        <v>0</v>
      </c>
      <c r="AD123" s="48">
        <f t="shared" si="42"/>
        <v>0</v>
      </c>
      <c r="AE123" s="49">
        <v>0</v>
      </c>
      <c r="AF123" s="49">
        <f t="shared" si="35"/>
        <v>0</v>
      </c>
      <c r="AG123" s="49">
        <v>0</v>
      </c>
      <c r="AH123" s="49">
        <v>0</v>
      </c>
      <c r="AI123" s="49">
        <v>0</v>
      </c>
      <c r="AJ123" s="49">
        <f t="shared" si="36"/>
        <v>0</v>
      </c>
      <c r="AK123" s="49">
        <f t="shared" si="43"/>
        <v>0</v>
      </c>
      <c r="AL123" s="82">
        <f t="shared" si="44"/>
        <v>0</v>
      </c>
      <c r="AM123" s="82">
        <f t="shared" si="45"/>
        <v>333304924361493.37</v>
      </c>
      <c r="AN123" s="81">
        <f t="shared" si="37"/>
        <v>390483688876123.25</v>
      </c>
      <c r="AO123" s="80">
        <f t="shared" si="23"/>
        <v>1171.55091429917</v>
      </c>
      <c r="AP123" s="52">
        <f t="shared" si="38"/>
        <v>1.1593614276999268E-2</v>
      </c>
      <c r="AQ123" s="48">
        <f t="shared" si="24"/>
        <v>-3.205128205128205E-3</v>
      </c>
      <c r="AR123" s="48">
        <f t="shared" si="25"/>
        <v>1.8456375838926176E-2</v>
      </c>
      <c r="AS123" s="48">
        <f t="shared" si="26"/>
        <v>3.5149384885764502E-2</v>
      </c>
      <c r="AT123" s="48" t="e">
        <f>(#REF!-#REF!)/#REF!</f>
        <v>#REF!</v>
      </c>
    </row>
    <row r="124" spans="1:46" s="129" customFormat="1" x14ac:dyDescent="0.3">
      <c r="A124" s="121">
        <v>20180702</v>
      </c>
      <c r="B124" s="121" t="s">
        <v>89</v>
      </c>
      <c r="C124" s="122">
        <v>0.4</v>
      </c>
      <c r="D124" s="122">
        <f t="shared" si="27"/>
        <v>0.40030757223884039</v>
      </c>
      <c r="E124" s="121">
        <v>46650</v>
      </c>
      <c r="F124" s="121">
        <v>45550</v>
      </c>
      <c r="G124" s="121">
        <v>6419324700</v>
      </c>
      <c r="H124" s="121">
        <f t="shared" si="28"/>
        <v>0.40707264925330899</v>
      </c>
      <c r="I124" s="123">
        <f t="shared" si="39"/>
        <v>0.45585619760779</v>
      </c>
      <c r="J124" s="123">
        <v>0.3</v>
      </c>
      <c r="K124" s="123">
        <f t="shared" si="29"/>
        <v>0.30748103586622205</v>
      </c>
      <c r="L124" s="121">
        <v>303500</v>
      </c>
      <c r="M124" s="121">
        <v>303500</v>
      </c>
      <c r="N124" s="124">
        <v>125395903</v>
      </c>
      <c r="O124" s="121">
        <f t="shared" si="30"/>
        <v>7.0572160272718403</v>
      </c>
      <c r="P124" s="123">
        <f t="shared" si="40"/>
        <v>2.6902217281479599</v>
      </c>
      <c r="Q124" s="123">
        <v>0.3</v>
      </c>
      <c r="R124" s="123">
        <f t="shared" si="31"/>
        <v>0.29221139189493761</v>
      </c>
      <c r="S124" s="121">
        <v>235600</v>
      </c>
      <c r="T124" s="121">
        <v>223900</v>
      </c>
      <c r="U124" s="121">
        <v>15956260</v>
      </c>
      <c r="V124" s="121">
        <f t="shared" si="32"/>
        <v>0</v>
      </c>
      <c r="W124" s="123">
        <f t="shared" si="41"/>
        <v>27.2347710204326</v>
      </c>
      <c r="X124" s="123">
        <v>0</v>
      </c>
      <c r="Y124" s="123">
        <f t="shared" si="33"/>
        <v>0</v>
      </c>
      <c r="Z124" s="123">
        <v>0</v>
      </c>
      <c r="AA124" s="123">
        <v>0</v>
      </c>
      <c r="AB124" s="123">
        <v>0</v>
      </c>
      <c r="AC124" s="121">
        <f t="shared" si="34"/>
        <v>0</v>
      </c>
      <c r="AD124" s="123">
        <f t="shared" si="42"/>
        <v>0</v>
      </c>
      <c r="AE124" s="123">
        <v>0</v>
      </c>
      <c r="AF124" s="123">
        <f t="shared" si="35"/>
        <v>0</v>
      </c>
      <c r="AG124" s="123">
        <v>0</v>
      </c>
      <c r="AH124" s="123">
        <v>0</v>
      </c>
      <c r="AI124" s="123">
        <v>0</v>
      </c>
      <c r="AJ124" s="121">
        <f t="shared" si="36"/>
        <v>0</v>
      </c>
      <c r="AK124" s="123">
        <f t="shared" si="43"/>
        <v>0</v>
      </c>
      <c r="AL124" s="82">
        <f t="shared" si="44"/>
        <v>0</v>
      </c>
      <c r="AM124" s="82">
        <f t="shared" si="45"/>
        <v>291304837464665.44</v>
      </c>
      <c r="AN124" s="126">
        <f t="shared" si="37"/>
        <v>332975119304575.87</v>
      </c>
      <c r="AO124" s="127">
        <f t="shared" si="23"/>
        <v>1143.0469957264781</v>
      </c>
      <c r="AP124" s="128">
        <f t="shared" si="38"/>
        <v>-2.4330072406407634E-2</v>
      </c>
      <c r="AQ124" s="121">
        <f t="shared" si="24"/>
        <v>-2.3579849946409433E-2</v>
      </c>
      <c r="AR124" s="121">
        <f t="shared" si="25"/>
        <v>0</v>
      </c>
      <c r="AS124" s="121">
        <f t="shared" si="26"/>
        <v>-4.9660441426146007E-2</v>
      </c>
      <c r="AT124" s="121" t="e">
        <f>(#REF!-#REF!)/#REF!</f>
        <v>#REF!</v>
      </c>
    </row>
    <row r="125" spans="1:46" s="73" customFormat="1" x14ac:dyDescent="0.3">
      <c r="A125" s="48">
        <v>20180703</v>
      </c>
      <c r="B125" s="48" t="s">
        <v>88</v>
      </c>
      <c r="C125" s="79">
        <v>0.4</v>
      </c>
      <c r="D125" s="79">
        <f t="shared" si="27"/>
        <v>0.40465521669314358</v>
      </c>
      <c r="E125" s="49">
        <v>45550</v>
      </c>
      <c r="F125" s="49">
        <v>46150</v>
      </c>
      <c r="G125" s="49">
        <v>6419324700</v>
      </c>
      <c r="H125" s="49">
        <f t="shared" si="28"/>
        <v>0.45585619760779</v>
      </c>
      <c r="I125" s="49">
        <f t="shared" si="39"/>
        <v>0.45585619760779</v>
      </c>
      <c r="J125" s="48">
        <v>0.3</v>
      </c>
      <c r="K125" s="48">
        <f t="shared" si="29"/>
        <v>0.30627410734622312</v>
      </c>
      <c r="L125" s="48">
        <v>303500</v>
      </c>
      <c r="M125" s="48">
        <v>303000</v>
      </c>
      <c r="N125" s="51">
        <v>125395903</v>
      </c>
      <c r="O125" s="48">
        <f t="shared" si="30"/>
        <v>2.6902217281479599</v>
      </c>
      <c r="P125" s="48">
        <f t="shared" si="40"/>
        <v>2.6902217281479599</v>
      </c>
      <c r="Q125" s="49">
        <v>0.3</v>
      </c>
      <c r="R125" s="49">
        <f t="shared" si="31"/>
        <v>0.28907067596063329</v>
      </c>
      <c r="S125" s="49">
        <v>223900</v>
      </c>
      <c r="T125" s="49">
        <v>222000</v>
      </c>
      <c r="U125" s="49">
        <v>15956260</v>
      </c>
      <c r="V125" s="49">
        <f t="shared" si="32"/>
        <v>27.2347710204326</v>
      </c>
      <c r="W125" s="49">
        <f t="shared" si="41"/>
        <v>27.2347710204326</v>
      </c>
      <c r="X125" s="48">
        <v>0</v>
      </c>
      <c r="Y125" s="48">
        <f t="shared" si="33"/>
        <v>0</v>
      </c>
      <c r="Z125" s="48">
        <v>0</v>
      </c>
      <c r="AA125" s="48">
        <v>0</v>
      </c>
      <c r="AB125" s="48">
        <v>0</v>
      </c>
      <c r="AC125" s="48">
        <f t="shared" si="34"/>
        <v>0</v>
      </c>
      <c r="AD125" s="48">
        <f t="shared" si="42"/>
        <v>0</v>
      </c>
      <c r="AE125" s="49">
        <v>0</v>
      </c>
      <c r="AF125" s="49">
        <f t="shared" si="35"/>
        <v>0</v>
      </c>
      <c r="AG125" s="49">
        <v>0</v>
      </c>
      <c r="AH125" s="49">
        <v>0</v>
      </c>
      <c r="AI125" s="49">
        <v>0</v>
      </c>
      <c r="AJ125" s="49">
        <f t="shared" si="36"/>
        <v>0</v>
      </c>
      <c r="AK125" s="49">
        <f t="shared" si="43"/>
        <v>0</v>
      </c>
      <c r="AL125" s="82">
        <f t="shared" si="44"/>
        <v>0</v>
      </c>
      <c r="AM125" s="82">
        <f t="shared" si="45"/>
        <v>291304837464665.44</v>
      </c>
      <c r="AN125" s="81">
        <f t="shared" si="37"/>
        <v>333736547616370.56</v>
      </c>
      <c r="AO125" s="80">
        <f t="shared" si="23"/>
        <v>1145.6608497167574</v>
      </c>
      <c r="AP125" s="52">
        <f t="shared" si="38"/>
        <v>2.2867423649698664E-3</v>
      </c>
      <c r="AQ125" s="48">
        <f t="shared" si="24"/>
        <v>1.3172338090010977E-2</v>
      </c>
      <c r="AR125" s="48">
        <f t="shared" si="25"/>
        <v>-1.6474464579901153E-3</v>
      </c>
      <c r="AS125" s="48">
        <f t="shared" si="26"/>
        <v>-8.4859312192943279E-3</v>
      </c>
      <c r="AT125" s="48" t="e">
        <f>(#REF!-#REF!)/#REF!</f>
        <v>#REF!</v>
      </c>
    </row>
    <row r="126" spans="1:46" x14ac:dyDescent="0.3">
      <c r="A126" s="48">
        <v>20180704</v>
      </c>
      <c r="B126" s="48" t="s">
        <v>88</v>
      </c>
      <c r="C126" s="79">
        <v>0.4</v>
      </c>
      <c r="D126" s="79">
        <f t="shared" si="27"/>
        <v>0.41347540971555535</v>
      </c>
      <c r="E126" s="49">
        <v>46150</v>
      </c>
      <c r="F126" s="49">
        <v>46250</v>
      </c>
      <c r="G126" s="49">
        <v>6419324700</v>
      </c>
      <c r="H126" s="49">
        <f t="shared" si="28"/>
        <v>0.45585619760779</v>
      </c>
      <c r="I126" s="49">
        <f t="shared" si="39"/>
        <v>0.45585619760779</v>
      </c>
      <c r="J126" s="48">
        <v>0.3</v>
      </c>
      <c r="K126" s="48">
        <f t="shared" si="29"/>
        <v>0.30042130221995977</v>
      </c>
      <c r="L126" s="48">
        <v>303000</v>
      </c>
      <c r="M126" s="48">
        <v>291500</v>
      </c>
      <c r="N126" s="51">
        <v>125395903</v>
      </c>
      <c r="O126" s="48">
        <f t="shared" si="30"/>
        <v>2.6902217281479599</v>
      </c>
      <c r="P126" s="48">
        <f t="shared" si="40"/>
        <v>2.6902217281479599</v>
      </c>
      <c r="Q126" s="49">
        <v>0.3</v>
      </c>
      <c r="R126" s="49">
        <f t="shared" si="31"/>
        <v>0.28610328806448498</v>
      </c>
      <c r="S126" s="49">
        <v>222000</v>
      </c>
      <c r="T126" s="49">
        <v>215500</v>
      </c>
      <c r="U126" s="49">
        <v>15956260</v>
      </c>
      <c r="V126" s="49">
        <f t="shared" si="32"/>
        <v>27.2347710204326</v>
      </c>
      <c r="W126" s="49">
        <f t="shared" si="41"/>
        <v>27.2347710204326</v>
      </c>
      <c r="X126" s="48">
        <v>0</v>
      </c>
      <c r="Y126" s="48">
        <f t="shared" si="33"/>
        <v>0</v>
      </c>
      <c r="Z126" s="48">
        <v>0</v>
      </c>
      <c r="AA126" s="48">
        <v>0</v>
      </c>
      <c r="AB126" s="48">
        <v>0</v>
      </c>
      <c r="AC126" s="48">
        <f t="shared" si="34"/>
        <v>0</v>
      </c>
      <c r="AD126" s="48">
        <f t="shared" si="42"/>
        <v>0</v>
      </c>
      <c r="AE126" s="49">
        <v>0</v>
      </c>
      <c r="AF126" s="49">
        <f t="shared" si="35"/>
        <v>0</v>
      </c>
      <c r="AG126" s="49">
        <v>0</v>
      </c>
      <c r="AH126" s="49">
        <v>0</v>
      </c>
      <c r="AI126" s="49">
        <v>0</v>
      </c>
      <c r="AJ126" s="49">
        <f t="shared" si="36"/>
        <v>0</v>
      </c>
      <c r="AK126" s="49">
        <f t="shared" si="43"/>
        <v>0</v>
      </c>
      <c r="AL126" s="82">
        <f t="shared" si="44"/>
        <v>0</v>
      </c>
      <c r="AM126" s="82">
        <f t="shared" si="45"/>
        <v>291304837464665.44</v>
      </c>
      <c r="AN126" s="81">
        <f t="shared" si="37"/>
        <v>327325061439869.19</v>
      </c>
      <c r="AO126" s="80">
        <f t="shared" si="23"/>
        <v>1123.6513072996013</v>
      </c>
      <c r="AP126" s="52">
        <f t="shared" si="38"/>
        <v>-1.9211219814832252E-2</v>
      </c>
      <c r="AQ126" s="48">
        <f t="shared" si="24"/>
        <v>2.1668472372697724E-3</v>
      </c>
      <c r="AR126" s="48">
        <f t="shared" si="25"/>
        <v>-3.7953795379537955E-2</v>
      </c>
      <c r="AS126" s="48">
        <f t="shared" si="26"/>
        <v>-2.9279279279279279E-2</v>
      </c>
      <c r="AT126" s="48" t="e">
        <f>(#REF!-#REF!)/#REF!</f>
        <v>#REF!</v>
      </c>
    </row>
    <row r="127" spans="1:46" x14ac:dyDescent="0.3">
      <c r="A127" s="48">
        <v>20180705</v>
      </c>
      <c r="B127" s="48" t="s">
        <v>88</v>
      </c>
      <c r="C127" s="79">
        <v>0.4</v>
      </c>
      <c r="D127" s="79">
        <f t="shared" si="27"/>
        <v>0.41953517284703584</v>
      </c>
      <c r="E127" s="49">
        <v>46250</v>
      </c>
      <c r="F127" s="49">
        <v>45950</v>
      </c>
      <c r="G127" s="49">
        <v>6419324700</v>
      </c>
      <c r="H127" s="49">
        <f t="shared" si="28"/>
        <v>0.45585619760779</v>
      </c>
      <c r="I127" s="49">
        <f t="shared" si="39"/>
        <v>0.45585619760779</v>
      </c>
      <c r="J127" s="48">
        <v>0.3</v>
      </c>
      <c r="K127" s="48">
        <f t="shared" si="29"/>
        <v>0.29681523283964584</v>
      </c>
      <c r="L127" s="48">
        <v>291500</v>
      </c>
      <c r="M127" s="48">
        <v>282000</v>
      </c>
      <c r="N127" s="51">
        <v>125395903</v>
      </c>
      <c r="O127" s="48">
        <f t="shared" si="30"/>
        <v>2.6902217281479599</v>
      </c>
      <c r="P127" s="48">
        <f t="shared" si="40"/>
        <v>2.6902217281479599</v>
      </c>
      <c r="Q127" s="49">
        <v>0.3</v>
      </c>
      <c r="R127" s="49">
        <f t="shared" si="31"/>
        <v>0.28364959431331827</v>
      </c>
      <c r="S127" s="49">
        <v>215500</v>
      </c>
      <c r="T127" s="49">
        <v>209200</v>
      </c>
      <c r="U127" s="49">
        <v>15956260</v>
      </c>
      <c r="V127" s="49">
        <f t="shared" si="32"/>
        <v>27.2347710204326</v>
      </c>
      <c r="W127" s="49">
        <f t="shared" si="41"/>
        <v>27.2347710204326</v>
      </c>
      <c r="X127" s="48">
        <v>0</v>
      </c>
      <c r="Y127" s="48">
        <f t="shared" si="33"/>
        <v>0</v>
      </c>
      <c r="Z127" s="48">
        <v>0</v>
      </c>
      <c r="AA127" s="48">
        <v>0</v>
      </c>
      <c r="AB127" s="48">
        <v>0</v>
      </c>
      <c r="AC127" s="48">
        <f t="shared" si="34"/>
        <v>0</v>
      </c>
      <c r="AD127" s="48">
        <f t="shared" si="42"/>
        <v>0</v>
      </c>
      <c r="AE127" s="49">
        <v>0</v>
      </c>
      <c r="AF127" s="49">
        <f t="shared" si="35"/>
        <v>0</v>
      </c>
      <c r="AG127" s="49">
        <v>0</v>
      </c>
      <c r="AH127" s="49">
        <v>0</v>
      </c>
      <c r="AI127" s="49">
        <v>0</v>
      </c>
      <c r="AJ127" s="49">
        <f t="shared" si="36"/>
        <v>0</v>
      </c>
      <c r="AK127" s="49">
        <f t="shared" si="43"/>
        <v>0</v>
      </c>
      <c r="AL127" s="82">
        <f t="shared" si="44"/>
        <v>0</v>
      </c>
      <c r="AM127" s="82">
        <f t="shared" si="45"/>
        <v>291304837464665.44</v>
      </c>
      <c r="AN127" s="81">
        <f t="shared" si="37"/>
        <v>320504658267018.37</v>
      </c>
      <c r="AO127" s="80">
        <f t="shared" si="23"/>
        <v>1100.2380223290827</v>
      </c>
      <c r="AP127" s="52">
        <f t="shared" si="38"/>
        <v>-2.0836788795971079E-2</v>
      </c>
      <c r="AQ127" s="48">
        <f t="shared" si="24"/>
        <v>-6.4864864864864862E-3</v>
      </c>
      <c r="AR127" s="48">
        <f t="shared" si="25"/>
        <v>-3.2590051457975985E-2</v>
      </c>
      <c r="AS127" s="48">
        <f t="shared" si="26"/>
        <v>-2.923433874709977E-2</v>
      </c>
      <c r="AT127" s="48" t="e">
        <f>(#REF!-#REF!)/#REF!</f>
        <v>#REF!</v>
      </c>
    </row>
    <row r="128" spans="1:46" x14ac:dyDescent="0.3">
      <c r="A128" s="48">
        <v>20180706</v>
      </c>
      <c r="B128" s="48" t="s">
        <v>88</v>
      </c>
      <c r="C128" s="79">
        <v>0.4</v>
      </c>
      <c r="D128" s="79">
        <f t="shared" si="27"/>
        <v>0.40628425498590703</v>
      </c>
      <c r="E128" s="49">
        <v>45950</v>
      </c>
      <c r="F128" s="49">
        <v>44900</v>
      </c>
      <c r="G128" s="49">
        <v>6419324700</v>
      </c>
      <c r="H128" s="49">
        <f t="shared" si="28"/>
        <v>0.45585619760779</v>
      </c>
      <c r="I128" s="49">
        <f t="shared" si="39"/>
        <v>0.45585619760779</v>
      </c>
      <c r="J128" s="48">
        <v>0.3</v>
      </c>
      <c r="K128" s="48">
        <f t="shared" si="29"/>
        <v>0.30198573968122233</v>
      </c>
      <c r="L128" s="48">
        <v>282000</v>
      </c>
      <c r="M128" s="48">
        <v>289500</v>
      </c>
      <c r="N128" s="51">
        <v>125395903</v>
      </c>
      <c r="O128" s="48">
        <f t="shared" si="30"/>
        <v>2.6902217281479599</v>
      </c>
      <c r="P128" s="48">
        <f t="shared" si="40"/>
        <v>2.6902217281479599</v>
      </c>
      <c r="Q128" s="49">
        <v>0.3</v>
      </c>
      <c r="R128" s="49">
        <f t="shared" si="31"/>
        <v>0.29173000533287069</v>
      </c>
      <c r="S128" s="49">
        <v>209200</v>
      </c>
      <c r="T128" s="49">
        <v>217100</v>
      </c>
      <c r="U128" s="49">
        <v>15956260</v>
      </c>
      <c r="V128" s="49">
        <f t="shared" si="32"/>
        <v>27.2347710204326</v>
      </c>
      <c r="W128" s="49">
        <f t="shared" si="41"/>
        <v>27.2347710204326</v>
      </c>
      <c r="X128" s="48">
        <v>0</v>
      </c>
      <c r="Y128" s="48">
        <f t="shared" si="33"/>
        <v>0</v>
      </c>
      <c r="Z128" s="48">
        <v>0</v>
      </c>
      <c r="AA128" s="48">
        <v>0</v>
      </c>
      <c r="AB128" s="48">
        <v>0</v>
      </c>
      <c r="AC128" s="48">
        <f t="shared" si="34"/>
        <v>0</v>
      </c>
      <c r="AD128" s="48">
        <f t="shared" si="42"/>
        <v>0</v>
      </c>
      <c r="AE128" s="49">
        <v>0</v>
      </c>
      <c r="AF128" s="49">
        <f t="shared" si="35"/>
        <v>0</v>
      </c>
      <c r="AG128" s="49">
        <v>0</v>
      </c>
      <c r="AH128" s="49">
        <v>0</v>
      </c>
      <c r="AI128" s="49">
        <v>0</v>
      </c>
      <c r="AJ128" s="49">
        <f t="shared" si="36"/>
        <v>0</v>
      </c>
      <c r="AK128" s="49">
        <f t="shared" si="43"/>
        <v>0</v>
      </c>
      <c r="AL128" s="82">
        <f t="shared" si="44"/>
        <v>0</v>
      </c>
      <c r="AM128" s="82">
        <f t="shared" si="45"/>
        <v>291304837464665.44</v>
      </c>
      <c r="AN128" s="81">
        <f t="shared" si="37"/>
        <v>323395189932949.62</v>
      </c>
      <c r="AO128" s="80">
        <f t="shared" si="23"/>
        <v>1110.1607262947589</v>
      </c>
      <c r="AP128" s="52">
        <f t="shared" si="38"/>
        <v>9.0186884694921921E-3</v>
      </c>
      <c r="AQ128" s="48">
        <f t="shared" si="24"/>
        <v>-2.2850924918389554E-2</v>
      </c>
      <c r="AR128" s="48">
        <f t="shared" si="25"/>
        <v>2.6595744680851064E-2</v>
      </c>
      <c r="AS128" s="48">
        <f t="shared" si="26"/>
        <v>3.7762906309751432E-2</v>
      </c>
      <c r="AT128" s="48" t="e">
        <f>(#REF!-#REF!)/#REF!</f>
        <v>#REF!</v>
      </c>
    </row>
    <row r="129" spans="1:46" x14ac:dyDescent="0.3">
      <c r="A129" s="48">
        <v>20180709</v>
      </c>
      <c r="B129" s="48" t="s">
        <v>88</v>
      </c>
      <c r="C129" s="79">
        <v>0.4</v>
      </c>
      <c r="D129" s="79">
        <f t="shared" si="27"/>
        <v>0.40604666761274177</v>
      </c>
      <c r="E129" s="49">
        <v>44900</v>
      </c>
      <c r="F129" s="49">
        <v>45600</v>
      </c>
      <c r="G129" s="49">
        <v>6419324700</v>
      </c>
      <c r="H129" s="49">
        <f t="shared" si="28"/>
        <v>0.45585619760779</v>
      </c>
      <c r="I129" s="49">
        <f t="shared" si="39"/>
        <v>0.45585619760779</v>
      </c>
      <c r="J129" s="48">
        <v>0.3</v>
      </c>
      <c r="K129" s="48">
        <f t="shared" si="29"/>
        <v>0.29153027619299865</v>
      </c>
      <c r="L129" s="48">
        <v>289500</v>
      </c>
      <c r="M129" s="48">
        <v>284000</v>
      </c>
      <c r="N129" s="51">
        <v>125395903</v>
      </c>
      <c r="O129" s="48">
        <f t="shared" si="30"/>
        <v>2.6902217281479599</v>
      </c>
      <c r="P129" s="48">
        <f t="shared" si="40"/>
        <v>2.6902217281479599</v>
      </c>
      <c r="Q129" s="49">
        <v>0.3</v>
      </c>
      <c r="R129" s="49">
        <f t="shared" si="31"/>
        <v>0.30242305619425952</v>
      </c>
      <c r="S129" s="49">
        <v>217100</v>
      </c>
      <c r="T129" s="49">
        <v>228700</v>
      </c>
      <c r="U129" s="49">
        <v>15956260</v>
      </c>
      <c r="V129" s="49">
        <f t="shared" si="32"/>
        <v>27.2347710204326</v>
      </c>
      <c r="W129" s="49">
        <f t="shared" si="41"/>
        <v>27.2347710204326</v>
      </c>
      <c r="X129" s="48">
        <v>0</v>
      </c>
      <c r="Y129" s="48">
        <f t="shared" si="33"/>
        <v>0</v>
      </c>
      <c r="Z129" s="48">
        <v>0</v>
      </c>
      <c r="AA129" s="48">
        <v>0</v>
      </c>
      <c r="AB129" s="48">
        <v>0</v>
      </c>
      <c r="AC129" s="48">
        <f t="shared" si="34"/>
        <v>0</v>
      </c>
      <c r="AD129" s="48">
        <f t="shared" si="42"/>
        <v>0</v>
      </c>
      <c r="AE129" s="49">
        <v>0</v>
      </c>
      <c r="AF129" s="49">
        <f t="shared" si="35"/>
        <v>0</v>
      </c>
      <c r="AG129" s="49">
        <v>0</v>
      </c>
      <c r="AH129" s="49">
        <v>0</v>
      </c>
      <c r="AI129" s="49">
        <v>0</v>
      </c>
      <c r="AJ129" s="49">
        <f t="shared" si="36"/>
        <v>0</v>
      </c>
      <c r="AK129" s="49">
        <f t="shared" si="43"/>
        <v>0</v>
      </c>
      <c r="AL129" s="82">
        <f t="shared" si="44"/>
        <v>0</v>
      </c>
      <c r="AM129" s="82">
        <f t="shared" si="45"/>
        <v>291304837464665.44</v>
      </c>
      <c r="AN129" s="81">
        <f t="shared" si="37"/>
        <v>328629161905756.44</v>
      </c>
      <c r="AO129" s="80">
        <f t="shared" si="23"/>
        <v>1128.1280625681966</v>
      </c>
      <c r="AP129" s="52">
        <f t="shared" si="38"/>
        <v>1.6184445952618923E-2</v>
      </c>
      <c r="AQ129" s="48">
        <f t="shared" si="24"/>
        <v>1.5590200445434299E-2</v>
      </c>
      <c r="AR129" s="48">
        <f t="shared" si="25"/>
        <v>-1.8998272884283247E-2</v>
      </c>
      <c r="AS129" s="48">
        <f t="shared" si="26"/>
        <v>5.3431598341777985E-2</v>
      </c>
      <c r="AT129" s="48" t="e">
        <f>(#REF!-#REF!)/#REF!</f>
        <v>#REF!</v>
      </c>
    </row>
    <row r="130" spans="1:46" x14ac:dyDescent="0.3">
      <c r="A130" s="48">
        <v>20180710</v>
      </c>
      <c r="B130" s="48" t="s">
        <v>88</v>
      </c>
      <c r="C130" s="79">
        <v>0.4</v>
      </c>
      <c r="D130" s="79">
        <f t="shared" si="27"/>
        <v>0.40974147182621262</v>
      </c>
      <c r="E130" s="49">
        <v>45600</v>
      </c>
      <c r="F130" s="49">
        <v>46300</v>
      </c>
      <c r="G130" s="49">
        <v>6419324700</v>
      </c>
      <c r="H130" s="49">
        <f t="shared" si="28"/>
        <v>0.45585619760779</v>
      </c>
      <c r="I130" s="49">
        <f t="shared" si="39"/>
        <v>0.45585619760779</v>
      </c>
      <c r="J130" s="48">
        <v>0.3</v>
      </c>
      <c r="K130" s="48">
        <f t="shared" si="29"/>
        <v>0.28667476691948912</v>
      </c>
      <c r="L130" s="48">
        <v>284000</v>
      </c>
      <c r="M130" s="48">
        <v>281000</v>
      </c>
      <c r="N130" s="51">
        <v>125395903</v>
      </c>
      <c r="O130" s="48">
        <f t="shared" si="30"/>
        <v>2.6902217281479599</v>
      </c>
      <c r="P130" s="48">
        <f t="shared" si="40"/>
        <v>2.6902217281479599</v>
      </c>
      <c r="Q130" s="49">
        <v>0.3</v>
      </c>
      <c r="R130" s="49">
        <f t="shared" si="31"/>
        <v>0.30358376125429826</v>
      </c>
      <c r="S130" s="49">
        <v>228700</v>
      </c>
      <c r="T130" s="49">
        <v>231000</v>
      </c>
      <c r="U130" s="49">
        <v>15956260</v>
      </c>
      <c r="V130" s="49">
        <f t="shared" si="32"/>
        <v>27.2347710204326</v>
      </c>
      <c r="W130" s="49">
        <f t="shared" si="41"/>
        <v>27.2347710204326</v>
      </c>
      <c r="X130" s="48">
        <v>0</v>
      </c>
      <c r="Y130" s="48">
        <f t="shared" si="33"/>
        <v>0</v>
      </c>
      <c r="Z130" s="48">
        <v>0</v>
      </c>
      <c r="AA130" s="48">
        <v>0</v>
      </c>
      <c r="AB130" s="48">
        <v>0</v>
      </c>
      <c r="AC130" s="48">
        <f t="shared" si="34"/>
        <v>0</v>
      </c>
      <c r="AD130" s="48">
        <f t="shared" si="42"/>
        <v>0</v>
      </c>
      <c r="AE130" s="49">
        <v>0</v>
      </c>
      <c r="AF130" s="49">
        <f t="shared" si="35"/>
        <v>0</v>
      </c>
      <c r="AG130" s="49">
        <v>0</v>
      </c>
      <c r="AH130" s="49">
        <v>0</v>
      </c>
      <c r="AI130" s="49">
        <v>0</v>
      </c>
      <c r="AJ130" s="49">
        <f t="shared" si="36"/>
        <v>0</v>
      </c>
      <c r="AK130" s="49">
        <f t="shared" si="43"/>
        <v>0</v>
      </c>
      <c r="AL130" s="82">
        <f t="shared" si="44"/>
        <v>0</v>
      </c>
      <c r="AM130" s="82">
        <f t="shared" si="45"/>
        <v>291304837464665.44</v>
      </c>
      <c r="AN130" s="81">
        <f t="shared" si="37"/>
        <v>330665035522526.37</v>
      </c>
      <c r="AO130" s="80">
        <f t="shared" si="23"/>
        <v>1135.1168706995304</v>
      </c>
      <c r="AP130" s="52">
        <f t="shared" si="38"/>
        <v>6.1950485616178398E-3</v>
      </c>
      <c r="AQ130" s="48">
        <f t="shared" si="24"/>
        <v>1.5350877192982455E-2</v>
      </c>
      <c r="AR130" s="48">
        <f t="shared" si="25"/>
        <v>-1.0563380281690141E-2</v>
      </c>
      <c r="AS130" s="48">
        <f t="shared" si="26"/>
        <v>1.0056843025797988E-2</v>
      </c>
      <c r="AT130" s="48" t="e">
        <f>(#REF!-#REF!)/#REF!</f>
        <v>#REF!</v>
      </c>
    </row>
    <row r="131" spans="1:46" x14ac:dyDescent="0.3">
      <c r="A131" s="48">
        <v>20180711</v>
      </c>
      <c r="B131" s="48" t="s">
        <v>88</v>
      </c>
      <c r="C131" s="79">
        <v>0.4</v>
      </c>
      <c r="D131" s="79">
        <f t="shared" si="27"/>
        <v>0.41224066061479514</v>
      </c>
      <c r="E131" s="49">
        <v>46300</v>
      </c>
      <c r="F131" s="49">
        <v>46000</v>
      </c>
      <c r="G131" s="49">
        <v>6419324700</v>
      </c>
      <c r="H131" s="49">
        <f t="shared" si="28"/>
        <v>0.45585619760779</v>
      </c>
      <c r="I131" s="49">
        <f t="shared" si="39"/>
        <v>0.45585619760779</v>
      </c>
      <c r="J131" s="48">
        <v>0.3</v>
      </c>
      <c r="K131" s="48">
        <f t="shared" si="29"/>
        <v>0.28565533889523859</v>
      </c>
      <c r="L131" s="48">
        <v>281000</v>
      </c>
      <c r="M131" s="48">
        <v>276500</v>
      </c>
      <c r="N131" s="51">
        <v>125395903</v>
      </c>
      <c r="O131" s="48">
        <f t="shared" si="30"/>
        <v>2.6902217281479599</v>
      </c>
      <c r="P131" s="48">
        <f t="shared" si="40"/>
        <v>2.6902217281479599</v>
      </c>
      <c r="Q131" s="49">
        <v>0.3</v>
      </c>
      <c r="R131" s="49">
        <f t="shared" si="31"/>
        <v>0.30210400048996633</v>
      </c>
      <c r="S131" s="49">
        <v>231000</v>
      </c>
      <c r="T131" s="49">
        <v>227000</v>
      </c>
      <c r="U131" s="49">
        <v>15956260</v>
      </c>
      <c r="V131" s="49">
        <f t="shared" si="32"/>
        <v>27.2347710204326</v>
      </c>
      <c r="W131" s="49">
        <f t="shared" si="41"/>
        <v>27.2347710204326</v>
      </c>
      <c r="X131" s="48">
        <v>0</v>
      </c>
      <c r="Y131" s="48">
        <f t="shared" si="33"/>
        <v>0</v>
      </c>
      <c r="Z131" s="48">
        <v>0</v>
      </c>
      <c r="AA131" s="48">
        <v>0</v>
      </c>
      <c r="AB131" s="48">
        <v>0</v>
      </c>
      <c r="AC131" s="48">
        <f t="shared" si="34"/>
        <v>0</v>
      </c>
      <c r="AD131" s="48">
        <f t="shared" si="42"/>
        <v>0</v>
      </c>
      <c r="AE131" s="49">
        <v>0</v>
      </c>
      <c r="AF131" s="49">
        <f t="shared" si="35"/>
        <v>0</v>
      </c>
      <c r="AG131" s="49">
        <v>0</v>
      </c>
      <c r="AH131" s="49">
        <v>0</v>
      </c>
      <c r="AI131" s="49">
        <v>0</v>
      </c>
      <c r="AJ131" s="49">
        <f t="shared" si="36"/>
        <v>0</v>
      </c>
      <c r="AK131" s="49">
        <f t="shared" si="43"/>
        <v>0</v>
      </c>
      <c r="AL131" s="82">
        <f t="shared" si="44"/>
        <v>0</v>
      </c>
      <c r="AM131" s="82">
        <f t="shared" si="45"/>
        <v>291304837464665.44</v>
      </c>
      <c r="AN131" s="81">
        <f t="shared" si="37"/>
        <v>326530845965149.87</v>
      </c>
      <c r="AO131" s="80">
        <f t="shared" ref="AO131:AO194" si="46">AN131/AM131*1000</f>
        <v>1120.9249005511531</v>
      </c>
      <c r="AP131" s="52">
        <f t="shared" si="38"/>
        <v>-1.2502651061499366E-2</v>
      </c>
      <c r="AQ131" s="48">
        <f t="shared" ref="AQ131:AQ194" si="47">(F131-E131)/E131</f>
        <v>-6.4794816414686825E-3</v>
      </c>
      <c r="AR131" s="48">
        <f t="shared" ref="AR131:AR194" si="48">(M131-L131)/L131</f>
        <v>-1.601423487544484E-2</v>
      </c>
      <c r="AS131" s="48">
        <f t="shared" ref="AS131:AS194" si="49">(T131-S131)/S131</f>
        <v>-1.7316017316017316E-2</v>
      </c>
      <c r="AT131" s="48" t="e">
        <f>(#REF!-#REF!)/#REF!</f>
        <v>#REF!</v>
      </c>
    </row>
    <row r="132" spans="1:46" x14ac:dyDescent="0.3">
      <c r="A132" s="48">
        <v>20180712</v>
      </c>
      <c r="B132" s="48" t="s">
        <v>88</v>
      </c>
      <c r="C132" s="79">
        <v>0.4</v>
      </c>
      <c r="D132" s="79">
        <f t="shared" ref="D132:D195" si="50">F132*G132*I132/AN132</f>
        <v>0.40412390876940785</v>
      </c>
      <c r="E132" s="49">
        <v>46000</v>
      </c>
      <c r="F132" s="49">
        <v>45500</v>
      </c>
      <c r="G132" s="49">
        <v>6419324700</v>
      </c>
      <c r="H132" s="49">
        <f t="shared" ref="H132:H195" si="51">I131</f>
        <v>0.45585619760779</v>
      </c>
      <c r="I132" s="49">
        <f t="shared" si="39"/>
        <v>0.45585619760779</v>
      </c>
      <c r="J132" s="48">
        <v>0.3</v>
      </c>
      <c r="K132" s="48">
        <f t="shared" ref="K132:K195" si="52">M132*N132*P132/AN132</f>
        <v>0.29488307868450908</v>
      </c>
      <c r="L132" s="48">
        <v>276500</v>
      </c>
      <c r="M132" s="48">
        <v>288000</v>
      </c>
      <c r="N132" s="51">
        <v>125395903</v>
      </c>
      <c r="O132" s="48">
        <f t="shared" ref="O132:O195" si="53">P131</f>
        <v>2.6902217281479599</v>
      </c>
      <c r="P132" s="48">
        <f t="shared" si="40"/>
        <v>2.6902217281479599</v>
      </c>
      <c r="Q132" s="49">
        <v>0.3</v>
      </c>
      <c r="R132" s="49">
        <f t="shared" ref="R132:R195" si="54">T132*U132*W132/AN132</f>
        <v>0.30099301254608313</v>
      </c>
      <c r="S132" s="49">
        <v>227000</v>
      </c>
      <c r="T132" s="49">
        <v>228200</v>
      </c>
      <c r="U132" s="49">
        <v>15956260</v>
      </c>
      <c r="V132" s="49">
        <f t="shared" ref="V132:V195" si="55">W131</f>
        <v>27.2347710204326</v>
      </c>
      <c r="W132" s="49">
        <f t="shared" si="41"/>
        <v>27.2347710204326</v>
      </c>
      <c r="X132" s="48">
        <v>0</v>
      </c>
      <c r="Y132" s="48">
        <f t="shared" ref="Y132:Y195" si="56">AA132*AB132*AD132/AN132</f>
        <v>0</v>
      </c>
      <c r="Z132" s="48">
        <v>0</v>
      </c>
      <c r="AA132" s="48">
        <v>0</v>
      </c>
      <c r="AB132" s="48">
        <v>0</v>
      </c>
      <c r="AC132" s="48">
        <f t="shared" ref="AC132:AC195" si="57">AD131</f>
        <v>0</v>
      </c>
      <c r="AD132" s="48">
        <f t="shared" si="42"/>
        <v>0</v>
      </c>
      <c r="AE132" s="49">
        <v>0</v>
      </c>
      <c r="AF132" s="49">
        <f t="shared" ref="AF132:AF195" si="58">AH132*AI132*AK132/AN132</f>
        <v>0</v>
      </c>
      <c r="AG132" s="49">
        <v>0</v>
      </c>
      <c r="AH132" s="49">
        <v>0</v>
      </c>
      <c r="AI132" s="49">
        <v>0</v>
      </c>
      <c r="AJ132" s="49">
        <f t="shared" ref="AJ132:AJ195" si="59">AK131</f>
        <v>0</v>
      </c>
      <c r="AK132" s="49">
        <f t="shared" si="43"/>
        <v>0</v>
      </c>
      <c r="AL132" s="82">
        <f t="shared" si="44"/>
        <v>0</v>
      </c>
      <c r="AM132" s="82">
        <f t="shared" si="45"/>
        <v>291304837464665.44</v>
      </c>
      <c r="AN132" s="81">
        <f t="shared" ref="AN132:AN195" si="60">F132*G132*I132+M132*N132*P132+T132*U132*W132+AA132*AB132*AD132+AH132*AI132*AK132</f>
        <v>329468621598625.31</v>
      </c>
      <c r="AO132" s="80">
        <f t="shared" si="46"/>
        <v>1131.009785028335</v>
      </c>
      <c r="AP132" s="52">
        <f t="shared" ref="AP132:AP195" si="61">(AO132-AO131)/AO131</f>
        <v>8.9969314378004015E-3</v>
      </c>
      <c r="AQ132" s="48">
        <f t="shared" si="47"/>
        <v>-1.0869565217391304E-2</v>
      </c>
      <c r="AR132" s="48">
        <f t="shared" si="48"/>
        <v>4.1591320072332731E-2</v>
      </c>
      <c r="AS132" s="48">
        <f t="shared" si="49"/>
        <v>5.2863436123348016E-3</v>
      </c>
      <c r="AT132" s="48" t="e">
        <f>(#REF!-#REF!)/#REF!</f>
        <v>#REF!</v>
      </c>
    </row>
    <row r="133" spans="1:46" x14ac:dyDescent="0.3">
      <c r="A133" s="48">
        <v>20180713</v>
      </c>
      <c r="B133" s="48" t="s">
        <v>88</v>
      </c>
      <c r="C133" s="79">
        <v>0.4</v>
      </c>
      <c r="D133" s="79">
        <f t="shared" si="50"/>
        <v>0.40549976772351431</v>
      </c>
      <c r="E133" s="49">
        <v>45500</v>
      </c>
      <c r="F133" s="49">
        <v>46500</v>
      </c>
      <c r="G133" s="49">
        <v>6419324700</v>
      </c>
      <c r="H133" s="49">
        <f t="shared" si="51"/>
        <v>0.45585619760779</v>
      </c>
      <c r="I133" s="49">
        <f t="shared" ref="I133:I196" si="62">IF(B133="Y",ROUND(C133*(E133*G133+L133*N133+S133*U133+Z133*AB133+AG133*AI133)/(E133*G133),17),IF(AL133=0,H133,ROUND(F132*G132*I132/AN132*(E133*G133+L133*N133+S133*U133+Z133*AB133+AG133*AI133)/(E133*G133),17)))</f>
        <v>0.45585619760779</v>
      </c>
      <c r="J133" s="48">
        <v>0.3</v>
      </c>
      <c r="K133" s="48">
        <f t="shared" si="52"/>
        <v>0.28952386030286198</v>
      </c>
      <c r="L133" s="48">
        <v>288000</v>
      </c>
      <c r="M133" s="48">
        <v>288000</v>
      </c>
      <c r="N133" s="51">
        <v>125395903</v>
      </c>
      <c r="O133" s="48">
        <f t="shared" si="53"/>
        <v>2.6902217281479599</v>
      </c>
      <c r="P133" s="48">
        <f t="shared" ref="P133:P196" si="63">IF(B133="Y",ROUND(J133*(E133*G133+L133*N133+S133*U133+Z133*AB133+AG133*AI133)/(L133*N133),17),IF(AL133=0,O133,ROUND(M132*N132*P132/AN132*(E133*G133+L133*N133+S133*U133+Z133*AB133+AG133*AI133)/(L133*N133),17)))</f>
        <v>2.6902217281479599</v>
      </c>
      <c r="Q133" s="49">
        <v>0.3</v>
      </c>
      <c r="R133" s="49">
        <f t="shared" si="54"/>
        <v>0.30497637197362365</v>
      </c>
      <c r="S133" s="49">
        <v>228200</v>
      </c>
      <c r="T133" s="49">
        <v>235500</v>
      </c>
      <c r="U133" s="49">
        <v>15956260</v>
      </c>
      <c r="V133" s="49">
        <f t="shared" si="55"/>
        <v>27.2347710204326</v>
      </c>
      <c r="W133" s="49">
        <f t="shared" ref="W133:W196" si="64">IF(B133="Y",ROUND(Q133*(E133*G133+L133*N133+S133*U133+Z133*AB133+AG133*AI133)/(S133*U133),17),IF(AL133=0,V133,ROUND(T132*U132*W132/AN132*(E133*G133+L133*N133+S133*U133+Z133*AB133+AG133*AI133)/(S133*U133),17)))</f>
        <v>27.2347710204326</v>
      </c>
      <c r="X133" s="48">
        <v>0</v>
      </c>
      <c r="Y133" s="48">
        <f t="shared" si="56"/>
        <v>0</v>
      </c>
      <c r="Z133" s="48">
        <v>0</v>
      </c>
      <c r="AA133" s="48">
        <v>0</v>
      </c>
      <c r="AB133" s="48">
        <v>0</v>
      </c>
      <c r="AC133" s="48">
        <f t="shared" si="57"/>
        <v>0</v>
      </c>
      <c r="AD133" s="48">
        <f t="shared" ref="AD133:AD196" si="65">IFERROR(IF(B133="Y",ROUND(X133*(E133*G133+L133*N133+S133*U133+Z133*AB133+AG133*AI133)/(Z133*AB133),17),IF(AL133=0,AC133,ROUND(AA132*AB132*AD132/AN132*(E133*G133+L133*N133+S133*U133+Z133*AB133+AG133*AI133)/(Z133*AB133),17))),0)</f>
        <v>0</v>
      </c>
      <c r="AE133" s="49">
        <v>0</v>
      </c>
      <c r="AF133" s="49">
        <f t="shared" si="58"/>
        <v>0</v>
      </c>
      <c r="AG133" s="49">
        <v>0</v>
      </c>
      <c r="AH133" s="49">
        <v>0</v>
      </c>
      <c r="AI133" s="49">
        <v>0</v>
      </c>
      <c r="AJ133" s="49">
        <f t="shared" si="59"/>
        <v>0</v>
      </c>
      <c r="AK133" s="49">
        <f t="shared" ref="AK133:AK196" si="66">IFERROR(IF(B133="Y",ROUND(AE133*(E133*G133+L133*N133+S133*U133+Z133*AB133+AG133*AI133)/(AG133*AI133),17),IF(AL133=0,AJ133,ROUND(AH132*AI132*AK132/AN132*(E133*G133+L133*N133+S133*U133+Z133*AB133+AG133*AI133)/(AG133*AI133),17))),0)</f>
        <v>0</v>
      </c>
      <c r="AL133" s="82">
        <f t="shared" ref="AL133:AL196" si="67">IF(AN132&lt;&gt;(E133*G133*H133+L133*N133*O133+S133*U133*V133+Z133*AB133*AC133+AG133*AI133*AJ133),1,0)</f>
        <v>0</v>
      </c>
      <c r="AM133" s="82">
        <f t="shared" ref="AM133:AM196" si="68">IF(AND(AL133=0,B133="N"),AM132,AM132*(E133*G133*I133+L133*N133*P133+S133*U133*W133+Z133*AB133*AD133+AG133*AI133*AK133)/AN132)</f>
        <v>291304837464665.44</v>
      </c>
      <c r="AN133" s="81">
        <f t="shared" si="60"/>
        <v>335567235685907.25</v>
      </c>
      <c r="AO133" s="80">
        <f t="shared" si="46"/>
        <v>1151.9452907355537</v>
      </c>
      <c r="AP133" s="52">
        <f t="shared" si="61"/>
        <v>1.851045497956871E-2</v>
      </c>
      <c r="AQ133" s="48">
        <f t="shared" si="47"/>
        <v>2.197802197802198E-2</v>
      </c>
      <c r="AR133" s="48">
        <f t="shared" si="48"/>
        <v>0</v>
      </c>
      <c r="AS133" s="48">
        <f t="shared" si="49"/>
        <v>3.1989482909728306E-2</v>
      </c>
      <c r="AT133" s="48" t="e">
        <f>(#REF!-#REF!)/#REF!</f>
        <v>#REF!</v>
      </c>
    </row>
    <row r="134" spans="1:46" x14ac:dyDescent="0.3">
      <c r="A134" s="48">
        <v>20180716</v>
      </c>
      <c r="B134" s="48" t="s">
        <v>88</v>
      </c>
      <c r="C134" s="79">
        <v>0.4</v>
      </c>
      <c r="D134" s="79">
        <f t="shared" si="50"/>
        <v>0.39611783918665255</v>
      </c>
      <c r="E134" s="49">
        <v>46500</v>
      </c>
      <c r="F134" s="49">
        <v>46050</v>
      </c>
      <c r="G134" s="49">
        <v>6419324700</v>
      </c>
      <c r="H134" s="49">
        <f t="shared" si="51"/>
        <v>0.45585619760779</v>
      </c>
      <c r="I134" s="49">
        <f t="shared" si="62"/>
        <v>0.45585619760779</v>
      </c>
      <c r="J134" s="48">
        <v>0.3</v>
      </c>
      <c r="K134" s="48">
        <f t="shared" si="52"/>
        <v>0.29104295314865247</v>
      </c>
      <c r="L134" s="48">
        <v>288000</v>
      </c>
      <c r="M134" s="48">
        <v>293500</v>
      </c>
      <c r="N134" s="51">
        <v>125395903</v>
      </c>
      <c r="O134" s="48">
        <f t="shared" si="53"/>
        <v>2.6902217281479599</v>
      </c>
      <c r="P134" s="48">
        <f t="shared" si="63"/>
        <v>2.6902217281479599</v>
      </c>
      <c r="Q134" s="49">
        <v>0.3</v>
      </c>
      <c r="R134" s="49">
        <f t="shared" si="54"/>
        <v>0.31283920766469497</v>
      </c>
      <c r="S134" s="49">
        <v>235500</v>
      </c>
      <c r="T134" s="49">
        <v>244900</v>
      </c>
      <c r="U134" s="49">
        <v>15956260</v>
      </c>
      <c r="V134" s="49">
        <f t="shared" si="55"/>
        <v>27.2347710204326</v>
      </c>
      <c r="W134" s="49">
        <f t="shared" si="64"/>
        <v>27.2347710204326</v>
      </c>
      <c r="X134" s="48">
        <v>0</v>
      </c>
      <c r="Y134" s="48">
        <f t="shared" si="56"/>
        <v>0</v>
      </c>
      <c r="Z134" s="48">
        <v>0</v>
      </c>
      <c r="AA134" s="48">
        <v>0</v>
      </c>
      <c r="AB134" s="48">
        <v>0</v>
      </c>
      <c r="AC134" s="48">
        <f t="shared" si="57"/>
        <v>0</v>
      </c>
      <c r="AD134" s="48">
        <f t="shared" si="65"/>
        <v>0</v>
      </c>
      <c r="AE134" s="49">
        <v>0</v>
      </c>
      <c r="AF134" s="49">
        <f t="shared" si="58"/>
        <v>0</v>
      </c>
      <c r="AG134" s="49">
        <v>0</v>
      </c>
      <c r="AH134" s="49">
        <v>0</v>
      </c>
      <c r="AI134" s="49">
        <v>0</v>
      </c>
      <c r="AJ134" s="49">
        <f t="shared" si="59"/>
        <v>0</v>
      </c>
      <c r="AK134" s="49">
        <f t="shared" si="66"/>
        <v>0</v>
      </c>
      <c r="AL134" s="82">
        <f t="shared" si="67"/>
        <v>0</v>
      </c>
      <c r="AM134" s="82">
        <f t="shared" si="68"/>
        <v>291304837464665.44</v>
      </c>
      <c r="AN134" s="81">
        <f t="shared" si="60"/>
        <v>340190702786630.69</v>
      </c>
      <c r="AO134" s="80">
        <f t="shared" si="46"/>
        <v>1167.8168675379275</v>
      </c>
      <c r="AP134" s="52">
        <f t="shared" si="61"/>
        <v>1.377806474840418E-2</v>
      </c>
      <c r="AQ134" s="48">
        <f t="shared" si="47"/>
        <v>-9.6774193548387101E-3</v>
      </c>
      <c r="AR134" s="48">
        <f t="shared" si="48"/>
        <v>1.9097222222222224E-2</v>
      </c>
      <c r="AS134" s="48">
        <f t="shared" si="49"/>
        <v>3.9915074309978767E-2</v>
      </c>
      <c r="AT134" s="48" t="e">
        <f>(#REF!-#REF!)/#REF!</f>
        <v>#REF!</v>
      </c>
    </row>
    <row r="135" spans="1:46" x14ac:dyDescent="0.3">
      <c r="A135" s="48">
        <v>20180717</v>
      </c>
      <c r="B135" s="48" t="s">
        <v>88</v>
      </c>
      <c r="C135" s="79">
        <v>0.4</v>
      </c>
      <c r="D135" s="79">
        <f t="shared" si="50"/>
        <v>0.39892994464334819</v>
      </c>
      <c r="E135" s="49">
        <v>46050</v>
      </c>
      <c r="F135" s="49">
        <v>45850</v>
      </c>
      <c r="G135" s="49">
        <v>6419324700</v>
      </c>
      <c r="H135" s="49">
        <f t="shared" si="51"/>
        <v>0.45585619760779</v>
      </c>
      <c r="I135" s="49">
        <f t="shared" si="62"/>
        <v>0.45585619760779</v>
      </c>
      <c r="J135" s="48">
        <v>0.3</v>
      </c>
      <c r="K135" s="48">
        <f t="shared" si="52"/>
        <v>0.29639372029993932</v>
      </c>
      <c r="L135" s="48">
        <v>293500</v>
      </c>
      <c r="M135" s="48">
        <v>295500</v>
      </c>
      <c r="N135" s="51">
        <v>125395903</v>
      </c>
      <c r="O135" s="48">
        <f t="shared" si="53"/>
        <v>2.6902217281479599</v>
      </c>
      <c r="P135" s="48">
        <f t="shared" si="63"/>
        <v>2.6902217281479599</v>
      </c>
      <c r="Q135" s="49">
        <v>0.3</v>
      </c>
      <c r="R135" s="49">
        <f t="shared" si="54"/>
        <v>0.30467633505671243</v>
      </c>
      <c r="S135" s="49">
        <v>244900</v>
      </c>
      <c r="T135" s="49">
        <v>235800</v>
      </c>
      <c r="U135" s="49">
        <v>15956260</v>
      </c>
      <c r="V135" s="49">
        <f t="shared" si="55"/>
        <v>27.2347710204326</v>
      </c>
      <c r="W135" s="49">
        <f t="shared" si="64"/>
        <v>27.2347710204326</v>
      </c>
      <c r="X135" s="48">
        <v>0</v>
      </c>
      <c r="Y135" s="48">
        <f t="shared" si="56"/>
        <v>0</v>
      </c>
      <c r="Z135" s="48">
        <v>0</v>
      </c>
      <c r="AA135" s="48">
        <v>0</v>
      </c>
      <c r="AB135" s="48">
        <v>0</v>
      </c>
      <c r="AC135" s="48">
        <f t="shared" si="57"/>
        <v>0</v>
      </c>
      <c r="AD135" s="48">
        <f t="shared" si="65"/>
        <v>0</v>
      </c>
      <c r="AE135" s="49">
        <v>0</v>
      </c>
      <c r="AF135" s="49">
        <f t="shared" si="58"/>
        <v>0</v>
      </c>
      <c r="AG135" s="49">
        <v>0</v>
      </c>
      <c r="AH135" s="49">
        <v>0</v>
      </c>
      <c r="AI135" s="49">
        <v>0</v>
      </c>
      <c r="AJ135" s="49">
        <f t="shared" si="59"/>
        <v>0</v>
      </c>
      <c r="AK135" s="49">
        <f t="shared" si="66"/>
        <v>0</v>
      </c>
      <c r="AL135" s="82">
        <f t="shared" si="67"/>
        <v>0</v>
      </c>
      <c r="AM135" s="82">
        <f t="shared" si="68"/>
        <v>291304837464665.44</v>
      </c>
      <c r="AN135" s="81">
        <f t="shared" si="60"/>
        <v>336325588266856.37</v>
      </c>
      <c r="AO135" s="80">
        <f t="shared" si="46"/>
        <v>1154.5485862645583</v>
      </c>
      <c r="AP135" s="52">
        <f t="shared" si="61"/>
        <v>-1.1361611261312164E-2</v>
      </c>
      <c r="AQ135" s="48">
        <f t="shared" si="47"/>
        <v>-4.3431053203040176E-3</v>
      </c>
      <c r="AR135" s="48">
        <f t="shared" si="48"/>
        <v>6.8143100511073255E-3</v>
      </c>
      <c r="AS135" s="48">
        <f t="shared" si="49"/>
        <v>-3.7158023683135977E-2</v>
      </c>
      <c r="AT135" s="48" t="e">
        <f>(#REF!-#REF!)/#REF!</f>
        <v>#REF!</v>
      </c>
    </row>
    <row r="136" spans="1:46" x14ac:dyDescent="0.3">
      <c r="A136" s="48">
        <v>20180718</v>
      </c>
      <c r="B136" s="48" t="s">
        <v>88</v>
      </c>
      <c r="C136" s="79">
        <v>0.4</v>
      </c>
      <c r="D136" s="79">
        <f t="shared" si="50"/>
        <v>0.40379742327727008</v>
      </c>
      <c r="E136" s="49">
        <v>45850</v>
      </c>
      <c r="F136" s="49">
        <v>46550</v>
      </c>
      <c r="G136" s="49">
        <v>6419324700</v>
      </c>
      <c r="H136" s="49">
        <f t="shared" si="51"/>
        <v>0.45585619760779</v>
      </c>
      <c r="I136" s="49">
        <f t="shared" si="62"/>
        <v>0.45585619760779</v>
      </c>
      <c r="J136" s="48">
        <v>0.3</v>
      </c>
      <c r="K136" s="48">
        <f t="shared" si="52"/>
        <v>0.28999871393746124</v>
      </c>
      <c r="L136" s="48">
        <v>295500</v>
      </c>
      <c r="M136" s="48">
        <v>290000</v>
      </c>
      <c r="N136" s="51">
        <v>125395903</v>
      </c>
      <c r="O136" s="48">
        <f t="shared" si="53"/>
        <v>2.6902217281479599</v>
      </c>
      <c r="P136" s="48">
        <f t="shared" si="63"/>
        <v>2.6902217281479599</v>
      </c>
      <c r="Q136" s="49">
        <v>0.3</v>
      </c>
      <c r="R136" s="49">
        <f t="shared" si="54"/>
        <v>0.30620386278526862</v>
      </c>
      <c r="S136" s="49">
        <v>235800</v>
      </c>
      <c r="T136" s="49">
        <v>237700</v>
      </c>
      <c r="U136" s="49">
        <v>15956260</v>
      </c>
      <c r="V136" s="49">
        <f t="shared" si="55"/>
        <v>27.2347710204326</v>
      </c>
      <c r="W136" s="49">
        <f t="shared" si="64"/>
        <v>27.2347710204326</v>
      </c>
      <c r="X136" s="48">
        <v>0</v>
      </c>
      <c r="Y136" s="48">
        <f t="shared" si="56"/>
        <v>0</v>
      </c>
      <c r="Z136" s="48">
        <v>0</v>
      </c>
      <c r="AA136" s="48">
        <v>0</v>
      </c>
      <c r="AB136" s="48">
        <v>0</v>
      </c>
      <c r="AC136" s="48">
        <f t="shared" si="57"/>
        <v>0</v>
      </c>
      <c r="AD136" s="48">
        <f t="shared" si="65"/>
        <v>0</v>
      </c>
      <c r="AE136" s="49">
        <v>0</v>
      </c>
      <c r="AF136" s="49">
        <f t="shared" si="58"/>
        <v>0</v>
      </c>
      <c r="AG136" s="49">
        <v>0</v>
      </c>
      <c r="AH136" s="49">
        <v>0</v>
      </c>
      <c r="AI136" s="49">
        <v>0</v>
      </c>
      <c r="AJ136" s="49">
        <f t="shared" si="59"/>
        <v>0</v>
      </c>
      <c r="AK136" s="49">
        <f t="shared" si="66"/>
        <v>0</v>
      </c>
      <c r="AL136" s="82">
        <f t="shared" si="67"/>
        <v>0</v>
      </c>
      <c r="AM136" s="82">
        <f t="shared" si="68"/>
        <v>291304837464665.44</v>
      </c>
      <c r="AN136" s="81">
        <f t="shared" si="60"/>
        <v>337344278891471</v>
      </c>
      <c r="AO136" s="80">
        <f t="shared" si="46"/>
        <v>1158.0455780532311</v>
      </c>
      <c r="AP136" s="52">
        <f t="shared" si="61"/>
        <v>3.0288823097407028E-3</v>
      </c>
      <c r="AQ136" s="48">
        <f t="shared" si="47"/>
        <v>1.5267175572519083E-2</v>
      </c>
      <c r="AR136" s="48">
        <f t="shared" si="48"/>
        <v>-1.8612521150592216E-2</v>
      </c>
      <c r="AS136" s="48">
        <f t="shared" si="49"/>
        <v>8.0576759966072935E-3</v>
      </c>
      <c r="AT136" s="48" t="e">
        <f>(#REF!-#REF!)/#REF!</f>
        <v>#REF!</v>
      </c>
    </row>
    <row r="137" spans="1:46" x14ac:dyDescent="0.3">
      <c r="A137" s="48">
        <v>20180719</v>
      </c>
      <c r="B137" s="48" t="s">
        <v>88</v>
      </c>
      <c r="C137" s="79">
        <v>0.4</v>
      </c>
      <c r="D137" s="79">
        <f t="shared" si="50"/>
        <v>0.40936875175697052</v>
      </c>
      <c r="E137" s="49">
        <v>46550</v>
      </c>
      <c r="F137" s="49">
        <v>46900</v>
      </c>
      <c r="G137" s="49">
        <v>6419324700</v>
      </c>
      <c r="H137" s="49">
        <f t="shared" si="51"/>
        <v>0.45585619760779</v>
      </c>
      <c r="I137" s="49">
        <f t="shared" si="62"/>
        <v>0.45585619760779</v>
      </c>
      <c r="J137" s="48">
        <v>0.3</v>
      </c>
      <c r="K137" s="48">
        <f t="shared" si="52"/>
        <v>0.29029655334564985</v>
      </c>
      <c r="L137" s="48">
        <v>290000</v>
      </c>
      <c r="M137" s="48">
        <v>288500</v>
      </c>
      <c r="N137" s="51">
        <v>125395903</v>
      </c>
      <c r="O137" s="48">
        <f t="shared" si="53"/>
        <v>2.6902217281479599</v>
      </c>
      <c r="P137" s="48">
        <f t="shared" si="63"/>
        <v>2.6902217281479599</v>
      </c>
      <c r="Q137" s="49">
        <v>0.3</v>
      </c>
      <c r="R137" s="49">
        <f t="shared" si="54"/>
        <v>0.30033469489737963</v>
      </c>
      <c r="S137" s="49">
        <v>237700</v>
      </c>
      <c r="T137" s="49">
        <v>231700</v>
      </c>
      <c r="U137" s="49">
        <v>15956260</v>
      </c>
      <c r="V137" s="49">
        <f t="shared" si="55"/>
        <v>27.2347710204326</v>
      </c>
      <c r="W137" s="49">
        <f t="shared" si="64"/>
        <v>27.2347710204326</v>
      </c>
      <c r="X137" s="48">
        <v>0</v>
      </c>
      <c r="Y137" s="48">
        <f t="shared" si="56"/>
        <v>0</v>
      </c>
      <c r="Z137" s="48">
        <v>0</v>
      </c>
      <c r="AA137" s="48">
        <v>0</v>
      </c>
      <c r="AB137" s="48">
        <v>0</v>
      </c>
      <c r="AC137" s="48">
        <f t="shared" si="57"/>
        <v>0</v>
      </c>
      <c r="AD137" s="48">
        <f t="shared" si="65"/>
        <v>0</v>
      </c>
      <c r="AE137" s="49">
        <v>0</v>
      </c>
      <c r="AF137" s="49">
        <f t="shared" si="58"/>
        <v>0</v>
      </c>
      <c r="AG137" s="49">
        <v>0</v>
      </c>
      <c r="AH137" s="49">
        <v>0</v>
      </c>
      <c r="AI137" s="49">
        <v>0</v>
      </c>
      <c r="AJ137" s="49">
        <f t="shared" si="59"/>
        <v>0</v>
      </c>
      <c r="AK137" s="49">
        <f t="shared" si="66"/>
        <v>0</v>
      </c>
      <c r="AL137" s="82">
        <f t="shared" si="67"/>
        <v>0</v>
      </c>
      <c r="AM137" s="82">
        <f t="shared" si="68"/>
        <v>291304837464665.44</v>
      </c>
      <c r="AN137" s="81">
        <f t="shared" si="60"/>
        <v>335255075324642.19</v>
      </c>
      <c r="AO137" s="80">
        <f t="shared" si="46"/>
        <v>1150.8736972667259</v>
      </c>
      <c r="AP137" s="52">
        <f t="shared" si="61"/>
        <v>-6.1930902569152018E-3</v>
      </c>
      <c r="AQ137" s="48">
        <f t="shared" si="47"/>
        <v>7.5187969924812026E-3</v>
      </c>
      <c r="AR137" s="48">
        <f t="shared" si="48"/>
        <v>-5.1724137931034482E-3</v>
      </c>
      <c r="AS137" s="48">
        <f t="shared" si="49"/>
        <v>-2.5241901556583929E-2</v>
      </c>
      <c r="AT137" s="48" t="e">
        <f>(#REF!-#REF!)/#REF!</f>
        <v>#REF!</v>
      </c>
    </row>
    <row r="138" spans="1:46" x14ac:dyDescent="0.3">
      <c r="A138" s="48">
        <v>20180720</v>
      </c>
      <c r="B138" s="48" t="s">
        <v>88</v>
      </c>
      <c r="C138" s="79">
        <v>0.4</v>
      </c>
      <c r="D138" s="79">
        <f t="shared" si="50"/>
        <v>0.41737506066852043</v>
      </c>
      <c r="E138" s="49">
        <v>46900</v>
      </c>
      <c r="F138" s="49">
        <v>47450</v>
      </c>
      <c r="G138" s="49">
        <v>6419324700</v>
      </c>
      <c r="H138" s="49">
        <f t="shared" si="51"/>
        <v>0.45585619760779</v>
      </c>
      <c r="I138" s="49">
        <f t="shared" si="62"/>
        <v>0.45585619760779</v>
      </c>
      <c r="J138" s="48">
        <v>0.3</v>
      </c>
      <c r="K138" s="48">
        <f t="shared" si="52"/>
        <v>0.28950135920286679</v>
      </c>
      <c r="L138" s="48">
        <v>288500</v>
      </c>
      <c r="M138" s="48">
        <v>285500</v>
      </c>
      <c r="N138" s="51">
        <v>125395903</v>
      </c>
      <c r="O138" s="48">
        <f t="shared" si="53"/>
        <v>2.6902217281479599</v>
      </c>
      <c r="P138" s="48">
        <f t="shared" si="63"/>
        <v>2.6902217281479599</v>
      </c>
      <c r="Q138" s="49">
        <v>0.3</v>
      </c>
      <c r="R138" s="49">
        <f t="shared" si="54"/>
        <v>0.29312358012861273</v>
      </c>
      <c r="S138" s="49">
        <v>231700</v>
      </c>
      <c r="T138" s="49">
        <v>224400</v>
      </c>
      <c r="U138" s="49">
        <v>15956260</v>
      </c>
      <c r="V138" s="49">
        <f t="shared" si="55"/>
        <v>27.2347710204326</v>
      </c>
      <c r="W138" s="49">
        <f t="shared" si="64"/>
        <v>27.2347710204326</v>
      </c>
      <c r="X138" s="48">
        <v>0</v>
      </c>
      <c r="Y138" s="48">
        <f t="shared" si="56"/>
        <v>0</v>
      </c>
      <c r="Z138" s="48">
        <v>0</v>
      </c>
      <c r="AA138" s="48">
        <v>0</v>
      </c>
      <c r="AB138" s="48">
        <v>0</v>
      </c>
      <c r="AC138" s="48">
        <f t="shared" si="57"/>
        <v>0</v>
      </c>
      <c r="AD138" s="48">
        <f t="shared" si="65"/>
        <v>0</v>
      </c>
      <c r="AE138" s="49">
        <v>0</v>
      </c>
      <c r="AF138" s="49">
        <f t="shared" si="58"/>
        <v>0</v>
      </c>
      <c r="AG138" s="49">
        <v>0</v>
      </c>
      <c r="AH138" s="49">
        <v>0</v>
      </c>
      <c r="AI138" s="49">
        <v>0</v>
      </c>
      <c r="AJ138" s="49">
        <f t="shared" si="59"/>
        <v>0</v>
      </c>
      <c r="AK138" s="49">
        <f t="shared" si="66"/>
        <v>0</v>
      </c>
      <c r="AL138" s="82">
        <f t="shared" si="67"/>
        <v>0</v>
      </c>
      <c r="AM138" s="82">
        <f t="shared" si="68"/>
        <v>291304837464665.44</v>
      </c>
      <c r="AN138" s="81">
        <f t="shared" si="60"/>
        <v>332680180759621.5</v>
      </c>
      <c r="AO138" s="80">
        <f t="shared" si="46"/>
        <v>1142.0345218262116</v>
      </c>
      <c r="AP138" s="52">
        <f t="shared" si="61"/>
        <v>-7.6804044279636698E-3</v>
      </c>
      <c r="AQ138" s="48">
        <f t="shared" si="47"/>
        <v>1.1727078891257996E-2</v>
      </c>
      <c r="AR138" s="48">
        <f t="shared" si="48"/>
        <v>-1.0398613518197574E-2</v>
      </c>
      <c r="AS138" s="48">
        <f t="shared" si="49"/>
        <v>-3.1506258092360809E-2</v>
      </c>
      <c r="AT138" s="48" t="e">
        <f>(#REF!-#REF!)/#REF!</f>
        <v>#REF!</v>
      </c>
    </row>
    <row r="139" spans="1:46" x14ac:dyDescent="0.3">
      <c r="A139" s="48">
        <v>20180723</v>
      </c>
      <c r="B139" s="48" t="s">
        <v>88</v>
      </c>
      <c r="C139" s="79">
        <v>0.4</v>
      </c>
      <c r="D139" s="79">
        <f t="shared" si="50"/>
        <v>0.4287730984424642</v>
      </c>
      <c r="E139" s="49">
        <v>47450</v>
      </c>
      <c r="F139" s="49">
        <v>46500</v>
      </c>
      <c r="G139" s="49">
        <v>6419324700</v>
      </c>
      <c r="H139" s="49">
        <f t="shared" si="51"/>
        <v>0.45585619760779</v>
      </c>
      <c r="I139" s="49">
        <f t="shared" si="62"/>
        <v>0.45585619760779</v>
      </c>
      <c r="J139" s="48">
        <v>0.3</v>
      </c>
      <c r="K139" s="48">
        <f t="shared" si="52"/>
        <v>0.28434957213297551</v>
      </c>
      <c r="L139" s="48">
        <v>285500</v>
      </c>
      <c r="M139" s="48">
        <v>267500</v>
      </c>
      <c r="N139" s="51">
        <v>125395903</v>
      </c>
      <c r="O139" s="48">
        <f t="shared" si="53"/>
        <v>2.6902217281479599</v>
      </c>
      <c r="P139" s="48">
        <f t="shared" si="63"/>
        <v>2.6902217281479599</v>
      </c>
      <c r="Q139" s="49">
        <v>0.3</v>
      </c>
      <c r="R139" s="49">
        <f t="shared" si="54"/>
        <v>0.28687732942456035</v>
      </c>
      <c r="S139" s="49">
        <v>224400</v>
      </c>
      <c r="T139" s="49">
        <v>209500</v>
      </c>
      <c r="U139" s="49">
        <v>15956260</v>
      </c>
      <c r="V139" s="49">
        <f t="shared" si="55"/>
        <v>27.2347710204326</v>
      </c>
      <c r="W139" s="49">
        <f t="shared" si="64"/>
        <v>27.2347710204326</v>
      </c>
      <c r="X139" s="48">
        <v>0</v>
      </c>
      <c r="Y139" s="48">
        <f t="shared" si="56"/>
        <v>0</v>
      </c>
      <c r="Z139" s="48">
        <v>0</v>
      </c>
      <c r="AA139" s="48">
        <v>0</v>
      </c>
      <c r="AB139" s="48">
        <v>0</v>
      </c>
      <c r="AC139" s="48">
        <f t="shared" si="57"/>
        <v>0</v>
      </c>
      <c r="AD139" s="48">
        <f t="shared" si="65"/>
        <v>0</v>
      </c>
      <c r="AE139" s="49">
        <v>0</v>
      </c>
      <c r="AF139" s="49">
        <f t="shared" si="58"/>
        <v>0</v>
      </c>
      <c r="AG139" s="49">
        <v>0</v>
      </c>
      <c r="AH139" s="49">
        <v>0</v>
      </c>
      <c r="AI139" s="49">
        <v>0</v>
      </c>
      <c r="AJ139" s="49">
        <f t="shared" si="59"/>
        <v>0</v>
      </c>
      <c r="AK139" s="49">
        <f t="shared" si="66"/>
        <v>0</v>
      </c>
      <c r="AL139" s="82">
        <f t="shared" si="67"/>
        <v>0</v>
      </c>
      <c r="AM139" s="82">
        <f t="shared" si="68"/>
        <v>291304837464665.44</v>
      </c>
      <c r="AN139" s="81">
        <f t="shared" si="60"/>
        <v>317353016363540.19</v>
      </c>
      <c r="AO139" s="80">
        <f t="shared" si="46"/>
        <v>1089.4189712933769</v>
      </c>
      <c r="AP139" s="52">
        <f t="shared" si="61"/>
        <v>-4.6071768871485543E-2</v>
      </c>
      <c r="AQ139" s="48">
        <f t="shared" si="47"/>
        <v>-2.0021074815595362E-2</v>
      </c>
      <c r="AR139" s="48">
        <f t="shared" si="48"/>
        <v>-6.3047285464098074E-2</v>
      </c>
      <c r="AS139" s="48">
        <f t="shared" si="49"/>
        <v>-6.6399286987522288E-2</v>
      </c>
      <c r="AT139" s="48" t="e">
        <f>(#REF!-#REF!)/#REF!</f>
        <v>#REF!</v>
      </c>
    </row>
    <row r="140" spans="1:46" x14ac:dyDescent="0.3">
      <c r="A140" s="48">
        <v>20180724</v>
      </c>
      <c r="B140" s="48" t="s">
        <v>88</v>
      </c>
      <c r="C140" s="79">
        <v>0.4</v>
      </c>
      <c r="D140" s="79">
        <f t="shared" si="50"/>
        <v>0.43115308369930544</v>
      </c>
      <c r="E140" s="49">
        <v>46500</v>
      </c>
      <c r="F140" s="49">
        <v>46150</v>
      </c>
      <c r="G140" s="49">
        <v>6419324700</v>
      </c>
      <c r="H140" s="49">
        <f t="shared" si="51"/>
        <v>0.45585619760779</v>
      </c>
      <c r="I140" s="49">
        <f t="shared" si="62"/>
        <v>0.45585619760779</v>
      </c>
      <c r="J140" s="48">
        <v>0.3</v>
      </c>
      <c r="K140" s="48">
        <f t="shared" si="52"/>
        <v>0.28540388545490764</v>
      </c>
      <c r="L140" s="48">
        <v>267500</v>
      </c>
      <c r="M140" s="48">
        <v>265000</v>
      </c>
      <c r="N140" s="51">
        <v>125395903</v>
      </c>
      <c r="O140" s="48">
        <f t="shared" si="53"/>
        <v>2.6902217281479599</v>
      </c>
      <c r="P140" s="48">
        <f t="shared" si="63"/>
        <v>2.6902217281479599</v>
      </c>
      <c r="Q140" s="49">
        <v>0.3</v>
      </c>
      <c r="R140" s="49">
        <f t="shared" si="54"/>
        <v>0.28344303084578704</v>
      </c>
      <c r="S140" s="49">
        <v>209500</v>
      </c>
      <c r="T140" s="49">
        <v>204300</v>
      </c>
      <c r="U140" s="49">
        <v>15956260</v>
      </c>
      <c r="V140" s="49">
        <f t="shared" si="55"/>
        <v>27.2347710204326</v>
      </c>
      <c r="W140" s="49">
        <f t="shared" si="64"/>
        <v>27.2347710204326</v>
      </c>
      <c r="X140" s="48">
        <v>0</v>
      </c>
      <c r="Y140" s="48">
        <f t="shared" si="56"/>
        <v>0</v>
      </c>
      <c r="Z140" s="48">
        <v>0</v>
      </c>
      <c r="AA140" s="48">
        <v>0</v>
      </c>
      <c r="AB140" s="48">
        <v>0</v>
      </c>
      <c r="AC140" s="48">
        <f t="shared" si="57"/>
        <v>0</v>
      </c>
      <c r="AD140" s="48">
        <f t="shared" si="65"/>
        <v>0</v>
      </c>
      <c r="AE140" s="49">
        <v>0</v>
      </c>
      <c r="AF140" s="49">
        <f t="shared" si="58"/>
        <v>0</v>
      </c>
      <c r="AG140" s="49">
        <v>0</v>
      </c>
      <c r="AH140" s="49">
        <v>0</v>
      </c>
      <c r="AI140" s="49">
        <v>0</v>
      </c>
      <c r="AJ140" s="49">
        <f t="shared" si="59"/>
        <v>0</v>
      </c>
      <c r="AK140" s="49">
        <f t="shared" si="66"/>
        <v>0</v>
      </c>
      <c r="AL140" s="82">
        <f t="shared" si="67"/>
        <v>0</v>
      </c>
      <c r="AM140" s="82">
        <f t="shared" si="68"/>
        <v>291304837464665.44</v>
      </c>
      <c r="AN140" s="81">
        <f t="shared" si="60"/>
        <v>313225719819527.81</v>
      </c>
      <c r="AO140" s="80">
        <f t="shared" si="46"/>
        <v>1075.2506636884166</v>
      </c>
      <c r="AP140" s="52">
        <f t="shared" si="61"/>
        <v>-1.3005379911953857E-2</v>
      </c>
      <c r="AQ140" s="48">
        <f t="shared" si="47"/>
        <v>-7.526881720430108E-3</v>
      </c>
      <c r="AR140" s="48">
        <f t="shared" si="48"/>
        <v>-9.3457943925233638E-3</v>
      </c>
      <c r="AS140" s="48">
        <f t="shared" si="49"/>
        <v>-2.4821002386634844E-2</v>
      </c>
      <c r="AT140" s="48" t="e">
        <f>(#REF!-#REF!)/#REF!</f>
        <v>#REF!</v>
      </c>
    </row>
    <row r="141" spans="1:46" x14ac:dyDescent="0.3">
      <c r="A141" s="48">
        <v>20180725</v>
      </c>
      <c r="B141" s="48" t="s">
        <v>88</v>
      </c>
      <c r="C141" s="79">
        <v>0.4</v>
      </c>
      <c r="D141" s="79">
        <f t="shared" si="50"/>
        <v>0.44445242244220973</v>
      </c>
      <c r="E141" s="49">
        <v>46150</v>
      </c>
      <c r="F141" s="49">
        <v>46150</v>
      </c>
      <c r="G141" s="49">
        <v>6419324700</v>
      </c>
      <c r="H141" s="49">
        <f t="shared" si="51"/>
        <v>0.45585619760779</v>
      </c>
      <c r="I141" s="49">
        <f t="shared" si="62"/>
        <v>0.45585619760779</v>
      </c>
      <c r="J141" s="48">
        <v>0.3</v>
      </c>
      <c r="K141" s="48">
        <f t="shared" si="52"/>
        <v>0.27866441259908481</v>
      </c>
      <c r="L141" s="48">
        <v>265000</v>
      </c>
      <c r="M141" s="48">
        <v>251000</v>
      </c>
      <c r="N141" s="51">
        <v>125395903</v>
      </c>
      <c r="O141" s="48">
        <f t="shared" si="53"/>
        <v>2.6902217281479599</v>
      </c>
      <c r="P141" s="48">
        <f t="shared" si="63"/>
        <v>2.6902217281479599</v>
      </c>
      <c r="Q141" s="49">
        <v>0.3</v>
      </c>
      <c r="R141" s="49">
        <f t="shared" si="54"/>
        <v>0.27688316495870563</v>
      </c>
      <c r="S141" s="49">
        <v>204300</v>
      </c>
      <c r="T141" s="49">
        <v>193600</v>
      </c>
      <c r="U141" s="49">
        <v>15956260</v>
      </c>
      <c r="V141" s="49">
        <f t="shared" si="55"/>
        <v>27.2347710204326</v>
      </c>
      <c r="W141" s="49">
        <f t="shared" si="64"/>
        <v>27.2347710204326</v>
      </c>
      <c r="X141" s="48">
        <v>0</v>
      </c>
      <c r="Y141" s="48">
        <f t="shared" si="56"/>
        <v>0</v>
      </c>
      <c r="Z141" s="48">
        <v>0</v>
      </c>
      <c r="AA141" s="48">
        <v>0</v>
      </c>
      <c r="AB141" s="48">
        <v>0</v>
      </c>
      <c r="AC141" s="48">
        <f t="shared" si="57"/>
        <v>0</v>
      </c>
      <c r="AD141" s="48">
        <f t="shared" si="65"/>
        <v>0</v>
      </c>
      <c r="AE141" s="49">
        <v>0</v>
      </c>
      <c r="AF141" s="49">
        <f t="shared" si="58"/>
        <v>0</v>
      </c>
      <c r="AG141" s="49">
        <v>0</v>
      </c>
      <c r="AH141" s="49">
        <v>0</v>
      </c>
      <c r="AI141" s="49">
        <v>0</v>
      </c>
      <c r="AJ141" s="49">
        <f t="shared" si="59"/>
        <v>0</v>
      </c>
      <c r="AK141" s="49">
        <f t="shared" si="66"/>
        <v>0</v>
      </c>
      <c r="AL141" s="82">
        <f t="shared" si="67"/>
        <v>0</v>
      </c>
      <c r="AM141" s="82">
        <f t="shared" si="68"/>
        <v>291304837464665.44</v>
      </c>
      <c r="AN141" s="81">
        <f t="shared" si="60"/>
        <v>303853074423694.5</v>
      </c>
      <c r="AO141" s="80">
        <f t="shared" si="46"/>
        <v>1043.0759649178538</v>
      </c>
      <c r="AP141" s="52">
        <f t="shared" si="61"/>
        <v>-2.9922975039321929E-2</v>
      </c>
      <c r="AQ141" s="48">
        <f t="shared" si="47"/>
        <v>0</v>
      </c>
      <c r="AR141" s="48">
        <f t="shared" si="48"/>
        <v>-5.2830188679245285E-2</v>
      </c>
      <c r="AS141" s="48">
        <f t="shared" si="49"/>
        <v>-5.2373959862946649E-2</v>
      </c>
      <c r="AT141" s="48" t="e">
        <f>(#REF!-#REF!)/#REF!</f>
        <v>#REF!</v>
      </c>
    </row>
    <row r="142" spans="1:46" x14ac:dyDescent="0.3">
      <c r="A142" s="48">
        <v>20180726</v>
      </c>
      <c r="B142" s="48" t="s">
        <v>88</v>
      </c>
      <c r="C142" s="79">
        <v>0.4</v>
      </c>
      <c r="D142" s="79">
        <f t="shared" si="50"/>
        <v>0.44370048805928219</v>
      </c>
      <c r="E142" s="49">
        <v>46150</v>
      </c>
      <c r="F142" s="49">
        <v>46900</v>
      </c>
      <c r="G142" s="49">
        <v>6419324700</v>
      </c>
      <c r="H142" s="49">
        <f t="shared" si="51"/>
        <v>0.45585619760779</v>
      </c>
      <c r="I142" s="49">
        <f t="shared" si="62"/>
        <v>0.45585619760779</v>
      </c>
      <c r="J142" s="48">
        <v>0.3</v>
      </c>
      <c r="K142" s="48">
        <f t="shared" si="52"/>
        <v>0.27756139813128378</v>
      </c>
      <c r="L142" s="48">
        <v>251000</v>
      </c>
      <c r="M142" s="48">
        <v>254500</v>
      </c>
      <c r="N142" s="51">
        <v>125395903</v>
      </c>
      <c r="O142" s="48">
        <f t="shared" si="53"/>
        <v>2.6902217281479599</v>
      </c>
      <c r="P142" s="48">
        <f t="shared" si="63"/>
        <v>2.6902217281479599</v>
      </c>
      <c r="Q142" s="49">
        <v>0.3</v>
      </c>
      <c r="R142" s="49">
        <f t="shared" si="54"/>
        <v>0.27873811380943397</v>
      </c>
      <c r="S142" s="49">
        <v>193600</v>
      </c>
      <c r="T142" s="49">
        <v>198400</v>
      </c>
      <c r="U142" s="49">
        <v>15956260</v>
      </c>
      <c r="V142" s="49">
        <f t="shared" si="55"/>
        <v>27.2347710204326</v>
      </c>
      <c r="W142" s="49">
        <f t="shared" si="64"/>
        <v>27.2347710204326</v>
      </c>
      <c r="X142" s="48">
        <v>0</v>
      </c>
      <c r="Y142" s="48">
        <f t="shared" si="56"/>
        <v>0</v>
      </c>
      <c r="Z142" s="48">
        <v>0</v>
      </c>
      <c r="AA142" s="48">
        <v>0</v>
      </c>
      <c r="AB142" s="48">
        <v>0</v>
      </c>
      <c r="AC142" s="48">
        <f t="shared" si="57"/>
        <v>0</v>
      </c>
      <c r="AD142" s="48">
        <f t="shared" si="65"/>
        <v>0</v>
      </c>
      <c r="AE142" s="49">
        <v>0</v>
      </c>
      <c r="AF142" s="49">
        <f t="shared" si="58"/>
        <v>0</v>
      </c>
      <c r="AG142" s="49">
        <v>0</v>
      </c>
      <c r="AH142" s="49">
        <v>0</v>
      </c>
      <c r="AI142" s="49">
        <v>0</v>
      </c>
      <c r="AJ142" s="49">
        <f t="shared" si="59"/>
        <v>0</v>
      </c>
      <c r="AK142" s="49">
        <f t="shared" si="66"/>
        <v>0</v>
      </c>
      <c r="AL142" s="82">
        <f t="shared" si="67"/>
        <v>0</v>
      </c>
      <c r="AM142" s="82">
        <f t="shared" si="68"/>
        <v>291304837464665.44</v>
      </c>
      <c r="AN142" s="81">
        <f t="shared" si="60"/>
        <v>309314403295182</v>
      </c>
      <c r="AO142" s="80">
        <f t="shared" si="46"/>
        <v>1061.8237787853457</v>
      </c>
      <c r="AP142" s="52">
        <f t="shared" si="61"/>
        <v>1.7973584377402825E-2</v>
      </c>
      <c r="AQ142" s="48">
        <f t="shared" si="47"/>
        <v>1.6251354279523293E-2</v>
      </c>
      <c r="AR142" s="48">
        <f t="shared" si="48"/>
        <v>1.3944223107569721E-2</v>
      </c>
      <c r="AS142" s="48">
        <f t="shared" si="49"/>
        <v>2.4793388429752067E-2</v>
      </c>
      <c r="AT142" s="48" t="e">
        <f>(#REF!-#REF!)/#REF!</f>
        <v>#REF!</v>
      </c>
    </row>
    <row r="143" spans="1:46" x14ac:dyDescent="0.3">
      <c r="A143" s="48">
        <v>20180727</v>
      </c>
      <c r="B143" s="48" t="s">
        <v>88</v>
      </c>
      <c r="C143" s="79">
        <v>0.4</v>
      </c>
      <c r="D143" s="79">
        <f t="shared" si="50"/>
        <v>0.44205310992127439</v>
      </c>
      <c r="E143" s="49">
        <v>46900</v>
      </c>
      <c r="F143" s="49">
        <v>46900</v>
      </c>
      <c r="G143" s="49">
        <v>6419324700</v>
      </c>
      <c r="H143" s="49">
        <f t="shared" si="51"/>
        <v>0.45585619760779</v>
      </c>
      <c r="I143" s="49">
        <f t="shared" si="62"/>
        <v>0.45585619760779</v>
      </c>
      <c r="J143" s="48">
        <v>0.3</v>
      </c>
      <c r="K143" s="48">
        <f t="shared" si="52"/>
        <v>0.27870399437511556</v>
      </c>
      <c r="L143" s="48">
        <v>254500</v>
      </c>
      <c r="M143" s="48">
        <v>256500</v>
      </c>
      <c r="N143" s="51">
        <v>125395903</v>
      </c>
      <c r="O143" s="48">
        <f t="shared" si="53"/>
        <v>2.6902217281479599</v>
      </c>
      <c r="P143" s="48">
        <f t="shared" si="63"/>
        <v>2.6902217281479599</v>
      </c>
      <c r="Q143" s="49">
        <v>0.3</v>
      </c>
      <c r="R143" s="49">
        <f t="shared" si="54"/>
        <v>0.27924289570361005</v>
      </c>
      <c r="S143" s="49">
        <v>198400</v>
      </c>
      <c r="T143" s="49">
        <v>199500</v>
      </c>
      <c r="U143" s="49">
        <v>15956260</v>
      </c>
      <c r="V143" s="49">
        <f t="shared" si="55"/>
        <v>27.2347710204326</v>
      </c>
      <c r="W143" s="49">
        <f t="shared" si="64"/>
        <v>27.2347710204326</v>
      </c>
      <c r="X143" s="48">
        <v>0</v>
      </c>
      <c r="Y143" s="48">
        <f t="shared" si="56"/>
        <v>0</v>
      </c>
      <c r="Z143" s="48">
        <v>0</v>
      </c>
      <c r="AA143" s="48">
        <v>0</v>
      </c>
      <c r="AB143" s="48">
        <v>0</v>
      </c>
      <c r="AC143" s="48">
        <f t="shared" si="57"/>
        <v>0</v>
      </c>
      <c r="AD143" s="48">
        <f t="shared" si="65"/>
        <v>0</v>
      </c>
      <c r="AE143" s="49">
        <v>0</v>
      </c>
      <c r="AF143" s="49">
        <f t="shared" si="58"/>
        <v>0</v>
      </c>
      <c r="AG143" s="49">
        <v>0</v>
      </c>
      <c r="AH143" s="49">
        <v>0</v>
      </c>
      <c r="AI143" s="49">
        <v>0</v>
      </c>
      <c r="AJ143" s="49">
        <f t="shared" si="59"/>
        <v>0</v>
      </c>
      <c r="AK143" s="49">
        <f t="shared" si="66"/>
        <v>0</v>
      </c>
      <c r="AL143" s="82">
        <f t="shared" si="67"/>
        <v>0</v>
      </c>
      <c r="AM143" s="82">
        <f t="shared" si="68"/>
        <v>291304837464665.44</v>
      </c>
      <c r="AN143" s="81">
        <f t="shared" si="60"/>
        <v>310467110457111.37</v>
      </c>
      <c r="AO143" s="80">
        <f t="shared" si="46"/>
        <v>1065.7808265706205</v>
      </c>
      <c r="AP143" s="52">
        <f t="shared" si="61"/>
        <v>3.7266520719676055E-3</v>
      </c>
      <c r="AQ143" s="48">
        <f t="shared" si="47"/>
        <v>0</v>
      </c>
      <c r="AR143" s="48">
        <f t="shared" si="48"/>
        <v>7.8585461689587421E-3</v>
      </c>
      <c r="AS143" s="48">
        <f t="shared" si="49"/>
        <v>5.5443548387096777E-3</v>
      </c>
      <c r="AT143" s="48" t="e">
        <f>(#REF!-#REF!)/#REF!</f>
        <v>#REF!</v>
      </c>
    </row>
    <row r="144" spans="1:46" x14ac:dyDescent="0.3">
      <c r="A144" s="48">
        <v>20180730</v>
      </c>
      <c r="B144" s="48" t="s">
        <v>88</v>
      </c>
      <c r="C144" s="79">
        <v>0.4</v>
      </c>
      <c r="D144" s="79">
        <f t="shared" si="50"/>
        <v>0.44370423088361682</v>
      </c>
      <c r="E144" s="49">
        <v>46900</v>
      </c>
      <c r="F144" s="49">
        <v>46500</v>
      </c>
      <c r="G144" s="49">
        <v>6419324700</v>
      </c>
      <c r="H144" s="49">
        <f t="shared" si="51"/>
        <v>0.45585619760779</v>
      </c>
      <c r="I144" s="49">
        <f t="shared" si="62"/>
        <v>0.45585619760779</v>
      </c>
      <c r="J144" s="48">
        <v>0.3</v>
      </c>
      <c r="K144" s="48">
        <f t="shared" si="52"/>
        <v>0.28380140360556633</v>
      </c>
      <c r="L144" s="48">
        <v>256500</v>
      </c>
      <c r="M144" s="48">
        <v>258000</v>
      </c>
      <c r="N144" s="51">
        <v>125395903</v>
      </c>
      <c r="O144" s="48">
        <f t="shared" si="53"/>
        <v>2.6902217281479599</v>
      </c>
      <c r="P144" s="48">
        <f t="shared" si="63"/>
        <v>2.6902217281479599</v>
      </c>
      <c r="Q144" s="49">
        <v>0.3</v>
      </c>
      <c r="R144" s="49">
        <f t="shared" si="54"/>
        <v>0.27249436551081679</v>
      </c>
      <c r="S144" s="49">
        <v>199500</v>
      </c>
      <c r="T144" s="49">
        <v>192300</v>
      </c>
      <c r="U144" s="49">
        <v>15956260</v>
      </c>
      <c r="V144" s="49">
        <f t="shared" si="55"/>
        <v>27.2347710204326</v>
      </c>
      <c r="W144" s="49">
        <f t="shared" si="64"/>
        <v>27.2347710204326</v>
      </c>
      <c r="X144" s="48">
        <v>0</v>
      </c>
      <c r="Y144" s="48">
        <f t="shared" si="56"/>
        <v>0</v>
      </c>
      <c r="Z144" s="48">
        <v>0</v>
      </c>
      <c r="AA144" s="48">
        <v>0</v>
      </c>
      <c r="AB144" s="48">
        <v>0</v>
      </c>
      <c r="AC144" s="48">
        <f t="shared" si="57"/>
        <v>0</v>
      </c>
      <c r="AD144" s="48">
        <f t="shared" si="65"/>
        <v>0</v>
      </c>
      <c r="AE144" s="49">
        <v>0</v>
      </c>
      <c r="AF144" s="49">
        <f t="shared" si="58"/>
        <v>0</v>
      </c>
      <c r="AG144" s="49">
        <v>0</v>
      </c>
      <c r="AH144" s="49">
        <v>0</v>
      </c>
      <c r="AI144" s="49">
        <v>0</v>
      </c>
      <c r="AJ144" s="49">
        <f t="shared" si="59"/>
        <v>0</v>
      </c>
      <c r="AK144" s="49">
        <f t="shared" si="66"/>
        <v>0</v>
      </c>
      <c r="AL144" s="82">
        <f t="shared" si="67"/>
        <v>0</v>
      </c>
      <c r="AM144" s="82">
        <f t="shared" si="68"/>
        <v>291304837464665.44</v>
      </c>
      <c r="AN144" s="81">
        <f t="shared" si="60"/>
        <v>306673740422251.75</v>
      </c>
      <c r="AO144" s="80">
        <f t="shared" si="46"/>
        <v>1052.7588319210474</v>
      </c>
      <c r="AP144" s="52">
        <f t="shared" si="61"/>
        <v>-1.2218266950320536E-2</v>
      </c>
      <c r="AQ144" s="48">
        <f t="shared" si="47"/>
        <v>-8.5287846481876331E-3</v>
      </c>
      <c r="AR144" s="48">
        <f t="shared" si="48"/>
        <v>5.8479532163742687E-3</v>
      </c>
      <c r="AS144" s="48">
        <f t="shared" si="49"/>
        <v>-3.6090225563909777E-2</v>
      </c>
      <c r="AT144" s="48" t="e">
        <f>(#REF!-#REF!)/#REF!</f>
        <v>#REF!</v>
      </c>
    </row>
    <row r="145" spans="1:46" x14ac:dyDescent="0.3">
      <c r="A145" s="48">
        <v>20180731</v>
      </c>
      <c r="B145" s="48" t="s">
        <v>88</v>
      </c>
      <c r="C145" s="79">
        <v>0.4</v>
      </c>
      <c r="D145" s="79">
        <f t="shared" si="50"/>
        <v>0.43147721791263466</v>
      </c>
      <c r="E145" s="49">
        <v>46500</v>
      </c>
      <c r="F145" s="49">
        <v>46250</v>
      </c>
      <c r="G145" s="49">
        <v>6419324700</v>
      </c>
      <c r="H145" s="49">
        <f t="shared" si="51"/>
        <v>0.45585619760779</v>
      </c>
      <c r="I145" s="49">
        <f t="shared" si="62"/>
        <v>0.45585619760779</v>
      </c>
      <c r="J145" s="48">
        <v>0.3</v>
      </c>
      <c r="K145" s="48">
        <f t="shared" si="52"/>
        <v>0.29199148224989646</v>
      </c>
      <c r="L145" s="48">
        <v>258000</v>
      </c>
      <c r="M145" s="48">
        <v>271500</v>
      </c>
      <c r="N145" s="51">
        <v>125395903</v>
      </c>
      <c r="O145" s="48">
        <f t="shared" si="53"/>
        <v>2.6902217281479599</v>
      </c>
      <c r="P145" s="48">
        <f t="shared" si="63"/>
        <v>2.6902217281479599</v>
      </c>
      <c r="Q145" s="49">
        <v>0.3</v>
      </c>
      <c r="R145" s="49">
        <f t="shared" si="54"/>
        <v>0.27653129983746882</v>
      </c>
      <c r="S145" s="49">
        <v>192300</v>
      </c>
      <c r="T145" s="49">
        <v>199600</v>
      </c>
      <c r="U145" s="49">
        <v>15956260</v>
      </c>
      <c r="V145" s="49">
        <f t="shared" si="55"/>
        <v>27.2347710204326</v>
      </c>
      <c r="W145" s="49">
        <f t="shared" si="64"/>
        <v>27.2347710204326</v>
      </c>
      <c r="X145" s="48">
        <v>0</v>
      </c>
      <c r="Y145" s="48">
        <f t="shared" si="56"/>
        <v>0</v>
      </c>
      <c r="Z145" s="48">
        <v>0</v>
      </c>
      <c r="AA145" s="48">
        <v>0</v>
      </c>
      <c r="AB145" s="48">
        <v>0</v>
      </c>
      <c r="AC145" s="48">
        <f t="shared" si="57"/>
        <v>0</v>
      </c>
      <c r="AD145" s="48">
        <f t="shared" si="65"/>
        <v>0</v>
      </c>
      <c r="AE145" s="49">
        <v>0</v>
      </c>
      <c r="AF145" s="49">
        <f t="shared" si="58"/>
        <v>0</v>
      </c>
      <c r="AG145" s="49">
        <v>0</v>
      </c>
      <c r="AH145" s="49">
        <v>0</v>
      </c>
      <c r="AI145" s="49">
        <v>0</v>
      </c>
      <c r="AJ145" s="49">
        <f t="shared" si="59"/>
        <v>0</v>
      </c>
      <c r="AK145" s="49">
        <f t="shared" si="66"/>
        <v>0</v>
      </c>
      <c r="AL145" s="82">
        <f t="shared" si="67"/>
        <v>0</v>
      </c>
      <c r="AM145" s="82">
        <f t="shared" si="68"/>
        <v>291304837464665.44</v>
      </c>
      <c r="AN145" s="81">
        <f t="shared" si="60"/>
        <v>313668620892107</v>
      </c>
      <c r="AO145" s="80">
        <f t="shared" si="46"/>
        <v>1076.7710677999098</v>
      </c>
      <c r="AP145" s="52">
        <f t="shared" si="61"/>
        <v>2.2808866713609488E-2</v>
      </c>
      <c r="AQ145" s="48">
        <f t="shared" si="47"/>
        <v>-5.3763440860215058E-3</v>
      </c>
      <c r="AR145" s="48">
        <f t="shared" si="48"/>
        <v>5.232558139534884E-2</v>
      </c>
      <c r="AS145" s="48">
        <f t="shared" si="49"/>
        <v>3.7961518460738426E-2</v>
      </c>
      <c r="AT145" s="48" t="e">
        <f>(#REF!-#REF!)/#REF!</f>
        <v>#REF!</v>
      </c>
    </row>
    <row r="146" spans="1:46" x14ac:dyDescent="0.3">
      <c r="A146" s="48">
        <v>20180801</v>
      </c>
      <c r="B146" s="48" t="s">
        <v>88</v>
      </c>
      <c r="C146" s="79">
        <v>0.4</v>
      </c>
      <c r="D146" s="79">
        <f t="shared" si="50"/>
        <v>0.4245091812258342</v>
      </c>
      <c r="E146" s="49">
        <v>46250</v>
      </c>
      <c r="F146" s="49">
        <v>46550</v>
      </c>
      <c r="G146" s="49">
        <v>6419324700</v>
      </c>
      <c r="H146" s="49">
        <f t="shared" si="51"/>
        <v>0.45585619760779</v>
      </c>
      <c r="I146" s="49">
        <f t="shared" si="62"/>
        <v>0.45585619760779</v>
      </c>
      <c r="J146" s="48">
        <v>0.3</v>
      </c>
      <c r="K146" s="48">
        <f t="shared" si="52"/>
        <v>0.29488622365761069</v>
      </c>
      <c r="L146" s="48">
        <v>271500</v>
      </c>
      <c r="M146" s="48">
        <v>280500</v>
      </c>
      <c r="N146" s="51">
        <v>125395903</v>
      </c>
      <c r="O146" s="48">
        <f t="shared" si="53"/>
        <v>2.6902217281479599</v>
      </c>
      <c r="P146" s="48">
        <f t="shared" si="63"/>
        <v>2.6902217281479599</v>
      </c>
      <c r="Q146" s="49">
        <v>0.3</v>
      </c>
      <c r="R146" s="49">
        <f t="shared" si="54"/>
        <v>0.28060459511655506</v>
      </c>
      <c r="S146" s="49">
        <v>199600</v>
      </c>
      <c r="T146" s="49">
        <v>207200</v>
      </c>
      <c r="U146" s="49">
        <v>15956260</v>
      </c>
      <c r="V146" s="49">
        <f t="shared" si="55"/>
        <v>27.2347710204326</v>
      </c>
      <c r="W146" s="49">
        <f t="shared" si="64"/>
        <v>27.2347710204326</v>
      </c>
      <c r="X146" s="48">
        <v>0</v>
      </c>
      <c r="Y146" s="48">
        <f t="shared" si="56"/>
        <v>0</v>
      </c>
      <c r="Z146" s="48">
        <v>0</v>
      </c>
      <c r="AA146" s="48">
        <v>0</v>
      </c>
      <c r="AB146" s="48">
        <v>0</v>
      </c>
      <c r="AC146" s="48">
        <f t="shared" si="57"/>
        <v>0</v>
      </c>
      <c r="AD146" s="48">
        <f t="shared" si="65"/>
        <v>0</v>
      </c>
      <c r="AE146" s="49">
        <v>0</v>
      </c>
      <c r="AF146" s="49">
        <f t="shared" si="58"/>
        <v>0</v>
      </c>
      <c r="AG146" s="49">
        <v>0</v>
      </c>
      <c r="AH146" s="49">
        <v>0</v>
      </c>
      <c r="AI146" s="49">
        <v>0</v>
      </c>
      <c r="AJ146" s="49">
        <f t="shared" si="59"/>
        <v>0</v>
      </c>
      <c r="AK146" s="49">
        <f t="shared" si="66"/>
        <v>0</v>
      </c>
      <c r="AL146" s="82">
        <f t="shared" si="67"/>
        <v>0</v>
      </c>
      <c r="AM146" s="82">
        <f t="shared" si="68"/>
        <v>291304837464665.44</v>
      </c>
      <c r="AN146" s="81">
        <f t="shared" si="60"/>
        <v>320885287287197.44</v>
      </c>
      <c r="AO146" s="80">
        <f t="shared" si="46"/>
        <v>1101.5446570677702</v>
      </c>
      <c r="AP146" s="52">
        <f t="shared" si="61"/>
        <v>2.300729468751286E-2</v>
      </c>
      <c r="AQ146" s="48">
        <f t="shared" si="47"/>
        <v>6.4864864864864862E-3</v>
      </c>
      <c r="AR146" s="48">
        <f t="shared" si="48"/>
        <v>3.3149171270718231E-2</v>
      </c>
      <c r="AS146" s="48">
        <f t="shared" si="49"/>
        <v>3.8076152304609222E-2</v>
      </c>
      <c r="AT146" s="48" t="e">
        <f>(#REF!-#REF!)/#REF!</f>
        <v>#REF!</v>
      </c>
    </row>
    <row r="147" spans="1:46" x14ac:dyDescent="0.3">
      <c r="A147" s="48">
        <v>20180802</v>
      </c>
      <c r="B147" s="48" t="s">
        <v>88</v>
      </c>
      <c r="C147" s="79">
        <v>0.4</v>
      </c>
      <c r="D147" s="79">
        <f t="shared" si="50"/>
        <v>0.42391949782041438</v>
      </c>
      <c r="E147" s="49">
        <v>46550</v>
      </c>
      <c r="F147" s="49">
        <v>45550</v>
      </c>
      <c r="G147" s="49">
        <v>6419324700</v>
      </c>
      <c r="H147" s="49">
        <f t="shared" si="51"/>
        <v>0.45585619760779</v>
      </c>
      <c r="I147" s="49">
        <f t="shared" si="62"/>
        <v>0.45585619760779</v>
      </c>
      <c r="J147" s="48">
        <v>0.3</v>
      </c>
      <c r="K147" s="48">
        <f t="shared" si="52"/>
        <v>0.30201438291593846</v>
      </c>
      <c r="L147" s="48">
        <v>280500</v>
      </c>
      <c r="M147" s="48">
        <v>281500</v>
      </c>
      <c r="N147" s="51">
        <v>125395903</v>
      </c>
      <c r="O147" s="48">
        <f t="shared" si="53"/>
        <v>2.6902217281479599</v>
      </c>
      <c r="P147" s="48">
        <f t="shared" si="63"/>
        <v>2.6902217281479599</v>
      </c>
      <c r="Q147" s="49">
        <v>0.3</v>
      </c>
      <c r="R147" s="49">
        <f t="shared" si="54"/>
        <v>0.27406611926364705</v>
      </c>
      <c r="S147" s="49">
        <v>207200</v>
      </c>
      <c r="T147" s="49">
        <v>198300</v>
      </c>
      <c r="U147" s="49">
        <v>15956260</v>
      </c>
      <c r="V147" s="49">
        <f t="shared" si="55"/>
        <v>27.2347710204326</v>
      </c>
      <c r="W147" s="49">
        <f t="shared" si="64"/>
        <v>27.2347710204326</v>
      </c>
      <c r="X147" s="48">
        <v>0</v>
      </c>
      <c r="Y147" s="48">
        <f t="shared" si="56"/>
        <v>0</v>
      </c>
      <c r="Z147" s="48">
        <v>0</v>
      </c>
      <c r="AA147" s="48">
        <v>0</v>
      </c>
      <c r="AB147" s="48">
        <v>0</v>
      </c>
      <c r="AC147" s="48">
        <f t="shared" si="57"/>
        <v>0</v>
      </c>
      <c r="AD147" s="48">
        <f t="shared" si="65"/>
        <v>0</v>
      </c>
      <c r="AE147" s="49">
        <v>0</v>
      </c>
      <c r="AF147" s="49">
        <f t="shared" si="58"/>
        <v>0</v>
      </c>
      <c r="AG147" s="49">
        <v>0</v>
      </c>
      <c r="AH147" s="49">
        <v>0</v>
      </c>
      <c r="AI147" s="49">
        <v>0</v>
      </c>
      <c r="AJ147" s="49">
        <f t="shared" si="59"/>
        <v>0</v>
      </c>
      <c r="AK147" s="49">
        <f t="shared" si="66"/>
        <v>0</v>
      </c>
      <c r="AL147" s="82">
        <f t="shared" si="67"/>
        <v>0</v>
      </c>
      <c r="AM147" s="82">
        <f t="shared" si="68"/>
        <v>291304837464665.44</v>
      </c>
      <c r="AN147" s="81">
        <f t="shared" si="60"/>
        <v>314428711842878.87</v>
      </c>
      <c r="AO147" s="80">
        <f t="shared" si="46"/>
        <v>1079.3803308570814</v>
      </c>
      <c r="AP147" s="52">
        <f t="shared" si="61"/>
        <v>-2.012113269169552E-2</v>
      </c>
      <c r="AQ147" s="48">
        <f t="shared" si="47"/>
        <v>-2.1482277121374866E-2</v>
      </c>
      <c r="AR147" s="48">
        <f t="shared" si="48"/>
        <v>3.5650623885918001E-3</v>
      </c>
      <c r="AS147" s="48">
        <f t="shared" si="49"/>
        <v>-4.2953667953667951E-2</v>
      </c>
      <c r="AT147" s="48" t="e">
        <f>(#REF!-#REF!)/#REF!</f>
        <v>#REF!</v>
      </c>
    </row>
    <row r="148" spans="1:46" x14ac:dyDescent="0.3">
      <c r="A148" s="48">
        <v>20180803</v>
      </c>
      <c r="B148" s="48" t="s">
        <v>88</v>
      </c>
      <c r="C148" s="79">
        <v>0.4</v>
      </c>
      <c r="D148" s="79">
        <f t="shared" si="50"/>
        <v>0.41999332784123344</v>
      </c>
      <c r="E148" s="49">
        <v>45550</v>
      </c>
      <c r="F148" s="49">
        <v>45750</v>
      </c>
      <c r="G148" s="49">
        <v>6419324700</v>
      </c>
      <c r="H148" s="49">
        <f t="shared" si="51"/>
        <v>0.45585619760779</v>
      </c>
      <c r="I148" s="49">
        <f t="shared" si="62"/>
        <v>0.45585619760779</v>
      </c>
      <c r="J148" s="48">
        <v>0.3</v>
      </c>
      <c r="K148" s="48">
        <f t="shared" si="52"/>
        <v>0.2968509029969526</v>
      </c>
      <c r="L148" s="48">
        <v>281500</v>
      </c>
      <c r="M148" s="48">
        <v>280500</v>
      </c>
      <c r="N148" s="51">
        <v>125395903</v>
      </c>
      <c r="O148" s="48">
        <f t="shared" si="53"/>
        <v>2.6902217281479599</v>
      </c>
      <c r="P148" s="48">
        <f t="shared" si="63"/>
        <v>2.6902217281479599</v>
      </c>
      <c r="Q148" s="49">
        <v>0.3</v>
      </c>
      <c r="R148" s="49">
        <f t="shared" si="54"/>
        <v>0.28315576916181395</v>
      </c>
      <c r="S148" s="49">
        <v>198300</v>
      </c>
      <c r="T148" s="49">
        <v>207700</v>
      </c>
      <c r="U148" s="49">
        <v>15956260</v>
      </c>
      <c r="V148" s="49">
        <f t="shared" si="55"/>
        <v>27.2347710204326</v>
      </c>
      <c r="W148" s="49">
        <f t="shared" si="64"/>
        <v>27.2347710204326</v>
      </c>
      <c r="X148" s="48">
        <v>0</v>
      </c>
      <c r="Y148" s="48">
        <f t="shared" si="56"/>
        <v>0</v>
      </c>
      <c r="Z148" s="48">
        <v>0</v>
      </c>
      <c r="AA148" s="48">
        <v>0</v>
      </c>
      <c r="AB148" s="48">
        <v>0</v>
      </c>
      <c r="AC148" s="48">
        <f t="shared" si="57"/>
        <v>0</v>
      </c>
      <c r="AD148" s="48">
        <f t="shared" si="65"/>
        <v>0</v>
      </c>
      <c r="AE148" s="49">
        <v>0</v>
      </c>
      <c r="AF148" s="49">
        <f t="shared" si="58"/>
        <v>0</v>
      </c>
      <c r="AG148" s="49">
        <v>0</v>
      </c>
      <c r="AH148" s="49">
        <v>0</v>
      </c>
      <c r="AI148" s="49">
        <v>0</v>
      </c>
      <c r="AJ148" s="49">
        <f t="shared" si="59"/>
        <v>0</v>
      </c>
      <c r="AK148" s="49">
        <f t="shared" si="66"/>
        <v>0</v>
      </c>
      <c r="AL148" s="82">
        <f t="shared" si="67"/>
        <v>0</v>
      </c>
      <c r="AM148" s="82">
        <f t="shared" si="68"/>
        <v>291304837464665.44</v>
      </c>
      <c r="AN148" s="81">
        <f t="shared" si="60"/>
        <v>318761538671757.25</v>
      </c>
      <c r="AO148" s="80">
        <f t="shared" si="46"/>
        <v>1094.2541890002849</v>
      </c>
      <c r="AP148" s="52">
        <f t="shared" si="61"/>
        <v>1.3779997391089132E-2</v>
      </c>
      <c r="AQ148" s="48">
        <f t="shared" si="47"/>
        <v>4.3907793633369925E-3</v>
      </c>
      <c r="AR148" s="48">
        <f t="shared" si="48"/>
        <v>-3.552397868561279E-3</v>
      </c>
      <c r="AS148" s="48">
        <f t="shared" si="49"/>
        <v>4.7402924861321229E-2</v>
      </c>
      <c r="AT148" s="48" t="e">
        <f>(#REF!-#REF!)/#REF!</f>
        <v>#REF!</v>
      </c>
    </row>
    <row r="149" spans="1:46" x14ac:dyDescent="0.3">
      <c r="A149" s="48">
        <v>20180806</v>
      </c>
      <c r="B149" s="48" t="s">
        <v>88</v>
      </c>
      <c r="C149" s="79">
        <v>0.4</v>
      </c>
      <c r="D149" s="79">
        <f t="shared" si="50"/>
        <v>0.4284600486173254</v>
      </c>
      <c r="E149" s="49">
        <v>45750</v>
      </c>
      <c r="F149" s="49">
        <v>45800</v>
      </c>
      <c r="G149" s="49">
        <v>6419324700</v>
      </c>
      <c r="H149" s="49">
        <f t="shared" si="51"/>
        <v>0.45585619760779</v>
      </c>
      <c r="I149" s="49">
        <f t="shared" si="62"/>
        <v>0.45585619760779</v>
      </c>
      <c r="J149" s="48">
        <v>0.3</v>
      </c>
      <c r="K149" s="48">
        <f t="shared" si="52"/>
        <v>0.29549465771052652</v>
      </c>
      <c r="L149" s="48">
        <v>280500</v>
      </c>
      <c r="M149" s="48">
        <v>274000</v>
      </c>
      <c r="N149" s="51">
        <v>125395903</v>
      </c>
      <c r="O149" s="48">
        <f t="shared" si="53"/>
        <v>2.6902217281479599</v>
      </c>
      <c r="P149" s="48">
        <f t="shared" si="63"/>
        <v>2.6902217281479599</v>
      </c>
      <c r="Q149" s="49">
        <v>0.3</v>
      </c>
      <c r="R149" s="49">
        <f t="shared" si="54"/>
        <v>0.2760452936721482</v>
      </c>
      <c r="S149" s="49">
        <v>207700</v>
      </c>
      <c r="T149" s="49">
        <v>198700</v>
      </c>
      <c r="U149" s="49">
        <v>15956260</v>
      </c>
      <c r="V149" s="49">
        <f t="shared" si="55"/>
        <v>27.2347710204326</v>
      </c>
      <c r="W149" s="49">
        <f t="shared" si="64"/>
        <v>27.2347710204326</v>
      </c>
      <c r="X149" s="48">
        <v>0</v>
      </c>
      <c r="Y149" s="48">
        <f t="shared" si="56"/>
        <v>0</v>
      </c>
      <c r="Z149" s="48">
        <v>0</v>
      </c>
      <c r="AA149" s="48">
        <v>0</v>
      </c>
      <c r="AB149" s="48">
        <v>0</v>
      </c>
      <c r="AC149" s="48">
        <f t="shared" si="57"/>
        <v>0</v>
      </c>
      <c r="AD149" s="48">
        <f t="shared" si="65"/>
        <v>0</v>
      </c>
      <c r="AE149" s="49">
        <v>0</v>
      </c>
      <c r="AF149" s="49">
        <f t="shared" si="58"/>
        <v>0</v>
      </c>
      <c r="AG149" s="49">
        <v>0</v>
      </c>
      <c r="AH149" s="49">
        <v>0</v>
      </c>
      <c r="AI149" s="49">
        <v>0</v>
      </c>
      <c r="AJ149" s="49">
        <f t="shared" si="59"/>
        <v>0</v>
      </c>
      <c r="AK149" s="49">
        <f t="shared" si="66"/>
        <v>0</v>
      </c>
      <c r="AL149" s="82">
        <f t="shared" si="67"/>
        <v>0</v>
      </c>
      <c r="AM149" s="82">
        <f t="shared" si="68"/>
        <v>291304837464665.44</v>
      </c>
      <c r="AN149" s="81">
        <f t="shared" si="60"/>
        <v>312804039243558.75</v>
      </c>
      <c r="AO149" s="80">
        <f t="shared" si="46"/>
        <v>1073.8031059353798</v>
      </c>
      <c r="AP149" s="52">
        <f t="shared" si="61"/>
        <v>-1.8689517728590375E-2</v>
      </c>
      <c r="AQ149" s="48">
        <f t="shared" si="47"/>
        <v>1.092896174863388E-3</v>
      </c>
      <c r="AR149" s="48">
        <f t="shared" si="48"/>
        <v>-2.3172905525846704E-2</v>
      </c>
      <c r="AS149" s="48">
        <f t="shared" si="49"/>
        <v>-4.3331728454501686E-2</v>
      </c>
      <c r="AT149" s="48" t="e">
        <f>(#REF!-#REF!)/#REF!</f>
        <v>#REF!</v>
      </c>
    </row>
    <row r="150" spans="1:46" x14ac:dyDescent="0.3">
      <c r="A150" s="48">
        <v>20180807</v>
      </c>
      <c r="B150" s="48" t="s">
        <v>88</v>
      </c>
      <c r="C150" s="79">
        <v>0.4</v>
      </c>
      <c r="D150" s="79">
        <f t="shared" si="50"/>
        <v>0.42910089756584319</v>
      </c>
      <c r="E150" s="49">
        <v>45800</v>
      </c>
      <c r="F150" s="49">
        <v>46700</v>
      </c>
      <c r="G150" s="49">
        <v>6419324700</v>
      </c>
      <c r="H150" s="49">
        <f t="shared" si="51"/>
        <v>0.45585619760779</v>
      </c>
      <c r="I150" s="49">
        <f t="shared" si="62"/>
        <v>0.45585619760779</v>
      </c>
      <c r="J150" s="48">
        <v>0.3</v>
      </c>
      <c r="K150" s="48">
        <f t="shared" si="52"/>
        <v>0.29076297732091066</v>
      </c>
      <c r="L150" s="48">
        <v>274000</v>
      </c>
      <c r="M150" s="48">
        <v>274500</v>
      </c>
      <c r="N150" s="51">
        <v>125395903</v>
      </c>
      <c r="O150" s="48">
        <f t="shared" si="53"/>
        <v>2.6902217281479599</v>
      </c>
      <c r="P150" s="48">
        <f t="shared" si="63"/>
        <v>2.6902217281479599</v>
      </c>
      <c r="Q150" s="49">
        <v>0.3</v>
      </c>
      <c r="R150" s="49">
        <f t="shared" si="54"/>
        <v>0.2801361251132462</v>
      </c>
      <c r="S150" s="49">
        <v>198700</v>
      </c>
      <c r="T150" s="49">
        <v>205300</v>
      </c>
      <c r="U150" s="49">
        <v>15956260</v>
      </c>
      <c r="V150" s="49">
        <f t="shared" si="55"/>
        <v>27.2347710204326</v>
      </c>
      <c r="W150" s="49">
        <f t="shared" si="64"/>
        <v>27.2347710204326</v>
      </c>
      <c r="X150" s="48">
        <v>0</v>
      </c>
      <c r="Y150" s="48">
        <f t="shared" si="56"/>
        <v>0</v>
      </c>
      <c r="Z150" s="48">
        <v>0</v>
      </c>
      <c r="AA150" s="48">
        <v>0</v>
      </c>
      <c r="AB150" s="48">
        <v>0</v>
      </c>
      <c r="AC150" s="48">
        <f t="shared" si="57"/>
        <v>0</v>
      </c>
      <c r="AD150" s="48">
        <f t="shared" si="65"/>
        <v>0</v>
      </c>
      <c r="AE150" s="49">
        <v>0</v>
      </c>
      <c r="AF150" s="49">
        <f t="shared" si="58"/>
        <v>0</v>
      </c>
      <c r="AG150" s="49">
        <v>0</v>
      </c>
      <c r="AH150" s="49">
        <v>0</v>
      </c>
      <c r="AI150" s="49">
        <v>0</v>
      </c>
      <c r="AJ150" s="49">
        <f t="shared" si="59"/>
        <v>0</v>
      </c>
      <c r="AK150" s="49">
        <f t="shared" si="66"/>
        <v>0</v>
      </c>
      <c r="AL150" s="82">
        <f t="shared" si="67"/>
        <v>0</v>
      </c>
      <c r="AM150" s="82">
        <f t="shared" si="68"/>
        <v>291304837464665.44</v>
      </c>
      <c r="AN150" s="81">
        <f t="shared" si="60"/>
        <v>318474500266171.44</v>
      </c>
      <c r="AO150" s="80">
        <f t="shared" si="46"/>
        <v>1093.2688349358484</v>
      </c>
      <c r="AP150" s="52">
        <f t="shared" si="61"/>
        <v>1.8127838234843076E-2</v>
      </c>
      <c r="AQ150" s="48">
        <f t="shared" si="47"/>
        <v>1.9650655021834062E-2</v>
      </c>
      <c r="AR150" s="48">
        <f t="shared" si="48"/>
        <v>1.8248175182481751E-3</v>
      </c>
      <c r="AS150" s="48">
        <f t="shared" si="49"/>
        <v>3.321590337191746E-2</v>
      </c>
      <c r="AT150" s="48" t="e">
        <f>(#REF!-#REF!)/#REF!</f>
        <v>#REF!</v>
      </c>
    </row>
    <row r="151" spans="1:46" x14ac:dyDescent="0.3">
      <c r="A151" s="48">
        <v>20180808</v>
      </c>
      <c r="B151" s="48" t="s">
        <v>88</v>
      </c>
      <c r="C151" s="79">
        <v>0.4</v>
      </c>
      <c r="D151" s="79">
        <f t="shared" si="50"/>
        <v>0.43265407295038066</v>
      </c>
      <c r="E151" s="49">
        <v>46700</v>
      </c>
      <c r="F151" s="49">
        <v>46800</v>
      </c>
      <c r="G151" s="49">
        <v>6419324700</v>
      </c>
      <c r="H151" s="49">
        <f t="shared" si="51"/>
        <v>0.45585619760779</v>
      </c>
      <c r="I151" s="49">
        <f t="shared" si="62"/>
        <v>0.45585619760779</v>
      </c>
      <c r="J151" s="48">
        <v>0.3</v>
      </c>
      <c r="K151" s="48">
        <f t="shared" si="52"/>
        <v>0.29414281306051859</v>
      </c>
      <c r="L151" s="48">
        <v>274500</v>
      </c>
      <c r="M151" s="48">
        <v>276000</v>
      </c>
      <c r="N151" s="51">
        <v>125395903</v>
      </c>
      <c r="O151" s="48">
        <f t="shared" si="53"/>
        <v>2.6902217281479599</v>
      </c>
      <c r="P151" s="48">
        <f t="shared" si="63"/>
        <v>2.6902217281479599</v>
      </c>
      <c r="Q151" s="49">
        <v>0.3</v>
      </c>
      <c r="R151" s="49">
        <f t="shared" si="54"/>
        <v>0.27320311398910063</v>
      </c>
      <c r="S151" s="49">
        <v>205300</v>
      </c>
      <c r="T151" s="49">
        <v>199000</v>
      </c>
      <c r="U151" s="49">
        <v>15956260</v>
      </c>
      <c r="V151" s="49">
        <f t="shared" si="55"/>
        <v>27.2347710204326</v>
      </c>
      <c r="W151" s="49">
        <f t="shared" si="64"/>
        <v>27.2347710204326</v>
      </c>
      <c r="X151" s="48">
        <v>0</v>
      </c>
      <c r="Y151" s="48">
        <f t="shared" si="56"/>
        <v>0</v>
      </c>
      <c r="Z151" s="48">
        <v>0</v>
      </c>
      <c r="AA151" s="48">
        <v>0</v>
      </c>
      <c r="AB151" s="48">
        <v>0</v>
      </c>
      <c r="AC151" s="48">
        <f t="shared" si="57"/>
        <v>0</v>
      </c>
      <c r="AD151" s="48">
        <f t="shared" si="65"/>
        <v>0</v>
      </c>
      <c r="AE151" s="49">
        <v>0</v>
      </c>
      <c r="AF151" s="49">
        <f t="shared" si="58"/>
        <v>0</v>
      </c>
      <c r="AG151" s="49">
        <v>0</v>
      </c>
      <c r="AH151" s="49">
        <v>0</v>
      </c>
      <c r="AI151" s="49">
        <v>0</v>
      </c>
      <c r="AJ151" s="49">
        <f t="shared" si="59"/>
        <v>0</v>
      </c>
      <c r="AK151" s="49">
        <f t="shared" si="66"/>
        <v>0</v>
      </c>
      <c r="AL151" s="82">
        <f t="shared" si="67"/>
        <v>0</v>
      </c>
      <c r="AM151" s="82">
        <f t="shared" si="68"/>
        <v>291304837464665.44</v>
      </c>
      <c r="AN151" s="81">
        <f t="shared" si="60"/>
        <v>316535383284486</v>
      </c>
      <c r="AO151" s="80">
        <f t="shared" si="46"/>
        <v>1086.6121758890495</v>
      </c>
      <c r="AP151" s="52">
        <f t="shared" si="61"/>
        <v>-6.0887668559486139E-3</v>
      </c>
      <c r="AQ151" s="48">
        <f t="shared" si="47"/>
        <v>2.1413276231263384E-3</v>
      </c>
      <c r="AR151" s="48">
        <f t="shared" si="48"/>
        <v>5.4644808743169399E-3</v>
      </c>
      <c r="AS151" s="48">
        <f t="shared" si="49"/>
        <v>-3.0686799805163176E-2</v>
      </c>
      <c r="AT151" s="48" t="e">
        <f>(#REF!-#REF!)/#REF!</f>
        <v>#REF!</v>
      </c>
    </row>
    <row r="152" spans="1:46" x14ac:dyDescent="0.3">
      <c r="A152" s="48">
        <v>20180809</v>
      </c>
      <c r="B152" s="48" t="s">
        <v>88</v>
      </c>
      <c r="C152" s="79">
        <v>0.4</v>
      </c>
      <c r="D152" s="79">
        <f t="shared" si="50"/>
        <v>0.43028617562994032</v>
      </c>
      <c r="E152" s="49">
        <v>46800</v>
      </c>
      <c r="F152" s="49">
        <v>46900</v>
      </c>
      <c r="G152" s="49">
        <v>6419324700</v>
      </c>
      <c r="H152" s="49">
        <f t="shared" si="51"/>
        <v>0.45585619760779</v>
      </c>
      <c r="I152" s="49">
        <f t="shared" si="62"/>
        <v>0.45585619760779</v>
      </c>
      <c r="J152" s="48">
        <v>0.3</v>
      </c>
      <c r="K152" s="48">
        <f t="shared" si="52"/>
        <v>0.29190924426673148</v>
      </c>
      <c r="L152" s="48">
        <v>276000</v>
      </c>
      <c r="M152" s="48">
        <v>276000</v>
      </c>
      <c r="N152" s="51">
        <v>125395903</v>
      </c>
      <c r="O152" s="48">
        <f t="shared" si="53"/>
        <v>2.6902217281479599</v>
      </c>
      <c r="P152" s="48">
        <f t="shared" si="63"/>
        <v>2.6902217281479599</v>
      </c>
      <c r="Q152" s="49">
        <v>0.3</v>
      </c>
      <c r="R152" s="49">
        <f t="shared" si="54"/>
        <v>0.27780458010332809</v>
      </c>
      <c r="S152" s="49">
        <v>199000</v>
      </c>
      <c r="T152" s="49">
        <v>203900</v>
      </c>
      <c r="U152" s="49">
        <v>15956260</v>
      </c>
      <c r="V152" s="49">
        <f t="shared" si="55"/>
        <v>27.2347710204326</v>
      </c>
      <c r="W152" s="49">
        <f t="shared" si="64"/>
        <v>27.2347710204326</v>
      </c>
      <c r="X152" s="48">
        <v>0</v>
      </c>
      <c r="Y152" s="48">
        <f t="shared" si="56"/>
        <v>0</v>
      </c>
      <c r="Z152" s="48">
        <v>0</v>
      </c>
      <c r="AA152" s="48">
        <v>0</v>
      </c>
      <c r="AB152" s="48">
        <v>0</v>
      </c>
      <c r="AC152" s="48">
        <f t="shared" si="57"/>
        <v>0</v>
      </c>
      <c r="AD152" s="48">
        <f t="shared" si="65"/>
        <v>0</v>
      </c>
      <c r="AE152" s="49">
        <v>0</v>
      </c>
      <c r="AF152" s="49">
        <f t="shared" si="58"/>
        <v>0</v>
      </c>
      <c r="AG152" s="49">
        <v>0</v>
      </c>
      <c r="AH152" s="49">
        <v>0</v>
      </c>
      <c r="AI152" s="49">
        <v>0</v>
      </c>
      <c r="AJ152" s="49">
        <f t="shared" si="59"/>
        <v>0</v>
      </c>
      <c r="AK152" s="49">
        <f t="shared" si="66"/>
        <v>0</v>
      </c>
      <c r="AL152" s="82">
        <f t="shared" si="67"/>
        <v>0</v>
      </c>
      <c r="AM152" s="82">
        <f t="shared" si="68"/>
        <v>291304837464665.44</v>
      </c>
      <c r="AN152" s="81">
        <f t="shared" si="60"/>
        <v>318957381107849.37</v>
      </c>
      <c r="AO152" s="80">
        <f t="shared" si="46"/>
        <v>1094.926482800129</v>
      </c>
      <c r="AP152" s="52">
        <f t="shared" si="61"/>
        <v>7.6515863668441273E-3</v>
      </c>
      <c r="AQ152" s="48">
        <f t="shared" si="47"/>
        <v>2.136752136752137E-3</v>
      </c>
      <c r="AR152" s="48">
        <f t="shared" si="48"/>
        <v>0</v>
      </c>
      <c r="AS152" s="48">
        <f t="shared" si="49"/>
        <v>2.4623115577889446E-2</v>
      </c>
      <c r="AT152" s="48" t="e">
        <f>(#REF!-#REF!)/#REF!</f>
        <v>#REF!</v>
      </c>
    </row>
    <row r="153" spans="1:46" x14ac:dyDescent="0.3">
      <c r="A153" s="48">
        <v>20180810</v>
      </c>
      <c r="B153" s="48" t="s">
        <v>88</v>
      </c>
      <c r="C153" s="79">
        <v>0.4</v>
      </c>
      <c r="D153" s="79">
        <f t="shared" si="50"/>
        <v>0.42498141287190805</v>
      </c>
      <c r="E153" s="49">
        <v>46900</v>
      </c>
      <c r="F153" s="49">
        <v>45400</v>
      </c>
      <c r="G153" s="49">
        <v>6419324700</v>
      </c>
      <c r="H153" s="49">
        <f t="shared" si="51"/>
        <v>0.45585619760779</v>
      </c>
      <c r="I153" s="49">
        <f t="shared" si="62"/>
        <v>0.45585619760779</v>
      </c>
      <c r="J153" s="48">
        <v>0.3</v>
      </c>
      <c r="K153" s="48">
        <f t="shared" si="52"/>
        <v>0.29351966512107613</v>
      </c>
      <c r="L153" s="48">
        <v>276000</v>
      </c>
      <c r="M153" s="48">
        <v>272000</v>
      </c>
      <c r="N153" s="51">
        <v>125395903</v>
      </c>
      <c r="O153" s="48">
        <f t="shared" si="53"/>
        <v>2.6902217281479599</v>
      </c>
      <c r="P153" s="48">
        <f t="shared" si="63"/>
        <v>2.6902217281479599</v>
      </c>
      <c r="Q153" s="49">
        <v>0.3</v>
      </c>
      <c r="R153" s="49">
        <f t="shared" si="54"/>
        <v>0.28149892200701576</v>
      </c>
      <c r="S153" s="49">
        <v>203900</v>
      </c>
      <c r="T153" s="49">
        <v>202500</v>
      </c>
      <c r="U153" s="49">
        <v>15956260</v>
      </c>
      <c r="V153" s="49">
        <f t="shared" si="55"/>
        <v>27.2347710204326</v>
      </c>
      <c r="W153" s="49">
        <f t="shared" si="64"/>
        <v>27.2347710204326</v>
      </c>
      <c r="X153" s="48">
        <v>0</v>
      </c>
      <c r="Y153" s="48">
        <f t="shared" si="56"/>
        <v>0</v>
      </c>
      <c r="Z153" s="48">
        <v>0</v>
      </c>
      <c r="AA153" s="48">
        <v>0</v>
      </c>
      <c r="AB153" s="48">
        <v>0</v>
      </c>
      <c r="AC153" s="48">
        <f t="shared" si="57"/>
        <v>0</v>
      </c>
      <c r="AD153" s="48">
        <f t="shared" si="65"/>
        <v>0</v>
      </c>
      <c r="AE153" s="49">
        <v>0</v>
      </c>
      <c r="AF153" s="49">
        <f t="shared" si="58"/>
        <v>0</v>
      </c>
      <c r="AG153" s="49">
        <v>0</v>
      </c>
      <c r="AH153" s="49">
        <v>0</v>
      </c>
      <c r="AI153" s="49">
        <v>0</v>
      </c>
      <c r="AJ153" s="49">
        <f t="shared" si="59"/>
        <v>0</v>
      </c>
      <c r="AK153" s="49">
        <f t="shared" si="66"/>
        <v>0</v>
      </c>
      <c r="AL153" s="82">
        <f t="shared" si="67"/>
        <v>0</v>
      </c>
      <c r="AM153" s="82">
        <f t="shared" si="68"/>
        <v>291304837464665.44</v>
      </c>
      <c r="AN153" s="81">
        <f t="shared" si="60"/>
        <v>312610185430516.87</v>
      </c>
      <c r="AO153" s="80">
        <f t="shared" si="46"/>
        <v>1073.1376387405023</v>
      </c>
      <c r="AP153" s="52">
        <f t="shared" si="61"/>
        <v>-1.9899823779861964E-2</v>
      </c>
      <c r="AQ153" s="48">
        <f t="shared" si="47"/>
        <v>-3.1982942430703626E-2</v>
      </c>
      <c r="AR153" s="48">
        <f t="shared" si="48"/>
        <v>-1.4492753623188406E-2</v>
      </c>
      <c r="AS153" s="48">
        <f t="shared" si="49"/>
        <v>-6.8661108386463953E-3</v>
      </c>
      <c r="AT153" s="48" t="e">
        <f>(#REF!-#REF!)/#REF!</f>
        <v>#REF!</v>
      </c>
    </row>
    <row r="154" spans="1:46" x14ac:dyDescent="0.3">
      <c r="A154" s="48">
        <v>20180813</v>
      </c>
      <c r="B154" s="48" t="s">
        <v>88</v>
      </c>
      <c r="C154" s="79">
        <v>0.4</v>
      </c>
      <c r="D154" s="79">
        <f t="shared" si="50"/>
        <v>0.43214835585046096</v>
      </c>
      <c r="E154" s="49">
        <v>45400</v>
      </c>
      <c r="F154" s="49">
        <v>45050</v>
      </c>
      <c r="G154" s="49">
        <v>6419324700</v>
      </c>
      <c r="H154" s="49">
        <f t="shared" si="51"/>
        <v>0.45585619760779</v>
      </c>
      <c r="I154" s="49">
        <f t="shared" si="62"/>
        <v>0.45585619760779</v>
      </c>
      <c r="J154" s="48">
        <v>0.3</v>
      </c>
      <c r="K154" s="48">
        <f t="shared" si="52"/>
        <v>0.2880713138711215</v>
      </c>
      <c r="L154" s="48">
        <v>272000</v>
      </c>
      <c r="M154" s="48">
        <v>260500</v>
      </c>
      <c r="N154" s="51">
        <v>125395903</v>
      </c>
      <c r="O154" s="48">
        <f t="shared" si="53"/>
        <v>2.6902217281479599</v>
      </c>
      <c r="P154" s="48">
        <f t="shared" si="63"/>
        <v>2.6902217281479599</v>
      </c>
      <c r="Q154" s="49">
        <v>0.3</v>
      </c>
      <c r="R154" s="49">
        <f t="shared" si="54"/>
        <v>0.27978033027841748</v>
      </c>
      <c r="S154" s="49">
        <v>202500</v>
      </c>
      <c r="T154" s="49">
        <v>196400</v>
      </c>
      <c r="U154" s="49">
        <v>15956260</v>
      </c>
      <c r="V154" s="49">
        <f t="shared" si="55"/>
        <v>27.2347710204326</v>
      </c>
      <c r="W154" s="49">
        <f t="shared" si="64"/>
        <v>27.2347710204326</v>
      </c>
      <c r="X154" s="48">
        <v>0</v>
      </c>
      <c r="Y154" s="48">
        <f t="shared" si="56"/>
        <v>0</v>
      </c>
      <c r="Z154" s="48">
        <v>0</v>
      </c>
      <c r="AA154" s="48">
        <v>0</v>
      </c>
      <c r="AB154" s="48">
        <v>0</v>
      </c>
      <c r="AC154" s="48">
        <f t="shared" si="57"/>
        <v>0</v>
      </c>
      <c r="AD154" s="48">
        <f t="shared" si="65"/>
        <v>0</v>
      </c>
      <c r="AE154" s="49">
        <v>0</v>
      </c>
      <c r="AF154" s="49">
        <f t="shared" si="58"/>
        <v>0</v>
      </c>
      <c r="AG154" s="49">
        <v>0</v>
      </c>
      <c r="AH154" s="49">
        <v>0</v>
      </c>
      <c r="AI154" s="49">
        <v>0</v>
      </c>
      <c r="AJ154" s="49">
        <f t="shared" si="59"/>
        <v>0</v>
      </c>
      <c r="AK154" s="49">
        <f t="shared" si="66"/>
        <v>0</v>
      </c>
      <c r="AL154" s="82">
        <f t="shared" si="67"/>
        <v>0</v>
      </c>
      <c r="AM154" s="82">
        <f t="shared" si="68"/>
        <v>291304837464665.44</v>
      </c>
      <c r="AN154" s="81">
        <f t="shared" si="60"/>
        <v>305055695261964.25</v>
      </c>
      <c r="AO154" s="80">
        <f t="shared" si="46"/>
        <v>1047.2043578712171</v>
      </c>
      <c r="AP154" s="52">
        <f t="shared" si="61"/>
        <v>-2.416584782146124E-2</v>
      </c>
      <c r="AQ154" s="48">
        <f t="shared" si="47"/>
        <v>-7.709251101321586E-3</v>
      </c>
      <c r="AR154" s="48">
        <f t="shared" si="48"/>
        <v>-4.2279411764705885E-2</v>
      </c>
      <c r="AS154" s="48">
        <f t="shared" si="49"/>
        <v>-3.0123456790123456E-2</v>
      </c>
      <c r="AT154" s="48" t="e">
        <f>(#REF!-#REF!)/#REF!</f>
        <v>#REF!</v>
      </c>
    </row>
    <row r="155" spans="1:46" x14ac:dyDescent="0.3">
      <c r="A155" s="48">
        <v>20180814</v>
      </c>
      <c r="B155" s="48" t="s">
        <v>88</v>
      </c>
      <c r="C155" s="79">
        <v>0.4</v>
      </c>
      <c r="D155" s="79">
        <f t="shared" si="50"/>
        <v>0.43153295636855488</v>
      </c>
      <c r="E155" s="49">
        <v>45050</v>
      </c>
      <c r="F155" s="49">
        <v>45150</v>
      </c>
      <c r="G155" s="49">
        <v>6419324700</v>
      </c>
      <c r="H155" s="49">
        <f t="shared" si="51"/>
        <v>0.45585619760779</v>
      </c>
      <c r="I155" s="49">
        <f t="shared" si="62"/>
        <v>0.45585619760779</v>
      </c>
      <c r="J155" s="48">
        <v>0.3</v>
      </c>
      <c r="K155" s="48">
        <f t="shared" si="52"/>
        <v>0.28757487344265897</v>
      </c>
      <c r="L155" s="48">
        <v>260500</v>
      </c>
      <c r="M155" s="48">
        <v>261000</v>
      </c>
      <c r="N155" s="51">
        <v>125395903</v>
      </c>
      <c r="O155" s="48">
        <f t="shared" si="53"/>
        <v>2.6902217281479599</v>
      </c>
      <c r="P155" s="48">
        <f t="shared" si="63"/>
        <v>2.6902217281479599</v>
      </c>
      <c r="Q155" s="49">
        <v>0.3</v>
      </c>
      <c r="R155" s="49">
        <f t="shared" si="54"/>
        <v>0.28089217018878626</v>
      </c>
      <c r="S155" s="49">
        <v>196400</v>
      </c>
      <c r="T155" s="49">
        <v>197900</v>
      </c>
      <c r="U155" s="49">
        <v>15956260</v>
      </c>
      <c r="V155" s="49">
        <f t="shared" si="55"/>
        <v>27.2347710204326</v>
      </c>
      <c r="W155" s="49">
        <f t="shared" si="64"/>
        <v>27.2347710204326</v>
      </c>
      <c r="X155" s="48">
        <v>0</v>
      </c>
      <c r="Y155" s="48">
        <f t="shared" si="56"/>
        <v>0</v>
      </c>
      <c r="Z155" s="48">
        <v>0</v>
      </c>
      <c r="AA155" s="48">
        <v>0</v>
      </c>
      <c r="AB155" s="48">
        <v>0</v>
      </c>
      <c r="AC155" s="48">
        <f t="shared" si="57"/>
        <v>0</v>
      </c>
      <c r="AD155" s="48">
        <f t="shared" si="65"/>
        <v>0</v>
      </c>
      <c r="AE155" s="49">
        <v>0</v>
      </c>
      <c r="AF155" s="49">
        <f t="shared" si="58"/>
        <v>0</v>
      </c>
      <c r="AG155" s="49">
        <v>0</v>
      </c>
      <c r="AH155" s="49">
        <v>0</v>
      </c>
      <c r="AI155" s="49">
        <v>0</v>
      </c>
      <c r="AJ155" s="49">
        <f t="shared" si="59"/>
        <v>0</v>
      </c>
      <c r="AK155" s="49">
        <f t="shared" si="66"/>
        <v>0</v>
      </c>
      <c r="AL155" s="82">
        <f t="shared" si="67"/>
        <v>0</v>
      </c>
      <c r="AM155" s="82">
        <f t="shared" si="68"/>
        <v>291304837464665.44</v>
      </c>
      <c r="AN155" s="81">
        <f t="shared" si="60"/>
        <v>306168843179458.75</v>
      </c>
      <c r="AO155" s="80">
        <f t="shared" si="46"/>
        <v>1051.025605493408</v>
      </c>
      <c r="AP155" s="52">
        <f t="shared" si="61"/>
        <v>3.6489989689870981E-3</v>
      </c>
      <c r="AQ155" s="48">
        <f t="shared" si="47"/>
        <v>2.2197558268590455E-3</v>
      </c>
      <c r="AR155" s="48">
        <f t="shared" si="48"/>
        <v>1.9193857965451055E-3</v>
      </c>
      <c r="AS155" s="48">
        <f t="shared" si="49"/>
        <v>7.6374745417515273E-3</v>
      </c>
      <c r="AT155" s="48" t="e">
        <f>(#REF!-#REF!)/#REF!</f>
        <v>#REF!</v>
      </c>
    </row>
    <row r="156" spans="1:46" x14ac:dyDescent="0.3">
      <c r="A156" s="48">
        <v>20180816</v>
      </c>
      <c r="B156" s="48" t="s">
        <v>88</v>
      </c>
      <c r="C156" s="79">
        <v>0.4</v>
      </c>
      <c r="D156" s="79">
        <f t="shared" si="50"/>
        <v>0.43038430741866585</v>
      </c>
      <c r="E156" s="49">
        <v>45150</v>
      </c>
      <c r="F156" s="49">
        <v>44250</v>
      </c>
      <c r="G156" s="49">
        <v>6419324700</v>
      </c>
      <c r="H156" s="49">
        <f t="shared" si="51"/>
        <v>0.45585619760779</v>
      </c>
      <c r="I156" s="49">
        <f t="shared" si="62"/>
        <v>0.45585619760779</v>
      </c>
      <c r="J156" s="48">
        <v>0.3</v>
      </c>
      <c r="K156" s="48">
        <f t="shared" si="52"/>
        <v>0.28983972986174694</v>
      </c>
      <c r="L156" s="48">
        <v>261000</v>
      </c>
      <c r="M156" s="48">
        <v>258500</v>
      </c>
      <c r="N156" s="51">
        <v>125395903</v>
      </c>
      <c r="O156" s="48">
        <f t="shared" si="53"/>
        <v>2.6902217281479599</v>
      </c>
      <c r="P156" s="48">
        <f t="shared" si="63"/>
        <v>2.6902217281479599</v>
      </c>
      <c r="Q156" s="49">
        <v>0.3</v>
      </c>
      <c r="R156" s="49">
        <f t="shared" si="54"/>
        <v>0.27977596271958727</v>
      </c>
      <c r="S156" s="49">
        <v>197900</v>
      </c>
      <c r="T156" s="49">
        <v>193700</v>
      </c>
      <c r="U156" s="49">
        <v>15956260</v>
      </c>
      <c r="V156" s="49">
        <f t="shared" si="55"/>
        <v>27.2347710204326</v>
      </c>
      <c r="W156" s="49">
        <f t="shared" si="64"/>
        <v>27.2347710204326</v>
      </c>
      <c r="X156" s="48">
        <v>0</v>
      </c>
      <c r="Y156" s="48">
        <f t="shared" si="56"/>
        <v>0</v>
      </c>
      <c r="Z156" s="48">
        <v>0</v>
      </c>
      <c r="AA156" s="48">
        <v>0</v>
      </c>
      <c r="AB156" s="48">
        <v>0</v>
      </c>
      <c r="AC156" s="48">
        <f t="shared" si="57"/>
        <v>0</v>
      </c>
      <c r="AD156" s="48">
        <f t="shared" si="65"/>
        <v>0</v>
      </c>
      <c r="AE156" s="49">
        <v>0</v>
      </c>
      <c r="AF156" s="49">
        <f t="shared" si="58"/>
        <v>0</v>
      </c>
      <c r="AG156" s="49">
        <v>0</v>
      </c>
      <c r="AH156" s="49">
        <v>0</v>
      </c>
      <c r="AI156" s="49">
        <v>0</v>
      </c>
      <c r="AJ156" s="49">
        <f t="shared" si="59"/>
        <v>0</v>
      </c>
      <c r="AK156" s="49">
        <f t="shared" si="66"/>
        <v>0</v>
      </c>
      <c r="AL156" s="82">
        <f t="shared" si="67"/>
        <v>0</v>
      </c>
      <c r="AM156" s="82">
        <f t="shared" si="68"/>
        <v>291304837464665.44</v>
      </c>
      <c r="AN156" s="81">
        <f t="shared" si="60"/>
        <v>300866652800965.44</v>
      </c>
      <c r="AO156" s="80">
        <f t="shared" si="46"/>
        <v>1032.8240870269099</v>
      </c>
      <c r="AP156" s="52">
        <f t="shared" si="61"/>
        <v>-1.7317863971499845E-2</v>
      </c>
      <c r="AQ156" s="48">
        <f t="shared" si="47"/>
        <v>-1.9933554817275746E-2</v>
      </c>
      <c r="AR156" s="48">
        <f t="shared" si="48"/>
        <v>-9.5785440613026813E-3</v>
      </c>
      <c r="AS156" s="48">
        <f t="shared" si="49"/>
        <v>-2.1222839818089943E-2</v>
      </c>
      <c r="AT156" s="48" t="e">
        <f>(#REF!-#REF!)/#REF!</f>
        <v>#REF!</v>
      </c>
    </row>
    <row r="157" spans="1:46" x14ac:dyDescent="0.3">
      <c r="A157" s="48">
        <v>20180817</v>
      </c>
      <c r="B157" s="48" t="s">
        <v>88</v>
      </c>
      <c r="C157" s="79">
        <v>0.4</v>
      </c>
      <c r="D157" s="79">
        <f t="shared" si="50"/>
        <v>0.42270804209083873</v>
      </c>
      <c r="E157" s="49">
        <v>44250</v>
      </c>
      <c r="F157" s="49">
        <v>44100</v>
      </c>
      <c r="G157" s="49">
        <v>6419324700</v>
      </c>
      <c r="H157" s="49">
        <f t="shared" si="51"/>
        <v>0.45585619760779</v>
      </c>
      <c r="I157" s="49">
        <f t="shared" si="62"/>
        <v>0.45585619760779</v>
      </c>
      <c r="J157" s="48">
        <v>0.3</v>
      </c>
      <c r="K157" s="48">
        <f t="shared" si="52"/>
        <v>0.29061089068634582</v>
      </c>
      <c r="L157" s="48">
        <v>258500</v>
      </c>
      <c r="M157" s="48">
        <v>263000</v>
      </c>
      <c r="N157" s="51">
        <v>125395903</v>
      </c>
      <c r="O157" s="48">
        <f t="shared" si="53"/>
        <v>2.6902217281479599</v>
      </c>
      <c r="P157" s="48">
        <f t="shared" si="63"/>
        <v>2.6902217281479599</v>
      </c>
      <c r="Q157" s="49">
        <v>0.3</v>
      </c>
      <c r="R157" s="49">
        <f t="shared" si="54"/>
        <v>0.2866810672228155</v>
      </c>
      <c r="S157" s="49">
        <v>193700</v>
      </c>
      <c r="T157" s="49">
        <v>201400</v>
      </c>
      <c r="U157" s="49">
        <v>15956260</v>
      </c>
      <c r="V157" s="49">
        <f t="shared" si="55"/>
        <v>27.2347710204326</v>
      </c>
      <c r="W157" s="49">
        <f t="shared" si="64"/>
        <v>27.2347710204326</v>
      </c>
      <c r="X157" s="48">
        <v>0</v>
      </c>
      <c r="Y157" s="48">
        <f t="shared" si="56"/>
        <v>0</v>
      </c>
      <c r="Z157" s="48">
        <v>0</v>
      </c>
      <c r="AA157" s="48">
        <v>0</v>
      </c>
      <c r="AB157" s="48">
        <v>0</v>
      </c>
      <c r="AC157" s="48">
        <f t="shared" si="57"/>
        <v>0</v>
      </c>
      <c r="AD157" s="48">
        <f t="shared" si="65"/>
        <v>0</v>
      </c>
      <c r="AE157" s="49">
        <v>0</v>
      </c>
      <c r="AF157" s="49">
        <f t="shared" si="58"/>
        <v>0</v>
      </c>
      <c r="AG157" s="49">
        <v>0</v>
      </c>
      <c r="AH157" s="49">
        <v>0</v>
      </c>
      <c r="AI157" s="49">
        <v>0</v>
      </c>
      <c r="AJ157" s="49">
        <f t="shared" si="59"/>
        <v>0</v>
      </c>
      <c r="AK157" s="49">
        <f t="shared" si="66"/>
        <v>0</v>
      </c>
      <c r="AL157" s="82">
        <f t="shared" si="67"/>
        <v>0</v>
      </c>
      <c r="AM157" s="82">
        <f t="shared" si="68"/>
        <v>291304837464665.44</v>
      </c>
      <c r="AN157" s="81">
        <f t="shared" si="60"/>
        <v>305291903154850.81</v>
      </c>
      <c r="AO157" s="80">
        <f t="shared" si="46"/>
        <v>1048.0152194241607</v>
      </c>
      <c r="AP157" s="52">
        <f t="shared" si="61"/>
        <v>1.4708344419987409E-2</v>
      </c>
      <c r="AQ157" s="48">
        <f t="shared" si="47"/>
        <v>-3.3898305084745762E-3</v>
      </c>
      <c r="AR157" s="48">
        <f t="shared" si="48"/>
        <v>1.7408123791102514E-2</v>
      </c>
      <c r="AS157" s="48">
        <f t="shared" si="49"/>
        <v>3.9752194114610222E-2</v>
      </c>
      <c r="AT157" s="48" t="e">
        <f>(#REF!-#REF!)/#REF!</f>
        <v>#REF!</v>
      </c>
    </row>
    <row r="158" spans="1:46" x14ac:dyDescent="0.3">
      <c r="A158" s="48">
        <v>20180820</v>
      </c>
      <c r="B158" s="48" t="s">
        <v>88</v>
      </c>
      <c r="C158" s="79">
        <v>0.4</v>
      </c>
      <c r="D158" s="79">
        <f t="shared" si="50"/>
        <v>0.42249844177992985</v>
      </c>
      <c r="E158" s="49">
        <v>44100</v>
      </c>
      <c r="F158" s="49">
        <v>43850</v>
      </c>
      <c r="G158" s="49">
        <v>6419324700</v>
      </c>
      <c r="H158" s="49">
        <f t="shared" si="51"/>
        <v>0.45585619760779</v>
      </c>
      <c r="I158" s="49">
        <f t="shared" si="62"/>
        <v>0.45585619760779</v>
      </c>
      <c r="J158" s="48">
        <v>0.3</v>
      </c>
      <c r="K158" s="48">
        <f t="shared" si="52"/>
        <v>0.28990134966578424</v>
      </c>
      <c r="L158" s="48">
        <v>263000</v>
      </c>
      <c r="M158" s="48">
        <v>261000</v>
      </c>
      <c r="N158" s="51">
        <v>125395903</v>
      </c>
      <c r="O158" s="48">
        <f t="shared" si="53"/>
        <v>2.6902217281479599</v>
      </c>
      <c r="P158" s="48">
        <f t="shared" si="63"/>
        <v>2.6902217281479599</v>
      </c>
      <c r="Q158" s="49">
        <v>0.3</v>
      </c>
      <c r="R158" s="49">
        <f t="shared" si="54"/>
        <v>0.28760020855428581</v>
      </c>
      <c r="S158" s="49">
        <v>201400</v>
      </c>
      <c r="T158" s="49">
        <v>201000</v>
      </c>
      <c r="U158" s="49">
        <v>15956260</v>
      </c>
      <c r="V158" s="49">
        <f t="shared" si="55"/>
        <v>27.2347710204326</v>
      </c>
      <c r="W158" s="49">
        <f t="shared" si="64"/>
        <v>27.2347710204326</v>
      </c>
      <c r="X158" s="48">
        <v>0</v>
      </c>
      <c r="Y158" s="48">
        <f t="shared" si="56"/>
        <v>0</v>
      </c>
      <c r="Z158" s="48">
        <v>0</v>
      </c>
      <c r="AA158" s="48">
        <v>0</v>
      </c>
      <c r="AB158" s="48">
        <v>0</v>
      </c>
      <c r="AC158" s="48">
        <f t="shared" si="57"/>
        <v>0</v>
      </c>
      <c r="AD158" s="48">
        <f t="shared" si="65"/>
        <v>0</v>
      </c>
      <c r="AE158" s="49">
        <v>0</v>
      </c>
      <c r="AF158" s="49">
        <f t="shared" si="58"/>
        <v>0</v>
      </c>
      <c r="AG158" s="49">
        <v>0</v>
      </c>
      <c r="AH158" s="49">
        <v>0</v>
      </c>
      <c r="AI158" s="49">
        <v>0</v>
      </c>
      <c r="AJ158" s="49">
        <f t="shared" si="59"/>
        <v>0</v>
      </c>
      <c r="AK158" s="49">
        <f t="shared" si="66"/>
        <v>0</v>
      </c>
      <c r="AL158" s="82">
        <f t="shared" si="67"/>
        <v>0</v>
      </c>
      <c r="AM158" s="82">
        <f t="shared" si="68"/>
        <v>291304837464665.44</v>
      </c>
      <c r="AN158" s="81">
        <f t="shared" si="60"/>
        <v>303711819316893.25</v>
      </c>
      <c r="AO158" s="80">
        <f t="shared" si="46"/>
        <v>1042.5910601423939</v>
      </c>
      <c r="AP158" s="52">
        <f t="shared" si="61"/>
        <v>-5.1756493429047489E-3</v>
      </c>
      <c r="AQ158" s="48">
        <f t="shared" si="47"/>
        <v>-5.6689342403628117E-3</v>
      </c>
      <c r="AR158" s="48">
        <f t="shared" si="48"/>
        <v>-7.6045627376425855E-3</v>
      </c>
      <c r="AS158" s="48">
        <f t="shared" si="49"/>
        <v>-1.9860973187686196E-3</v>
      </c>
      <c r="AT158" s="48" t="e">
        <f>(#REF!-#REF!)/#REF!</f>
        <v>#REF!</v>
      </c>
    </row>
    <row r="159" spans="1:46" x14ac:dyDescent="0.3">
      <c r="A159" s="48">
        <v>20180821</v>
      </c>
      <c r="B159" s="48" t="s">
        <v>88</v>
      </c>
      <c r="C159" s="79">
        <v>0.4</v>
      </c>
      <c r="D159" s="79">
        <f t="shared" si="50"/>
        <v>0.4147851369192565</v>
      </c>
      <c r="E159" s="49">
        <v>43850</v>
      </c>
      <c r="F159" s="49">
        <v>44800</v>
      </c>
      <c r="G159" s="49">
        <v>6419324700</v>
      </c>
      <c r="H159" s="49">
        <f t="shared" si="51"/>
        <v>0.45585619760779</v>
      </c>
      <c r="I159" s="49">
        <f t="shared" si="62"/>
        <v>0.45585619760779</v>
      </c>
      <c r="J159" s="48">
        <v>0.3</v>
      </c>
      <c r="K159" s="48">
        <f t="shared" si="52"/>
        <v>0.2865785480100409</v>
      </c>
      <c r="L159" s="48">
        <v>261000</v>
      </c>
      <c r="M159" s="48">
        <v>268500</v>
      </c>
      <c r="N159" s="51">
        <v>125395903</v>
      </c>
      <c r="O159" s="48">
        <f t="shared" si="53"/>
        <v>2.6902217281479599</v>
      </c>
      <c r="P159" s="48">
        <f t="shared" si="63"/>
        <v>2.6902217281479599</v>
      </c>
      <c r="Q159" s="49">
        <v>0.3</v>
      </c>
      <c r="R159" s="49">
        <f t="shared" si="54"/>
        <v>0.29863631507070265</v>
      </c>
      <c r="S159" s="49">
        <v>201000</v>
      </c>
      <c r="T159" s="49">
        <v>217200</v>
      </c>
      <c r="U159" s="49">
        <v>15956260</v>
      </c>
      <c r="V159" s="49">
        <f t="shared" si="55"/>
        <v>27.2347710204326</v>
      </c>
      <c r="W159" s="49">
        <f t="shared" si="64"/>
        <v>27.2347710204326</v>
      </c>
      <c r="X159" s="48">
        <v>0</v>
      </c>
      <c r="Y159" s="48">
        <f t="shared" si="56"/>
        <v>0</v>
      </c>
      <c r="Z159" s="48">
        <v>0</v>
      </c>
      <c r="AA159" s="48">
        <v>0</v>
      </c>
      <c r="AB159" s="48">
        <v>0</v>
      </c>
      <c r="AC159" s="48">
        <f t="shared" si="57"/>
        <v>0</v>
      </c>
      <c r="AD159" s="48">
        <f t="shared" si="65"/>
        <v>0</v>
      </c>
      <c r="AE159" s="49">
        <v>0</v>
      </c>
      <c r="AF159" s="49">
        <f t="shared" si="58"/>
        <v>0</v>
      </c>
      <c r="AG159" s="49">
        <v>0</v>
      </c>
      <c r="AH159" s="49">
        <v>0</v>
      </c>
      <c r="AI159" s="49">
        <v>0</v>
      </c>
      <c r="AJ159" s="49">
        <f t="shared" si="59"/>
        <v>0</v>
      </c>
      <c r="AK159" s="49">
        <f t="shared" si="66"/>
        <v>0</v>
      </c>
      <c r="AL159" s="82">
        <f t="shared" si="67"/>
        <v>0</v>
      </c>
      <c r="AM159" s="82">
        <f t="shared" si="68"/>
        <v>291304837464665.44</v>
      </c>
      <c r="AN159" s="81">
        <f t="shared" si="60"/>
        <v>316061819106500.69</v>
      </c>
      <c r="AO159" s="80">
        <f t="shared" si="46"/>
        <v>1084.9865105478661</v>
      </c>
      <c r="AP159" s="52">
        <f t="shared" si="61"/>
        <v>4.0663546836553571E-2</v>
      </c>
      <c r="AQ159" s="48">
        <f t="shared" si="47"/>
        <v>2.1664766248574687E-2</v>
      </c>
      <c r="AR159" s="48">
        <f t="shared" si="48"/>
        <v>2.8735632183908046E-2</v>
      </c>
      <c r="AS159" s="48">
        <f t="shared" si="49"/>
        <v>8.0597014925373134E-2</v>
      </c>
      <c r="AT159" s="48" t="e">
        <f>(#REF!-#REF!)/#REF!</f>
        <v>#REF!</v>
      </c>
    </row>
    <row r="160" spans="1:46" x14ac:dyDescent="0.3">
      <c r="A160" s="48">
        <v>20180822</v>
      </c>
      <c r="B160" s="48" t="s">
        <v>88</v>
      </c>
      <c r="C160" s="79">
        <v>0.4</v>
      </c>
      <c r="D160" s="79">
        <f t="shared" si="50"/>
        <v>0.42180241984407624</v>
      </c>
      <c r="E160" s="49">
        <v>44800</v>
      </c>
      <c r="F160" s="49">
        <v>46100</v>
      </c>
      <c r="G160" s="49">
        <v>6419324700</v>
      </c>
      <c r="H160" s="49">
        <f t="shared" si="51"/>
        <v>0.45585619760779</v>
      </c>
      <c r="I160" s="49">
        <f t="shared" si="62"/>
        <v>0.45585619760779</v>
      </c>
      <c r="J160" s="48">
        <v>0.3</v>
      </c>
      <c r="K160" s="48">
        <f t="shared" si="52"/>
        <v>0.28320873726360224</v>
      </c>
      <c r="L160" s="48">
        <v>268500</v>
      </c>
      <c r="M160" s="48">
        <v>268500</v>
      </c>
      <c r="N160" s="51">
        <v>125395903</v>
      </c>
      <c r="O160" s="48">
        <f t="shared" si="53"/>
        <v>2.6902217281479599</v>
      </c>
      <c r="P160" s="48">
        <f t="shared" si="63"/>
        <v>2.6902217281479599</v>
      </c>
      <c r="Q160" s="49">
        <v>0.3</v>
      </c>
      <c r="R160" s="49">
        <f t="shared" si="54"/>
        <v>0.29498884289232158</v>
      </c>
      <c r="S160" s="49">
        <v>217200</v>
      </c>
      <c r="T160" s="49">
        <v>217100</v>
      </c>
      <c r="U160" s="49">
        <v>15956260</v>
      </c>
      <c r="V160" s="49">
        <f t="shared" si="55"/>
        <v>27.2347710204326</v>
      </c>
      <c r="W160" s="49">
        <f t="shared" si="64"/>
        <v>27.2347710204326</v>
      </c>
      <c r="X160" s="48">
        <v>0</v>
      </c>
      <c r="Y160" s="48">
        <f t="shared" si="56"/>
        <v>0</v>
      </c>
      <c r="Z160" s="48">
        <v>0</v>
      </c>
      <c r="AA160" s="48">
        <v>0</v>
      </c>
      <c r="AB160" s="48">
        <v>0</v>
      </c>
      <c r="AC160" s="48">
        <f t="shared" si="57"/>
        <v>0</v>
      </c>
      <c r="AD160" s="48">
        <f t="shared" si="65"/>
        <v>0</v>
      </c>
      <c r="AE160" s="49">
        <v>0</v>
      </c>
      <c r="AF160" s="49">
        <f t="shared" si="58"/>
        <v>0</v>
      </c>
      <c r="AG160" s="49">
        <v>0</v>
      </c>
      <c r="AH160" s="49">
        <v>0</v>
      </c>
      <c r="AI160" s="49">
        <v>0</v>
      </c>
      <c r="AJ160" s="49">
        <f t="shared" si="59"/>
        <v>0</v>
      </c>
      <c r="AK160" s="49">
        <f t="shared" si="66"/>
        <v>0</v>
      </c>
      <c r="AL160" s="82">
        <f t="shared" si="67"/>
        <v>0</v>
      </c>
      <c r="AM160" s="82">
        <f t="shared" si="68"/>
        <v>291304837464665.44</v>
      </c>
      <c r="AN160" s="81">
        <f t="shared" si="60"/>
        <v>319822538231393.75</v>
      </c>
      <c r="AO160" s="80">
        <f t="shared" si="46"/>
        <v>1097.8964201725191</v>
      </c>
      <c r="AP160" s="52">
        <f t="shared" si="61"/>
        <v>1.1898682148715469E-2</v>
      </c>
      <c r="AQ160" s="48">
        <f t="shared" si="47"/>
        <v>2.9017857142857144E-2</v>
      </c>
      <c r="AR160" s="48">
        <f t="shared" si="48"/>
        <v>0</v>
      </c>
      <c r="AS160" s="48">
        <f t="shared" si="49"/>
        <v>-4.6040515653775324E-4</v>
      </c>
      <c r="AT160" s="48" t="e">
        <f>(#REF!-#REF!)/#REF!</f>
        <v>#REF!</v>
      </c>
    </row>
    <row r="161" spans="1:46" x14ac:dyDescent="0.3">
      <c r="A161" s="48">
        <v>20180823</v>
      </c>
      <c r="B161" s="48" t="s">
        <v>88</v>
      </c>
      <c r="C161" s="79">
        <v>0.4</v>
      </c>
      <c r="D161" s="79">
        <f t="shared" si="50"/>
        <v>0.41967067711968881</v>
      </c>
      <c r="E161" s="49">
        <v>46100</v>
      </c>
      <c r="F161" s="49">
        <v>46200</v>
      </c>
      <c r="G161" s="49">
        <v>6419324700</v>
      </c>
      <c r="H161" s="49">
        <f t="shared" si="51"/>
        <v>0.45585619760779</v>
      </c>
      <c r="I161" s="49">
        <f t="shared" si="62"/>
        <v>0.45585619760779</v>
      </c>
      <c r="J161" s="48">
        <v>0.3</v>
      </c>
      <c r="K161" s="48">
        <f t="shared" si="52"/>
        <v>0.28692700753180261</v>
      </c>
      <c r="L161" s="48">
        <v>268500</v>
      </c>
      <c r="M161" s="48">
        <v>274000</v>
      </c>
      <c r="N161" s="51">
        <v>125395903</v>
      </c>
      <c r="O161" s="48">
        <f t="shared" si="53"/>
        <v>2.6902217281479599</v>
      </c>
      <c r="P161" s="48">
        <f t="shared" si="63"/>
        <v>2.6902217281479599</v>
      </c>
      <c r="Q161" s="49">
        <v>0.3</v>
      </c>
      <c r="R161" s="49">
        <f t="shared" si="54"/>
        <v>0.29340231534850852</v>
      </c>
      <c r="S161" s="49">
        <v>217100</v>
      </c>
      <c r="T161" s="49">
        <v>217500</v>
      </c>
      <c r="U161" s="49">
        <v>15956260</v>
      </c>
      <c r="V161" s="49">
        <f t="shared" si="55"/>
        <v>27.2347710204326</v>
      </c>
      <c r="W161" s="49">
        <f t="shared" si="64"/>
        <v>27.2347710204326</v>
      </c>
      <c r="X161" s="48">
        <v>0</v>
      </c>
      <c r="Y161" s="48">
        <f t="shared" si="56"/>
        <v>0</v>
      </c>
      <c r="Z161" s="48">
        <v>0</v>
      </c>
      <c r="AA161" s="48">
        <v>0</v>
      </c>
      <c r="AB161" s="48">
        <v>0</v>
      </c>
      <c r="AC161" s="48">
        <f t="shared" si="57"/>
        <v>0</v>
      </c>
      <c r="AD161" s="48">
        <f t="shared" si="65"/>
        <v>0</v>
      </c>
      <c r="AE161" s="49">
        <v>0</v>
      </c>
      <c r="AF161" s="49">
        <f t="shared" si="58"/>
        <v>0</v>
      </c>
      <c r="AG161" s="49">
        <v>0</v>
      </c>
      <c r="AH161" s="49">
        <v>0</v>
      </c>
      <c r="AI161" s="49">
        <v>0</v>
      </c>
      <c r="AJ161" s="49">
        <f t="shared" si="59"/>
        <v>0</v>
      </c>
      <c r="AK161" s="49">
        <f t="shared" si="66"/>
        <v>0</v>
      </c>
      <c r="AL161" s="82">
        <f t="shared" si="67"/>
        <v>0</v>
      </c>
      <c r="AM161" s="82">
        <f t="shared" si="68"/>
        <v>291304837464665.44</v>
      </c>
      <c r="AN161" s="81">
        <f t="shared" si="60"/>
        <v>322144378467058.25</v>
      </c>
      <c r="AO161" s="80">
        <f t="shared" si="46"/>
        <v>1105.8669031067279</v>
      </c>
      <c r="AP161" s="52">
        <f t="shared" si="61"/>
        <v>7.2597767765344868E-3</v>
      </c>
      <c r="AQ161" s="48">
        <f t="shared" si="47"/>
        <v>2.1691973969631237E-3</v>
      </c>
      <c r="AR161" s="48">
        <f t="shared" si="48"/>
        <v>2.0484171322160148E-2</v>
      </c>
      <c r="AS161" s="48">
        <f t="shared" si="49"/>
        <v>1.8424689083371719E-3</v>
      </c>
      <c r="AT161" s="48" t="e">
        <f>(#REF!-#REF!)/#REF!</f>
        <v>#REF!</v>
      </c>
    </row>
    <row r="162" spans="1:46" x14ac:dyDescent="0.3">
      <c r="A162" s="48">
        <v>20180824</v>
      </c>
      <c r="B162" s="48" t="s">
        <v>88</v>
      </c>
      <c r="C162" s="79">
        <v>0.4</v>
      </c>
      <c r="D162" s="79">
        <f t="shared" si="50"/>
        <v>0.41499942622527319</v>
      </c>
      <c r="E162" s="49">
        <v>46200</v>
      </c>
      <c r="F162" s="49">
        <v>46150</v>
      </c>
      <c r="G162" s="49">
        <v>6419324700</v>
      </c>
      <c r="H162" s="49">
        <f t="shared" si="51"/>
        <v>0.45585619760779</v>
      </c>
      <c r="I162" s="49">
        <f t="shared" si="62"/>
        <v>0.45585619760779</v>
      </c>
      <c r="J162" s="48">
        <v>0.3</v>
      </c>
      <c r="K162" s="48">
        <f t="shared" si="52"/>
        <v>0.28974224390442005</v>
      </c>
      <c r="L162" s="48">
        <v>274000</v>
      </c>
      <c r="M162" s="48">
        <v>279500</v>
      </c>
      <c r="N162" s="51">
        <v>125395903</v>
      </c>
      <c r="O162" s="48">
        <f t="shared" si="53"/>
        <v>2.6902217281479599</v>
      </c>
      <c r="P162" s="48">
        <f t="shared" si="63"/>
        <v>2.6902217281479599</v>
      </c>
      <c r="Q162" s="49">
        <v>0.3</v>
      </c>
      <c r="R162" s="49">
        <f t="shared" si="54"/>
        <v>0.29525832987030665</v>
      </c>
      <c r="S162" s="49">
        <v>217500</v>
      </c>
      <c r="T162" s="49">
        <v>221100</v>
      </c>
      <c r="U162" s="49">
        <v>15956260</v>
      </c>
      <c r="V162" s="49">
        <f t="shared" si="55"/>
        <v>27.2347710204326</v>
      </c>
      <c r="W162" s="49">
        <f t="shared" si="64"/>
        <v>27.2347710204326</v>
      </c>
      <c r="X162" s="48">
        <v>0</v>
      </c>
      <c r="Y162" s="48">
        <f t="shared" si="56"/>
        <v>0</v>
      </c>
      <c r="Z162" s="48">
        <v>0</v>
      </c>
      <c r="AA162" s="48">
        <v>0</v>
      </c>
      <c r="AB162" s="48">
        <v>0</v>
      </c>
      <c r="AC162" s="48">
        <f t="shared" si="57"/>
        <v>0</v>
      </c>
      <c r="AD162" s="48">
        <f t="shared" si="65"/>
        <v>0</v>
      </c>
      <c r="AE162" s="49">
        <v>0</v>
      </c>
      <c r="AF162" s="49">
        <f t="shared" si="58"/>
        <v>0</v>
      </c>
      <c r="AG162" s="49">
        <v>0</v>
      </c>
      <c r="AH162" s="49">
        <v>0</v>
      </c>
      <c r="AI162" s="49">
        <v>0</v>
      </c>
      <c r="AJ162" s="49">
        <f t="shared" si="59"/>
        <v>0</v>
      </c>
      <c r="AK162" s="49">
        <f t="shared" si="66"/>
        <v>0</v>
      </c>
      <c r="AL162" s="82">
        <f t="shared" si="67"/>
        <v>0</v>
      </c>
      <c r="AM162" s="82">
        <f t="shared" si="68"/>
        <v>291304837464665.44</v>
      </c>
      <c r="AN162" s="81">
        <f t="shared" si="60"/>
        <v>325417883640196</v>
      </c>
      <c r="AO162" s="80">
        <f t="shared" si="46"/>
        <v>1117.1042900366128</v>
      </c>
      <c r="AP162" s="52">
        <f t="shared" si="61"/>
        <v>1.0161608868405007E-2</v>
      </c>
      <c r="AQ162" s="48">
        <f t="shared" si="47"/>
        <v>-1.0822510822510823E-3</v>
      </c>
      <c r="AR162" s="48">
        <f t="shared" si="48"/>
        <v>2.0072992700729927E-2</v>
      </c>
      <c r="AS162" s="48">
        <f t="shared" si="49"/>
        <v>1.6551724137931035E-2</v>
      </c>
      <c r="AT162" s="48" t="e">
        <f>(#REF!-#REF!)/#REF!</f>
        <v>#REF!</v>
      </c>
    </row>
    <row r="163" spans="1:46" x14ac:dyDescent="0.3">
      <c r="A163" s="48">
        <v>20180827</v>
      </c>
      <c r="B163" s="48" t="s">
        <v>88</v>
      </c>
      <c r="C163" s="79">
        <v>0.4</v>
      </c>
      <c r="D163" s="79">
        <f t="shared" si="50"/>
        <v>0.41660105056491098</v>
      </c>
      <c r="E163" s="49">
        <v>46150</v>
      </c>
      <c r="F163" s="49">
        <v>46300</v>
      </c>
      <c r="G163" s="49">
        <v>6419324700</v>
      </c>
      <c r="H163" s="49">
        <f t="shared" si="51"/>
        <v>0.45585619760779</v>
      </c>
      <c r="I163" s="49">
        <f t="shared" si="62"/>
        <v>0.45585619760779</v>
      </c>
      <c r="J163" s="48">
        <v>0.3</v>
      </c>
      <c r="K163" s="48">
        <f t="shared" si="52"/>
        <v>0.28836223421820067</v>
      </c>
      <c r="L163" s="48">
        <v>279500</v>
      </c>
      <c r="M163" s="48">
        <v>278000</v>
      </c>
      <c r="N163" s="51">
        <v>125395903</v>
      </c>
      <c r="O163" s="48">
        <f t="shared" si="53"/>
        <v>2.6902217281479599</v>
      </c>
      <c r="P163" s="48">
        <f t="shared" si="63"/>
        <v>2.6902217281479599</v>
      </c>
      <c r="Q163" s="49">
        <v>0.3</v>
      </c>
      <c r="R163" s="49">
        <f t="shared" si="54"/>
        <v>0.29503671521688835</v>
      </c>
      <c r="S163" s="49">
        <v>221100</v>
      </c>
      <c r="T163" s="49">
        <v>220800</v>
      </c>
      <c r="U163" s="49">
        <v>15956260</v>
      </c>
      <c r="V163" s="49">
        <f t="shared" si="55"/>
        <v>27.2347710204326</v>
      </c>
      <c r="W163" s="49">
        <f t="shared" si="64"/>
        <v>27.2347710204326</v>
      </c>
      <c r="X163" s="48">
        <v>0</v>
      </c>
      <c r="Y163" s="48">
        <f t="shared" si="56"/>
        <v>0</v>
      </c>
      <c r="Z163" s="48">
        <v>0</v>
      </c>
      <c r="AA163" s="48">
        <v>0</v>
      </c>
      <c r="AB163" s="48">
        <v>0</v>
      </c>
      <c r="AC163" s="48">
        <f t="shared" si="57"/>
        <v>0</v>
      </c>
      <c r="AD163" s="48">
        <f t="shared" si="65"/>
        <v>0</v>
      </c>
      <c r="AE163" s="49">
        <v>0</v>
      </c>
      <c r="AF163" s="49">
        <f t="shared" si="58"/>
        <v>0</v>
      </c>
      <c r="AG163" s="49">
        <v>0</v>
      </c>
      <c r="AH163" s="49">
        <v>0</v>
      </c>
      <c r="AI163" s="49">
        <v>0</v>
      </c>
      <c r="AJ163" s="49">
        <f t="shared" si="59"/>
        <v>0</v>
      </c>
      <c r="AK163" s="49">
        <f t="shared" si="66"/>
        <v>0</v>
      </c>
      <c r="AL163" s="82">
        <f t="shared" si="67"/>
        <v>0</v>
      </c>
      <c r="AM163" s="82">
        <f t="shared" si="68"/>
        <v>291304837464665.44</v>
      </c>
      <c r="AN163" s="81">
        <f t="shared" si="60"/>
        <v>325220443281999</v>
      </c>
      <c r="AO163" s="80">
        <f t="shared" si="46"/>
        <v>1116.426510841748</v>
      </c>
      <c r="AP163" s="52">
        <f t="shared" si="61"/>
        <v>-6.0672866527312615E-4</v>
      </c>
      <c r="AQ163" s="48">
        <f t="shared" si="47"/>
        <v>3.2502708559046588E-3</v>
      </c>
      <c r="AR163" s="48">
        <f t="shared" si="48"/>
        <v>-5.3667262969588547E-3</v>
      </c>
      <c r="AS163" s="48">
        <f t="shared" si="49"/>
        <v>-1.3568521031207597E-3</v>
      </c>
      <c r="AT163" s="48" t="e">
        <f>(#REF!-#REF!)/#REF!</f>
        <v>#REF!</v>
      </c>
    </row>
    <row r="164" spans="1:46" x14ac:dyDescent="0.3">
      <c r="A164" s="48">
        <v>20180828</v>
      </c>
      <c r="B164" s="48" t="s">
        <v>88</v>
      </c>
      <c r="C164" s="79">
        <v>0.4</v>
      </c>
      <c r="D164" s="79">
        <f t="shared" si="50"/>
        <v>0.42172616532259555</v>
      </c>
      <c r="E164" s="49">
        <v>46300</v>
      </c>
      <c r="F164" s="49">
        <v>46550</v>
      </c>
      <c r="G164" s="49">
        <v>6419324700</v>
      </c>
      <c r="H164" s="49">
        <f t="shared" si="51"/>
        <v>0.45585619760779</v>
      </c>
      <c r="I164" s="49">
        <f t="shared" si="62"/>
        <v>0.45585619760779</v>
      </c>
      <c r="J164" s="48">
        <v>0.3</v>
      </c>
      <c r="K164" s="48">
        <f t="shared" si="52"/>
        <v>0.28094244500033344</v>
      </c>
      <c r="L164" s="48">
        <v>278000</v>
      </c>
      <c r="M164" s="48">
        <v>269000</v>
      </c>
      <c r="N164" s="51">
        <v>125395903</v>
      </c>
      <c r="O164" s="48">
        <f t="shared" si="53"/>
        <v>2.6902217281479599</v>
      </c>
      <c r="P164" s="48">
        <f t="shared" si="63"/>
        <v>2.6902217281479599</v>
      </c>
      <c r="Q164" s="49">
        <v>0.3</v>
      </c>
      <c r="R164" s="49">
        <f t="shared" si="54"/>
        <v>0.29733138967707096</v>
      </c>
      <c r="S164" s="49">
        <v>220800</v>
      </c>
      <c r="T164" s="49">
        <v>221000</v>
      </c>
      <c r="U164" s="49">
        <v>15956260</v>
      </c>
      <c r="V164" s="49">
        <f t="shared" si="55"/>
        <v>27.2347710204326</v>
      </c>
      <c r="W164" s="49">
        <f t="shared" si="64"/>
        <v>27.2347710204326</v>
      </c>
      <c r="X164" s="48">
        <v>0</v>
      </c>
      <c r="Y164" s="48">
        <f t="shared" si="56"/>
        <v>0</v>
      </c>
      <c r="Z164" s="48">
        <v>0</v>
      </c>
      <c r="AA164" s="48">
        <v>0</v>
      </c>
      <c r="AB164" s="48">
        <v>0</v>
      </c>
      <c r="AC164" s="48">
        <f t="shared" si="57"/>
        <v>0</v>
      </c>
      <c r="AD164" s="48">
        <f t="shared" si="65"/>
        <v>0</v>
      </c>
      <c r="AE164" s="49">
        <v>0</v>
      </c>
      <c r="AF164" s="49">
        <f t="shared" si="58"/>
        <v>0</v>
      </c>
      <c r="AG164" s="49">
        <v>0</v>
      </c>
      <c r="AH164" s="49">
        <v>0</v>
      </c>
      <c r="AI164" s="49">
        <v>0</v>
      </c>
      <c r="AJ164" s="49">
        <f t="shared" si="59"/>
        <v>0</v>
      </c>
      <c r="AK164" s="49">
        <f t="shared" si="66"/>
        <v>0</v>
      </c>
      <c r="AL164" s="82">
        <f t="shared" si="67"/>
        <v>0</v>
      </c>
      <c r="AM164" s="82">
        <f t="shared" si="68"/>
        <v>291304837464665.44</v>
      </c>
      <c r="AN164" s="81">
        <f t="shared" si="60"/>
        <v>323002843490883.44</v>
      </c>
      <c r="AO164" s="80">
        <f t="shared" si="46"/>
        <v>1108.8138676380988</v>
      </c>
      <c r="AP164" s="52">
        <f t="shared" si="61"/>
        <v>-6.818758897000338E-3</v>
      </c>
      <c r="AQ164" s="48">
        <f t="shared" si="47"/>
        <v>5.3995680345572351E-3</v>
      </c>
      <c r="AR164" s="48">
        <f t="shared" si="48"/>
        <v>-3.237410071942446E-2</v>
      </c>
      <c r="AS164" s="48">
        <f t="shared" si="49"/>
        <v>9.0579710144927537E-4</v>
      </c>
      <c r="AT164" s="48" t="e">
        <f>(#REF!-#REF!)/#REF!</f>
        <v>#REF!</v>
      </c>
    </row>
    <row r="165" spans="1:46" x14ac:dyDescent="0.3">
      <c r="A165" s="48">
        <v>20180829</v>
      </c>
      <c r="B165" s="48" t="s">
        <v>88</v>
      </c>
      <c r="C165" s="79">
        <v>0.4</v>
      </c>
      <c r="D165" s="79">
        <f t="shared" si="50"/>
        <v>0.42139922329533902</v>
      </c>
      <c r="E165" s="49">
        <v>46550</v>
      </c>
      <c r="F165" s="49">
        <v>46800</v>
      </c>
      <c r="G165" s="49">
        <v>6419324700</v>
      </c>
      <c r="H165" s="49">
        <f t="shared" si="51"/>
        <v>0.45585619760779</v>
      </c>
      <c r="I165" s="49">
        <f t="shared" si="62"/>
        <v>0.45585619760779</v>
      </c>
      <c r="J165" s="48">
        <v>0.3</v>
      </c>
      <c r="K165" s="48">
        <f t="shared" si="52"/>
        <v>0.27974405335894659</v>
      </c>
      <c r="L165" s="48">
        <v>269000</v>
      </c>
      <c r="M165" s="48">
        <v>269500</v>
      </c>
      <c r="N165" s="51">
        <v>125395903</v>
      </c>
      <c r="O165" s="48">
        <f t="shared" si="53"/>
        <v>2.6902217281479599</v>
      </c>
      <c r="P165" s="48">
        <f t="shared" si="63"/>
        <v>2.6902217281479599</v>
      </c>
      <c r="Q165" s="49">
        <v>0.3</v>
      </c>
      <c r="R165" s="49">
        <f t="shared" si="54"/>
        <v>0.29885672334571439</v>
      </c>
      <c r="S165" s="49">
        <v>221000</v>
      </c>
      <c r="T165" s="49">
        <v>223500</v>
      </c>
      <c r="U165" s="49">
        <v>15956260</v>
      </c>
      <c r="V165" s="49">
        <f t="shared" si="55"/>
        <v>27.2347710204326</v>
      </c>
      <c r="W165" s="49">
        <f t="shared" si="64"/>
        <v>27.2347710204326</v>
      </c>
      <c r="X165" s="48">
        <v>0</v>
      </c>
      <c r="Y165" s="48">
        <f t="shared" si="56"/>
        <v>0</v>
      </c>
      <c r="Z165" s="48">
        <v>0</v>
      </c>
      <c r="AA165" s="48">
        <v>0</v>
      </c>
      <c r="AB165" s="48">
        <v>0</v>
      </c>
      <c r="AC165" s="48">
        <f t="shared" si="57"/>
        <v>0</v>
      </c>
      <c r="AD165" s="48">
        <f t="shared" si="65"/>
        <v>0</v>
      </c>
      <c r="AE165" s="49">
        <v>0</v>
      </c>
      <c r="AF165" s="49">
        <f t="shared" si="58"/>
        <v>0</v>
      </c>
      <c r="AG165" s="49">
        <v>0</v>
      </c>
      <c r="AH165" s="49">
        <v>0</v>
      </c>
      <c r="AI165" s="49">
        <v>0</v>
      </c>
      <c r="AJ165" s="49">
        <f t="shared" si="59"/>
        <v>0</v>
      </c>
      <c r="AK165" s="49">
        <f t="shared" si="66"/>
        <v>0</v>
      </c>
      <c r="AL165" s="82">
        <f t="shared" si="67"/>
        <v>0</v>
      </c>
      <c r="AM165" s="82">
        <f t="shared" si="68"/>
        <v>291304837464665.44</v>
      </c>
      <c r="AN165" s="81">
        <f t="shared" si="60"/>
        <v>324989499838163.25</v>
      </c>
      <c r="AO165" s="80">
        <f t="shared" si="46"/>
        <v>1115.6337212477074</v>
      </c>
      <c r="AP165" s="52">
        <f t="shared" si="61"/>
        <v>6.1505847001495795E-3</v>
      </c>
      <c r="AQ165" s="48">
        <f t="shared" si="47"/>
        <v>5.3705692803437165E-3</v>
      </c>
      <c r="AR165" s="48">
        <f t="shared" si="48"/>
        <v>1.8587360594795538E-3</v>
      </c>
      <c r="AS165" s="48">
        <f t="shared" si="49"/>
        <v>1.1312217194570135E-2</v>
      </c>
      <c r="AT165" s="48" t="e">
        <f>(#REF!-#REF!)/#REF!</f>
        <v>#REF!</v>
      </c>
    </row>
    <row r="166" spans="1:46" x14ac:dyDescent="0.3">
      <c r="A166" s="48">
        <v>20180830</v>
      </c>
      <c r="B166" s="48" t="s">
        <v>88</v>
      </c>
      <c r="C166" s="79">
        <v>0.4</v>
      </c>
      <c r="D166" s="79">
        <f t="shared" si="50"/>
        <v>0.42637609480030358</v>
      </c>
      <c r="E166" s="49">
        <v>46800</v>
      </c>
      <c r="F166" s="49">
        <v>47650</v>
      </c>
      <c r="G166" s="49">
        <v>6419324700</v>
      </c>
      <c r="H166" s="49">
        <f t="shared" si="51"/>
        <v>0.45585619760779</v>
      </c>
      <c r="I166" s="49">
        <f t="shared" si="62"/>
        <v>0.45585619760779</v>
      </c>
      <c r="J166" s="48">
        <v>0.3</v>
      </c>
      <c r="K166" s="48">
        <f t="shared" si="52"/>
        <v>0.27490419805895366</v>
      </c>
      <c r="L166" s="48">
        <v>269500</v>
      </c>
      <c r="M166" s="48">
        <v>266500</v>
      </c>
      <c r="N166" s="51">
        <v>125395903</v>
      </c>
      <c r="O166" s="48">
        <f t="shared" si="53"/>
        <v>2.6902217281479599</v>
      </c>
      <c r="P166" s="48">
        <f t="shared" si="63"/>
        <v>2.6902217281479599</v>
      </c>
      <c r="Q166" s="49">
        <v>0.3</v>
      </c>
      <c r="R166" s="49">
        <f t="shared" si="54"/>
        <v>0.29871970714074275</v>
      </c>
      <c r="S166" s="49">
        <v>223500</v>
      </c>
      <c r="T166" s="49">
        <v>224800</v>
      </c>
      <c r="U166" s="49">
        <v>15956260</v>
      </c>
      <c r="V166" s="49">
        <f t="shared" si="55"/>
        <v>27.2347710204326</v>
      </c>
      <c r="W166" s="49">
        <f t="shared" si="64"/>
        <v>27.2347710204326</v>
      </c>
      <c r="X166" s="48">
        <v>0</v>
      </c>
      <c r="Y166" s="48">
        <f t="shared" si="56"/>
        <v>0</v>
      </c>
      <c r="Z166" s="48">
        <v>0</v>
      </c>
      <c r="AA166" s="48">
        <v>0</v>
      </c>
      <c r="AB166" s="48">
        <v>0</v>
      </c>
      <c r="AC166" s="48">
        <f t="shared" si="57"/>
        <v>0</v>
      </c>
      <c r="AD166" s="48">
        <f t="shared" si="65"/>
        <v>0</v>
      </c>
      <c r="AE166" s="49">
        <v>0</v>
      </c>
      <c r="AF166" s="49">
        <f t="shared" si="58"/>
        <v>0</v>
      </c>
      <c r="AG166" s="49">
        <v>0</v>
      </c>
      <c r="AH166" s="49">
        <v>0</v>
      </c>
      <c r="AI166" s="49">
        <v>0</v>
      </c>
      <c r="AJ166" s="49">
        <f t="shared" si="59"/>
        <v>0</v>
      </c>
      <c r="AK166" s="49">
        <f t="shared" si="66"/>
        <v>0</v>
      </c>
      <c r="AL166" s="82">
        <f t="shared" si="67"/>
        <v>0</v>
      </c>
      <c r="AM166" s="82">
        <f t="shared" si="68"/>
        <v>291304837464665.44</v>
      </c>
      <c r="AN166" s="81">
        <f t="shared" si="60"/>
        <v>327029751709833.5</v>
      </c>
      <c r="AO166" s="80">
        <f t="shared" si="46"/>
        <v>1122.6375591840331</v>
      </c>
      <c r="AP166" s="52">
        <f t="shared" si="61"/>
        <v>6.2779008942941391E-3</v>
      </c>
      <c r="AQ166" s="48">
        <f t="shared" si="47"/>
        <v>1.8162393162393164E-2</v>
      </c>
      <c r="AR166" s="48">
        <f t="shared" si="48"/>
        <v>-1.1131725417439703E-2</v>
      </c>
      <c r="AS166" s="48">
        <f t="shared" si="49"/>
        <v>5.8165548098434005E-3</v>
      </c>
      <c r="AT166" s="48" t="e">
        <f>(#REF!-#REF!)/#REF!</f>
        <v>#REF!</v>
      </c>
    </row>
    <row r="167" spans="1:46" x14ac:dyDescent="0.3">
      <c r="A167" s="48">
        <v>20180831</v>
      </c>
      <c r="B167" s="48" t="s">
        <v>88</v>
      </c>
      <c r="C167" s="79">
        <v>0.4</v>
      </c>
      <c r="D167" s="79">
        <f t="shared" si="50"/>
        <v>0.42209026697448521</v>
      </c>
      <c r="E167" s="49">
        <v>47650</v>
      </c>
      <c r="F167" s="49">
        <v>48450</v>
      </c>
      <c r="G167" s="49">
        <v>6419324700</v>
      </c>
      <c r="H167" s="49">
        <f t="shared" si="51"/>
        <v>0.45585619760779</v>
      </c>
      <c r="I167" s="49">
        <f t="shared" si="62"/>
        <v>0.45585619760779</v>
      </c>
      <c r="J167" s="48">
        <v>0.3</v>
      </c>
      <c r="K167" s="48">
        <f t="shared" si="52"/>
        <v>0.27116244218264329</v>
      </c>
      <c r="L167" s="48">
        <v>266500</v>
      </c>
      <c r="M167" s="48">
        <v>270000</v>
      </c>
      <c r="N167" s="51">
        <v>125395903</v>
      </c>
      <c r="O167" s="48">
        <f t="shared" si="53"/>
        <v>2.6902217281479599</v>
      </c>
      <c r="P167" s="48">
        <f t="shared" si="63"/>
        <v>2.6902217281479599</v>
      </c>
      <c r="Q167" s="49">
        <v>0.3</v>
      </c>
      <c r="R167" s="49">
        <f t="shared" si="54"/>
        <v>0.30674729084287145</v>
      </c>
      <c r="S167" s="49">
        <v>224800</v>
      </c>
      <c r="T167" s="49">
        <v>237100</v>
      </c>
      <c r="U167" s="49">
        <v>15956260</v>
      </c>
      <c r="V167" s="49">
        <f t="shared" si="55"/>
        <v>27.2347710204326</v>
      </c>
      <c r="W167" s="49">
        <f t="shared" si="64"/>
        <v>27.2347710204326</v>
      </c>
      <c r="X167" s="48">
        <v>0</v>
      </c>
      <c r="Y167" s="48">
        <f t="shared" si="56"/>
        <v>0</v>
      </c>
      <c r="Z167" s="48">
        <v>0</v>
      </c>
      <c r="AA167" s="48">
        <v>0</v>
      </c>
      <c r="AB167" s="48">
        <v>0</v>
      </c>
      <c r="AC167" s="48">
        <f t="shared" si="57"/>
        <v>0</v>
      </c>
      <c r="AD167" s="48">
        <f t="shared" si="65"/>
        <v>0</v>
      </c>
      <c r="AE167" s="49">
        <v>0</v>
      </c>
      <c r="AF167" s="49">
        <f t="shared" si="58"/>
        <v>0</v>
      </c>
      <c r="AG167" s="49">
        <v>0</v>
      </c>
      <c r="AH167" s="49">
        <v>0</v>
      </c>
      <c r="AI167" s="49">
        <v>0</v>
      </c>
      <c r="AJ167" s="49">
        <f t="shared" si="59"/>
        <v>0</v>
      </c>
      <c r="AK167" s="49">
        <f t="shared" si="66"/>
        <v>0</v>
      </c>
      <c r="AL167" s="82">
        <f t="shared" si="67"/>
        <v>0</v>
      </c>
      <c r="AM167" s="82">
        <f t="shared" si="68"/>
        <v>291304837464665.44</v>
      </c>
      <c r="AN167" s="81">
        <f t="shared" si="60"/>
        <v>335896633184587.19</v>
      </c>
      <c r="AO167" s="80">
        <f t="shared" si="46"/>
        <v>1153.0760563676895</v>
      </c>
      <c r="AP167" s="52">
        <f t="shared" si="61"/>
        <v>2.7113378609726926E-2</v>
      </c>
      <c r="AQ167" s="48">
        <f t="shared" si="47"/>
        <v>1.6789087093389297E-2</v>
      </c>
      <c r="AR167" s="48">
        <f t="shared" si="48"/>
        <v>1.3133208255159476E-2</v>
      </c>
      <c r="AS167" s="48">
        <f t="shared" si="49"/>
        <v>5.47153024911032E-2</v>
      </c>
      <c r="AT167" s="48" t="e">
        <f>(#REF!-#REF!)/#REF!</f>
        <v>#REF!</v>
      </c>
    </row>
    <row r="168" spans="1:46" x14ac:dyDescent="0.3">
      <c r="A168" s="48">
        <v>20180903</v>
      </c>
      <c r="B168" s="48" t="s">
        <v>88</v>
      </c>
      <c r="C168" s="79">
        <v>0.4</v>
      </c>
      <c r="D168" s="79">
        <f t="shared" si="50"/>
        <v>0.41943574068116557</v>
      </c>
      <c r="E168" s="49">
        <v>48450</v>
      </c>
      <c r="F168" s="49">
        <v>47450</v>
      </c>
      <c r="G168" s="49">
        <v>6419324700</v>
      </c>
      <c r="H168" s="49">
        <f t="shared" si="51"/>
        <v>0.45585619760779</v>
      </c>
      <c r="I168" s="49">
        <f t="shared" si="62"/>
        <v>0.45585619760779</v>
      </c>
      <c r="J168" s="48">
        <v>0.3</v>
      </c>
      <c r="K168" s="48">
        <f t="shared" si="52"/>
        <v>0.27207879480392716</v>
      </c>
      <c r="L168" s="48">
        <v>270000</v>
      </c>
      <c r="M168" s="48">
        <v>267000</v>
      </c>
      <c r="N168" s="51">
        <v>125395903</v>
      </c>
      <c r="O168" s="48">
        <f t="shared" si="53"/>
        <v>2.6902217281479599</v>
      </c>
      <c r="P168" s="48">
        <f t="shared" si="63"/>
        <v>2.6902217281479599</v>
      </c>
      <c r="Q168" s="49">
        <v>0.3</v>
      </c>
      <c r="R168" s="49">
        <f t="shared" si="54"/>
        <v>0.30848546451490733</v>
      </c>
      <c r="S168" s="49">
        <v>237100</v>
      </c>
      <c r="T168" s="49">
        <v>235000</v>
      </c>
      <c r="U168" s="49">
        <v>15956260</v>
      </c>
      <c r="V168" s="49">
        <f t="shared" si="55"/>
        <v>27.2347710204326</v>
      </c>
      <c r="W168" s="49">
        <f t="shared" si="64"/>
        <v>27.2347710204326</v>
      </c>
      <c r="X168" s="48">
        <v>0</v>
      </c>
      <c r="Y168" s="48">
        <f t="shared" si="56"/>
        <v>0</v>
      </c>
      <c r="Z168" s="48">
        <v>0</v>
      </c>
      <c r="AA168" s="48">
        <v>0</v>
      </c>
      <c r="AB168" s="48">
        <v>0</v>
      </c>
      <c r="AC168" s="48">
        <f t="shared" si="57"/>
        <v>0</v>
      </c>
      <c r="AD168" s="48">
        <f t="shared" si="65"/>
        <v>0</v>
      </c>
      <c r="AE168" s="49">
        <v>0</v>
      </c>
      <c r="AF168" s="49">
        <f t="shared" si="58"/>
        <v>0</v>
      </c>
      <c r="AG168" s="49">
        <v>0</v>
      </c>
      <c r="AH168" s="49">
        <v>0</v>
      </c>
      <c r="AI168" s="49">
        <v>0</v>
      </c>
      <c r="AJ168" s="49">
        <f t="shared" si="59"/>
        <v>0</v>
      </c>
      <c r="AK168" s="49">
        <f t="shared" si="66"/>
        <v>0</v>
      </c>
      <c r="AL168" s="82">
        <f t="shared" si="67"/>
        <v>0</v>
      </c>
      <c r="AM168" s="82">
        <f t="shared" si="68"/>
        <v>291304837464665.44</v>
      </c>
      <c r="AN168" s="81">
        <f t="shared" si="60"/>
        <v>331045729203392.19</v>
      </c>
      <c r="AO168" s="80">
        <f t="shared" si="46"/>
        <v>1136.4237274073664</v>
      </c>
      <c r="AP168" s="52">
        <f t="shared" si="61"/>
        <v>-1.444165705146949E-2</v>
      </c>
      <c r="AQ168" s="48">
        <f t="shared" si="47"/>
        <v>-2.063983488132095E-2</v>
      </c>
      <c r="AR168" s="48">
        <f t="shared" si="48"/>
        <v>-1.1111111111111112E-2</v>
      </c>
      <c r="AS168" s="48">
        <f t="shared" si="49"/>
        <v>-8.8570223534373688E-3</v>
      </c>
      <c r="AT168" s="48" t="e">
        <f>(#REF!-#REF!)/#REF!</f>
        <v>#REF!</v>
      </c>
    </row>
    <row r="169" spans="1:46" x14ac:dyDescent="0.3">
      <c r="A169" s="48">
        <v>20180904</v>
      </c>
      <c r="B169" s="48" t="s">
        <v>88</v>
      </c>
      <c r="C169" s="79">
        <v>0.4</v>
      </c>
      <c r="D169" s="79">
        <f t="shared" si="50"/>
        <v>0.41336894104623606</v>
      </c>
      <c r="E169" s="49">
        <v>47450</v>
      </c>
      <c r="F169" s="49">
        <v>47650</v>
      </c>
      <c r="G169" s="49">
        <v>6419324700</v>
      </c>
      <c r="H169" s="49">
        <f t="shared" si="51"/>
        <v>0.45585619760779</v>
      </c>
      <c r="I169" s="49">
        <f t="shared" si="62"/>
        <v>0.45585619760779</v>
      </c>
      <c r="J169" s="48">
        <v>0.3</v>
      </c>
      <c r="K169" s="48">
        <f t="shared" si="52"/>
        <v>0.2800187965142209</v>
      </c>
      <c r="L169" s="48">
        <v>267000</v>
      </c>
      <c r="M169" s="48">
        <v>280000</v>
      </c>
      <c r="N169" s="51">
        <v>125395903</v>
      </c>
      <c r="O169" s="48">
        <f t="shared" si="53"/>
        <v>2.6902217281479599</v>
      </c>
      <c r="P169" s="48">
        <f t="shared" si="63"/>
        <v>2.6902217281479599</v>
      </c>
      <c r="Q169" s="49">
        <v>0.3</v>
      </c>
      <c r="R169" s="49">
        <f t="shared" si="54"/>
        <v>0.30661226243954304</v>
      </c>
      <c r="S169" s="49">
        <v>235000</v>
      </c>
      <c r="T169" s="49">
        <v>238000</v>
      </c>
      <c r="U169" s="49">
        <v>15956260</v>
      </c>
      <c r="V169" s="49">
        <f t="shared" si="55"/>
        <v>27.2347710204326</v>
      </c>
      <c r="W169" s="49">
        <f t="shared" si="64"/>
        <v>27.2347710204326</v>
      </c>
      <c r="X169" s="48">
        <v>0</v>
      </c>
      <c r="Y169" s="48">
        <f t="shared" si="56"/>
        <v>0</v>
      </c>
      <c r="Z169" s="48">
        <v>0</v>
      </c>
      <c r="AA169" s="48">
        <v>0</v>
      </c>
      <c r="AB169" s="48">
        <v>0</v>
      </c>
      <c r="AC169" s="48">
        <f t="shared" si="57"/>
        <v>0</v>
      </c>
      <c r="AD169" s="48">
        <f t="shared" si="65"/>
        <v>0</v>
      </c>
      <c r="AE169" s="49">
        <v>0</v>
      </c>
      <c r="AF169" s="49">
        <f t="shared" si="58"/>
        <v>0</v>
      </c>
      <c r="AG169" s="49">
        <v>0</v>
      </c>
      <c r="AH169" s="49">
        <v>0</v>
      </c>
      <c r="AI169" s="49">
        <v>0</v>
      </c>
      <c r="AJ169" s="49">
        <f t="shared" si="59"/>
        <v>0</v>
      </c>
      <c r="AK169" s="49">
        <f t="shared" si="66"/>
        <v>0</v>
      </c>
      <c r="AL169" s="82">
        <f t="shared" si="67"/>
        <v>0</v>
      </c>
      <c r="AM169" s="82">
        <f t="shared" si="68"/>
        <v>291304837464665.44</v>
      </c>
      <c r="AN169" s="81">
        <f t="shared" si="60"/>
        <v>337320138432837.31</v>
      </c>
      <c r="AO169" s="80">
        <f t="shared" si="46"/>
        <v>1157.9627079613927</v>
      </c>
      <c r="AP169" s="52">
        <f t="shared" si="61"/>
        <v>1.895330063475989E-2</v>
      </c>
      <c r="AQ169" s="48">
        <f t="shared" si="47"/>
        <v>4.2149631190727078E-3</v>
      </c>
      <c r="AR169" s="48">
        <f t="shared" si="48"/>
        <v>4.8689138576779027E-2</v>
      </c>
      <c r="AS169" s="48">
        <f t="shared" si="49"/>
        <v>1.276595744680851E-2</v>
      </c>
      <c r="AT169" s="48" t="e">
        <f>(#REF!-#REF!)/#REF!</f>
        <v>#REF!</v>
      </c>
    </row>
    <row r="170" spans="1:46" x14ac:dyDescent="0.3">
      <c r="A170" s="48">
        <v>20180905</v>
      </c>
      <c r="B170" s="48" t="s">
        <v>88</v>
      </c>
      <c r="C170" s="79">
        <v>0.4</v>
      </c>
      <c r="D170" s="79">
        <f t="shared" si="50"/>
        <v>0.41219359402745487</v>
      </c>
      <c r="E170" s="49">
        <v>47650</v>
      </c>
      <c r="F170" s="49">
        <v>46600</v>
      </c>
      <c r="G170" s="49">
        <v>6419324700</v>
      </c>
      <c r="H170" s="49">
        <f t="shared" si="51"/>
        <v>0.45585619760779</v>
      </c>
      <c r="I170" s="49">
        <f t="shared" si="62"/>
        <v>0.45585619760779</v>
      </c>
      <c r="J170" s="48">
        <v>0.3</v>
      </c>
      <c r="K170" s="48">
        <f t="shared" si="52"/>
        <v>0.27990579260199405</v>
      </c>
      <c r="L170" s="48">
        <v>280000</v>
      </c>
      <c r="M170" s="48">
        <v>274500</v>
      </c>
      <c r="N170" s="51">
        <v>125395903</v>
      </c>
      <c r="O170" s="48">
        <f t="shared" si="53"/>
        <v>2.6902217281479599</v>
      </c>
      <c r="P170" s="48">
        <f t="shared" si="63"/>
        <v>2.6902217281479599</v>
      </c>
      <c r="Q170" s="49">
        <v>0.3</v>
      </c>
      <c r="R170" s="49">
        <f t="shared" si="54"/>
        <v>0.30790061337055108</v>
      </c>
      <c r="S170" s="49">
        <v>238000</v>
      </c>
      <c r="T170" s="49">
        <v>234400</v>
      </c>
      <c r="U170" s="49">
        <v>15956260</v>
      </c>
      <c r="V170" s="49">
        <f t="shared" si="55"/>
        <v>27.2347710204326</v>
      </c>
      <c r="W170" s="49">
        <f t="shared" si="64"/>
        <v>27.2347710204326</v>
      </c>
      <c r="X170" s="48">
        <v>0</v>
      </c>
      <c r="Y170" s="48">
        <f t="shared" si="56"/>
        <v>0</v>
      </c>
      <c r="Z170" s="48">
        <v>0</v>
      </c>
      <c r="AA170" s="48">
        <v>0</v>
      </c>
      <c r="AB170" s="48">
        <v>0</v>
      </c>
      <c r="AC170" s="48">
        <f t="shared" si="57"/>
        <v>0</v>
      </c>
      <c r="AD170" s="48">
        <f t="shared" si="65"/>
        <v>0</v>
      </c>
      <c r="AE170" s="49">
        <v>0</v>
      </c>
      <c r="AF170" s="49">
        <f t="shared" si="58"/>
        <v>0</v>
      </c>
      <c r="AG170" s="49">
        <v>0</v>
      </c>
      <c r="AH170" s="49">
        <v>0</v>
      </c>
      <c r="AI170" s="49">
        <v>0</v>
      </c>
      <c r="AJ170" s="49">
        <f t="shared" si="59"/>
        <v>0</v>
      </c>
      <c r="AK170" s="49">
        <f t="shared" si="66"/>
        <v>0</v>
      </c>
      <c r="AL170" s="82">
        <f t="shared" si="67"/>
        <v>0</v>
      </c>
      <c r="AM170" s="82">
        <f t="shared" si="68"/>
        <v>291304837464665.44</v>
      </c>
      <c r="AN170" s="81">
        <f t="shared" si="60"/>
        <v>330827715415852.69</v>
      </c>
      <c r="AO170" s="80">
        <f t="shared" si="46"/>
        <v>1135.6753231260063</v>
      </c>
      <c r="AP170" s="52">
        <f t="shared" si="61"/>
        <v>-1.9247066146563158E-2</v>
      </c>
      <c r="AQ170" s="48">
        <f t="shared" si="47"/>
        <v>-2.2035676810073453E-2</v>
      </c>
      <c r="AR170" s="48">
        <f t="shared" si="48"/>
        <v>-1.9642857142857142E-2</v>
      </c>
      <c r="AS170" s="48">
        <f t="shared" si="49"/>
        <v>-1.5126050420168067E-2</v>
      </c>
      <c r="AT170" s="48" t="e">
        <f>(#REF!-#REF!)/#REF!</f>
        <v>#REF!</v>
      </c>
    </row>
    <row r="171" spans="1:46" x14ac:dyDescent="0.3">
      <c r="A171" s="48">
        <v>20180906</v>
      </c>
      <c r="B171" s="48" t="s">
        <v>88</v>
      </c>
      <c r="C171" s="79">
        <v>0.4</v>
      </c>
      <c r="D171" s="79">
        <f t="shared" si="50"/>
        <v>0.41371514755348709</v>
      </c>
      <c r="E171" s="49">
        <v>46600</v>
      </c>
      <c r="F171" s="49">
        <v>46100</v>
      </c>
      <c r="G171" s="49">
        <v>6419324700</v>
      </c>
      <c r="H171" s="49">
        <f t="shared" si="51"/>
        <v>0.45585619760779</v>
      </c>
      <c r="I171" s="49">
        <f t="shared" si="62"/>
        <v>0.45585619760779</v>
      </c>
      <c r="J171" s="48">
        <v>0.3</v>
      </c>
      <c r="K171" s="48">
        <f t="shared" si="52"/>
        <v>0.28708975875774412</v>
      </c>
      <c r="L171" s="48">
        <v>274500</v>
      </c>
      <c r="M171" s="48">
        <v>277500</v>
      </c>
      <c r="N171" s="51">
        <v>125395903</v>
      </c>
      <c r="O171" s="48">
        <f t="shared" si="53"/>
        <v>2.6902217281479599</v>
      </c>
      <c r="P171" s="48">
        <f t="shared" si="63"/>
        <v>2.6902217281479599</v>
      </c>
      <c r="Q171" s="49">
        <v>0.3</v>
      </c>
      <c r="R171" s="49">
        <f t="shared" si="54"/>
        <v>0.2991950936887689</v>
      </c>
      <c r="S171" s="49">
        <v>234400</v>
      </c>
      <c r="T171" s="49">
        <v>224500</v>
      </c>
      <c r="U171" s="49">
        <v>15956260</v>
      </c>
      <c r="V171" s="49">
        <f t="shared" si="55"/>
        <v>27.2347710204326</v>
      </c>
      <c r="W171" s="49">
        <f t="shared" si="64"/>
        <v>27.2347710204326</v>
      </c>
      <c r="X171" s="48">
        <v>0</v>
      </c>
      <c r="Y171" s="48">
        <f t="shared" si="56"/>
        <v>0</v>
      </c>
      <c r="Z171" s="48">
        <v>0</v>
      </c>
      <c r="AA171" s="48">
        <v>0</v>
      </c>
      <c r="AB171" s="48">
        <v>0</v>
      </c>
      <c r="AC171" s="48">
        <f t="shared" si="57"/>
        <v>0</v>
      </c>
      <c r="AD171" s="48">
        <f t="shared" si="65"/>
        <v>0</v>
      </c>
      <c r="AE171" s="49">
        <v>0</v>
      </c>
      <c r="AF171" s="49">
        <f t="shared" si="58"/>
        <v>0</v>
      </c>
      <c r="AG171" s="49">
        <v>0</v>
      </c>
      <c r="AH171" s="49">
        <v>0</v>
      </c>
      <c r="AI171" s="49">
        <v>0</v>
      </c>
      <c r="AJ171" s="49">
        <f t="shared" si="59"/>
        <v>0</v>
      </c>
      <c r="AK171" s="49">
        <f t="shared" si="66"/>
        <v>0</v>
      </c>
      <c r="AL171" s="82">
        <f t="shared" si="67"/>
        <v>0</v>
      </c>
      <c r="AM171" s="82">
        <f t="shared" si="68"/>
        <v>291304837464665.44</v>
      </c>
      <c r="AN171" s="81">
        <f t="shared" si="60"/>
        <v>326074404924310.12</v>
      </c>
      <c r="AO171" s="80">
        <f t="shared" si="46"/>
        <v>1119.3580160297274</v>
      </c>
      <c r="AP171" s="52">
        <f t="shared" si="61"/>
        <v>-1.4367933126665691E-2</v>
      </c>
      <c r="AQ171" s="48">
        <f t="shared" si="47"/>
        <v>-1.0729613733905579E-2</v>
      </c>
      <c r="AR171" s="48">
        <f t="shared" si="48"/>
        <v>1.092896174863388E-2</v>
      </c>
      <c r="AS171" s="48">
        <f t="shared" si="49"/>
        <v>-4.2235494880546072E-2</v>
      </c>
      <c r="AT171" s="48" t="e">
        <f>(#REF!-#REF!)/#REF!</f>
        <v>#REF!</v>
      </c>
    </row>
    <row r="172" spans="1:46" x14ac:dyDescent="0.3">
      <c r="A172" s="48">
        <v>20180907</v>
      </c>
      <c r="B172" s="48" t="s">
        <v>88</v>
      </c>
      <c r="C172" s="79">
        <v>0.4</v>
      </c>
      <c r="D172" s="79">
        <f t="shared" si="50"/>
        <v>0.40620934710706591</v>
      </c>
      <c r="E172" s="49">
        <v>46100</v>
      </c>
      <c r="F172" s="49">
        <v>44900</v>
      </c>
      <c r="G172" s="49">
        <v>6419324700</v>
      </c>
      <c r="H172" s="49">
        <f t="shared" si="51"/>
        <v>0.45585619760779</v>
      </c>
      <c r="I172" s="49">
        <f t="shared" si="62"/>
        <v>0.45585619760779</v>
      </c>
      <c r="J172" s="48">
        <v>0.3</v>
      </c>
      <c r="K172" s="48">
        <f t="shared" si="52"/>
        <v>0.29150069854433347</v>
      </c>
      <c r="L172" s="48">
        <v>277500</v>
      </c>
      <c r="M172" s="48">
        <v>279500</v>
      </c>
      <c r="N172" s="51">
        <v>125395903</v>
      </c>
      <c r="O172" s="48">
        <f t="shared" si="53"/>
        <v>2.6902217281479599</v>
      </c>
      <c r="P172" s="48">
        <f t="shared" si="63"/>
        <v>2.6902217281479599</v>
      </c>
      <c r="Q172" s="49">
        <v>0.3</v>
      </c>
      <c r="R172" s="49">
        <f t="shared" si="54"/>
        <v>0.30228995434860068</v>
      </c>
      <c r="S172" s="49">
        <v>224500</v>
      </c>
      <c r="T172" s="49">
        <v>225000</v>
      </c>
      <c r="U172" s="49">
        <v>15956260</v>
      </c>
      <c r="V172" s="49">
        <f t="shared" si="55"/>
        <v>27.2347710204326</v>
      </c>
      <c r="W172" s="49">
        <f t="shared" si="64"/>
        <v>27.2347710204326</v>
      </c>
      <c r="X172" s="48">
        <v>0</v>
      </c>
      <c r="Y172" s="48">
        <f t="shared" si="56"/>
        <v>0</v>
      </c>
      <c r="Z172" s="48">
        <v>0</v>
      </c>
      <c r="AA172" s="48">
        <v>0</v>
      </c>
      <c r="AB172" s="48">
        <v>0</v>
      </c>
      <c r="AC172" s="48">
        <f t="shared" si="57"/>
        <v>0</v>
      </c>
      <c r="AD172" s="48">
        <f t="shared" si="65"/>
        <v>0</v>
      </c>
      <c r="AE172" s="49">
        <v>0</v>
      </c>
      <c r="AF172" s="49">
        <f t="shared" si="58"/>
        <v>0</v>
      </c>
      <c r="AG172" s="49">
        <v>0</v>
      </c>
      <c r="AH172" s="49">
        <v>0</v>
      </c>
      <c r="AI172" s="49">
        <v>0</v>
      </c>
      <c r="AJ172" s="49">
        <f t="shared" si="59"/>
        <v>0</v>
      </c>
      <c r="AK172" s="49">
        <f t="shared" si="66"/>
        <v>0</v>
      </c>
      <c r="AL172" s="82">
        <f t="shared" si="67"/>
        <v>0</v>
      </c>
      <c r="AM172" s="82">
        <f t="shared" si="68"/>
        <v>291304837464665.44</v>
      </c>
      <c r="AN172" s="81">
        <f t="shared" si="60"/>
        <v>323454826295031.94</v>
      </c>
      <c r="AO172" s="80">
        <f t="shared" si="46"/>
        <v>1110.3654477906368</v>
      </c>
      <c r="AP172" s="52">
        <f t="shared" si="61"/>
        <v>-8.0336836921814352E-3</v>
      </c>
      <c r="AQ172" s="48">
        <f t="shared" si="47"/>
        <v>-2.6030368763557483E-2</v>
      </c>
      <c r="AR172" s="48">
        <f t="shared" si="48"/>
        <v>7.2072072072072073E-3</v>
      </c>
      <c r="AS172" s="48">
        <f t="shared" si="49"/>
        <v>2.2271714922048997E-3</v>
      </c>
      <c r="AT172" s="48" t="e">
        <f>(#REF!-#REF!)/#REF!</f>
        <v>#REF!</v>
      </c>
    </row>
    <row r="173" spans="1:46" x14ac:dyDescent="0.3">
      <c r="A173" s="48">
        <v>20180910</v>
      </c>
      <c r="B173" s="48" t="s">
        <v>88</v>
      </c>
      <c r="C173" s="79">
        <v>0.4</v>
      </c>
      <c r="D173" s="79">
        <f t="shared" si="50"/>
        <v>0.41354280769831081</v>
      </c>
      <c r="E173" s="49">
        <v>44900</v>
      </c>
      <c r="F173" s="49">
        <v>45500</v>
      </c>
      <c r="G173" s="49">
        <v>6419324700</v>
      </c>
      <c r="H173" s="49">
        <f t="shared" si="51"/>
        <v>0.45585619760779</v>
      </c>
      <c r="I173" s="49">
        <f t="shared" si="62"/>
        <v>0.45585619760779</v>
      </c>
      <c r="J173" s="48">
        <v>0.3</v>
      </c>
      <c r="K173" s="48">
        <f t="shared" si="52"/>
        <v>0.28708721630142331</v>
      </c>
      <c r="L173" s="48">
        <v>279500</v>
      </c>
      <c r="M173" s="48">
        <v>274000</v>
      </c>
      <c r="N173" s="51">
        <v>125395903</v>
      </c>
      <c r="O173" s="48">
        <f t="shared" si="53"/>
        <v>2.6902217281479599</v>
      </c>
      <c r="P173" s="48">
        <f t="shared" si="63"/>
        <v>2.6902217281479599</v>
      </c>
      <c r="Q173" s="49">
        <v>0.3</v>
      </c>
      <c r="R173" s="49">
        <f t="shared" si="54"/>
        <v>0.29936997600026577</v>
      </c>
      <c r="S173" s="49">
        <v>225000</v>
      </c>
      <c r="T173" s="49">
        <v>221800</v>
      </c>
      <c r="U173" s="49">
        <v>15956260</v>
      </c>
      <c r="V173" s="49">
        <f t="shared" si="55"/>
        <v>27.2347710204326</v>
      </c>
      <c r="W173" s="49">
        <f t="shared" si="64"/>
        <v>27.2347710204326</v>
      </c>
      <c r="X173" s="48">
        <v>0</v>
      </c>
      <c r="Y173" s="48">
        <f t="shared" si="56"/>
        <v>0</v>
      </c>
      <c r="Z173" s="48">
        <v>0</v>
      </c>
      <c r="AA173" s="48">
        <v>0</v>
      </c>
      <c r="AB173" s="48">
        <v>0</v>
      </c>
      <c r="AC173" s="48">
        <f t="shared" si="57"/>
        <v>0</v>
      </c>
      <c r="AD173" s="48">
        <f t="shared" si="65"/>
        <v>0</v>
      </c>
      <c r="AE173" s="49">
        <v>0</v>
      </c>
      <c r="AF173" s="49">
        <f t="shared" si="58"/>
        <v>0</v>
      </c>
      <c r="AG173" s="49">
        <v>0</v>
      </c>
      <c r="AH173" s="49">
        <v>0</v>
      </c>
      <c r="AI173" s="49">
        <v>0</v>
      </c>
      <c r="AJ173" s="49">
        <f t="shared" si="59"/>
        <v>0</v>
      </c>
      <c r="AK173" s="49">
        <f t="shared" si="66"/>
        <v>0</v>
      </c>
      <c r="AL173" s="82">
        <f t="shared" si="67"/>
        <v>0</v>
      </c>
      <c r="AM173" s="82">
        <f t="shared" si="68"/>
        <v>291304837464665.44</v>
      </c>
      <c r="AN173" s="81">
        <f t="shared" si="60"/>
        <v>321964606078794.75</v>
      </c>
      <c r="AO173" s="80">
        <f t="shared" si="46"/>
        <v>1105.2497750499879</v>
      </c>
      <c r="AP173" s="52">
        <f t="shared" si="61"/>
        <v>-4.6071973428459369E-3</v>
      </c>
      <c r="AQ173" s="48">
        <f t="shared" si="47"/>
        <v>1.3363028953229399E-2</v>
      </c>
      <c r="AR173" s="48">
        <f t="shared" si="48"/>
        <v>-1.9677996422182469E-2</v>
      </c>
      <c r="AS173" s="48">
        <f t="shared" si="49"/>
        <v>-1.4222222222222223E-2</v>
      </c>
      <c r="AT173" s="48" t="e">
        <f>(#REF!-#REF!)/#REF!</f>
        <v>#REF!</v>
      </c>
    </row>
    <row r="174" spans="1:46" x14ac:dyDescent="0.3">
      <c r="A174" s="48">
        <v>20180911</v>
      </c>
      <c r="B174" s="48" t="s">
        <v>88</v>
      </c>
      <c r="C174" s="79">
        <v>0.4</v>
      </c>
      <c r="D174" s="79">
        <f t="shared" si="50"/>
        <v>0.41036233975356495</v>
      </c>
      <c r="E174" s="49">
        <v>45500</v>
      </c>
      <c r="F174" s="49">
        <v>45050</v>
      </c>
      <c r="G174" s="49">
        <v>6419324700</v>
      </c>
      <c r="H174" s="49">
        <f t="shared" si="51"/>
        <v>0.45585619760779</v>
      </c>
      <c r="I174" s="49">
        <f t="shared" si="62"/>
        <v>0.45585619760779</v>
      </c>
      <c r="J174" s="48">
        <v>0.3</v>
      </c>
      <c r="K174" s="48">
        <f t="shared" si="52"/>
        <v>0.28824996742803377</v>
      </c>
      <c r="L174" s="48">
        <v>274000</v>
      </c>
      <c r="M174" s="48">
        <v>274500</v>
      </c>
      <c r="N174" s="51">
        <v>125395903</v>
      </c>
      <c r="O174" s="48">
        <f t="shared" si="53"/>
        <v>2.6902217281479599</v>
      </c>
      <c r="P174" s="48">
        <f t="shared" si="63"/>
        <v>2.6902217281479599</v>
      </c>
      <c r="Q174" s="49">
        <v>0.3</v>
      </c>
      <c r="R174" s="49">
        <f t="shared" si="54"/>
        <v>0.30138769281840133</v>
      </c>
      <c r="S174" s="49">
        <v>221800</v>
      </c>
      <c r="T174" s="49">
        <v>222800</v>
      </c>
      <c r="U174" s="49">
        <v>15956260</v>
      </c>
      <c r="V174" s="49">
        <f t="shared" si="55"/>
        <v>27.2347710204326</v>
      </c>
      <c r="W174" s="49">
        <f t="shared" si="64"/>
        <v>27.2347710204326</v>
      </c>
      <c r="X174" s="48">
        <v>0</v>
      </c>
      <c r="Y174" s="48">
        <f t="shared" si="56"/>
        <v>0</v>
      </c>
      <c r="Z174" s="48">
        <v>0</v>
      </c>
      <c r="AA174" s="48">
        <v>0</v>
      </c>
      <c r="AB174" s="48">
        <v>0</v>
      </c>
      <c r="AC174" s="48">
        <f t="shared" si="57"/>
        <v>0</v>
      </c>
      <c r="AD174" s="48">
        <f t="shared" si="65"/>
        <v>0</v>
      </c>
      <c r="AE174" s="49">
        <v>0</v>
      </c>
      <c r="AF174" s="49">
        <f t="shared" si="58"/>
        <v>0</v>
      </c>
      <c r="AG174" s="49">
        <v>0</v>
      </c>
      <c r="AH174" s="49">
        <v>0</v>
      </c>
      <c r="AI174" s="49">
        <v>0</v>
      </c>
      <c r="AJ174" s="49">
        <f t="shared" si="59"/>
        <v>0</v>
      </c>
      <c r="AK174" s="49">
        <f t="shared" si="66"/>
        <v>0</v>
      </c>
      <c r="AL174" s="82">
        <f t="shared" si="67"/>
        <v>0</v>
      </c>
      <c r="AM174" s="82">
        <f t="shared" si="68"/>
        <v>291304837464665.44</v>
      </c>
      <c r="AN174" s="81">
        <f t="shared" si="60"/>
        <v>321251012530644.56</v>
      </c>
      <c r="AO174" s="80">
        <f t="shared" si="46"/>
        <v>1102.8001296738216</v>
      </c>
      <c r="AP174" s="52">
        <f t="shared" si="61"/>
        <v>-2.2163726530099979E-3</v>
      </c>
      <c r="AQ174" s="48">
        <f t="shared" si="47"/>
        <v>-9.8901098901098897E-3</v>
      </c>
      <c r="AR174" s="48">
        <f t="shared" si="48"/>
        <v>1.8248175182481751E-3</v>
      </c>
      <c r="AS174" s="48">
        <f t="shared" si="49"/>
        <v>4.508566275924256E-3</v>
      </c>
      <c r="AT174" s="48" t="e">
        <f>(#REF!-#REF!)/#REF!</f>
        <v>#REF!</v>
      </c>
    </row>
    <row r="175" spans="1:46" x14ac:dyDescent="0.3">
      <c r="A175" s="48">
        <v>20180912</v>
      </c>
      <c r="B175" s="48" t="s">
        <v>88</v>
      </c>
      <c r="C175" s="79">
        <v>0.4</v>
      </c>
      <c r="D175" s="79">
        <f t="shared" si="50"/>
        <v>0.39928103325608572</v>
      </c>
      <c r="E175" s="49">
        <v>45050</v>
      </c>
      <c r="F175" s="49">
        <v>44550</v>
      </c>
      <c r="G175" s="49">
        <v>6419324700</v>
      </c>
      <c r="H175" s="49">
        <f t="shared" si="51"/>
        <v>0.45585619760779</v>
      </c>
      <c r="I175" s="49">
        <f t="shared" si="62"/>
        <v>0.45585619760779</v>
      </c>
      <c r="J175" s="48">
        <v>0.3</v>
      </c>
      <c r="K175" s="48">
        <f t="shared" si="52"/>
        <v>0.29446253625757673</v>
      </c>
      <c r="L175" s="48">
        <v>274500</v>
      </c>
      <c r="M175" s="48">
        <v>285000</v>
      </c>
      <c r="N175" s="51">
        <v>125395903</v>
      </c>
      <c r="O175" s="48">
        <f t="shared" si="53"/>
        <v>2.6902217281479599</v>
      </c>
      <c r="P175" s="48">
        <f t="shared" si="63"/>
        <v>2.6902217281479599</v>
      </c>
      <c r="Q175" s="49">
        <v>0.3</v>
      </c>
      <c r="R175" s="49">
        <f t="shared" si="54"/>
        <v>0.30625643048633749</v>
      </c>
      <c r="S175" s="49">
        <v>222800</v>
      </c>
      <c r="T175" s="49">
        <v>230100</v>
      </c>
      <c r="U175" s="49">
        <v>15956260</v>
      </c>
      <c r="V175" s="49">
        <f t="shared" si="55"/>
        <v>27.2347710204326</v>
      </c>
      <c r="W175" s="49">
        <f t="shared" si="64"/>
        <v>27.2347710204326</v>
      </c>
      <c r="X175" s="48">
        <v>0</v>
      </c>
      <c r="Y175" s="48">
        <f t="shared" si="56"/>
        <v>0</v>
      </c>
      <c r="Z175" s="48">
        <v>0</v>
      </c>
      <c r="AA175" s="48">
        <v>0</v>
      </c>
      <c r="AB175" s="48">
        <v>0</v>
      </c>
      <c r="AC175" s="48">
        <f t="shared" si="57"/>
        <v>0</v>
      </c>
      <c r="AD175" s="48">
        <f t="shared" si="65"/>
        <v>0</v>
      </c>
      <c r="AE175" s="49">
        <v>0</v>
      </c>
      <c r="AF175" s="49">
        <f t="shared" si="58"/>
        <v>0</v>
      </c>
      <c r="AG175" s="49">
        <v>0</v>
      </c>
      <c r="AH175" s="49">
        <v>0</v>
      </c>
      <c r="AI175" s="49">
        <v>0</v>
      </c>
      <c r="AJ175" s="49">
        <f t="shared" si="59"/>
        <v>0</v>
      </c>
      <c r="AK175" s="49">
        <f t="shared" si="66"/>
        <v>0</v>
      </c>
      <c r="AL175" s="82">
        <f t="shared" si="67"/>
        <v>0</v>
      </c>
      <c r="AM175" s="82">
        <f t="shared" si="68"/>
        <v>291304837464665.44</v>
      </c>
      <c r="AN175" s="81">
        <f t="shared" si="60"/>
        <v>326502292414647.87</v>
      </c>
      <c r="AO175" s="80">
        <f t="shared" si="46"/>
        <v>1120.8268810649317</v>
      </c>
      <c r="AP175" s="52">
        <f t="shared" si="61"/>
        <v>1.6346345004912118E-2</v>
      </c>
      <c r="AQ175" s="48">
        <f t="shared" si="47"/>
        <v>-1.1098779134295227E-2</v>
      </c>
      <c r="AR175" s="48">
        <f t="shared" si="48"/>
        <v>3.825136612021858E-2</v>
      </c>
      <c r="AS175" s="48">
        <f t="shared" si="49"/>
        <v>3.2764811490125674E-2</v>
      </c>
      <c r="AT175" s="48" t="e">
        <f>(#REF!-#REF!)/#REF!</f>
        <v>#REF!</v>
      </c>
    </row>
    <row r="176" spans="1:46" x14ac:dyDescent="0.3">
      <c r="A176" s="48">
        <v>20180913</v>
      </c>
      <c r="B176" s="48" t="s">
        <v>88</v>
      </c>
      <c r="C176" s="79">
        <v>0.4</v>
      </c>
      <c r="D176" s="79">
        <f t="shared" si="50"/>
        <v>0.39196620815198197</v>
      </c>
      <c r="E176" s="49">
        <v>44550</v>
      </c>
      <c r="F176" s="49">
        <v>44050</v>
      </c>
      <c r="G176" s="49">
        <v>6419324700</v>
      </c>
      <c r="H176" s="49">
        <f t="shared" si="51"/>
        <v>0.45585619760779</v>
      </c>
      <c r="I176" s="49">
        <f t="shared" si="62"/>
        <v>0.45585619760779</v>
      </c>
      <c r="J176" s="48">
        <v>0.3</v>
      </c>
      <c r="K176" s="48">
        <f t="shared" si="52"/>
        <v>0.30106830430561898</v>
      </c>
      <c r="L176" s="48">
        <v>285000</v>
      </c>
      <c r="M176" s="48">
        <v>293500</v>
      </c>
      <c r="N176" s="51">
        <v>125395903</v>
      </c>
      <c r="O176" s="48">
        <f t="shared" si="53"/>
        <v>2.6902217281479599</v>
      </c>
      <c r="P176" s="48">
        <f t="shared" si="63"/>
        <v>2.6902217281479599</v>
      </c>
      <c r="Q176" s="49">
        <v>0.3</v>
      </c>
      <c r="R176" s="49">
        <f t="shared" si="54"/>
        <v>0.306965487542399</v>
      </c>
      <c r="S176" s="49">
        <v>230100</v>
      </c>
      <c r="T176" s="49">
        <v>232300</v>
      </c>
      <c r="U176" s="49">
        <v>15956260</v>
      </c>
      <c r="V176" s="49">
        <f t="shared" si="55"/>
        <v>27.2347710204326</v>
      </c>
      <c r="W176" s="49">
        <f t="shared" si="64"/>
        <v>27.2347710204326</v>
      </c>
      <c r="X176" s="48">
        <v>0</v>
      </c>
      <c r="Y176" s="48">
        <f t="shared" si="56"/>
        <v>0</v>
      </c>
      <c r="Z176" s="48">
        <v>0</v>
      </c>
      <c r="AA176" s="48">
        <v>0</v>
      </c>
      <c r="AB176" s="48">
        <v>0</v>
      </c>
      <c r="AC176" s="48">
        <f t="shared" si="57"/>
        <v>0</v>
      </c>
      <c r="AD176" s="48">
        <f t="shared" si="65"/>
        <v>0</v>
      </c>
      <c r="AE176" s="49">
        <v>0</v>
      </c>
      <c r="AF176" s="49">
        <f t="shared" si="58"/>
        <v>0</v>
      </c>
      <c r="AG176" s="49">
        <v>0</v>
      </c>
      <c r="AH176" s="49">
        <v>0</v>
      </c>
      <c r="AI176" s="49">
        <v>0</v>
      </c>
      <c r="AJ176" s="49">
        <f t="shared" si="59"/>
        <v>0</v>
      </c>
      <c r="AK176" s="49">
        <f t="shared" si="66"/>
        <v>0</v>
      </c>
      <c r="AL176" s="82">
        <f t="shared" si="67"/>
        <v>0</v>
      </c>
      <c r="AM176" s="82">
        <f t="shared" si="68"/>
        <v>291304837464665.44</v>
      </c>
      <c r="AN176" s="81">
        <f t="shared" si="60"/>
        <v>328862604786951.81</v>
      </c>
      <c r="AO176" s="80">
        <f t="shared" si="46"/>
        <v>1128.9294323059157</v>
      </c>
      <c r="AP176" s="52">
        <f t="shared" si="61"/>
        <v>7.2290836148446976E-3</v>
      </c>
      <c r="AQ176" s="48">
        <f t="shared" si="47"/>
        <v>-1.1223344556677889E-2</v>
      </c>
      <c r="AR176" s="48">
        <f t="shared" si="48"/>
        <v>2.9824561403508771E-2</v>
      </c>
      <c r="AS176" s="48">
        <f t="shared" si="49"/>
        <v>9.5610604085180351E-3</v>
      </c>
      <c r="AT176" s="48" t="e">
        <f>(#REF!-#REF!)/#REF!</f>
        <v>#REF!</v>
      </c>
    </row>
    <row r="177" spans="1:46" x14ac:dyDescent="0.3">
      <c r="A177" s="48">
        <v>20180914</v>
      </c>
      <c r="B177" s="48" t="s">
        <v>88</v>
      </c>
      <c r="C177" s="79">
        <v>0.4</v>
      </c>
      <c r="D177" s="79">
        <f t="shared" si="50"/>
        <v>0.39841168119791193</v>
      </c>
      <c r="E177" s="49">
        <v>44050</v>
      </c>
      <c r="F177" s="49">
        <v>45850</v>
      </c>
      <c r="G177" s="49">
        <v>6419324700</v>
      </c>
      <c r="H177" s="49">
        <f t="shared" si="51"/>
        <v>0.45585619760779</v>
      </c>
      <c r="I177" s="49">
        <f t="shared" si="62"/>
        <v>0.45585619760779</v>
      </c>
      <c r="J177" s="48">
        <v>0.3</v>
      </c>
      <c r="K177" s="48">
        <f t="shared" si="52"/>
        <v>0.29150091897763974</v>
      </c>
      <c r="L177" s="48">
        <v>293500</v>
      </c>
      <c r="M177" s="48">
        <v>291000</v>
      </c>
      <c r="N177" s="51">
        <v>125395903</v>
      </c>
      <c r="O177" s="48">
        <f t="shared" si="53"/>
        <v>2.6902217281479599</v>
      </c>
      <c r="P177" s="48">
        <f t="shared" si="63"/>
        <v>2.6902217281479599</v>
      </c>
      <c r="Q177" s="49">
        <v>0.3</v>
      </c>
      <c r="R177" s="49">
        <f t="shared" si="54"/>
        <v>0.31008739982444844</v>
      </c>
      <c r="S177" s="49">
        <v>232300</v>
      </c>
      <c r="T177" s="49">
        <v>240300</v>
      </c>
      <c r="U177" s="49">
        <v>15956260</v>
      </c>
      <c r="V177" s="49">
        <f t="shared" si="55"/>
        <v>27.2347710204326</v>
      </c>
      <c r="W177" s="49">
        <f t="shared" si="64"/>
        <v>27.2347710204326</v>
      </c>
      <c r="X177" s="48">
        <v>0</v>
      </c>
      <c r="Y177" s="48">
        <f t="shared" si="56"/>
        <v>0</v>
      </c>
      <c r="Z177" s="48">
        <v>0</v>
      </c>
      <c r="AA177" s="48">
        <v>0</v>
      </c>
      <c r="AB177" s="48">
        <v>0</v>
      </c>
      <c r="AC177" s="48">
        <f t="shared" si="57"/>
        <v>0</v>
      </c>
      <c r="AD177" s="48">
        <f t="shared" si="65"/>
        <v>0</v>
      </c>
      <c r="AE177" s="49">
        <v>0</v>
      </c>
      <c r="AF177" s="49">
        <f t="shared" si="58"/>
        <v>0</v>
      </c>
      <c r="AG177" s="49">
        <v>0</v>
      </c>
      <c r="AH177" s="49">
        <v>0</v>
      </c>
      <c r="AI177" s="49">
        <v>0</v>
      </c>
      <c r="AJ177" s="49">
        <f t="shared" si="59"/>
        <v>0</v>
      </c>
      <c r="AK177" s="49">
        <f t="shared" si="66"/>
        <v>0</v>
      </c>
      <c r="AL177" s="82">
        <f t="shared" si="67"/>
        <v>0</v>
      </c>
      <c r="AM177" s="82">
        <f t="shared" si="68"/>
        <v>291304837464665.44</v>
      </c>
      <c r="AN177" s="81">
        <f t="shared" si="60"/>
        <v>336763088637426.5</v>
      </c>
      <c r="AO177" s="80">
        <f t="shared" si="46"/>
        <v>1156.0504506838993</v>
      </c>
      <c r="AP177" s="52">
        <f t="shared" si="61"/>
        <v>2.4023661357279884E-2</v>
      </c>
      <c r="AQ177" s="48">
        <f t="shared" si="47"/>
        <v>4.0862656072644721E-2</v>
      </c>
      <c r="AR177" s="48">
        <f t="shared" si="48"/>
        <v>-8.5178875638841564E-3</v>
      </c>
      <c r="AS177" s="48">
        <f t="shared" si="49"/>
        <v>3.4438226431338786E-2</v>
      </c>
      <c r="AT177" s="48" t="e">
        <f>(#REF!-#REF!)/#REF!</f>
        <v>#REF!</v>
      </c>
    </row>
    <row r="178" spans="1:46" x14ac:dyDescent="0.3">
      <c r="A178" s="48">
        <v>20180917</v>
      </c>
      <c r="B178" s="48" t="s">
        <v>88</v>
      </c>
      <c r="C178" s="79">
        <v>0.4</v>
      </c>
      <c r="D178" s="79">
        <f t="shared" si="50"/>
        <v>0.38970726841841374</v>
      </c>
      <c r="E178" s="49">
        <v>45850</v>
      </c>
      <c r="F178" s="49">
        <v>45150</v>
      </c>
      <c r="G178" s="49">
        <v>6419324700</v>
      </c>
      <c r="H178" s="49">
        <f t="shared" si="51"/>
        <v>0.45585619760779</v>
      </c>
      <c r="I178" s="49">
        <f t="shared" si="62"/>
        <v>0.45585619760779</v>
      </c>
      <c r="J178" s="48">
        <v>0.3</v>
      </c>
      <c r="K178" s="48">
        <f t="shared" si="52"/>
        <v>0.30099573807763208</v>
      </c>
      <c r="L178" s="48">
        <v>291000</v>
      </c>
      <c r="M178" s="48">
        <v>302500</v>
      </c>
      <c r="N178" s="51">
        <v>125395903</v>
      </c>
      <c r="O178" s="48">
        <f t="shared" si="53"/>
        <v>2.6902217281479599</v>
      </c>
      <c r="P178" s="48">
        <f t="shared" si="63"/>
        <v>2.6902217281479599</v>
      </c>
      <c r="Q178" s="49">
        <v>0.3</v>
      </c>
      <c r="R178" s="49">
        <f t="shared" si="54"/>
        <v>0.30929699350395423</v>
      </c>
      <c r="S178" s="49">
        <v>240300</v>
      </c>
      <c r="T178" s="49">
        <v>241300</v>
      </c>
      <c r="U178" s="49">
        <v>15956260</v>
      </c>
      <c r="V178" s="49">
        <f t="shared" si="55"/>
        <v>27.2347710204326</v>
      </c>
      <c r="W178" s="49">
        <f t="shared" si="64"/>
        <v>27.2347710204326</v>
      </c>
      <c r="X178" s="48">
        <v>0</v>
      </c>
      <c r="Y178" s="48">
        <f t="shared" si="56"/>
        <v>0</v>
      </c>
      <c r="Z178" s="48">
        <v>0</v>
      </c>
      <c r="AA178" s="48">
        <v>0</v>
      </c>
      <c r="AB178" s="48">
        <v>0</v>
      </c>
      <c r="AC178" s="48">
        <f t="shared" si="57"/>
        <v>0</v>
      </c>
      <c r="AD178" s="48">
        <f t="shared" si="65"/>
        <v>0</v>
      </c>
      <c r="AE178" s="49">
        <v>0</v>
      </c>
      <c r="AF178" s="49">
        <f t="shared" si="58"/>
        <v>0</v>
      </c>
      <c r="AG178" s="49">
        <v>0</v>
      </c>
      <c r="AH178" s="49">
        <v>0</v>
      </c>
      <c r="AI178" s="49">
        <v>0</v>
      </c>
      <c r="AJ178" s="49">
        <f t="shared" si="59"/>
        <v>0</v>
      </c>
      <c r="AK178" s="49">
        <f t="shared" si="66"/>
        <v>0</v>
      </c>
      <c r="AL178" s="82">
        <f t="shared" si="67"/>
        <v>0</v>
      </c>
      <c r="AM178" s="82">
        <f t="shared" si="68"/>
        <v>291304837464665.44</v>
      </c>
      <c r="AN178" s="81">
        <f t="shared" si="60"/>
        <v>339028693463623.12</v>
      </c>
      <c r="AO178" s="80">
        <f t="shared" si="46"/>
        <v>1163.8278870145659</v>
      </c>
      <c r="AP178" s="52">
        <f t="shared" si="61"/>
        <v>6.7275924905056388E-3</v>
      </c>
      <c r="AQ178" s="48">
        <f t="shared" si="47"/>
        <v>-1.5267175572519083E-2</v>
      </c>
      <c r="AR178" s="48">
        <f t="shared" si="48"/>
        <v>3.951890034364261E-2</v>
      </c>
      <c r="AS178" s="48">
        <f t="shared" si="49"/>
        <v>4.1614648356221393E-3</v>
      </c>
      <c r="AT178" s="48" t="e">
        <f>(#REF!-#REF!)/#REF!</f>
        <v>#REF!</v>
      </c>
    </row>
    <row r="179" spans="1:46" x14ac:dyDescent="0.3">
      <c r="A179" s="48">
        <v>20180918</v>
      </c>
      <c r="B179" s="48" t="s">
        <v>88</v>
      </c>
      <c r="C179" s="79">
        <v>0.4</v>
      </c>
      <c r="D179" s="79">
        <f t="shared" si="50"/>
        <v>0.39147163784006023</v>
      </c>
      <c r="E179" s="49">
        <v>45150</v>
      </c>
      <c r="F179" s="49">
        <v>45500</v>
      </c>
      <c r="G179" s="49">
        <v>6419324700</v>
      </c>
      <c r="H179" s="49">
        <f t="shared" si="51"/>
        <v>0.45585619760779</v>
      </c>
      <c r="I179" s="49">
        <f t="shared" si="62"/>
        <v>0.45585619760779</v>
      </c>
      <c r="J179" s="48">
        <v>0.3</v>
      </c>
      <c r="K179" s="48">
        <f t="shared" si="52"/>
        <v>0.29804895165510026</v>
      </c>
      <c r="L179" s="48">
        <v>302500</v>
      </c>
      <c r="M179" s="48">
        <v>300500</v>
      </c>
      <c r="N179" s="51">
        <v>125395903</v>
      </c>
      <c r="O179" s="48">
        <f t="shared" si="53"/>
        <v>2.6902217281479599</v>
      </c>
      <c r="P179" s="48">
        <f t="shared" si="63"/>
        <v>2.6902217281479599</v>
      </c>
      <c r="Q179" s="49">
        <v>0.3</v>
      </c>
      <c r="R179" s="49">
        <f t="shared" si="54"/>
        <v>0.31047941050483957</v>
      </c>
      <c r="S179" s="49">
        <v>241300</v>
      </c>
      <c r="T179" s="49">
        <v>243000</v>
      </c>
      <c r="U179" s="49">
        <v>15956260</v>
      </c>
      <c r="V179" s="49">
        <f t="shared" si="55"/>
        <v>27.2347710204326</v>
      </c>
      <c r="W179" s="49">
        <f t="shared" si="64"/>
        <v>27.2347710204326</v>
      </c>
      <c r="X179" s="48">
        <v>0</v>
      </c>
      <c r="Y179" s="48">
        <f t="shared" si="56"/>
        <v>0</v>
      </c>
      <c r="Z179" s="48">
        <v>0</v>
      </c>
      <c r="AA179" s="48">
        <v>0</v>
      </c>
      <c r="AB179" s="48">
        <v>0</v>
      </c>
      <c r="AC179" s="48">
        <f t="shared" si="57"/>
        <v>0</v>
      </c>
      <c r="AD179" s="48">
        <f t="shared" si="65"/>
        <v>0</v>
      </c>
      <c r="AE179" s="49">
        <v>0</v>
      </c>
      <c r="AF179" s="49">
        <f t="shared" si="58"/>
        <v>0</v>
      </c>
      <c r="AG179" s="49">
        <v>0</v>
      </c>
      <c r="AH179" s="49">
        <v>0</v>
      </c>
      <c r="AI179" s="49">
        <v>0</v>
      </c>
      <c r="AJ179" s="49">
        <f t="shared" si="59"/>
        <v>0</v>
      </c>
      <c r="AK179" s="49">
        <f t="shared" si="66"/>
        <v>0</v>
      </c>
      <c r="AL179" s="82">
        <f t="shared" si="67"/>
        <v>0</v>
      </c>
      <c r="AM179" s="82">
        <f t="shared" si="68"/>
        <v>291304837464665.44</v>
      </c>
      <c r="AN179" s="81">
        <f t="shared" si="60"/>
        <v>340116969678665.81</v>
      </c>
      <c r="AO179" s="80">
        <f t="shared" si="46"/>
        <v>1167.5637543091648</v>
      </c>
      <c r="AP179" s="52">
        <f t="shared" si="61"/>
        <v>3.2099826239617257E-3</v>
      </c>
      <c r="AQ179" s="48">
        <f t="shared" si="47"/>
        <v>7.7519379844961239E-3</v>
      </c>
      <c r="AR179" s="48">
        <f t="shared" si="48"/>
        <v>-6.6115702479338841E-3</v>
      </c>
      <c r="AS179" s="48">
        <f t="shared" si="49"/>
        <v>7.0451719850808123E-3</v>
      </c>
      <c r="AT179" s="48" t="e">
        <f>(#REF!-#REF!)/#REF!</f>
        <v>#REF!</v>
      </c>
    </row>
    <row r="180" spans="1:46" x14ac:dyDescent="0.3">
      <c r="A180" s="48">
        <v>20180919</v>
      </c>
      <c r="B180" s="48" t="s">
        <v>88</v>
      </c>
      <c r="C180" s="79">
        <v>0.4</v>
      </c>
      <c r="D180" s="79">
        <f t="shared" si="50"/>
        <v>0.39272542005154976</v>
      </c>
      <c r="E180" s="49">
        <v>45500</v>
      </c>
      <c r="F180" s="49">
        <v>46150</v>
      </c>
      <c r="G180" s="49">
        <v>6419324700</v>
      </c>
      <c r="H180" s="49">
        <f t="shared" si="51"/>
        <v>0.45585619760779</v>
      </c>
      <c r="I180" s="49">
        <f t="shared" si="62"/>
        <v>0.45585619760779</v>
      </c>
      <c r="J180" s="48">
        <v>0.3</v>
      </c>
      <c r="K180" s="48">
        <f t="shared" si="52"/>
        <v>0.30018773921585806</v>
      </c>
      <c r="L180" s="48">
        <v>300500</v>
      </c>
      <c r="M180" s="48">
        <v>306000</v>
      </c>
      <c r="N180" s="51">
        <v>125395903</v>
      </c>
      <c r="O180" s="48">
        <f t="shared" si="53"/>
        <v>2.6902217281479599</v>
      </c>
      <c r="P180" s="48">
        <f t="shared" si="63"/>
        <v>2.6902217281479599</v>
      </c>
      <c r="Q180" s="49">
        <v>0.3</v>
      </c>
      <c r="R180" s="49">
        <f t="shared" si="54"/>
        <v>0.30708684073259213</v>
      </c>
      <c r="S180" s="49">
        <v>243000</v>
      </c>
      <c r="T180" s="49">
        <v>243000</v>
      </c>
      <c r="U180" s="49">
        <v>15956260</v>
      </c>
      <c r="V180" s="49">
        <f t="shared" si="55"/>
        <v>27.2347710204326</v>
      </c>
      <c r="W180" s="49">
        <f t="shared" si="64"/>
        <v>27.2347710204326</v>
      </c>
      <c r="X180" s="48">
        <v>0</v>
      </c>
      <c r="Y180" s="48">
        <f t="shared" si="56"/>
        <v>0</v>
      </c>
      <c r="Z180" s="48">
        <v>0</v>
      </c>
      <c r="AA180" s="48">
        <v>0</v>
      </c>
      <c r="AB180" s="48">
        <v>0</v>
      </c>
      <c r="AC180" s="48">
        <f t="shared" si="57"/>
        <v>0</v>
      </c>
      <c r="AD180" s="48">
        <f t="shared" si="65"/>
        <v>0</v>
      </c>
      <c r="AE180" s="49">
        <v>0</v>
      </c>
      <c r="AF180" s="49">
        <f t="shared" si="58"/>
        <v>0</v>
      </c>
      <c r="AG180" s="49">
        <v>0</v>
      </c>
      <c r="AH180" s="49">
        <v>0</v>
      </c>
      <c r="AI180" s="49">
        <v>0</v>
      </c>
      <c r="AJ180" s="49">
        <f t="shared" si="59"/>
        <v>0</v>
      </c>
      <c r="AK180" s="49">
        <f t="shared" si="66"/>
        <v>0</v>
      </c>
      <c r="AL180" s="82">
        <f t="shared" si="67"/>
        <v>0</v>
      </c>
      <c r="AM180" s="82">
        <f t="shared" si="68"/>
        <v>291304837464665.44</v>
      </c>
      <c r="AN180" s="81">
        <f t="shared" si="60"/>
        <v>343874442801276.81</v>
      </c>
      <c r="AO180" s="80">
        <f t="shared" si="46"/>
        <v>1180.4625209596388</v>
      </c>
      <c r="AP180" s="52">
        <f t="shared" si="61"/>
        <v>1.1047590851350219E-2</v>
      </c>
      <c r="AQ180" s="48">
        <f t="shared" si="47"/>
        <v>1.4285714285714285E-2</v>
      </c>
      <c r="AR180" s="48">
        <f t="shared" si="48"/>
        <v>1.8302828618968387E-2</v>
      </c>
      <c r="AS180" s="48">
        <f t="shared" si="49"/>
        <v>0</v>
      </c>
      <c r="AT180" s="48" t="e">
        <f>(#REF!-#REF!)/#REF!</f>
        <v>#REF!</v>
      </c>
    </row>
    <row r="181" spans="1:46" x14ac:dyDescent="0.3">
      <c r="A181" s="48">
        <v>20180920</v>
      </c>
      <c r="B181" s="48" t="s">
        <v>88</v>
      </c>
      <c r="C181" s="79">
        <v>0.4</v>
      </c>
      <c r="D181" s="79">
        <f t="shared" si="50"/>
        <v>0.40050067365100633</v>
      </c>
      <c r="E181" s="49">
        <v>46150</v>
      </c>
      <c r="F181" s="49">
        <v>47250</v>
      </c>
      <c r="G181" s="49">
        <v>6419324700</v>
      </c>
      <c r="H181" s="49">
        <f t="shared" si="51"/>
        <v>0.45585619760779</v>
      </c>
      <c r="I181" s="49">
        <f t="shared" si="62"/>
        <v>0.45585619760779</v>
      </c>
      <c r="J181" s="48">
        <v>0.3</v>
      </c>
      <c r="K181" s="48">
        <f t="shared" si="52"/>
        <v>0.28972125102667085</v>
      </c>
      <c r="L181" s="48">
        <v>306000</v>
      </c>
      <c r="M181" s="48">
        <v>296500</v>
      </c>
      <c r="N181" s="51">
        <v>125395903</v>
      </c>
      <c r="O181" s="48">
        <f t="shared" si="53"/>
        <v>2.6902217281479599</v>
      </c>
      <c r="P181" s="48">
        <f t="shared" si="63"/>
        <v>2.6902217281479599</v>
      </c>
      <c r="Q181" s="49">
        <v>0.3</v>
      </c>
      <c r="R181" s="49">
        <f t="shared" si="54"/>
        <v>0.30977807532232288</v>
      </c>
      <c r="S181" s="49">
        <v>243000</v>
      </c>
      <c r="T181" s="49">
        <v>246100</v>
      </c>
      <c r="U181" s="49">
        <v>15956260</v>
      </c>
      <c r="V181" s="49">
        <f t="shared" si="55"/>
        <v>27.2347710204326</v>
      </c>
      <c r="W181" s="49">
        <f t="shared" si="64"/>
        <v>27.2347710204326</v>
      </c>
      <c r="X181" s="48">
        <v>0</v>
      </c>
      <c r="Y181" s="48">
        <f t="shared" si="56"/>
        <v>0</v>
      </c>
      <c r="Z181" s="48">
        <v>0</v>
      </c>
      <c r="AA181" s="48">
        <v>0</v>
      </c>
      <c r="AB181" s="48">
        <v>0</v>
      </c>
      <c r="AC181" s="48">
        <f t="shared" si="57"/>
        <v>0</v>
      </c>
      <c r="AD181" s="48">
        <f t="shared" si="65"/>
        <v>0</v>
      </c>
      <c r="AE181" s="49">
        <v>0</v>
      </c>
      <c r="AF181" s="49">
        <f t="shared" si="58"/>
        <v>0</v>
      </c>
      <c r="AG181" s="49">
        <v>0</v>
      </c>
      <c r="AH181" s="49">
        <v>0</v>
      </c>
      <c r="AI181" s="49">
        <v>0</v>
      </c>
      <c r="AJ181" s="49">
        <f t="shared" si="59"/>
        <v>0</v>
      </c>
      <c r="AK181" s="49">
        <f t="shared" si="66"/>
        <v>0</v>
      </c>
      <c r="AL181" s="82">
        <f t="shared" si="67"/>
        <v>0</v>
      </c>
      <c r="AM181" s="82">
        <f t="shared" si="68"/>
        <v>291304837464665.44</v>
      </c>
      <c r="AN181" s="81">
        <f t="shared" si="60"/>
        <v>345235755978917.75</v>
      </c>
      <c r="AO181" s="80">
        <f t="shared" si="46"/>
        <v>1185.1356777444314</v>
      </c>
      <c r="AP181" s="52">
        <f t="shared" si="61"/>
        <v>3.9587506607101858E-3</v>
      </c>
      <c r="AQ181" s="48">
        <f t="shared" si="47"/>
        <v>2.3835319609967497E-2</v>
      </c>
      <c r="AR181" s="48">
        <f t="shared" si="48"/>
        <v>-3.1045751633986929E-2</v>
      </c>
      <c r="AS181" s="48">
        <f t="shared" si="49"/>
        <v>1.2757201646090535E-2</v>
      </c>
      <c r="AT181" s="48" t="e">
        <f>(#REF!-#REF!)/#REF!</f>
        <v>#REF!</v>
      </c>
    </row>
    <row r="182" spans="1:46" x14ac:dyDescent="0.3">
      <c r="A182" s="48">
        <v>20180921</v>
      </c>
      <c r="B182" s="48" t="s">
        <v>88</v>
      </c>
      <c r="C182" s="79">
        <v>0.4</v>
      </c>
      <c r="D182" s="79">
        <f t="shared" si="50"/>
        <v>0.39947526869640981</v>
      </c>
      <c r="E182" s="49">
        <v>47250</v>
      </c>
      <c r="F182" s="49">
        <v>47400</v>
      </c>
      <c r="G182" s="49">
        <v>6419324700</v>
      </c>
      <c r="H182" s="49">
        <f t="shared" si="51"/>
        <v>0.45585619760779</v>
      </c>
      <c r="I182" s="49">
        <f t="shared" si="62"/>
        <v>0.45585619760779</v>
      </c>
      <c r="J182" s="48">
        <v>0.3</v>
      </c>
      <c r="K182" s="48">
        <f t="shared" si="52"/>
        <v>0.29389429173450921</v>
      </c>
      <c r="L182" s="48">
        <v>296500</v>
      </c>
      <c r="M182" s="48">
        <v>302500</v>
      </c>
      <c r="N182" s="51">
        <v>125395903</v>
      </c>
      <c r="O182" s="48">
        <f t="shared" si="53"/>
        <v>2.6902217281479599</v>
      </c>
      <c r="P182" s="48">
        <f t="shared" si="63"/>
        <v>2.6902217281479599</v>
      </c>
      <c r="Q182" s="49">
        <v>0.3</v>
      </c>
      <c r="R182" s="49">
        <f t="shared" si="54"/>
        <v>0.30663043956908098</v>
      </c>
      <c r="S182" s="49">
        <v>246100</v>
      </c>
      <c r="T182" s="49">
        <v>245000</v>
      </c>
      <c r="U182" s="49">
        <v>15956260</v>
      </c>
      <c r="V182" s="49">
        <f t="shared" si="55"/>
        <v>27.2347710204326</v>
      </c>
      <c r="W182" s="49">
        <f t="shared" si="64"/>
        <v>27.2347710204326</v>
      </c>
      <c r="X182" s="48">
        <v>0</v>
      </c>
      <c r="Y182" s="48">
        <f t="shared" si="56"/>
        <v>0</v>
      </c>
      <c r="Z182" s="48">
        <v>0</v>
      </c>
      <c r="AA182" s="48">
        <v>0</v>
      </c>
      <c r="AB182" s="48">
        <v>0</v>
      </c>
      <c r="AC182" s="48">
        <f t="shared" si="57"/>
        <v>0</v>
      </c>
      <c r="AD182" s="48">
        <f t="shared" si="65"/>
        <v>0</v>
      </c>
      <c r="AE182" s="49">
        <v>0</v>
      </c>
      <c r="AF182" s="49">
        <f t="shared" si="58"/>
        <v>0</v>
      </c>
      <c r="AG182" s="49">
        <v>0</v>
      </c>
      <c r="AH182" s="49">
        <v>0</v>
      </c>
      <c r="AI182" s="49">
        <v>0</v>
      </c>
      <c r="AJ182" s="49">
        <f t="shared" si="59"/>
        <v>0</v>
      </c>
      <c r="AK182" s="49">
        <f t="shared" si="66"/>
        <v>0</v>
      </c>
      <c r="AL182" s="82">
        <f t="shared" si="67"/>
        <v>0</v>
      </c>
      <c r="AM182" s="82">
        <f t="shared" si="68"/>
        <v>291304837464665.44</v>
      </c>
      <c r="AN182" s="81">
        <f t="shared" si="60"/>
        <v>347220734422301.81</v>
      </c>
      <c r="AO182" s="80">
        <f t="shared" si="46"/>
        <v>1191.9497713951243</v>
      </c>
      <c r="AP182" s="52">
        <f t="shared" si="61"/>
        <v>5.7496316908302245E-3</v>
      </c>
      <c r="AQ182" s="48">
        <f t="shared" si="47"/>
        <v>3.1746031746031746E-3</v>
      </c>
      <c r="AR182" s="48">
        <f t="shared" si="48"/>
        <v>2.0236087689713321E-2</v>
      </c>
      <c r="AS182" s="48">
        <f t="shared" si="49"/>
        <v>-4.469727752945957E-3</v>
      </c>
      <c r="AT182" s="48" t="e">
        <f>(#REF!-#REF!)/#REF!</f>
        <v>#REF!</v>
      </c>
    </row>
    <row r="183" spans="1:46" x14ac:dyDescent="0.3">
      <c r="A183" s="48">
        <v>20180927</v>
      </c>
      <c r="B183" s="48" t="s">
        <v>88</v>
      </c>
      <c r="C183" s="79">
        <v>0.4</v>
      </c>
      <c r="D183" s="79">
        <f t="shared" si="50"/>
        <v>0.39876642824155495</v>
      </c>
      <c r="E183" s="49">
        <v>47400</v>
      </c>
      <c r="F183" s="49">
        <v>47500</v>
      </c>
      <c r="G183" s="49">
        <v>6419324700</v>
      </c>
      <c r="H183" s="49">
        <f t="shared" si="51"/>
        <v>0.45585619760779</v>
      </c>
      <c r="I183" s="49">
        <f t="shared" si="62"/>
        <v>0.45585619760779</v>
      </c>
      <c r="J183" s="48">
        <v>0.3</v>
      </c>
      <c r="K183" s="48">
        <f t="shared" si="52"/>
        <v>0.29130349174289555</v>
      </c>
      <c r="L183" s="48">
        <v>302500</v>
      </c>
      <c r="M183" s="48">
        <v>301000</v>
      </c>
      <c r="N183" s="51">
        <v>125395903</v>
      </c>
      <c r="O183" s="48">
        <f t="shared" si="53"/>
        <v>2.6902217281479599</v>
      </c>
      <c r="P183" s="48">
        <f t="shared" si="63"/>
        <v>2.6902217281479599</v>
      </c>
      <c r="Q183" s="49">
        <v>0.3</v>
      </c>
      <c r="R183" s="49">
        <f t="shared" si="54"/>
        <v>0.30993008001554956</v>
      </c>
      <c r="S183" s="49">
        <v>245000</v>
      </c>
      <c r="T183" s="49">
        <v>248600</v>
      </c>
      <c r="U183" s="49">
        <v>15956260</v>
      </c>
      <c r="V183" s="49">
        <f t="shared" si="55"/>
        <v>27.2347710204326</v>
      </c>
      <c r="W183" s="49">
        <f t="shared" si="64"/>
        <v>27.2347710204326</v>
      </c>
      <c r="X183" s="48">
        <v>0</v>
      </c>
      <c r="Y183" s="48">
        <f t="shared" si="56"/>
        <v>0</v>
      </c>
      <c r="Z183" s="48">
        <v>0</v>
      </c>
      <c r="AA183" s="48">
        <v>0</v>
      </c>
      <c r="AB183" s="48">
        <v>0</v>
      </c>
      <c r="AC183" s="48">
        <f t="shared" si="57"/>
        <v>0</v>
      </c>
      <c r="AD183" s="48">
        <f t="shared" si="65"/>
        <v>0</v>
      </c>
      <c r="AE183" s="49">
        <v>0</v>
      </c>
      <c r="AF183" s="49">
        <f t="shared" si="58"/>
        <v>0</v>
      </c>
      <c r="AG183" s="49">
        <v>0</v>
      </c>
      <c r="AH183" s="49">
        <v>0</v>
      </c>
      <c r="AI183" s="49">
        <v>0</v>
      </c>
      <c r="AJ183" s="49">
        <f t="shared" si="59"/>
        <v>0</v>
      </c>
      <c r="AK183" s="49">
        <f t="shared" si="66"/>
        <v>0</v>
      </c>
      <c r="AL183" s="82">
        <f t="shared" si="67"/>
        <v>0</v>
      </c>
      <c r="AM183" s="82">
        <f t="shared" si="68"/>
        <v>291304837464665.44</v>
      </c>
      <c r="AN183" s="81">
        <f t="shared" si="60"/>
        <v>348571783457682.94</v>
      </c>
      <c r="AO183" s="80">
        <f t="shared" si="46"/>
        <v>1196.5876931239216</v>
      </c>
      <c r="AP183" s="52">
        <f t="shared" si="61"/>
        <v>3.8910378944649053E-3</v>
      </c>
      <c r="AQ183" s="48">
        <f t="shared" si="47"/>
        <v>2.1097046413502108E-3</v>
      </c>
      <c r="AR183" s="48">
        <f t="shared" si="48"/>
        <v>-4.9586776859504135E-3</v>
      </c>
      <c r="AS183" s="48">
        <f t="shared" si="49"/>
        <v>1.4693877551020407E-2</v>
      </c>
      <c r="AT183" s="48" t="e">
        <f>(#REF!-#REF!)/#REF!</f>
        <v>#REF!</v>
      </c>
    </row>
    <row r="184" spans="1:46" x14ac:dyDescent="0.3">
      <c r="A184" s="48">
        <v>20180928</v>
      </c>
      <c r="B184" s="48" t="s">
        <v>88</v>
      </c>
      <c r="C184" s="79">
        <v>0.4</v>
      </c>
      <c r="D184" s="79">
        <f t="shared" si="50"/>
        <v>0.39889083637436179</v>
      </c>
      <c r="E184" s="49">
        <v>47500</v>
      </c>
      <c r="F184" s="49">
        <v>46450</v>
      </c>
      <c r="G184" s="49">
        <v>6419324700</v>
      </c>
      <c r="H184" s="49">
        <f t="shared" si="51"/>
        <v>0.45585619760779</v>
      </c>
      <c r="I184" s="49">
        <f t="shared" si="62"/>
        <v>0.45585619760779</v>
      </c>
      <c r="J184" s="48">
        <v>0.3</v>
      </c>
      <c r="K184" s="48">
        <f t="shared" si="52"/>
        <v>0.29402144424707416</v>
      </c>
      <c r="L184" s="48">
        <v>301000</v>
      </c>
      <c r="M184" s="48">
        <v>297000</v>
      </c>
      <c r="N184" s="51">
        <v>125395903</v>
      </c>
      <c r="O184" s="48">
        <f t="shared" si="53"/>
        <v>2.6902217281479599</v>
      </c>
      <c r="P184" s="48">
        <f t="shared" si="63"/>
        <v>2.6902217281479599</v>
      </c>
      <c r="Q184" s="49">
        <v>0.3</v>
      </c>
      <c r="R184" s="49">
        <f t="shared" si="54"/>
        <v>0.30708771937856399</v>
      </c>
      <c r="S184" s="49">
        <v>248600</v>
      </c>
      <c r="T184" s="49">
        <v>240800</v>
      </c>
      <c r="U184" s="49">
        <v>15956260</v>
      </c>
      <c r="V184" s="49">
        <f t="shared" si="55"/>
        <v>27.2347710204326</v>
      </c>
      <c r="W184" s="49">
        <f t="shared" si="64"/>
        <v>27.2347710204326</v>
      </c>
      <c r="X184" s="48">
        <v>0</v>
      </c>
      <c r="Y184" s="48">
        <f t="shared" si="56"/>
        <v>0</v>
      </c>
      <c r="Z184" s="48">
        <v>0</v>
      </c>
      <c r="AA184" s="48">
        <v>0</v>
      </c>
      <c r="AB184" s="48">
        <v>0</v>
      </c>
      <c r="AC184" s="48">
        <f t="shared" si="57"/>
        <v>0</v>
      </c>
      <c r="AD184" s="48">
        <f t="shared" si="65"/>
        <v>0</v>
      </c>
      <c r="AE184" s="49">
        <v>0</v>
      </c>
      <c r="AF184" s="49">
        <f t="shared" si="58"/>
        <v>0</v>
      </c>
      <c r="AG184" s="49">
        <v>0</v>
      </c>
      <c r="AH184" s="49">
        <v>0</v>
      </c>
      <c r="AI184" s="49">
        <v>0</v>
      </c>
      <c r="AJ184" s="49">
        <f t="shared" si="59"/>
        <v>0</v>
      </c>
      <c r="AK184" s="49">
        <f t="shared" si="66"/>
        <v>0</v>
      </c>
      <c r="AL184" s="82">
        <f t="shared" si="67"/>
        <v>0</v>
      </c>
      <c r="AM184" s="82">
        <f t="shared" si="68"/>
        <v>291304837464665.44</v>
      </c>
      <c r="AN184" s="81">
        <f t="shared" si="60"/>
        <v>340760201247746.87</v>
      </c>
      <c r="AO184" s="80">
        <f t="shared" si="46"/>
        <v>1169.7718589691467</v>
      </c>
      <c r="AP184" s="52">
        <f t="shared" si="61"/>
        <v>-2.2410254015538946E-2</v>
      </c>
      <c r="AQ184" s="48">
        <f t="shared" si="47"/>
        <v>-2.2105263157894735E-2</v>
      </c>
      <c r="AR184" s="48">
        <f t="shared" si="48"/>
        <v>-1.3289036544850499E-2</v>
      </c>
      <c r="AS184" s="48">
        <f t="shared" si="49"/>
        <v>-3.1375703942075624E-2</v>
      </c>
      <c r="AT184" s="48" t="e">
        <f>(#REF!-#REF!)/#REF!</f>
        <v>#REF!</v>
      </c>
    </row>
    <row r="185" spans="1:46" x14ac:dyDescent="0.3">
      <c r="A185" s="48">
        <v>20181001</v>
      </c>
      <c r="B185" s="48" t="s">
        <v>88</v>
      </c>
      <c r="C185" s="79">
        <v>0.4</v>
      </c>
      <c r="D185" s="79">
        <f t="shared" si="50"/>
        <v>0.39974228932713285</v>
      </c>
      <c r="E185" s="49">
        <v>46450</v>
      </c>
      <c r="F185" s="49">
        <v>46350</v>
      </c>
      <c r="G185" s="49">
        <v>6419324700</v>
      </c>
      <c r="H185" s="49">
        <f t="shared" si="51"/>
        <v>0.45585619760779</v>
      </c>
      <c r="I185" s="49">
        <f t="shared" si="62"/>
        <v>0.45585619760779</v>
      </c>
      <c r="J185" s="48">
        <v>0.3</v>
      </c>
      <c r="K185" s="48">
        <f t="shared" si="52"/>
        <v>0.29031362884771161</v>
      </c>
      <c r="L185" s="48">
        <v>297000</v>
      </c>
      <c r="M185" s="48">
        <v>292000</v>
      </c>
      <c r="N185" s="51">
        <v>125395903</v>
      </c>
      <c r="O185" s="48">
        <f t="shared" si="53"/>
        <v>2.6902217281479599</v>
      </c>
      <c r="P185" s="48">
        <f t="shared" si="63"/>
        <v>2.6902217281479599</v>
      </c>
      <c r="Q185" s="49">
        <v>0.3</v>
      </c>
      <c r="R185" s="49">
        <f t="shared" si="54"/>
        <v>0.30994408182515548</v>
      </c>
      <c r="S185" s="49">
        <v>240800</v>
      </c>
      <c r="T185" s="49">
        <v>242000</v>
      </c>
      <c r="U185" s="49">
        <v>15956260</v>
      </c>
      <c r="V185" s="49">
        <f t="shared" si="55"/>
        <v>27.2347710204326</v>
      </c>
      <c r="W185" s="49">
        <f t="shared" si="64"/>
        <v>27.2347710204326</v>
      </c>
      <c r="X185" s="48">
        <v>0</v>
      </c>
      <c r="Y185" s="48">
        <f t="shared" si="56"/>
        <v>0</v>
      </c>
      <c r="Z185" s="48">
        <v>0</v>
      </c>
      <c r="AA185" s="48">
        <v>0</v>
      </c>
      <c r="AB185" s="48">
        <v>0</v>
      </c>
      <c r="AC185" s="48">
        <f t="shared" si="57"/>
        <v>0</v>
      </c>
      <c r="AD185" s="48">
        <f t="shared" si="65"/>
        <v>0</v>
      </c>
      <c r="AE185" s="49">
        <v>0</v>
      </c>
      <c r="AF185" s="49">
        <f t="shared" si="58"/>
        <v>0</v>
      </c>
      <c r="AG185" s="49">
        <v>0</v>
      </c>
      <c r="AH185" s="49">
        <v>0</v>
      </c>
      <c r="AI185" s="49">
        <v>0</v>
      </c>
      <c r="AJ185" s="49">
        <f t="shared" si="59"/>
        <v>0</v>
      </c>
      <c r="AK185" s="49">
        <f t="shared" si="66"/>
        <v>0</v>
      </c>
      <c r="AL185" s="82">
        <f t="shared" si="67"/>
        <v>0</v>
      </c>
      <c r="AM185" s="82">
        <f t="shared" si="68"/>
        <v>291304837464665.44</v>
      </c>
      <c r="AN185" s="81">
        <f t="shared" si="60"/>
        <v>339302336543426</v>
      </c>
      <c r="AO185" s="80">
        <f t="shared" si="46"/>
        <v>1164.7672572021143</v>
      </c>
      <c r="AP185" s="52">
        <f t="shared" si="61"/>
        <v>-4.2782716378924734E-3</v>
      </c>
      <c r="AQ185" s="48">
        <f t="shared" si="47"/>
        <v>-2.1528525296017221E-3</v>
      </c>
      <c r="AR185" s="48">
        <f t="shared" si="48"/>
        <v>-1.6835016835016835E-2</v>
      </c>
      <c r="AS185" s="48">
        <f t="shared" si="49"/>
        <v>4.9833887043189366E-3</v>
      </c>
      <c r="AT185" s="48" t="e">
        <f>(#REF!-#REF!)/#REF!</f>
        <v>#REF!</v>
      </c>
    </row>
    <row r="186" spans="1:46" x14ac:dyDescent="0.3">
      <c r="A186" s="48">
        <v>20181002</v>
      </c>
      <c r="B186" s="48" t="s">
        <v>88</v>
      </c>
      <c r="C186" s="79">
        <v>0.4</v>
      </c>
      <c r="D186" s="79">
        <f t="shared" si="50"/>
        <v>0.40138174843226704</v>
      </c>
      <c r="E186" s="49">
        <v>46350</v>
      </c>
      <c r="F186" s="49">
        <v>45700</v>
      </c>
      <c r="G186" s="49">
        <v>6419324700</v>
      </c>
      <c r="H186" s="49">
        <f t="shared" si="51"/>
        <v>0.45585619760779</v>
      </c>
      <c r="I186" s="49">
        <f t="shared" si="62"/>
        <v>0.45585619760779</v>
      </c>
      <c r="J186" s="48">
        <v>0.3</v>
      </c>
      <c r="K186" s="48">
        <f t="shared" si="52"/>
        <v>0.29210665661120105</v>
      </c>
      <c r="L186" s="48">
        <v>292000</v>
      </c>
      <c r="M186" s="48">
        <v>288500</v>
      </c>
      <c r="N186" s="51">
        <v>125395903</v>
      </c>
      <c r="O186" s="48">
        <f t="shared" si="53"/>
        <v>2.6902217281479599</v>
      </c>
      <c r="P186" s="48">
        <f t="shared" si="63"/>
        <v>2.6902217281479599</v>
      </c>
      <c r="Q186" s="49">
        <v>0.3</v>
      </c>
      <c r="R186" s="49">
        <f t="shared" si="54"/>
        <v>0.30651159495653191</v>
      </c>
      <c r="S186" s="49">
        <v>242000</v>
      </c>
      <c r="T186" s="49">
        <v>235000</v>
      </c>
      <c r="U186" s="49">
        <v>15956260</v>
      </c>
      <c r="V186" s="49">
        <f t="shared" si="55"/>
        <v>27.2347710204326</v>
      </c>
      <c r="W186" s="49">
        <f t="shared" si="64"/>
        <v>27.2347710204326</v>
      </c>
      <c r="X186" s="48">
        <v>0</v>
      </c>
      <c r="Y186" s="48">
        <f t="shared" si="56"/>
        <v>0</v>
      </c>
      <c r="Z186" s="48">
        <v>0</v>
      </c>
      <c r="AA186" s="48">
        <v>0</v>
      </c>
      <c r="AB186" s="48">
        <v>0</v>
      </c>
      <c r="AC186" s="48">
        <f t="shared" si="57"/>
        <v>0</v>
      </c>
      <c r="AD186" s="48">
        <f t="shared" si="65"/>
        <v>0</v>
      </c>
      <c r="AE186" s="49">
        <v>0</v>
      </c>
      <c r="AF186" s="49">
        <f t="shared" si="58"/>
        <v>0</v>
      </c>
      <c r="AG186" s="49">
        <v>0</v>
      </c>
      <c r="AH186" s="49">
        <v>0</v>
      </c>
      <c r="AI186" s="49">
        <v>0</v>
      </c>
      <c r="AJ186" s="49">
        <f t="shared" si="59"/>
        <v>0</v>
      </c>
      <c r="AK186" s="49">
        <f t="shared" si="66"/>
        <v>0</v>
      </c>
      <c r="AL186" s="82">
        <f t="shared" si="67"/>
        <v>0</v>
      </c>
      <c r="AM186" s="82">
        <f t="shared" si="68"/>
        <v>291304837464665.44</v>
      </c>
      <c r="AN186" s="81">
        <f t="shared" si="60"/>
        <v>333177593374460.25</v>
      </c>
      <c r="AO186" s="80">
        <f t="shared" si="46"/>
        <v>1143.7420547980905</v>
      </c>
      <c r="AP186" s="52">
        <f t="shared" si="61"/>
        <v>-1.8050990250643151E-2</v>
      </c>
      <c r="AQ186" s="48">
        <f t="shared" si="47"/>
        <v>-1.4023732470334413E-2</v>
      </c>
      <c r="AR186" s="48">
        <f t="shared" si="48"/>
        <v>-1.1986301369863013E-2</v>
      </c>
      <c r="AS186" s="48">
        <f t="shared" si="49"/>
        <v>-2.8925619834710745E-2</v>
      </c>
      <c r="AT186" s="48" t="e">
        <f>(#REF!-#REF!)/#REF!</f>
        <v>#REF!</v>
      </c>
    </row>
    <row r="187" spans="1:46" x14ac:dyDescent="0.3">
      <c r="A187" s="48">
        <v>20181004</v>
      </c>
      <c r="B187" s="48" t="s">
        <v>88</v>
      </c>
      <c r="C187" s="79">
        <v>0.4</v>
      </c>
      <c r="D187" s="79">
        <f t="shared" si="50"/>
        <v>0.39699035397507132</v>
      </c>
      <c r="E187" s="49">
        <v>45700</v>
      </c>
      <c r="F187" s="49">
        <v>44700</v>
      </c>
      <c r="G187" s="49">
        <v>6419324700</v>
      </c>
      <c r="H187" s="49">
        <f t="shared" si="51"/>
        <v>0.45585619760779</v>
      </c>
      <c r="I187" s="49">
        <f t="shared" si="62"/>
        <v>0.45585619760779</v>
      </c>
      <c r="J187" s="48">
        <v>0.3</v>
      </c>
      <c r="K187" s="48">
        <f t="shared" si="52"/>
        <v>0.29742179072776309</v>
      </c>
      <c r="L187" s="48">
        <v>288500</v>
      </c>
      <c r="M187" s="48">
        <v>290500</v>
      </c>
      <c r="N187" s="51">
        <v>125395903</v>
      </c>
      <c r="O187" s="48">
        <f t="shared" si="53"/>
        <v>2.6902217281479599</v>
      </c>
      <c r="P187" s="48">
        <f t="shared" si="63"/>
        <v>2.6902217281479599</v>
      </c>
      <c r="Q187" s="49">
        <v>0.3</v>
      </c>
      <c r="R187" s="49">
        <f t="shared" si="54"/>
        <v>0.30558785529716564</v>
      </c>
      <c r="S187" s="49">
        <v>235000</v>
      </c>
      <c r="T187" s="49">
        <v>231700</v>
      </c>
      <c r="U187" s="49">
        <v>15956260</v>
      </c>
      <c r="V187" s="49">
        <f t="shared" si="55"/>
        <v>27.2347710204326</v>
      </c>
      <c r="W187" s="49">
        <f t="shared" si="64"/>
        <v>27.2347710204326</v>
      </c>
      <c r="X187" s="48">
        <v>0</v>
      </c>
      <c r="Y187" s="48">
        <f t="shared" si="56"/>
        <v>0</v>
      </c>
      <c r="Z187" s="48">
        <v>0</v>
      </c>
      <c r="AA187" s="48">
        <v>0</v>
      </c>
      <c r="AB187" s="48">
        <v>0</v>
      </c>
      <c r="AC187" s="48">
        <f t="shared" si="57"/>
        <v>0</v>
      </c>
      <c r="AD187" s="48">
        <f t="shared" si="65"/>
        <v>0</v>
      </c>
      <c r="AE187" s="49">
        <v>0</v>
      </c>
      <c r="AF187" s="49">
        <f t="shared" si="58"/>
        <v>0</v>
      </c>
      <c r="AG187" s="49">
        <v>0</v>
      </c>
      <c r="AH187" s="49">
        <v>0</v>
      </c>
      <c r="AI187" s="49">
        <v>0</v>
      </c>
      <c r="AJ187" s="49">
        <f t="shared" si="59"/>
        <v>0</v>
      </c>
      <c r="AK187" s="49">
        <f t="shared" si="66"/>
        <v>0</v>
      </c>
      <c r="AL187" s="82">
        <f t="shared" si="67"/>
        <v>0</v>
      </c>
      <c r="AM187" s="82">
        <f t="shared" si="68"/>
        <v>291304837464665.44</v>
      </c>
      <c r="AN187" s="81">
        <f t="shared" si="60"/>
        <v>329491925202690.94</v>
      </c>
      <c r="AO187" s="80">
        <f t="shared" si="46"/>
        <v>1131.089782340664</v>
      </c>
      <c r="AP187" s="52">
        <f t="shared" si="61"/>
        <v>-1.1062172982403879E-2</v>
      </c>
      <c r="AQ187" s="48">
        <f t="shared" si="47"/>
        <v>-2.1881838074398249E-2</v>
      </c>
      <c r="AR187" s="48">
        <f t="shared" si="48"/>
        <v>6.9324090121317154E-3</v>
      </c>
      <c r="AS187" s="48">
        <f t="shared" si="49"/>
        <v>-1.4042553191489362E-2</v>
      </c>
      <c r="AT187" s="48" t="e">
        <f>(#REF!-#REF!)/#REF!</f>
        <v>#REF!</v>
      </c>
    </row>
    <row r="188" spans="1:46" x14ac:dyDescent="0.3">
      <c r="A188" s="48">
        <v>20181005</v>
      </c>
      <c r="B188" s="48" t="s">
        <v>88</v>
      </c>
      <c r="C188" s="79">
        <v>0.4</v>
      </c>
      <c r="D188" s="79">
        <f t="shared" si="50"/>
        <v>0.40340927765784174</v>
      </c>
      <c r="E188" s="49">
        <v>44700</v>
      </c>
      <c r="F188" s="49">
        <v>44700</v>
      </c>
      <c r="G188" s="49">
        <v>6419324700</v>
      </c>
      <c r="H188" s="49">
        <f t="shared" si="51"/>
        <v>0.45585619760779</v>
      </c>
      <c r="I188" s="49">
        <f t="shared" si="62"/>
        <v>0.45585619760779</v>
      </c>
      <c r="J188" s="48">
        <v>0.3</v>
      </c>
      <c r="K188" s="48">
        <f t="shared" si="52"/>
        <v>0.30067022157554307</v>
      </c>
      <c r="L188" s="48">
        <v>290500</v>
      </c>
      <c r="M188" s="48">
        <v>289000</v>
      </c>
      <c r="N188" s="51">
        <v>125395903</v>
      </c>
      <c r="O188" s="48">
        <f t="shared" si="53"/>
        <v>2.6902217281479599</v>
      </c>
      <c r="P188" s="48">
        <f t="shared" si="63"/>
        <v>2.6902217281479599</v>
      </c>
      <c r="Q188" s="49">
        <v>0.3</v>
      </c>
      <c r="R188" s="49">
        <f t="shared" si="54"/>
        <v>0.2959205007666153</v>
      </c>
      <c r="S188" s="49">
        <v>231700</v>
      </c>
      <c r="T188" s="49">
        <v>220800</v>
      </c>
      <c r="U188" s="49">
        <v>15956260</v>
      </c>
      <c r="V188" s="49">
        <f t="shared" si="55"/>
        <v>27.2347710204326</v>
      </c>
      <c r="W188" s="49">
        <f t="shared" si="64"/>
        <v>27.2347710204326</v>
      </c>
      <c r="X188" s="48">
        <v>0</v>
      </c>
      <c r="Y188" s="48">
        <f t="shared" si="56"/>
        <v>0</v>
      </c>
      <c r="Z188" s="48">
        <v>0</v>
      </c>
      <c r="AA188" s="48">
        <v>0</v>
      </c>
      <c r="AB188" s="48">
        <v>0</v>
      </c>
      <c r="AC188" s="48">
        <f t="shared" si="57"/>
        <v>0</v>
      </c>
      <c r="AD188" s="48">
        <f t="shared" si="65"/>
        <v>0</v>
      </c>
      <c r="AE188" s="49">
        <v>0</v>
      </c>
      <c r="AF188" s="49">
        <f t="shared" si="58"/>
        <v>0</v>
      </c>
      <c r="AG188" s="49">
        <v>0</v>
      </c>
      <c r="AH188" s="49">
        <v>0</v>
      </c>
      <c r="AI188" s="49">
        <v>0</v>
      </c>
      <c r="AJ188" s="49">
        <f t="shared" si="59"/>
        <v>0</v>
      </c>
      <c r="AK188" s="49">
        <f t="shared" si="66"/>
        <v>0</v>
      </c>
      <c r="AL188" s="82">
        <f t="shared" si="67"/>
        <v>0</v>
      </c>
      <c r="AM188" s="82">
        <f t="shared" si="68"/>
        <v>291304837464665.44</v>
      </c>
      <c r="AN188" s="81">
        <f t="shared" si="60"/>
        <v>324249151575260.81</v>
      </c>
      <c r="AO188" s="80">
        <f t="shared" si="46"/>
        <v>1113.0922314827383</v>
      </c>
      <c r="AP188" s="52">
        <f t="shared" si="61"/>
        <v>-1.5911690777262434E-2</v>
      </c>
      <c r="AQ188" s="48">
        <f t="shared" si="47"/>
        <v>0</v>
      </c>
      <c r="AR188" s="48">
        <f t="shared" si="48"/>
        <v>-5.1635111876075735E-3</v>
      </c>
      <c r="AS188" s="48">
        <f t="shared" si="49"/>
        <v>-4.7043590850237377E-2</v>
      </c>
      <c r="AT188" s="48" t="e">
        <f>(#REF!-#REF!)/#REF!</f>
        <v>#REF!</v>
      </c>
    </row>
    <row r="189" spans="1:46" x14ac:dyDescent="0.3">
      <c r="A189" s="48">
        <v>20181008</v>
      </c>
      <c r="B189" s="48" t="s">
        <v>88</v>
      </c>
      <c r="C189" s="79">
        <v>0.4</v>
      </c>
      <c r="D189" s="79">
        <f t="shared" si="50"/>
        <v>0.40612283262401105</v>
      </c>
      <c r="E189" s="49">
        <v>44700</v>
      </c>
      <c r="F189" s="49">
        <v>44950</v>
      </c>
      <c r="G189" s="49">
        <v>6419324700</v>
      </c>
      <c r="H189" s="49">
        <f t="shared" si="51"/>
        <v>0.45585619760779</v>
      </c>
      <c r="I189" s="49">
        <f t="shared" si="62"/>
        <v>0.45585619760779</v>
      </c>
      <c r="J189" s="48">
        <v>0.3</v>
      </c>
      <c r="K189" s="48">
        <f t="shared" si="52"/>
        <v>0.3020507542420699</v>
      </c>
      <c r="L189" s="48">
        <v>289000</v>
      </c>
      <c r="M189" s="48">
        <v>290000</v>
      </c>
      <c r="N189" s="51">
        <v>125395903</v>
      </c>
      <c r="O189" s="48">
        <f t="shared" si="53"/>
        <v>2.6902217281479599</v>
      </c>
      <c r="P189" s="48">
        <f t="shared" si="63"/>
        <v>2.6902217281479599</v>
      </c>
      <c r="Q189" s="49">
        <v>0.3</v>
      </c>
      <c r="R189" s="49">
        <f t="shared" si="54"/>
        <v>0.29182641313391916</v>
      </c>
      <c r="S189" s="49">
        <v>220800</v>
      </c>
      <c r="T189" s="49">
        <v>217500</v>
      </c>
      <c r="U189" s="49">
        <v>15956260</v>
      </c>
      <c r="V189" s="49">
        <f t="shared" si="55"/>
        <v>27.2347710204326</v>
      </c>
      <c r="W189" s="49">
        <f t="shared" si="64"/>
        <v>27.2347710204326</v>
      </c>
      <c r="X189" s="48">
        <v>0</v>
      </c>
      <c r="Y189" s="48">
        <f t="shared" si="56"/>
        <v>0</v>
      </c>
      <c r="Z189" s="48">
        <v>0</v>
      </c>
      <c r="AA189" s="48">
        <v>0</v>
      </c>
      <c r="AB189" s="48">
        <v>0</v>
      </c>
      <c r="AC189" s="48">
        <f t="shared" si="57"/>
        <v>0</v>
      </c>
      <c r="AD189" s="48">
        <f t="shared" si="65"/>
        <v>0</v>
      </c>
      <c r="AE189" s="49">
        <v>0</v>
      </c>
      <c r="AF189" s="49">
        <f t="shared" si="58"/>
        <v>0</v>
      </c>
      <c r="AG189" s="49">
        <v>0</v>
      </c>
      <c r="AH189" s="49">
        <v>0</v>
      </c>
      <c r="AI189" s="49">
        <v>0</v>
      </c>
      <c r="AJ189" s="49">
        <f t="shared" si="59"/>
        <v>0</v>
      </c>
      <c r="AK189" s="49">
        <f t="shared" si="66"/>
        <v>0</v>
      </c>
      <c r="AL189" s="82">
        <f t="shared" si="67"/>
        <v>0</v>
      </c>
      <c r="AM189" s="82">
        <f t="shared" si="68"/>
        <v>291304837464665.44</v>
      </c>
      <c r="AN189" s="81">
        <f t="shared" si="60"/>
        <v>323884001806809.87</v>
      </c>
      <c r="AO189" s="80">
        <f t="shared" si="46"/>
        <v>1111.8387343845473</v>
      </c>
      <c r="AP189" s="52">
        <f t="shared" si="61"/>
        <v>-1.1261394723070244E-3</v>
      </c>
      <c r="AQ189" s="48">
        <f t="shared" si="47"/>
        <v>5.5928411633109623E-3</v>
      </c>
      <c r="AR189" s="48">
        <f t="shared" si="48"/>
        <v>3.4602076124567475E-3</v>
      </c>
      <c r="AS189" s="48">
        <f t="shared" si="49"/>
        <v>-1.4945652173913044E-2</v>
      </c>
      <c r="AT189" s="48" t="e">
        <f>(#REF!-#REF!)/#REF!</f>
        <v>#REF!</v>
      </c>
    </row>
    <row r="190" spans="1:46" x14ac:dyDescent="0.3">
      <c r="A190" s="48">
        <v>20181010</v>
      </c>
      <c r="B190" s="48" t="s">
        <v>88</v>
      </c>
      <c r="C190" s="79">
        <v>0.4</v>
      </c>
      <c r="D190" s="79">
        <f t="shared" si="50"/>
        <v>0.40838651963117872</v>
      </c>
      <c r="E190" s="49">
        <v>44950</v>
      </c>
      <c r="F190" s="49">
        <v>45300</v>
      </c>
      <c r="G190" s="49">
        <v>6419324700</v>
      </c>
      <c r="H190" s="49">
        <f t="shared" si="51"/>
        <v>0.45585619760779</v>
      </c>
      <c r="I190" s="49">
        <f t="shared" si="62"/>
        <v>0.45585619760779</v>
      </c>
      <c r="J190" s="48">
        <v>0.3</v>
      </c>
      <c r="K190" s="48">
        <f t="shared" si="52"/>
        <v>0.29775018393781244</v>
      </c>
      <c r="L190" s="48">
        <v>290000</v>
      </c>
      <c r="M190" s="48">
        <v>286500</v>
      </c>
      <c r="N190" s="51">
        <v>125395903</v>
      </c>
      <c r="O190" s="48">
        <f t="shared" si="53"/>
        <v>2.6902217281479599</v>
      </c>
      <c r="P190" s="48">
        <f t="shared" si="63"/>
        <v>2.6902217281479599</v>
      </c>
      <c r="Q190" s="49">
        <v>0.3</v>
      </c>
      <c r="R190" s="49">
        <f t="shared" si="54"/>
        <v>0.29386329643100872</v>
      </c>
      <c r="S190" s="49">
        <v>217500</v>
      </c>
      <c r="T190" s="49">
        <v>219500</v>
      </c>
      <c r="U190" s="49">
        <v>15956260</v>
      </c>
      <c r="V190" s="49">
        <f t="shared" si="55"/>
        <v>27.2347710204326</v>
      </c>
      <c r="W190" s="49">
        <f t="shared" si="64"/>
        <v>27.2347710204326</v>
      </c>
      <c r="X190" s="48">
        <v>0</v>
      </c>
      <c r="Y190" s="48">
        <f t="shared" si="56"/>
        <v>0</v>
      </c>
      <c r="Z190" s="48">
        <v>0</v>
      </c>
      <c r="AA190" s="48">
        <v>0</v>
      </c>
      <c r="AB190" s="48">
        <v>0</v>
      </c>
      <c r="AC190" s="48">
        <f t="shared" si="57"/>
        <v>0</v>
      </c>
      <c r="AD190" s="48">
        <f t="shared" si="65"/>
        <v>0</v>
      </c>
      <c r="AE190" s="49">
        <v>0</v>
      </c>
      <c r="AF190" s="49">
        <f t="shared" si="58"/>
        <v>0</v>
      </c>
      <c r="AG190" s="49">
        <v>0</v>
      </c>
      <c r="AH190" s="49">
        <v>0</v>
      </c>
      <c r="AI190" s="49">
        <v>0</v>
      </c>
      <c r="AJ190" s="49">
        <f t="shared" si="59"/>
        <v>0</v>
      </c>
      <c r="AK190" s="49">
        <f t="shared" si="66"/>
        <v>0</v>
      </c>
      <c r="AL190" s="82">
        <f t="shared" si="67"/>
        <v>0</v>
      </c>
      <c r="AM190" s="82">
        <f t="shared" si="68"/>
        <v>291304837464665.44</v>
      </c>
      <c r="AN190" s="81">
        <f t="shared" si="60"/>
        <v>324596633373778.37</v>
      </c>
      <c r="AO190" s="80">
        <f t="shared" si="46"/>
        <v>1114.2850774428048</v>
      </c>
      <c r="AP190" s="52">
        <f t="shared" si="61"/>
        <v>2.2002678829243041E-3</v>
      </c>
      <c r="AQ190" s="48">
        <f t="shared" si="47"/>
        <v>7.7864293659621799E-3</v>
      </c>
      <c r="AR190" s="48">
        <f t="shared" si="48"/>
        <v>-1.2068965517241379E-2</v>
      </c>
      <c r="AS190" s="48">
        <f t="shared" si="49"/>
        <v>9.1954022988505746E-3</v>
      </c>
      <c r="AT190" s="48" t="e">
        <f>(#REF!-#REF!)/#REF!</f>
        <v>#REF!</v>
      </c>
    </row>
    <row r="191" spans="1:46" x14ac:dyDescent="0.3">
      <c r="A191" s="48">
        <v>20181011</v>
      </c>
      <c r="B191" s="48" t="s">
        <v>88</v>
      </c>
      <c r="C191" s="79">
        <v>0.4</v>
      </c>
      <c r="D191" s="79">
        <f t="shared" si="50"/>
        <v>0.40757389827857499</v>
      </c>
      <c r="E191" s="49">
        <v>45300</v>
      </c>
      <c r="F191" s="49">
        <v>43100</v>
      </c>
      <c r="G191" s="49">
        <v>6419324700</v>
      </c>
      <c r="H191" s="49">
        <f t="shared" si="51"/>
        <v>0.45585619760779</v>
      </c>
      <c r="I191" s="49">
        <f t="shared" si="62"/>
        <v>0.45585619760779</v>
      </c>
      <c r="J191" s="48">
        <v>0.3</v>
      </c>
      <c r="K191" s="48">
        <f t="shared" si="52"/>
        <v>0.2959737145884917</v>
      </c>
      <c r="L191" s="48">
        <v>286500</v>
      </c>
      <c r="M191" s="48">
        <v>271500</v>
      </c>
      <c r="N191" s="51">
        <v>125395903</v>
      </c>
      <c r="O191" s="48">
        <f t="shared" si="53"/>
        <v>2.6902217281479599</v>
      </c>
      <c r="P191" s="48">
        <f t="shared" si="63"/>
        <v>2.6902217281479599</v>
      </c>
      <c r="Q191" s="49">
        <v>0.3</v>
      </c>
      <c r="R191" s="49">
        <f t="shared" si="54"/>
        <v>0.29645238713293343</v>
      </c>
      <c r="S191" s="49">
        <v>219500</v>
      </c>
      <c r="T191" s="49">
        <v>211100</v>
      </c>
      <c r="U191" s="49">
        <v>15956260</v>
      </c>
      <c r="V191" s="49">
        <f t="shared" si="55"/>
        <v>27.2347710204326</v>
      </c>
      <c r="W191" s="49">
        <f t="shared" si="64"/>
        <v>27.2347710204326</v>
      </c>
      <c r="X191" s="48">
        <v>0</v>
      </c>
      <c r="Y191" s="48">
        <f t="shared" si="56"/>
        <v>0</v>
      </c>
      <c r="Z191" s="48">
        <v>0</v>
      </c>
      <c r="AA191" s="48">
        <v>0</v>
      </c>
      <c r="AB191" s="48">
        <v>0</v>
      </c>
      <c r="AC191" s="48">
        <f t="shared" si="57"/>
        <v>0</v>
      </c>
      <c r="AD191" s="48">
        <f t="shared" si="65"/>
        <v>0</v>
      </c>
      <c r="AE191" s="49">
        <v>0</v>
      </c>
      <c r="AF191" s="49">
        <f t="shared" si="58"/>
        <v>0</v>
      </c>
      <c r="AG191" s="49">
        <v>0</v>
      </c>
      <c r="AH191" s="49">
        <v>0</v>
      </c>
      <c r="AI191" s="49">
        <v>0</v>
      </c>
      <c r="AJ191" s="49">
        <f t="shared" si="59"/>
        <v>0</v>
      </c>
      <c r="AK191" s="49">
        <f t="shared" si="66"/>
        <v>0</v>
      </c>
      <c r="AL191" s="82">
        <f t="shared" si="67"/>
        <v>0</v>
      </c>
      <c r="AM191" s="82">
        <f t="shared" si="68"/>
        <v>291304837464665.44</v>
      </c>
      <c r="AN191" s="81">
        <f t="shared" si="60"/>
        <v>309448309208497.5</v>
      </c>
      <c r="AO191" s="80">
        <f t="shared" si="46"/>
        <v>1062.2834550285586</v>
      </c>
      <c r="AP191" s="52">
        <f t="shared" si="61"/>
        <v>-4.6668149351497872E-2</v>
      </c>
      <c r="AQ191" s="48">
        <f t="shared" si="47"/>
        <v>-4.856512141280353E-2</v>
      </c>
      <c r="AR191" s="48">
        <f t="shared" si="48"/>
        <v>-5.2356020942408377E-2</v>
      </c>
      <c r="AS191" s="48">
        <f t="shared" si="49"/>
        <v>-3.826879271070615E-2</v>
      </c>
      <c r="AT191" s="48" t="e">
        <f>(#REF!-#REF!)/#REF!</f>
        <v>#REF!</v>
      </c>
    </row>
    <row r="192" spans="1:46" x14ac:dyDescent="0.3">
      <c r="A192" s="48">
        <v>20181012</v>
      </c>
      <c r="B192" s="48" t="s">
        <v>88</v>
      </c>
      <c r="C192" s="79">
        <v>0.4</v>
      </c>
      <c r="D192" s="79">
        <f t="shared" si="50"/>
        <v>0.40500018045790581</v>
      </c>
      <c r="E192" s="49">
        <v>43100</v>
      </c>
      <c r="F192" s="49">
        <v>44000</v>
      </c>
      <c r="G192" s="49">
        <v>6419324700</v>
      </c>
      <c r="H192" s="49">
        <f t="shared" si="51"/>
        <v>0.45585619760779</v>
      </c>
      <c r="I192" s="49">
        <f t="shared" si="62"/>
        <v>0.45585619760779</v>
      </c>
      <c r="J192" s="48">
        <v>0.3</v>
      </c>
      <c r="K192" s="48">
        <f t="shared" si="52"/>
        <v>0.29127224628426912</v>
      </c>
      <c r="L192" s="48">
        <v>271500</v>
      </c>
      <c r="M192" s="48">
        <v>274500</v>
      </c>
      <c r="N192" s="51">
        <v>125395903</v>
      </c>
      <c r="O192" s="48">
        <f t="shared" si="53"/>
        <v>2.6902217281479599</v>
      </c>
      <c r="P192" s="48">
        <f t="shared" si="63"/>
        <v>2.6902217281479599</v>
      </c>
      <c r="Q192" s="49">
        <v>0.3</v>
      </c>
      <c r="R192" s="49">
        <f t="shared" si="54"/>
        <v>0.30372757325782507</v>
      </c>
      <c r="S192" s="49">
        <v>211100</v>
      </c>
      <c r="T192" s="49">
        <v>222200</v>
      </c>
      <c r="U192" s="49">
        <v>15956260</v>
      </c>
      <c r="V192" s="49">
        <f t="shared" si="55"/>
        <v>27.2347710204326</v>
      </c>
      <c r="W192" s="49">
        <f t="shared" si="64"/>
        <v>27.2347710204326</v>
      </c>
      <c r="X192" s="48">
        <v>0</v>
      </c>
      <c r="Y192" s="48">
        <f t="shared" si="56"/>
        <v>0</v>
      </c>
      <c r="Z192" s="48">
        <v>0</v>
      </c>
      <c r="AA192" s="48">
        <v>0</v>
      </c>
      <c r="AB192" s="48">
        <v>0</v>
      </c>
      <c r="AC192" s="48">
        <f t="shared" si="57"/>
        <v>0</v>
      </c>
      <c r="AD192" s="48">
        <f t="shared" si="65"/>
        <v>0</v>
      </c>
      <c r="AE192" s="49">
        <v>0</v>
      </c>
      <c r="AF192" s="49">
        <f t="shared" si="58"/>
        <v>0</v>
      </c>
      <c r="AG192" s="49">
        <v>0</v>
      </c>
      <c r="AH192" s="49">
        <v>0</v>
      </c>
      <c r="AI192" s="49">
        <v>0</v>
      </c>
      <c r="AJ192" s="49">
        <f t="shared" si="59"/>
        <v>0</v>
      </c>
      <c r="AK192" s="49">
        <f t="shared" si="66"/>
        <v>0</v>
      </c>
      <c r="AL192" s="82">
        <f t="shared" si="67"/>
        <v>0</v>
      </c>
      <c r="AM192" s="82">
        <f t="shared" si="68"/>
        <v>291304837464665.44</v>
      </c>
      <c r="AN192" s="81">
        <f t="shared" si="60"/>
        <v>317917670081779.75</v>
      </c>
      <c r="AO192" s="80">
        <f t="shared" si="46"/>
        <v>1091.3573315456608</v>
      </c>
      <c r="AP192" s="52">
        <f t="shared" si="61"/>
        <v>2.7369226527509654E-2</v>
      </c>
      <c r="AQ192" s="48">
        <f t="shared" si="47"/>
        <v>2.0881670533642691E-2</v>
      </c>
      <c r="AR192" s="48">
        <f t="shared" si="48"/>
        <v>1.1049723756906077E-2</v>
      </c>
      <c r="AS192" s="48">
        <f t="shared" si="49"/>
        <v>5.2581714827096164E-2</v>
      </c>
      <c r="AT192" s="48" t="e">
        <f>(#REF!-#REF!)/#REF!</f>
        <v>#REF!</v>
      </c>
    </row>
    <row r="193" spans="1:46" x14ac:dyDescent="0.3">
      <c r="A193" s="48">
        <v>20181015</v>
      </c>
      <c r="B193" s="48" t="s">
        <v>88</v>
      </c>
      <c r="C193" s="79">
        <v>0.4</v>
      </c>
      <c r="D193" s="79">
        <f t="shared" si="50"/>
        <v>0.41662093253412885</v>
      </c>
      <c r="E193" s="49">
        <v>44000</v>
      </c>
      <c r="F193" s="49">
        <v>43800</v>
      </c>
      <c r="G193" s="49">
        <v>6419324700</v>
      </c>
      <c r="H193" s="49">
        <f t="shared" si="51"/>
        <v>0.45585619760779</v>
      </c>
      <c r="I193" s="49">
        <f t="shared" si="62"/>
        <v>0.45585619760779</v>
      </c>
      <c r="J193" s="48">
        <v>0.3</v>
      </c>
      <c r="K193" s="48">
        <f t="shared" si="52"/>
        <v>0.28674304012889118</v>
      </c>
      <c r="L193" s="48">
        <v>274500</v>
      </c>
      <c r="M193" s="48">
        <v>261500</v>
      </c>
      <c r="N193" s="51">
        <v>125395903</v>
      </c>
      <c r="O193" s="48">
        <f t="shared" si="53"/>
        <v>2.6902217281479599</v>
      </c>
      <c r="P193" s="48">
        <f t="shared" si="63"/>
        <v>2.6902217281479599</v>
      </c>
      <c r="Q193" s="49">
        <v>0.3</v>
      </c>
      <c r="R193" s="49">
        <f t="shared" si="54"/>
        <v>0.29663602733697997</v>
      </c>
      <c r="S193" s="49">
        <v>222200</v>
      </c>
      <c r="T193" s="49">
        <v>210000</v>
      </c>
      <c r="U193" s="49">
        <v>15956260</v>
      </c>
      <c r="V193" s="49">
        <f t="shared" si="55"/>
        <v>27.2347710204326</v>
      </c>
      <c r="W193" s="49">
        <f t="shared" si="64"/>
        <v>27.2347710204326</v>
      </c>
      <c r="X193" s="48">
        <v>0</v>
      </c>
      <c r="Y193" s="48">
        <f t="shared" si="56"/>
        <v>0</v>
      </c>
      <c r="Z193" s="48">
        <v>0</v>
      </c>
      <c r="AA193" s="48">
        <v>0</v>
      </c>
      <c r="AB193" s="48">
        <v>0</v>
      </c>
      <c r="AC193" s="48">
        <f t="shared" si="57"/>
        <v>0</v>
      </c>
      <c r="AD193" s="48">
        <f t="shared" si="65"/>
        <v>0</v>
      </c>
      <c r="AE193" s="49">
        <v>0</v>
      </c>
      <c r="AF193" s="49">
        <f t="shared" si="58"/>
        <v>0</v>
      </c>
      <c r="AG193" s="49">
        <v>0</v>
      </c>
      <c r="AH193" s="49">
        <v>0</v>
      </c>
      <c r="AI193" s="49">
        <v>0</v>
      </c>
      <c r="AJ193" s="49">
        <f t="shared" si="59"/>
        <v>0</v>
      </c>
      <c r="AK193" s="49">
        <f t="shared" si="66"/>
        <v>0</v>
      </c>
      <c r="AL193" s="82">
        <f t="shared" si="67"/>
        <v>0</v>
      </c>
      <c r="AM193" s="82">
        <f t="shared" si="68"/>
        <v>291304837464665.44</v>
      </c>
      <c r="AN193" s="81">
        <f t="shared" si="60"/>
        <v>307645262047863.69</v>
      </c>
      <c r="AO193" s="80">
        <f t="shared" si="46"/>
        <v>1056.0939005524763</v>
      </c>
      <c r="AP193" s="52">
        <f t="shared" si="61"/>
        <v>-3.2311535345844869E-2</v>
      </c>
      <c r="AQ193" s="48">
        <f t="shared" si="47"/>
        <v>-4.5454545454545452E-3</v>
      </c>
      <c r="AR193" s="48">
        <f t="shared" si="48"/>
        <v>-4.7358834244080147E-2</v>
      </c>
      <c r="AS193" s="48">
        <f t="shared" si="49"/>
        <v>-5.4905490549054907E-2</v>
      </c>
      <c r="AT193" s="48" t="e">
        <f>(#REF!-#REF!)/#REF!</f>
        <v>#REF!</v>
      </c>
    </row>
    <row r="194" spans="1:46" x14ac:dyDescent="0.3">
      <c r="A194" s="48">
        <v>20181016</v>
      </c>
      <c r="B194" s="48" t="s">
        <v>88</v>
      </c>
      <c r="C194" s="79">
        <v>0.4</v>
      </c>
      <c r="D194" s="79">
        <f t="shared" si="50"/>
        <v>0.41178614145771769</v>
      </c>
      <c r="E194" s="49">
        <v>43800</v>
      </c>
      <c r="F194" s="49">
        <v>43600</v>
      </c>
      <c r="G194" s="49">
        <v>6419324700</v>
      </c>
      <c r="H194" s="49">
        <f t="shared" si="51"/>
        <v>0.45585619760779</v>
      </c>
      <c r="I194" s="49">
        <f t="shared" si="62"/>
        <v>0.45585619760779</v>
      </c>
      <c r="J194" s="48">
        <v>0.3</v>
      </c>
      <c r="K194" s="48">
        <f t="shared" si="52"/>
        <v>0.28525991245514815</v>
      </c>
      <c r="L194" s="48">
        <v>261500</v>
      </c>
      <c r="M194" s="48">
        <v>262000</v>
      </c>
      <c r="N194" s="51">
        <v>125395903</v>
      </c>
      <c r="O194" s="48">
        <f t="shared" si="53"/>
        <v>2.6902217281479599</v>
      </c>
      <c r="P194" s="48">
        <f t="shared" si="63"/>
        <v>2.6902217281479599</v>
      </c>
      <c r="Q194" s="49">
        <v>0.3</v>
      </c>
      <c r="R194" s="49">
        <f t="shared" si="54"/>
        <v>0.30295394608713411</v>
      </c>
      <c r="S194" s="49">
        <v>210000</v>
      </c>
      <c r="T194" s="49">
        <v>216000</v>
      </c>
      <c r="U194" s="49">
        <v>15956260</v>
      </c>
      <c r="V194" s="49">
        <f t="shared" si="55"/>
        <v>27.2347710204326</v>
      </c>
      <c r="W194" s="49">
        <f t="shared" si="64"/>
        <v>27.2347710204326</v>
      </c>
      <c r="X194" s="48">
        <v>0</v>
      </c>
      <c r="Y194" s="48">
        <f t="shared" si="56"/>
        <v>0</v>
      </c>
      <c r="Z194" s="48">
        <v>0</v>
      </c>
      <c r="AA194" s="48">
        <v>0</v>
      </c>
      <c r="AB194" s="48">
        <v>0</v>
      </c>
      <c r="AC194" s="48">
        <f t="shared" si="57"/>
        <v>0</v>
      </c>
      <c r="AD194" s="48">
        <f t="shared" si="65"/>
        <v>0</v>
      </c>
      <c r="AE194" s="49">
        <v>0</v>
      </c>
      <c r="AF194" s="49">
        <f t="shared" si="58"/>
        <v>0</v>
      </c>
      <c r="AG194" s="49">
        <v>0</v>
      </c>
      <c r="AH194" s="49">
        <v>0</v>
      </c>
      <c r="AI194" s="49">
        <v>0</v>
      </c>
      <c r="AJ194" s="49">
        <f t="shared" si="59"/>
        <v>0</v>
      </c>
      <c r="AK194" s="49">
        <f t="shared" si="66"/>
        <v>0</v>
      </c>
      <c r="AL194" s="82">
        <f t="shared" si="67"/>
        <v>0</v>
      </c>
      <c r="AM194" s="82">
        <f t="shared" si="68"/>
        <v>291304837464665.44</v>
      </c>
      <c r="AN194" s="81">
        <f t="shared" si="60"/>
        <v>309836066174163.94</v>
      </c>
      <c r="AO194" s="80">
        <f t="shared" si="46"/>
        <v>1063.614558792716</v>
      </c>
      <c r="AP194" s="52">
        <f t="shared" si="61"/>
        <v>7.1212022305075897E-3</v>
      </c>
      <c r="AQ194" s="48">
        <f t="shared" si="47"/>
        <v>-4.5662100456621002E-3</v>
      </c>
      <c r="AR194" s="48">
        <f t="shared" si="48"/>
        <v>1.9120458891013384E-3</v>
      </c>
      <c r="AS194" s="48">
        <f t="shared" si="49"/>
        <v>2.8571428571428571E-2</v>
      </c>
      <c r="AT194" s="48" t="e">
        <f>(#REF!-#REF!)/#REF!</f>
        <v>#REF!</v>
      </c>
    </row>
    <row r="195" spans="1:46" x14ac:dyDescent="0.3">
      <c r="A195" s="48">
        <v>20181017</v>
      </c>
      <c r="B195" s="48" t="s">
        <v>88</v>
      </c>
      <c r="C195" s="79">
        <v>0.4</v>
      </c>
      <c r="D195" s="79">
        <f t="shared" si="50"/>
        <v>0.41239929778266127</v>
      </c>
      <c r="E195" s="49">
        <v>43600</v>
      </c>
      <c r="F195" s="49">
        <v>44150</v>
      </c>
      <c r="G195" s="49">
        <v>6419324700</v>
      </c>
      <c r="H195" s="49">
        <f t="shared" si="51"/>
        <v>0.45585619760779</v>
      </c>
      <c r="I195" s="49">
        <f t="shared" si="62"/>
        <v>0.45585619760779</v>
      </c>
      <c r="J195" s="48">
        <v>0.3</v>
      </c>
      <c r="K195" s="48">
        <f t="shared" si="52"/>
        <v>0.28589459883659007</v>
      </c>
      <c r="L195" s="48">
        <v>262000</v>
      </c>
      <c r="M195" s="48">
        <v>265500</v>
      </c>
      <c r="N195" s="51">
        <v>125395903</v>
      </c>
      <c r="O195" s="48">
        <f t="shared" si="53"/>
        <v>2.6902217281479599</v>
      </c>
      <c r="P195" s="48">
        <f t="shared" si="63"/>
        <v>2.6902217281479599</v>
      </c>
      <c r="Q195" s="49">
        <v>0.3</v>
      </c>
      <c r="R195" s="49">
        <f t="shared" si="54"/>
        <v>0.3017061033807486</v>
      </c>
      <c r="S195" s="49">
        <v>216000</v>
      </c>
      <c r="T195" s="49">
        <v>217500</v>
      </c>
      <c r="U195" s="49">
        <v>15956260</v>
      </c>
      <c r="V195" s="49">
        <f t="shared" si="55"/>
        <v>27.2347710204326</v>
      </c>
      <c r="W195" s="49">
        <f t="shared" si="64"/>
        <v>27.2347710204326</v>
      </c>
      <c r="X195" s="48">
        <v>0</v>
      </c>
      <c r="Y195" s="48">
        <f t="shared" si="56"/>
        <v>0</v>
      </c>
      <c r="Z195" s="48">
        <v>0</v>
      </c>
      <c r="AA195" s="48">
        <v>0</v>
      </c>
      <c r="AB195" s="48">
        <v>0</v>
      </c>
      <c r="AC195" s="48">
        <f t="shared" si="57"/>
        <v>0</v>
      </c>
      <c r="AD195" s="48">
        <f t="shared" si="65"/>
        <v>0</v>
      </c>
      <c r="AE195" s="49">
        <v>0</v>
      </c>
      <c r="AF195" s="49">
        <f t="shared" si="58"/>
        <v>0</v>
      </c>
      <c r="AG195" s="49">
        <v>0</v>
      </c>
      <c r="AH195" s="49">
        <v>0</v>
      </c>
      <c r="AI195" s="49">
        <v>0</v>
      </c>
      <c r="AJ195" s="49">
        <f t="shared" si="59"/>
        <v>0</v>
      </c>
      <c r="AK195" s="49">
        <f t="shared" si="66"/>
        <v>0</v>
      </c>
      <c r="AL195" s="82">
        <f t="shared" si="67"/>
        <v>0</v>
      </c>
      <c r="AM195" s="82">
        <f t="shared" si="68"/>
        <v>291304837464665.44</v>
      </c>
      <c r="AN195" s="81">
        <f t="shared" si="60"/>
        <v>313278072467300.81</v>
      </c>
      <c r="AO195" s="80">
        <f t="shared" ref="AO195:AO258" si="69">AN195/AM195*1000</f>
        <v>1075.4303814309321</v>
      </c>
      <c r="AP195" s="52">
        <f t="shared" si="61"/>
        <v>1.1109120818755968E-2</v>
      </c>
      <c r="AQ195" s="48">
        <f t="shared" ref="AQ195:AQ258" si="70">(F195-E195)/E195</f>
        <v>1.261467889908257E-2</v>
      </c>
      <c r="AR195" s="48">
        <f t="shared" ref="AR195:AR258" si="71">(M195-L195)/L195</f>
        <v>1.3358778625954198E-2</v>
      </c>
      <c r="AS195" s="48">
        <f t="shared" ref="AS195:AS258" si="72">(T195-S195)/S195</f>
        <v>6.9444444444444441E-3</v>
      </c>
      <c r="AT195" s="48" t="e">
        <f>(#REF!-#REF!)/#REF!</f>
        <v>#REF!</v>
      </c>
    </row>
    <row r="196" spans="1:46" x14ac:dyDescent="0.3">
      <c r="A196" s="48">
        <v>20181018</v>
      </c>
      <c r="B196" s="48" t="s">
        <v>88</v>
      </c>
      <c r="C196" s="79">
        <v>0.4</v>
      </c>
      <c r="D196" s="79">
        <f t="shared" ref="D196:D259" si="73">F196*G196*I196/AN196</f>
        <v>0.41628973974568168</v>
      </c>
      <c r="E196" s="49">
        <v>44150</v>
      </c>
      <c r="F196" s="49">
        <v>44050</v>
      </c>
      <c r="G196" s="49">
        <v>6419324700</v>
      </c>
      <c r="H196" s="49">
        <f t="shared" ref="H196:H259" si="74">I195</f>
        <v>0.45585619760779</v>
      </c>
      <c r="I196" s="49">
        <f t="shared" si="62"/>
        <v>0.45585619760779</v>
      </c>
      <c r="J196" s="48">
        <v>0.3</v>
      </c>
      <c r="K196" s="48">
        <f t="shared" ref="K196:K259" si="75">M196*N196*P196/AN196</f>
        <v>0.28379957317233129</v>
      </c>
      <c r="L196" s="48">
        <v>265500</v>
      </c>
      <c r="M196" s="48">
        <v>260500</v>
      </c>
      <c r="N196" s="51">
        <v>125395903</v>
      </c>
      <c r="O196" s="48">
        <f t="shared" ref="O196:O259" si="76">P195</f>
        <v>2.6902217281479599</v>
      </c>
      <c r="P196" s="48">
        <f t="shared" si="63"/>
        <v>2.6902217281479599</v>
      </c>
      <c r="Q196" s="49">
        <v>0.3</v>
      </c>
      <c r="R196" s="49">
        <f t="shared" ref="R196:R259" si="77">T196*U196*W196/AN196</f>
        <v>0.29991068708198704</v>
      </c>
      <c r="S196" s="49">
        <v>217500</v>
      </c>
      <c r="T196" s="49">
        <v>213700</v>
      </c>
      <c r="U196" s="49">
        <v>15956260</v>
      </c>
      <c r="V196" s="49">
        <f t="shared" ref="V196:V259" si="78">W195</f>
        <v>27.2347710204326</v>
      </c>
      <c r="W196" s="49">
        <f t="shared" si="64"/>
        <v>27.2347710204326</v>
      </c>
      <c r="X196" s="48">
        <v>0</v>
      </c>
      <c r="Y196" s="48">
        <f t="shared" ref="Y196:Y259" si="79">AA196*AB196*AD196/AN196</f>
        <v>0</v>
      </c>
      <c r="Z196" s="48">
        <v>0</v>
      </c>
      <c r="AA196" s="48">
        <v>0</v>
      </c>
      <c r="AB196" s="48">
        <v>0</v>
      </c>
      <c r="AC196" s="48">
        <f t="shared" ref="AC196:AC259" si="80">AD195</f>
        <v>0</v>
      </c>
      <c r="AD196" s="48">
        <f t="shared" si="65"/>
        <v>0</v>
      </c>
      <c r="AE196" s="49">
        <v>0</v>
      </c>
      <c r="AF196" s="49">
        <f t="shared" ref="AF196:AF259" si="81">AH196*AI196*AK196/AN196</f>
        <v>0</v>
      </c>
      <c r="AG196" s="49">
        <v>0</v>
      </c>
      <c r="AH196" s="49">
        <v>0</v>
      </c>
      <c r="AI196" s="49">
        <v>0</v>
      </c>
      <c r="AJ196" s="49">
        <f t="shared" ref="AJ196:AJ259" si="82">AK195</f>
        <v>0</v>
      </c>
      <c r="AK196" s="49">
        <f t="shared" si="66"/>
        <v>0</v>
      </c>
      <c r="AL196" s="82">
        <f t="shared" si="67"/>
        <v>0</v>
      </c>
      <c r="AM196" s="82">
        <f t="shared" si="68"/>
        <v>291304837464665.44</v>
      </c>
      <c r="AN196" s="81">
        <f t="shared" ref="AN196:AN259" si="83">F196*G196*I196+M196*N196*P196+T196*U196*W196+AA196*AB196*AD196+AH196*AI196*AK196</f>
        <v>309647382325767.5</v>
      </c>
      <c r="AO196" s="80">
        <f t="shared" si="69"/>
        <v>1062.9668392078349</v>
      </c>
      <c r="AP196" s="52">
        <f t="shared" ref="AP196:AP259" si="84">(AO196-AO195)/AO195</f>
        <v>-1.1589352912378777E-2</v>
      </c>
      <c r="AQ196" s="48">
        <f t="shared" si="70"/>
        <v>-2.2650056625141564E-3</v>
      </c>
      <c r="AR196" s="48">
        <f t="shared" si="71"/>
        <v>-1.8832391713747645E-2</v>
      </c>
      <c r="AS196" s="48">
        <f t="shared" si="72"/>
        <v>-1.747126436781609E-2</v>
      </c>
      <c r="AT196" s="48" t="e">
        <f>(#REF!-#REF!)/#REF!</f>
        <v>#REF!</v>
      </c>
    </row>
    <row r="197" spans="1:46" x14ac:dyDescent="0.3">
      <c r="A197" s="48">
        <v>20181019</v>
      </c>
      <c r="B197" s="48" t="s">
        <v>88</v>
      </c>
      <c r="C197" s="79">
        <v>0.4</v>
      </c>
      <c r="D197" s="79">
        <f t="shared" si="73"/>
        <v>0.40399015483853246</v>
      </c>
      <c r="E197" s="49">
        <v>44050</v>
      </c>
      <c r="F197" s="49">
        <v>43900</v>
      </c>
      <c r="G197" s="49">
        <v>6419324700</v>
      </c>
      <c r="H197" s="49">
        <f t="shared" si="74"/>
        <v>0.45585619760779</v>
      </c>
      <c r="I197" s="49">
        <f t="shared" ref="I197:I260" si="85">IF(B197="Y",ROUND(C197*(E197*G197+L197*N197+S197*U197+Z197*AB197+AG197*AI197)/(E197*G197),17),IF(AL197=0,H197,ROUND(F196*G196*I196/AN196*(E197*G197+L197*N197+S197*U197+Z197*AB197+AG197*AI197)/(E197*G197),17)))</f>
        <v>0.45585619760779</v>
      </c>
      <c r="J197" s="48">
        <v>0.3</v>
      </c>
      <c r="K197" s="48">
        <f t="shared" si="75"/>
        <v>0.28961638237861154</v>
      </c>
      <c r="L197" s="48">
        <v>260500</v>
      </c>
      <c r="M197" s="48">
        <v>273000</v>
      </c>
      <c r="N197" s="51">
        <v>125395903</v>
      </c>
      <c r="O197" s="48">
        <f t="shared" si="76"/>
        <v>2.6902217281479599</v>
      </c>
      <c r="P197" s="48">
        <f t="shared" ref="P197:P260" si="86">IF(B197="Y",ROUND(J197*(E197*G197+L197*N197+S197*U197+Z197*AB197+AG197*AI197)/(L197*N197),17),IF(AL197=0,O197,ROUND(M196*N196*P196/AN196*(E197*G197+L197*N197+S197*U197+Z197*AB197+AG197*AI197)/(L197*N197),17)))</f>
        <v>2.6902217281479599</v>
      </c>
      <c r="Q197" s="49">
        <v>0.3</v>
      </c>
      <c r="R197" s="49">
        <f t="shared" si="77"/>
        <v>0.30639346278285606</v>
      </c>
      <c r="S197" s="49">
        <v>213700</v>
      </c>
      <c r="T197" s="49">
        <v>224200</v>
      </c>
      <c r="U197" s="49">
        <v>15956260</v>
      </c>
      <c r="V197" s="49">
        <f t="shared" si="78"/>
        <v>27.2347710204326</v>
      </c>
      <c r="W197" s="49">
        <f t="shared" ref="W197:W260" si="87">IF(B197="Y",ROUND(Q197*(E197*G197+L197*N197+S197*U197+Z197*AB197+AG197*AI197)/(S197*U197),17),IF(AL197=0,V197,ROUND(T196*U196*W196/AN196*(E197*G197+L197*N197+S197*U197+Z197*AB197+AG197*AI197)/(S197*U197),17)))</f>
        <v>27.2347710204326</v>
      </c>
      <c r="X197" s="48">
        <v>0</v>
      </c>
      <c r="Y197" s="48">
        <f t="shared" si="79"/>
        <v>0</v>
      </c>
      <c r="Z197" s="48">
        <v>0</v>
      </c>
      <c r="AA197" s="48">
        <v>0</v>
      </c>
      <c r="AB197" s="48">
        <v>0</v>
      </c>
      <c r="AC197" s="48">
        <f t="shared" si="80"/>
        <v>0</v>
      </c>
      <c r="AD197" s="48">
        <f t="shared" ref="AD197:AD260" si="88">IFERROR(IF(B197="Y",ROUND(X197*(E197*G197+L197*N197+S197*U197+Z197*AB197+AG197*AI197)/(Z197*AB197),17),IF(AL197=0,AC197,ROUND(AA196*AB196*AD196/AN196*(E197*G197+L197*N197+S197*U197+Z197*AB197+AG197*AI197)/(Z197*AB197),17))),0)</f>
        <v>0</v>
      </c>
      <c r="AE197" s="49">
        <v>0</v>
      </c>
      <c r="AF197" s="49">
        <f t="shared" si="81"/>
        <v>0</v>
      </c>
      <c r="AG197" s="49">
        <v>0</v>
      </c>
      <c r="AH197" s="49">
        <v>0</v>
      </c>
      <c r="AI197" s="49">
        <v>0</v>
      </c>
      <c r="AJ197" s="49">
        <f t="shared" si="82"/>
        <v>0</v>
      </c>
      <c r="AK197" s="49">
        <f t="shared" ref="AK197:AK260" si="89">IFERROR(IF(B197="Y",ROUND(AE197*(E197*G197+L197*N197+S197*U197+Z197*AB197+AG197*AI197)/(AG197*AI197),17),IF(AL197=0,AJ197,ROUND(AH196*AI196*AK196/AN196*(E197*G197+L197*N197+S197*U197+Z197*AB197+AG197*AI197)/(AG197*AI197),17))),0)</f>
        <v>0</v>
      </c>
      <c r="AL197" s="82">
        <f t="shared" ref="AL197:AL260" si="90">IF(AN196&lt;&gt;(E197*G197*H197+L197*N197*O197+S197*U197*V197+Z197*AB197*AC197+AG197*AI197*AJ197),1,0)</f>
        <v>0</v>
      </c>
      <c r="AM197" s="82">
        <f t="shared" ref="AM197:AM260" si="91">IF(AND(AL197=0,B197="N"),AM196,AM196*(E197*G197*I197+L197*N197*P197+S197*U197*W197+Z197*AB197*AD197+AG197*AI197*AK197)/AN196)</f>
        <v>291304837464665.44</v>
      </c>
      <c r="AN197" s="81">
        <f t="shared" si="83"/>
        <v>317988157187462.5</v>
      </c>
      <c r="AO197" s="80">
        <f t="shared" si="69"/>
        <v>1091.5993018002446</v>
      </c>
      <c r="AP197" s="52">
        <f t="shared" si="84"/>
        <v>2.6936364838763629E-2</v>
      </c>
      <c r="AQ197" s="48">
        <f t="shared" si="70"/>
        <v>-3.4052213393870601E-3</v>
      </c>
      <c r="AR197" s="48">
        <f t="shared" si="71"/>
        <v>4.7984644913627639E-2</v>
      </c>
      <c r="AS197" s="48">
        <f t="shared" si="72"/>
        <v>4.9134300421151147E-2</v>
      </c>
      <c r="AT197" s="48" t="e">
        <f>(#REF!-#REF!)/#REF!</f>
        <v>#REF!</v>
      </c>
    </row>
    <row r="198" spans="1:46" x14ac:dyDescent="0.3">
      <c r="A198" s="48">
        <v>20181022</v>
      </c>
      <c r="B198" s="48" t="s">
        <v>88</v>
      </c>
      <c r="C198" s="79">
        <v>0.4</v>
      </c>
      <c r="D198" s="79">
        <f t="shared" si="73"/>
        <v>0.4038322604337421</v>
      </c>
      <c r="E198" s="49">
        <v>43900</v>
      </c>
      <c r="F198" s="49">
        <v>43550</v>
      </c>
      <c r="G198" s="49">
        <v>6419324700</v>
      </c>
      <c r="H198" s="49">
        <f t="shared" si="74"/>
        <v>0.45585619760779</v>
      </c>
      <c r="I198" s="49">
        <f t="shared" si="85"/>
        <v>0.45585619760779</v>
      </c>
      <c r="J198" s="48">
        <v>0.3</v>
      </c>
      <c r="K198" s="48">
        <f t="shared" si="75"/>
        <v>0.2870194690268344</v>
      </c>
      <c r="L198" s="48">
        <v>273000</v>
      </c>
      <c r="M198" s="48">
        <v>268500</v>
      </c>
      <c r="N198" s="51">
        <v>125395903</v>
      </c>
      <c r="O198" s="48">
        <f t="shared" si="76"/>
        <v>2.6902217281479599</v>
      </c>
      <c r="P198" s="48">
        <f t="shared" si="86"/>
        <v>2.6902217281479599</v>
      </c>
      <c r="Q198" s="49">
        <v>0.3</v>
      </c>
      <c r="R198" s="49">
        <f t="shared" si="77"/>
        <v>0.30914827053942368</v>
      </c>
      <c r="S198" s="49">
        <v>224200</v>
      </c>
      <c r="T198" s="49">
        <v>224500</v>
      </c>
      <c r="U198" s="49">
        <v>15956260</v>
      </c>
      <c r="V198" s="49">
        <f t="shared" si="78"/>
        <v>27.2347710204326</v>
      </c>
      <c r="W198" s="49">
        <f t="shared" si="87"/>
        <v>27.2347710204326</v>
      </c>
      <c r="X198" s="48">
        <v>0</v>
      </c>
      <c r="Y198" s="48">
        <f t="shared" si="79"/>
        <v>0</v>
      </c>
      <c r="Z198" s="48">
        <v>0</v>
      </c>
      <c r="AA198" s="48">
        <v>0</v>
      </c>
      <c r="AB198" s="48">
        <v>0</v>
      </c>
      <c r="AC198" s="48">
        <f t="shared" si="80"/>
        <v>0</v>
      </c>
      <c r="AD198" s="48">
        <f t="shared" si="88"/>
        <v>0</v>
      </c>
      <c r="AE198" s="49">
        <v>0</v>
      </c>
      <c r="AF198" s="49">
        <f t="shared" si="81"/>
        <v>0</v>
      </c>
      <c r="AG198" s="49">
        <v>0</v>
      </c>
      <c r="AH198" s="49">
        <v>0</v>
      </c>
      <c r="AI198" s="49">
        <v>0</v>
      </c>
      <c r="AJ198" s="49">
        <f t="shared" si="82"/>
        <v>0</v>
      </c>
      <c r="AK198" s="49">
        <f t="shared" si="89"/>
        <v>0</v>
      </c>
      <c r="AL198" s="82">
        <f t="shared" si="90"/>
        <v>0</v>
      </c>
      <c r="AM198" s="82">
        <f t="shared" si="91"/>
        <v>291304837464665.44</v>
      </c>
      <c r="AN198" s="81">
        <f t="shared" si="83"/>
        <v>315576283058641.12</v>
      </c>
      <c r="AO198" s="80">
        <f t="shared" si="69"/>
        <v>1083.3197478120139</v>
      </c>
      <c r="AP198" s="52">
        <f t="shared" si="84"/>
        <v>-7.584792308474515E-3</v>
      </c>
      <c r="AQ198" s="48">
        <f t="shared" si="70"/>
        <v>-7.972665148063782E-3</v>
      </c>
      <c r="AR198" s="48">
        <f t="shared" si="71"/>
        <v>-1.6483516483516484E-2</v>
      </c>
      <c r="AS198" s="48">
        <f t="shared" si="72"/>
        <v>1.3380909901873326E-3</v>
      </c>
      <c r="AT198" s="48" t="e">
        <f>(#REF!-#REF!)/#REF!</f>
        <v>#REF!</v>
      </c>
    </row>
    <row r="199" spans="1:46" x14ac:dyDescent="0.3">
      <c r="A199" s="48">
        <v>20181023</v>
      </c>
      <c r="B199" s="48" t="s">
        <v>88</v>
      </c>
      <c r="C199" s="79">
        <v>0.4</v>
      </c>
      <c r="D199" s="79">
        <f t="shared" si="73"/>
        <v>0.41582748161528577</v>
      </c>
      <c r="E199" s="49">
        <v>43550</v>
      </c>
      <c r="F199" s="49">
        <v>43050</v>
      </c>
      <c r="G199" s="49">
        <v>6419324700</v>
      </c>
      <c r="H199" s="49">
        <f t="shared" si="74"/>
        <v>0.45585619760779</v>
      </c>
      <c r="I199" s="49">
        <f t="shared" si="85"/>
        <v>0.45585619760779</v>
      </c>
      <c r="J199" s="48">
        <v>0.3</v>
      </c>
      <c r="K199" s="48">
        <f t="shared" si="75"/>
        <v>0.27448029506383309</v>
      </c>
      <c r="L199" s="48">
        <v>268500</v>
      </c>
      <c r="M199" s="48">
        <v>246500</v>
      </c>
      <c r="N199" s="51">
        <v>125395903</v>
      </c>
      <c r="O199" s="48">
        <f t="shared" si="76"/>
        <v>2.6902217281479599</v>
      </c>
      <c r="P199" s="48">
        <f t="shared" si="86"/>
        <v>2.6902217281479599</v>
      </c>
      <c r="Q199" s="49">
        <v>0.3</v>
      </c>
      <c r="R199" s="49">
        <f t="shared" si="77"/>
        <v>0.3096922233208812</v>
      </c>
      <c r="S199" s="49">
        <v>224500</v>
      </c>
      <c r="T199" s="49">
        <v>215900</v>
      </c>
      <c r="U199" s="49">
        <v>15956260</v>
      </c>
      <c r="V199" s="49">
        <f t="shared" si="78"/>
        <v>27.2347710204326</v>
      </c>
      <c r="W199" s="49">
        <f t="shared" si="87"/>
        <v>27.2347710204326</v>
      </c>
      <c r="X199" s="48">
        <v>0</v>
      </c>
      <c r="Y199" s="48">
        <f t="shared" si="79"/>
        <v>0</v>
      </c>
      <c r="Z199" s="48">
        <v>0</v>
      </c>
      <c r="AA199" s="48">
        <v>0</v>
      </c>
      <c r="AB199" s="48">
        <v>0</v>
      </c>
      <c r="AC199" s="48">
        <f t="shared" si="80"/>
        <v>0</v>
      </c>
      <c r="AD199" s="48">
        <f t="shared" si="88"/>
        <v>0</v>
      </c>
      <c r="AE199" s="49">
        <v>0</v>
      </c>
      <c r="AF199" s="49">
        <f t="shared" si="81"/>
        <v>0</v>
      </c>
      <c r="AG199" s="49">
        <v>0</v>
      </c>
      <c r="AH199" s="49">
        <v>0</v>
      </c>
      <c r="AI199" s="49">
        <v>0</v>
      </c>
      <c r="AJ199" s="49">
        <f t="shared" si="82"/>
        <v>0</v>
      </c>
      <c r="AK199" s="49">
        <f t="shared" si="89"/>
        <v>0</v>
      </c>
      <c r="AL199" s="82">
        <f t="shared" si="90"/>
        <v>0</v>
      </c>
      <c r="AM199" s="82">
        <f t="shared" si="91"/>
        <v>291304837464665.44</v>
      </c>
      <c r="AN199" s="81">
        <f t="shared" si="83"/>
        <v>302954337608990.5</v>
      </c>
      <c r="AO199" s="80">
        <f t="shared" si="69"/>
        <v>1039.9907541725536</v>
      </c>
      <c r="AP199" s="52">
        <f t="shared" si="84"/>
        <v>-3.9996495704035788E-2</v>
      </c>
      <c r="AQ199" s="48">
        <f t="shared" si="70"/>
        <v>-1.1481056257175661E-2</v>
      </c>
      <c r="AR199" s="48">
        <f t="shared" si="71"/>
        <v>-8.1936685288640593E-2</v>
      </c>
      <c r="AS199" s="48">
        <f t="shared" si="72"/>
        <v>-3.8307349665924278E-2</v>
      </c>
      <c r="AT199" s="48" t="e">
        <f>(#REF!-#REF!)/#REF!</f>
        <v>#REF!</v>
      </c>
    </row>
    <row r="200" spans="1:46" x14ac:dyDescent="0.3">
      <c r="A200" s="48">
        <v>20181024</v>
      </c>
      <c r="B200" s="48" t="s">
        <v>88</v>
      </c>
      <c r="C200" s="79">
        <v>0.4</v>
      </c>
      <c r="D200" s="79">
        <f t="shared" si="73"/>
        <v>0.42243132091321844</v>
      </c>
      <c r="E200" s="49">
        <v>43050</v>
      </c>
      <c r="F200" s="49">
        <v>42550</v>
      </c>
      <c r="G200" s="49">
        <v>6419324700</v>
      </c>
      <c r="H200" s="49">
        <f t="shared" si="74"/>
        <v>0.45585619760779</v>
      </c>
      <c r="I200" s="49">
        <f t="shared" si="85"/>
        <v>0.45585619760779</v>
      </c>
      <c r="J200" s="48">
        <v>0.3</v>
      </c>
      <c r="K200" s="48">
        <f t="shared" si="75"/>
        <v>0.25808175841363096</v>
      </c>
      <c r="L200" s="48">
        <v>246500</v>
      </c>
      <c r="M200" s="48">
        <v>225500</v>
      </c>
      <c r="N200" s="51">
        <v>125395903</v>
      </c>
      <c r="O200" s="48">
        <f t="shared" si="76"/>
        <v>2.6902217281479599</v>
      </c>
      <c r="P200" s="48">
        <f t="shared" si="86"/>
        <v>2.6902217281479599</v>
      </c>
      <c r="Q200" s="49">
        <v>0.3</v>
      </c>
      <c r="R200" s="49">
        <f t="shared" si="77"/>
        <v>0.31948692067315065</v>
      </c>
      <c r="S200" s="49">
        <v>215900</v>
      </c>
      <c r="T200" s="49">
        <v>216700</v>
      </c>
      <c r="U200" s="49">
        <v>15956260</v>
      </c>
      <c r="V200" s="49">
        <f t="shared" si="78"/>
        <v>27.2347710204326</v>
      </c>
      <c r="W200" s="49">
        <f t="shared" si="87"/>
        <v>27.2347710204326</v>
      </c>
      <c r="X200" s="48">
        <v>0</v>
      </c>
      <c r="Y200" s="48">
        <f t="shared" si="79"/>
        <v>0</v>
      </c>
      <c r="Z200" s="48">
        <v>0</v>
      </c>
      <c r="AA200" s="48">
        <v>0</v>
      </c>
      <c r="AB200" s="48">
        <v>0</v>
      </c>
      <c r="AC200" s="48">
        <f t="shared" si="80"/>
        <v>0</v>
      </c>
      <c r="AD200" s="48">
        <f t="shared" si="88"/>
        <v>0</v>
      </c>
      <c r="AE200" s="49">
        <v>0</v>
      </c>
      <c r="AF200" s="49">
        <f t="shared" si="81"/>
        <v>0</v>
      </c>
      <c r="AG200" s="49">
        <v>0</v>
      </c>
      <c r="AH200" s="49">
        <v>0</v>
      </c>
      <c r="AI200" s="49">
        <v>0</v>
      </c>
      <c r="AJ200" s="49">
        <f t="shared" si="82"/>
        <v>0</v>
      </c>
      <c r="AK200" s="49">
        <f t="shared" si="89"/>
        <v>0</v>
      </c>
      <c r="AL200" s="82">
        <f t="shared" si="90"/>
        <v>0</v>
      </c>
      <c r="AM200" s="82">
        <f t="shared" si="91"/>
        <v>291304837464665.44</v>
      </c>
      <c r="AN200" s="81">
        <f t="shared" si="83"/>
        <v>294754646764170.62</v>
      </c>
      <c r="AO200" s="80">
        <f t="shared" si="69"/>
        <v>1011.8426090329642</v>
      </c>
      <c r="AP200" s="52">
        <f t="shared" si="84"/>
        <v>-2.7065764793250329E-2</v>
      </c>
      <c r="AQ200" s="48">
        <f t="shared" si="70"/>
        <v>-1.1614401858304297E-2</v>
      </c>
      <c r="AR200" s="48">
        <f t="shared" si="71"/>
        <v>-8.5192697768762676E-2</v>
      </c>
      <c r="AS200" s="48">
        <f t="shared" si="72"/>
        <v>3.7054191755442334E-3</v>
      </c>
      <c r="AT200" s="48" t="e">
        <f>(#REF!-#REF!)/#REF!</f>
        <v>#REF!</v>
      </c>
    </row>
    <row r="201" spans="1:46" x14ac:dyDescent="0.3">
      <c r="A201" s="48">
        <v>20181025</v>
      </c>
      <c r="B201" s="48" t="s">
        <v>88</v>
      </c>
      <c r="C201" s="79">
        <v>0.4</v>
      </c>
      <c r="D201" s="79">
        <f t="shared" si="73"/>
        <v>0.4166242800079078</v>
      </c>
      <c r="E201" s="49">
        <v>42550</v>
      </c>
      <c r="F201" s="49">
        <v>41000</v>
      </c>
      <c r="G201" s="49">
        <v>6419324700</v>
      </c>
      <c r="H201" s="49">
        <f t="shared" si="74"/>
        <v>0.45585619760779</v>
      </c>
      <c r="I201" s="49">
        <f t="shared" si="85"/>
        <v>0.45585619760779</v>
      </c>
      <c r="J201" s="48">
        <v>0.3</v>
      </c>
      <c r="K201" s="48">
        <f t="shared" si="75"/>
        <v>0.27704229776491185</v>
      </c>
      <c r="L201" s="48">
        <v>225500</v>
      </c>
      <c r="M201" s="48">
        <v>236500</v>
      </c>
      <c r="N201" s="51">
        <v>125395903</v>
      </c>
      <c r="O201" s="48">
        <f t="shared" si="76"/>
        <v>2.6902217281479599</v>
      </c>
      <c r="P201" s="48">
        <f t="shared" si="86"/>
        <v>2.6902217281479599</v>
      </c>
      <c r="Q201" s="49">
        <v>0.3</v>
      </c>
      <c r="R201" s="49">
        <f t="shared" si="77"/>
        <v>0.30633342222718024</v>
      </c>
      <c r="S201" s="49">
        <v>216700</v>
      </c>
      <c r="T201" s="49">
        <v>203000</v>
      </c>
      <c r="U201" s="49">
        <v>15956260</v>
      </c>
      <c r="V201" s="49">
        <f t="shared" si="78"/>
        <v>27.2347710204326</v>
      </c>
      <c r="W201" s="49">
        <f t="shared" si="87"/>
        <v>27.2347710204326</v>
      </c>
      <c r="X201" s="48">
        <v>0</v>
      </c>
      <c r="Y201" s="48">
        <f t="shared" si="79"/>
        <v>0</v>
      </c>
      <c r="Z201" s="48">
        <v>0</v>
      </c>
      <c r="AA201" s="48">
        <v>0</v>
      </c>
      <c r="AB201" s="48">
        <v>0</v>
      </c>
      <c r="AC201" s="48">
        <f t="shared" si="80"/>
        <v>0</v>
      </c>
      <c r="AD201" s="48">
        <f t="shared" si="88"/>
        <v>0</v>
      </c>
      <c r="AE201" s="49">
        <v>0</v>
      </c>
      <c r="AF201" s="49">
        <f t="shared" si="81"/>
        <v>0</v>
      </c>
      <c r="AG201" s="49">
        <v>0</v>
      </c>
      <c r="AH201" s="49">
        <v>0</v>
      </c>
      <c r="AI201" s="49">
        <v>0</v>
      </c>
      <c r="AJ201" s="49">
        <f t="shared" si="82"/>
        <v>0</v>
      </c>
      <c r="AK201" s="49">
        <f t="shared" si="89"/>
        <v>0</v>
      </c>
      <c r="AL201" s="82">
        <f t="shared" si="90"/>
        <v>0</v>
      </c>
      <c r="AM201" s="82">
        <f t="shared" si="91"/>
        <v>291304837464665.44</v>
      </c>
      <c r="AN201" s="81">
        <f t="shared" si="83"/>
        <v>287976127806918</v>
      </c>
      <c r="AO201" s="80">
        <f t="shared" si="69"/>
        <v>988.57310545640632</v>
      </c>
      <c r="AP201" s="52">
        <f t="shared" si="84"/>
        <v>-2.2997157234559404E-2</v>
      </c>
      <c r="AQ201" s="48">
        <f t="shared" si="70"/>
        <v>-3.6427732079905996E-2</v>
      </c>
      <c r="AR201" s="48">
        <f t="shared" si="71"/>
        <v>4.878048780487805E-2</v>
      </c>
      <c r="AS201" s="48">
        <f t="shared" si="72"/>
        <v>-6.3221042916474388E-2</v>
      </c>
      <c r="AT201" s="48" t="e">
        <f>(#REF!-#REF!)/#REF!</f>
        <v>#REF!</v>
      </c>
    </row>
    <row r="202" spans="1:46" x14ac:dyDescent="0.3">
      <c r="A202" s="48">
        <v>20181026</v>
      </c>
      <c r="B202" s="48" t="s">
        <v>88</v>
      </c>
      <c r="C202" s="79">
        <v>0.4</v>
      </c>
      <c r="D202" s="79">
        <f t="shared" si="73"/>
        <v>0.42607473654312283</v>
      </c>
      <c r="E202" s="49">
        <v>41000</v>
      </c>
      <c r="F202" s="49">
        <v>41000</v>
      </c>
      <c r="G202" s="49">
        <v>6419324700</v>
      </c>
      <c r="H202" s="49">
        <f t="shared" si="74"/>
        <v>0.45585619760779</v>
      </c>
      <c r="I202" s="49">
        <f t="shared" si="85"/>
        <v>0.45585619760779</v>
      </c>
      <c r="J202" s="48">
        <v>0.3</v>
      </c>
      <c r="K202" s="48">
        <f t="shared" si="75"/>
        <v>0.27314357573150394</v>
      </c>
      <c r="L202" s="48">
        <v>236500</v>
      </c>
      <c r="M202" s="48">
        <v>228000</v>
      </c>
      <c r="N202" s="51">
        <v>125395903</v>
      </c>
      <c r="O202" s="48">
        <f t="shared" si="76"/>
        <v>2.6902217281479599</v>
      </c>
      <c r="P202" s="48">
        <f t="shared" si="86"/>
        <v>2.6902217281479599</v>
      </c>
      <c r="Q202" s="49">
        <v>0.3</v>
      </c>
      <c r="R202" s="49">
        <f t="shared" si="77"/>
        <v>0.30078168772537317</v>
      </c>
      <c r="S202" s="49">
        <v>203000</v>
      </c>
      <c r="T202" s="49">
        <v>194900</v>
      </c>
      <c r="U202" s="49">
        <v>15956260</v>
      </c>
      <c r="V202" s="49">
        <f t="shared" si="78"/>
        <v>27.2347710204326</v>
      </c>
      <c r="W202" s="49">
        <f t="shared" si="87"/>
        <v>27.2347710204326</v>
      </c>
      <c r="X202" s="48">
        <v>0</v>
      </c>
      <c r="Y202" s="48">
        <f t="shared" si="79"/>
        <v>0</v>
      </c>
      <c r="Z202" s="48">
        <v>0</v>
      </c>
      <c r="AA202" s="48">
        <v>0</v>
      </c>
      <c r="AB202" s="48">
        <v>0</v>
      </c>
      <c r="AC202" s="48">
        <f t="shared" si="80"/>
        <v>0</v>
      </c>
      <c r="AD202" s="48">
        <f t="shared" si="88"/>
        <v>0</v>
      </c>
      <c r="AE202" s="49">
        <v>0</v>
      </c>
      <c r="AF202" s="49">
        <f t="shared" si="81"/>
        <v>0</v>
      </c>
      <c r="AG202" s="49">
        <v>0</v>
      </c>
      <c r="AH202" s="49">
        <v>0</v>
      </c>
      <c r="AI202" s="49">
        <v>0</v>
      </c>
      <c r="AJ202" s="49">
        <f t="shared" si="82"/>
        <v>0</v>
      </c>
      <c r="AK202" s="49">
        <f t="shared" si="89"/>
        <v>0</v>
      </c>
      <c r="AL202" s="82">
        <f t="shared" si="90"/>
        <v>0</v>
      </c>
      <c r="AM202" s="82">
        <f t="shared" si="91"/>
        <v>291304837464665.44</v>
      </c>
      <c r="AN202" s="81">
        <f t="shared" si="83"/>
        <v>281588736944227.5</v>
      </c>
      <c r="AO202" s="80">
        <f t="shared" si="69"/>
        <v>966.64627815658412</v>
      </c>
      <c r="AP202" s="52">
        <f t="shared" si="84"/>
        <v>-2.2180279009005599E-2</v>
      </c>
      <c r="AQ202" s="48">
        <f t="shared" si="70"/>
        <v>0</v>
      </c>
      <c r="AR202" s="48">
        <f t="shared" si="71"/>
        <v>-3.5940803382663845E-2</v>
      </c>
      <c r="AS202" s="48">
        <f t="shared" si="72"/>
        <v>-3.9901477832512314E-2</v>
      </c>
      <c r="AT202" s="48" t="e">
        <f>(#REF!-#REF!)/#REF!</f>
        <v>#REF!</v>
      </c>
    </row>
    <row r="203" spans="1:46" x14ac:dyDescent="0.3">
      <c r="A203" s="48">
        <v>20181029</v>
      </c>
      <c r="B203" s="48" t="s">
        <v>88</v>
      </c>
      <c r="C203" s="79">
        <v>0.4</v>
      </c>
      <c r="D203" s="79">
        <f t="shared" si="73"/>
        <v>0.44264322699702896</v>
      </c>
      <c r="E203" s="49">
        <v>41000</v>
      </c>
      <c r="F203" s="49">
        <v>41400</v>
      </c>
      <c r="G203" s="49">
        <v>6419324700</v>
      </c>
      <c r="H203" s="49">
        <f t="shared" si="74"/>
        <v>0.45585619760779</v>
      </c>
      <c r="I203" s="49">
        <f t="shared" si="85"/>
        <v>0.45585619760779</v>
      </c>
      <c r="J203" s="48">
        <v>0.3</v>
      </c>
      <c r="K203" s="48">
        <f t="shared" si="75"/>
        <v>0.26869785029676002</v>
      </c>
      <c r="L203" s="48">
        <v>228000</v>
      </c>
      <c r="M203" s="48">
        <v>218000</v>
      </c>
      <c r="N203" s="51">
        <v>125395903</v>
      </c>
      <c r="O203" s="48">
        <f t="shared" si="76"/>
        <v>2.6902217281479599</v>
      </c>
      <c r="P203" s="48">
        <f t="shared" si="86"/>
        <v>2.6902217281479599</v>
      </c>
      <c r="Q203" s="49">
        <v>0.3</v>
      </c>
      <c r="R203" s="49">
        <f t="shared" si="77"/>
        <v>0.28865892270621107</v>
      </c>
      <c r="S203" s="49">
        <v>194900</v>
      </c>
      <c r="T203" s="49">
        <v>181800</v>
      </c>
      <c r="U203" s="49">
        <v>15956260</v>
      </c>
      <c r="V203" s="49">
        <f t="shared" si="78"/>
        <v>27.2347710204326</v>
      </c>
      <c r="W203" s="49">
        <f t="shared" si="87"/>
        <v>27.2347710204326</v>
      </c>
      <c r="X203" s="48">
        <v>0</v>
      </c>
      <c r="Y203" s="48">
        <f t="shared" si="79"/>
        <v>0</v>
      </c>
      <c r="Z203" s="48">
        <v>0</v>
      </c>
      <c r="AA203" s="48">
        <v>0</v>
      </c>
      <c r="AB203" s="48">
        <v>0</v>
      </c>
      <c r="AC203" s="48">
        <f t="shared" si="80"/>
        <v>0</v>
      </c>
      <c r="AD203" s="48">
        <f t="shared" si="88"/>
        <v>0</v>
      </c>
      <c r="AE203" s="49">
        <v>0</v>
      </c>
      <c r="AF203" s="49">
        <f t="shared" si="81"/>
        <v>0</v>
      </c>
      <c r="AG203" s="49">
        <v>0</v>
      </c>
      <c r="AH203" s="49">
        <v>0</v>
      </c>
      <c r="AI203" s="49">
        <v>0</v>
      </c>
      <c r="AJ203" s="49">
        <f t="shared" si="82"/>
        <v>0</v>
      </c>
      <c r="AK203" s="49">
        <f t="shared" si="89"/>
        <v>0</v>
      </c>
      <c r="AL203" s="82">
        <f t="shared" si="90"/>
        <v>0</v>
      </c>
      <c r="AM203" s="82">
        <f t="shared" si="91"/>
        <v>291304837464665.44</v>
      </c>
      <c r="AN203" s="81">
        <f t="shared" si="83"/>
        <v>273693022049598.25</v>
      </c>
      <c r="AO203" s="80">
        <f t="shared" si="69"/>
        <v>939.54163079353782</v>
      </c>
      <c r="AP203" s="52">
        <f t="shared" si="84"/>
        <v>-2.8039881780474507E-2</v>
      </c>
      <c r="AQ203" s="48">
        <f t="shared" si="70"/>
        <v>9.7560975609756097E-3</v>
      </c>
      <c r="AR203" s="48">
        <f t="shared" si="71"/>
        <v>-4.3859649122807015E-2</v>
      </c>
      <c r="AS203" s="48">
        <f t="shared" si="72"/>
        <v>-6.7213955874807593E-2</v>
      </c>
      <c r="AT203" s="48" t="e">
        <f>(#REF!-#REF!)/#REF!</f>
        <v>#REF!</v>
      </c>
    </row>
    <row r="204" spans="1:46" x14ac:dyDescent="0.3">
      <c r="A204" s="48">
        <v>20181030</v>
      </c>
      <c r="B204" s="48" t="s">
        <v>88</v>
      </c>
      <c r="C204" s="79">
        <v>0.4</v>
      </c>
      <c r="D204" s="79">
        <f t="shared" si="73"/>
        <v>0.43824414318913379</v>
      </c>
      <c r="E204" s="49">
        <v>41400</v>
      </c>
      <c r="F204" s="49">
        <v>42350</v>
      </c>
      <c r="G204" s="49">
        <v>6419324700</v>
      </c>
      <c r="H204" s="49">
        <f t="shared" si="74"/>
        <v>0.45585619760779</v>
      </c>
      <c r="I204" s="49">
        <f t="shared" si="85"/>
        <v>0.45585619760779</v>
      </c>
      <c r="J204" s="48">
        <v>0.3</v>
      </c>
      <c r="K204" s="48">
        <f t="shared" si="75"/>
        <v>0.26900693012388882</v>
      </c>
      <c r="L204" s="48">
        <v>218000</v>
      </c>
      <c r="M204" s="48">
        <v>225500</v>
      </c>
      <c r="N204" s="51">
        <v>125395903</v>
      </c>
      <c r="O204" s="48">
        <f t="shared" si="76"/>
        <v>2.6902217281479599</v>
      </c>
      <c r="P204" s="48">
        <f t="shared" si="86"/>
        <v>2.6902217281479599</v>
      </c>
      <c r="Q204" s="49">
        <v>0.3</v>
      </c>
      <c r="R204" s="49">
        <f t="shared" si="77"/>
        <v>0.29274892668697727</v>
      </c>
      <c r="S204" s="49">
        <v>181800</v>
      </c>
      <c r="T204" s="49">
        <v>190500</v>
      </c>
      <c r="U204" s="49">
        <v>15956260</v>
      </c>
      <c r="V204" s="49">
        <f t="shared" si="78"/>
        <v>27.2347710204326</v>
      </c>
      <c r="W204" s="49">
        <f t="shared" si="87"/>
        <v>27.2347710204326</v>
      </c>
      <c r="X204" s="48">
        <v>0</v>
      </c>
      <c r="Y204" s="48">
        <f t="shared" si="79"/>
        <v>0</v>
      </c>
      <c r="Z204" s="48">
        <v>0</v>
      </c>
      <c r="AA204" s="48">
        <v>0</v>
      </c>
      <c r="AB204" s="48">
        <v>0</v>
      </c>
      <c r="AC204" s="48">
        <f t="shared" si="80"/>
        <v>0</v>
      </c>
      <c r="AD204" s="48">
        <f t="shared" si="88"/>
        <v>0</v>
      </c>
      <c r="AE204" s="49">
        <v>0</v>
      </c>
      <c r="AF204" s="49">
        <f t="shared" si="81"/>
        <v>0</v>
      </c>
      <c r="AG204" s="49">
        <v>0</v>
      </c>
      <c r="AH204" s="49">
        <v>0</v>
      </c>
      <c r="AI204" s="49">
        <v>0</v>
      </c>
      <c r="AJ204" s="49">
        <f t="shared" si="82"/>
        <v>0</v>
      </c>
      <c r="AK204" s="49">
        <f t="shared" si="89"/>
        <v>0</v>
      </c>
      <c r="AL204" s="82">
        <f t="shared" si="90"/>
        <v>0</v>
      </c>
      <c r="AM204" s="82">
        <f t="shared" si="91"/>
        <v>291304837464665.44</v>
      </c>
      <c r="AN204" s="81">
        <f t="shared" si="83"/>
        <v>282783783683387.12</v>
      </c>
      <c r="AO204" s="80">
        <f t="shared" si="69"/>
        <v>970.74867051491412</v>
      </c>
      <c r="AP204" s="52">
        <f t="shared" si="84"/>
        <v>3.3215175037021837E-2</v>
      </c>
      <c r="AQ204" s="48">
        <f t="shared" si="70"/>
        <v>2.2946859903381644E-2</v>
      </c>
      <c r="AR204" s="48">
        <f t="shared" si="71"/>
        <v>3.4403669724770644E-2</v>
      </c>
      <c r="AS204" s="48">
        <f t="shared" si="72"/>
        <v>4.7854785478547858E-2</v>
      </c>
      <c r="AT204" s="48" t="e">
        <f>(#REF!-#REF!)/#REF!</f>
        <v>#REF!</v>
      </c>
    </row>
    <row r="205" spans="1:46" x14ac:dyDescent="0.3">
      <c r="A205" s="48">
        <v>20181031</v>
      </c>
      <c r="B205" s="48" t="s">
        <v>88</v>
      </c>
      <c r="C205" s="79">
        <v>0.4</v>
      </c>
      <c r="D205" s="79">
        <f t="shared" si="73"/>
        <v>0.44566054647613673</v>
      </c>
      <c r="E205" s="49">
        <v>42350</v>
      </c>
      <c r="F205" s="49">
        <v>42400</v>
      </c>
      <c r="G205" s="49">
        <v>6419324700</v>
      </c>
      <c r="H205" s="49">
        <f t="shared" si="74"/>
        <v>0.45585619760779</v>
      </c>
      <c r="I205" s="49">
        <f t="shared" si="85"/>
        <v>0.45585619760779</v>
      </c>
      <c r="J205" s="48">
        <v>0.3</v>
      </c>
      <c r="K205" s="48">
        <f t="shared" si="75"/>
        <v>0.26354319654649028</v>
      </c>
      <c r="L205" s="48">
        <v>225500</v>
      </c>
      <c r="M205" s="48">
        <v>217500</v>
      </c>
      <c r="N205" s="51">
        <v>125395903</v>
      </c>
      <c r="O205" s="48">
        <f t="shared" si="76"/>
        <v>2.6902217281479599</v>
      </c>
      <c r="P205" s="48">
        <f t="shared" si="86"/>
        <v>2.6902217281479599</v>
      </c>
      <c r="Q205" s="49">
        <v>0.3</v>
      </c>
      <c r="R205" s="49">
        <f t="shared" si="77"/>
        <v>0.29079625697737294</v>
      </c>
      <c r="S205" s="49">
        <v>190500</v>
      </c>
      <c r="T205" s="49">
        <v>186300</v>
      </c>
      <c r="U205" s="49">
        <v>15956260</v>
      </c>
      <c r="V205" s="49">
        <f t="shared" si="78"/>
        <v>27.2347710204326</v>
      </c>
      <c r="W205" s="49">
        <f t="shared" si="87"/>
        <v>27.2347710204326</v>
      </c>
      <c r="X205" s="48">
        <v>0</v>
      </c>
      <c r="Y205" s="48">
        <f t="shared" si="79"/>
        <v>0</v>
      </c>
      <c r="Z205" s="48">
        <v>0</v>
      </c>
      <c r="AA205" s="48">
        <v>0</v>
      </c>
      <c r="AB205" s="48">
        <v>0</v>
      </c>
      <c r="AC205" s="48">
        <f t="shared" si="80"/>
        <v>0</v>
      </c>
      <c r="AD205" s="48">
        <f t="shared" si="88"/>
        <v>0</v>
      </c>
      <c r="AE205" s="49">
        <v>0</v>
      </c>
      <c r="AF205" s="49">
        <f t="shared" si="81"/>
        <v>0</v>
      </c>
      <c r="AG205" s="120">
        <v>0</v>
      </c>
      <c r="AH205" s="120">
        <v>0</v>
      </c>
      <c r="AI205" s="120">
        <v>0</v>
      </c>
      <c r="AJ205" s="49">
        <f t="shared" si="82"/>
        <v>0</v>
      </c>
      <c r="AK205" s="49">
        <f t="shared" si="89"/>
        <v>0</v>
      </c>
      <c r="AL205" s="82">
        <f t="shared" si="90"/>
        <v>0</v>
      </c>
      <c r="AM205" s="82">
        <f t="shared" si="91"/>
        <v>291304837464665.44</v>
      </c>
      <c r="AN205" s="81">
        <f t="shared" si="83"/>
        <v>278406182500605.56</v>
      </c>
      <c r="AO205" s="80">
        <f t="shared" si="69"/>
        <v>955.72110962412546</v>
      </c>
      <c r="AP205" s="52">
        <f t="shared" si="84"/>
        <v>-1.5480382664668082E-2</v>
      </c>
      <c r="AQ205" s="48">
        <f t="shared" si="70"/>
        <v>1.1806375442739079E-3</v>
      </c>
      <c r="AR205" s="48">
        <f t="shared" si="71"/>
        <v>-3.5476718403547672E-2</v>
      </c>
      <c r="AS205" s="48">
        <f t="shared" si="72"/>
        <v>-2.2047244094488189E-2</v>
      </c>
      <c r="AT205" s="48" t="e">
        <f>(#REF!-#REF!)/#REF!</f>
        <v>#REF!</v>
      </c>
    </row>
    <row r="206" spans="1:46" x14ac:dyDescent="0.3">
      <c r="A206" s="48">
        <v>20181101</v>
      </c>
      <c r="B206" s="48" t="s">
        <v>88</v>
      </c>
      <c r="C206" s="79">
        <v>0.4</v>
      </c>
      <c r="D206" s="79">
        <f t="shared" si="73"/>
        <v>0.44111915345671293</v>
      </c>
      <c r="E206" s="49">
        <v>42400</v>
      </c>
      <c r="F206" s="49">
        <v>42150</v>
      </c>
      <c r="G206" s="49">
        <v>6419324700</v>
      </c>
      <c r="H206" s="49">
        <f t="shared" si="74"/>
        <v>0.45585619760779</v>
      </c>
      <c r="I206" s="49">
        <f t="shared" si="85"/>
        <v>0.45585619760779</v>
      </c>
      <c r="J206" s="48">
        <v>0.3</v>
      </c>
      <c r="K206" s="48">
        <f t="shared" si="75"/>
        <v>0.2744694129428264</v>
      </c>
      <c r="L206" s="48">
        <v>217500</v>
      </c>
      <c r="M206" s="48">
        <v>227500</v>
      </c>
      <c r="N206" s="51">
        <v>125395903</v>
      </c>
      <c r="O206" s="48">
        <f t="shared" si="76"/>
        <v>2.6902217281479599</v>
      </c>
      <c r="P206" s="48">
        <f t="shared" si="86"/>
        <v>2.6902217281479599</v>
      </c>
      <c r="Q206" s="49">
        <v>0.3</v>
      </c>
      <c r="R206" s="49">
        <f t="shared" si="77"/>
        <v>0.28441143360046073</v>
      </c>
      <c r="S206" s="49">
        <v>186300</v>
      </c>
      <c r="T206" s="49">
        <v>183000</v>
      </c>
      <c r="U206" s="49">
        <v>15956260</v>
      </c>
      <c r="V206" s="49">
        <f t="shared" si="78"/>
        <v>27.2347710204326</v>
      </c>
      <c r="W206" s="49">
        <f t="shared" si="87"/>
        <v>27.2347710204326</v>
      </c>
      <c r="X206" s="48">
        <v>0</v>
      </c>
      <c r="Y206" s="48">
        <f t="shared" si="79"/>
        <v>0</v>
      </c>
      <c r="Z206" s="48">
        <v>0</v>
      </c>
      <c r="AA206" s="48">
        <v>0</v>
      </c>
      <c r="AB206" s="48">
        <v>0</v>
      </c>
      <c r="AC206" s="48">
        <f t="shared" si="80"/>
        <v>0</v>
      </c>
      <c r="AD206" s="48">
        <f t="shared" si="88"/>
        <v>0</v>
      </c>
      <c r="AE206" s="49">
        <v>0</v>
      </c>
      <c r="AF206" s="49">
        <f t="shared" si="81"/>
        <v>0</v>
      </c>
      <c r="AG206" s="19">
        <v>29800</v>
      </c>
      <c r="AH206" s="19">
        <v>26950</v>
      </c>
      <c r="AI206" s="19">
        <v>7234332</v>
      </c>
      <c r="AJ206" s="119">
        <f t="shared" si="82"/>
        <v>0</v>
      </c>
      <c r="AK206" s="49">
        <f t="shared" si="89"/>
        <v>0</v>
      </c>
      <c r="AL206" s="82">
        <f t="shared" si="90"/>
        <v>0</v>
      </c>
      <c r="AM206" s="82">
        <f t="shared" si="91"/>
        <v>291304837464665.44</v>
      </c>
      <c r="AN206" s="81">
        <f t="shared" si="83"/>
        <v>279613973303520.72</v>
      </c>
      <c r="AO206" s="80">
        <f t="shared" si="69"/>
        <v>959.86725018748518</v>
      </c>
      <c r="AP206" s="52">
        <f t="shared" si="84"/>
        <v>4.3382326932072824E-3</v>
      </c>
      <c r="AQ206" s="48">
        <f t="shared" si="70"/>
        <v>-5.89622641509434E-3</v>
      </c>
      <c r="AR206" s="48">
        <f t="shared" si="71"/>
        <v>4.5977011494252873E-2</v>
      </c>
      <c r="AS206" s="48">
        <f t="shared" si="72"/>
        <v>-1.7713365539452495E-2</v>
      </c>
      <c r="AT206" s="48" t="e">
        <f>(#REF!-#REF!)/#REF!</f>
        <v>#REF!</v>
      </c>
    </row>
    <row r="207" spans="1:46" x14ac:dyDescent="0.3">
      <c r="A207" s="48">
        <v>20181102</v>
      </c>
      <c r="B207" s="48" t="s">
        <v>88</v>
      </c>
      <c r="C207" s="79">
        <v>0.4</v>
      </c>
      <c r="D207" s="79">
        <f t="shared" si="73"/>
        <v>0.43798455390211488</v>
      </c>
      <c r="E207" s="49">
        <v>42150</v>
      </c>
      <c r="F207" s="49">
        <v>44150</v>
      </c>
      <c r="G207" s="49">
        <v>6419324700</v>
      </c>
      <c r="H207" s="49">
        <f t="shared" si="74"/>
        <v>0.45585619760779</v>
      </c>
      <c r="I207" s="49">
        <f t="shared" si="85"/>
        <v>0.45585619760779</v>
      </c>
      <c r="J207" s="48">
        <v>0.3</v>
      </c>
      <c r="K207" s="48">
        <f t="shared" si="75"/>
        <v>0.27046647945261337</v>
      </c>
      <c r="L207" s="48">
        <v>227500</v>
      </c>
      <c r="M207" s="48">
        <v>236500</v>
      </c>
      <c r="N207" s="51">
        <v>125395903</v>
      </c>
      <c r="O207" s="48">
        <f t="shared" si="76"/>
        <v>2.6902217281479599</v>
      </c>
      <c r="P207" s="48">
        <f t="shared" si="86"/>
        <v>2.6902217281479599</v>
      </c>
      <c r="Q207" s="49">
        <v>0.3</v>
      </c>
      <c r="R207" s="49">
        <f t="shared" si="77"/>
        <v>0.29154896664527169</v>
      </c>
      <c r="S207" s="49">
        <v>183000</v>
      </c>
      <c r="T207" s="49">
        <v>197900</v>
      </c>
      <c r="U207" s="49">
        <v>15956260</v>
      </c>
      <c r="V207" s="49">
        <f t="shared" si="78"/>
        <v>27.2347710204326</v>
      </c>
      <c r="W207" s="49">
        <f t="shared" si="87"/>
        <v>27.2347710204326</v>
      </c>
      <c r="X207" s="48">
        <v>0</v>
      </c>
      <c r="Y207" s="48">
        <f t="shared" si="79"/>
        <v>0</v>
      </c>
      <c r="Z207" s="48">
        <v>0</v>
      </c>
      <c r="AA207" s="48">
        <v>0</v>
      </c>
      <c r="AB207" s="48">
        <v>0</v>
      </c>
      <c r="AC207" s="48">
        <f t="shared" si="80"/>
        <v>0</v>
      </c>
      <c r="AD207" s="48">
        <f t="shared" si="88"/>
        <v>0</v>
      </c>
      <c r="AE207" s="49">
        <v>0</v>
      </c>
      <c r="AF207" s="49">
        <f t="shared" si="81"/>
        <v>0</v>
      </c>
      <c r="AG207" s="19">
        <v>26950</v>
      </c>
      <c r="AH207" s="19">
        <v>27400</v>
      </c>
      <c r="AI207" s="19">
        <v>7234332</v>
      </c>
      <c r="AJ207" s="119">
        <f t="shared" si="82"/>
        <v>0</v>
      </c>
      <c r="AK207" s="49">
        <f t="shared" si="89"/>
        <v>0</v>
      </c>
      <c r="AL207" s="82">
        <f t="shared" si="90"/>
        <v>0</v>
      </c>
      <c r="AM207" s="82">
        <f t="shared" si="91"/>
        <v>291304837464665.44</v>
      </c>
      <c r="AN207" s="81">
        <f t="shared" si="83"/>
        <v>294977656050159.37</v>
      </c>
      <c r="AO207" s="80">
        <f t="shared" si="69"/>
        <v>1012.6081620115197</v>
      </c>
      <c r="AP207" s="52">
        <f t="shared" si="84"/>
        <v>5.4946047814146068E-2</v>
      </c>
      <c r="AQ207" s="48">
        <f t="shared" si="70"/>
        <v>4.7449584816132859E-2</v>
      </c>
      <c r="AR207" s="48">
        <f t="shared" si="71"/>
        <v>3.9560439560439559E-2</v>
      </c>
      <c r="AS207" s="48">
        <f t="shared" si="72"/>
        <v>8.14207650273224E-2</v>
      </c>
      <c r="AT207" s="48" t="e">
        <f>(#REF!-#REF!)/#REF!</f>
        <v>#REF!</v>
      </c>
    </row>
    <row r="208" spans="1:46" x14ac:dyDescent="0.3">
      <c r="A208" s="48">
        <v>20181105</v>
      </c>
      <c r="B208" s="48" t="s">
        <v>88</v>
      </c>
      <c r="C208" s="79">
        <v>0.4</v>
      </c>
      <c r="D208" s="79">
        <f t="shared" si="73"/>
        <v>0.43041608958157496</v>
      </c>
      <c r="E208" s="49">
        <v>44150</v>
      </c>
      <c r="F208" s="49">
        <v>43800</v>
      </c>
      <c r="G208" s="49">
        <v>6419324700</v>
      </c>
      <c r="H208" s="49">
        <f t="shared" si="74"/>
        <v>0.45585619760779</v>
      </c>
      <c r="I208" s="49">
        <f t="shared" si="85"/>
        <v>0.45585619760779</v>
      </c>
      <c r="J208" s="48">
        <v>0.3</v>
      </c>
      <c r="K208" s="48">
        <f t="shared" si="75"/>
        <v>0.27188161737239669</v>
      </c>
      <c r="L208" s="48">
        <v>236500</v>
      </c>
      <c r="M208" s="48">
        <v>240000</v>
      </c>
      <c r="N208" s="51">
        <v>125395903</v>
      </c>
      <c r="O208" s="48">
        <f t="shared" si="76"/>
        <v>2.6902217281479599</v>
      </c>
      <c r="P208" s="48">
        <f t="shared" si="86"/>
        <v>2.6902217281479599</v>
      </c>
      <c r="Q208" s="49">
        <v>0.3</v>
      </c>
      <c r="R208" s="49">
        <f t="shared" si="77"/>
        <v>0.29770229304602819</v>
      </c>
      <c r="S208" s="49">
        <v>197900</v>
      </c>
      <c r="T208" s="49">
        <v>204000</v>
      </c>
      <c r="U208" s="49">
        <v>15956260</v>
      </c>
      <c r="V208" s="49">
        <f t="shared" si="78"/>
        <v>27.2347710204326</v>
      </c>
      <c r="W208" s="49">
        <f t="shared" si="87"/>
        <v>27.2347710204326</v>
      </c>
      <c r="X208" s="48">
        <v>0</v>
      </c>
      <c r="Y208" s="48">
        <f t="shared" si="79"/>
        <v>0</v>
      </c>
      <c r="Z208" s="48">
        <v>0</v>
      </c>
      <c r="AA208" s="48">
        <v>0</v>
      </c>
      <c r="AB208" s="48">
        <v>0</v>
      </c>
      <c r="AC208" s="48">
        <f t="shared" si="80"/>
        <v>0</v>
      </c>
      <c r="AD208" s="48">
        <f t="shared" si="88"/>
        <v>0</v>
      </c>
      <c r="AE208" s="49">
        <v>0</v>
      </c>
      <c r="AF208" s="49">
        <f t="shared" si="81"/>
        <v>0</v>
      </c>
      <c r="AG208" s="19">
        <v>27400</v>
      </c>
      <c r="AH208" s="19">
        <v>26300</v>
      </c>
      <c r="AI208" s="19">
        <v>7234332</v>
      </c>
      <c r="AJ208" s="119">
        <f t="shared" si="82"/>
        <v>0</v>
      </c>
      <c r="AK208" s="49">
        <f t="shared" si="89"/>
        <v>0</v>
      </c>
      <c r="AL208" s="82">
        <f t="shared" si="90"/>
        <v>0</v>
      </c>
      <c r="AM208" s="82">
        <f t="shared" si="91"/>
        <v>291304837464665.44</v>
      </c>
      <c r="AN208" s="81">
        <f t="shared" si="83"/>
        <v>297785001691475.12</v>
      </c>
      <c r="AO208" s="80">
        <f t="shared" si="69"/>
        <v>1022.2453024920868</v>
      </c>
      <c r="AP208" s="52">
        <f t="shared" si="84"/>
        <v>9.5171467524251697E-3</v>
      </c>
      <c r="AQ208" s="48">
        <f t="shared" si="70"/>
        <v>-7.9275198187995465E-3</v>
      </c>
      <c r="AR208" s="48">
        <f t="shared" si="71"/>
        <v>1.4799154334038054E-2</v>
      </c>
      <c r="AS208" s="48">
        <f t="shared" si="72"/>
        <v>3.0823648307225872E-2</v>
      </c>
      <c r="AT208" s="48" t="e">
        <f>(#REF!-#REF!)/#REF!</f>
        <v>#REF!</v>
      </c>
    </row>
    <row r="209" spans="1:46" x14ac:dyDescent="0.3">
      <c r="A209" s="48">
        <v>20181106</v>
      </c>
      <c r="B209" s="48" t="s">
        <v>88</v>
      </c>
      <c r="C209" s="79">
        <v>0.4</v>
      </c>
      <c r="D209" s="79">
        <f t="shared" si="73"/>
        <v>0.43015099029018</v>
      </c>
      <c r="E209" s="49">
        <v>43800</v>
      </c>
      <c r="F209" s="49">
        <v>43750</v>
      </c>
      <c r="G209" s="49">
        <v>6419324700</v>
      </c>
      <c r="H209" s="49">
        <f t="shared" si="74"/>
        <v>0.45585619760779</v>
      </c>
      <c r="I209" s="49">
        <f t="shared" si="85"/>
        <v>0.45585619760779</v>
      </c>
      <c r="J209" s="48">
        <v>0.3</v>
      </c>
      <c r="K209" s="48">
        <f t="shared" si="75"/>
        <v>0.27315812836823089</v>
      </c>
      <c r="L209" s="48">
        <v>240000</v>
      </c>
      <c r="M209" s="48">
        <v>241000</v>
      </c>
      <c r="N209" s="51">
        <v>125395903</v>
      </c>
      <c r="O209" s="48">
        <f t="shared" si="76"/>
        <v>2.6902217281479599</v>
      </c>
      <c r="P209" s="48">
        <f t="shared" si="86"/>
        <v>2.6902217281479599</v>
      </c>
      <c r="Q209" s="49">
        <v>0.3</v>
      </c>
      <c r="R209" s="49">
        <f t="shared" si="77"/>
        <v>0.296690881341589</v>
      </c>
      <c r="S209" s="49">
        <v>204000</v>
      </c>
      <c r="T209" s="49">
        <v>203200</v>
      </c>
      <c r="U209" s="49">
        <v>15956260</v>
      </c>
      <c r="V209" s="49">
        <f t="shared" si="78"/>
        <v>27.2347710204326</v>
      </c>
      <c r="W209" s="49">
        <f t="shared" si="87"/>
        <v>27.2347710204326</v>
      </c>
      <c r="X209" s="48">
        <v>0</v>
      </c>
      <c r="Y209" s="48">
        <f t="shared" si="79"/>
        <v>0</v>
      </c>
      <c r="Z209" s="48">
        <v>0</v>
      </c>
      <c r="AA209" s="48">
        <v>0</v>
      </c>
      <c r="AB209" s="48">
        <v>0</v>
      </c>
      <c r="AC209" s="48">
        <f t="shared" si="80"/>
        <v>0</v>
      </c>
      <c r="AD209" s="48">
        <f t="shared" si="88"/>
        <v>0</v>
      </c>
      <c r="AE209" s="49">
        <v>0</v>
      </c>
      <c r="AF209" s="49">
        <f t="shared" si="81"/>
        <v>0</v>
      </c>
      <c r="AG209" s="19">
        <v>26300</v>
      </c>
      <c r="AH209" s="19">
        <v>26350</v>
      </c>
      <c r="AI209" s="19">
        <v>7234332</v>
      </c>
      <c r="AJ209" s="119">
        <f t="shared" si="82"/>
        <v>0</v>
      </c>
      <c r="AK209" s="49">
        <f t="shared" si="89"/>
        <v>0</v>
      </c>
      <c r="AL209" s="82">
        <f t="shared" si="90"/>
        <v>0</v>
      </c>
      <c r="AM209" s="82">
        <f t="shared" si="91"/>
        <v>291304837464665.44</v>
      </c>
      <c r="AN209" s="81">
        <f t="shared" si="83"/>
        <v>297628377956944.87</v>
      </c>
      <c r="AO209" s="80">
        <f t="shared" si="69"/>
        <v>1021.7076398295186</v>
      </c>
      <c r="AP209" s="52">
        <f t="shared" si="84"/>
        <v>-5.2596246836005521E-4</v>
      </c>
      <c r="AQ209" s="48">
        <f t="shared" si="70"/>
        <v>-1.1415525114155251E-3</v>
      </c>
      <c r="AR209" s="48">
        <f t="shared" si="71"/>
        <v>4.1666666666666666E-3</v>
      </c>
      <c r="AS209" s="48">
        <f t="shared" si="72"/>
        <v>-3.9215686274509803E-3</v>
      </c>
      <c r="AT209" s="48" t="e">
        <f>(#REF!-#REF!)/#REF!</f>
        <v>#REF!</v>
      </c>
    </row>
    <row r="210" spans="1:46" x14ac:dyDescent="0.3">
      <c r="A210" s="48">
        <v>20181107</v>
      </c>
      <c r="B210" s="48" t="s">
        <v>88</v>
      </c>
      <c r="C210" s="79">
        <v>0.4</v>
      </c>
      <c r="D210" s="79">
        <f t="shared" si="73"/>
        <v>0.43665018044189402</v>
      </c>
      <c r="E210" s="49">
        <v>43750</v>
      </c>
      <c r="F210" s="49">
        <v>44000</v>
      </c>
      <c r="G210" s="49">
        <v>6419324700</v>
      </c>
      <c r="H210" s="49">
        <f t="shared" si="74"/>
        <v>0.45585619760779</v>
      </c>
      <c r="I210" s="49">
        <f t="shared" si="85"/>
        <v>0.45585619760779</v>
      </c>
      <c r="J210" s="48">
        <v>0.3</v>
      </c>
      <c r="K210" s="48">
        <f t="shared" si="75"/>
        <v>0.2671296335889779</v>
      </c>
      <c r="L210" s="48">
        <v>241000</v>
      </c>
      <c r="M210" s="48">
        <v>233500</v>
      </c>
      <c r="N210" s="51">
        <v>125395903</v>
      </c>
      <c r="O210" s="48">
        <f t="shared" si="76"/>
        <v>2.6902217281479599</v>
      </c>
      <c r="P210" s="48">
        <f t="shared" si="86"/>
        <v>2.6902217281479599</v>
      </c>
      <c r="Q210" s="49">
        <v>0.3</v>
      </c>
      <c r="R210" s="49">
        <f t="shared" si="77"/>
        <v>0.29622018596912808</v>
      </c>
      <c r="S210" s="49">
        <v>203200</v>
      </c>
      <c r="T210" s="49">
        <v>201000</v>
      </c>
      <c r="U210" s="49">
        <v>15956260</v>
      </c>
      <c r="V210" s="49">
        <f t="shared" si="78"/>
        <v>27.2347710204326</v>
      </c>
      <c r="W210" s="49">
        <f t="shared" si="87"/>
        <v>27.2347710204326</v>
      </c>
      <c r="X210" s="48">
        <v>0</v>
      </c>
      <c r="Y210" s="48">
        <f t="shared" si="79"/>
        <v>0</v>
      </c>
      <c r="Z210" s="48">
        <v>0</v>
      </c>
      <c r="AA210" s="48">
        <v>0</v>
      </c>
      <c r="AB210" s="48">
        <v>0</v>
      </c>
      <c r="AC210" s="48">
        <f t="shared" si="80"/>
        <v>0</v>
      </c>
      <c r="AD210" s="48">
        <f t="shared" si="88"/>
        <v>0</v>
      </c>
      <c r="AE210" s="49">
        <v>0</v>
      </c>
      <c r="AF210" s="49">
        <f t="shared" si="81"/>
        <v>0</v>
      </c>
      <c r="AG210" s="19">
        <v>26350</v>
      </c>
      <c r="AH210" s="19">
        <v>25150</v>
      </c>
      <c r="AI210" s="19">
        <v>7234332</v>
      </c>
      <c r="AJ210" s="119">
        <f t="shared" si="82"/>
        <v>0</v>
      </c>
      <c r="AK210" s="49">
        <f t="shared" si="89"/>
        <v>0</v>
      </c>
      <c r="AL210" s="82">
        <f t="shared" si="90"/>
        <v>0</v>
      </c>
      <c r="AM210" s="82">
        <f t="shared" si="91"/>
        <v>291304837464665.44</v>
      </c>
      <c r="AN210" s="81">
        <f t="shared" si="83"/>
        <v>294873836130274.31</v>
      </c>
      <c r="AO210" s="80">
        <f t="shared" si="69"/>
        <v>1012.2517658706638</v>
      </c>
      <c r="AP210" s="52">
        <f t="shared" si="84"/>
        <v>-9.2549703948896726E-3</v>
      </c>
      <c r="AQ210" s="48">
        <f t="shared" si="70"/>
        <v>5.7142857142857143E-3</v>
      </c>
      <c r="AR210" s="48">
        <f t="shared" si="71"/>
        <v>-3.1120331950207469E-2</v>
      </c>
      <c r="AS210" s="48">
        <f t="shared" si="72"/>
        <v>-1.0826771653543307E-2</v>
      </c>
      <c r="AT210" s="48" t="e">
        <f>(#REF!-#REF!)/#REF!</f>
        <v>#REF!</v>
      </c>
    </row>
    <row r="211" spans="1:46" x14ac:dyDescent="0.3">
      <c r="A211" s="48">
        <v>20181108</v>
      </c>
      <c r="B211" s="48" t="s">
        <v>88</v>
      </c>
      <c r="C211" s="79">
        <v>0.4</v>
      </c>
      <c r="D211" s="79">
        <f t="shared" si="73"/>
        <v>0.4333666973260652</v>
      </c>
      <c r="E211" s="49">
        <v>44000</v>
      </c>
      <c r="F211" s="49">
        <v>44050</v>
      </c>
      <c r="G211" s="49">
        <v>6419324700</v>
      </c>
      <c r="H211" s="49">
        <f t="shared" si="74"/>
        <v>0.45585619760779</v>
      </c>
      <c r="I211" s="49">
        <f t="shared" si="85"/>
        <v>0.45585619760779</v>
      </c>
      <c r="J211" s="48">
        <v>0.3</v>
      </c>
      <c r="K211" s="48">
        <f t="shared" si="75"/>
        <v>0.27049062724236328</v>
      </c>
      <c r="L211" s="48">
        <v>233500</v>
      </c>
      <c r="M211" s="48">
        <v>238500</v>
      </c>
      <c r="N211" s="51">
        <v>125395903</v>
      </c>
      <c r="O211" s="48">
        <f t="shared" si="76"/>
        <v>2.6902217281479599</v>
      </c>
      <c r="P211" s="48">
        <f t="shared" si="86"/>
        <v>2.6902217281479599</v>
      </c>
      <c r="Q211" s="49">
        <v>0.3</v>
      </c>
      <c r="R211" s="49">
        <f t="shared" si="77"/>
        <v>0.29614267543157141</v>
      </c>
      <c r="S211" s="49">
        <v>201000</v>
      </c>
      <c r="T211" s="49">
        <v>202700</v>
      </c>
      <c r="U211" s="49">
        <v>15956260</v>
      </c>
      <c r="V211" s="49">
        <f t="shared" si="78"/>
        <v>27.2347710204326</v>
      </c>
      <c r="W211" s="49">
        <f t="shared" si="87"/>
        <v>27.2347710204326</v>
      </c>
      <c r="X211" s="48">
        <v>0</v>
      </c>
      <c r="Y211" s="48">
        <f t="shared" si="79"/>
        <v>0</v>
      </c>
      <c r="Z211" s="48">
        <v>0</v>
      </c>
      <c r="AA211" s="48">
        <v>0</v>
      </c>
      <c r="AB211" s="48">
        <v>0</v>
      </c>
      <c r="AC211" s="48">
        <f t="shared" si="80"/>
        <v>0</v>
      </c>
      <c r="AD211" s="48">
        <f t="shared" si="88"/>
        <v>0</v>
      </c>
      <c r="AE211" s="49">
        <v>0</v>
      </c>
      <c r="AF211" s="49">
        <f t="shared" si="81"/>
        <v>0</v>
      </c>
      <c r="AG211" s="19">
        <v>25150</v>
      </c>
      <c r="AH211" s="19">
        <v>24250</v>
      </c>
      <c r="AI211" s="19">
        <v>7234332</v>
      </c>
      <c r="AJ211" s="119">
        <f t="shared" si="82"/>
        <v>0</v>
      </c>
      <c r="AK211" s="49">
        <f t="shared" si="89"/>
        <v>0</v>
      </c>
      <c r="AL211" s="82">
        <f t="shared" si="90"/>
        <v>0</v>
      </c>
      <c r="AM211" s="82">
        <f t="shared" si="91"/>
        <v>291304837464665.44</v>
      </c>
      <c r="AN211" s="81">
        <f t="shared" si="83"/>
        <v>297445625140730.81</v>
      </c>
      <c r="AO211" s="80">
        <f t="shared" si="69"/>
        <v>1021.0802804701458</v>
      </c>
      <c r="AP211" s="52">
        <f t="shared" si="84"/>
        <v>8.7216588769181928E-3</v>
      </c>
      <c r="AQ211" s="48">
        <f t="shared" si="70"/>
        <v>1.1363636363636363E-3</v>
      </c>
      <c r="AR211" s="48">
        <f t="shared" si="71"/>
        <v>2.1413276231263382E-2</v>
      </c>
      <c r="AS211" s="48">
        <f t="shared" si="72"/>
        <v>8.4577114427860697E-3</v>
      </c>
      <c r="AT211" s="48" t="e">
        <f>(#REF!-#REF!)/#REF!</f>
        <v>#REF!</v>
      </c>
    </row>
    <row r="212" spans="1:46" x14ac:dyDescent="0.3">
      <c r="A212" s="48">
        <v>20181109</v>
      </c>
      <c r="B212" s="48" t="s">
        <v>88</v>
      </c>
      <c r="C212" s="79">
        <v>0.4</v>
      </c>
      <c r="D212" s="79">
        <f t="shared" si="73"/>
        <v>0.44519429732751126</v>
      </c>
      <c r="E212" s="49">
        <v>44050</v>
      </c>
      <c r="F212" s="49">
        <v>44300</v>
      </c>
      <c r="G212" s="49">
        <v>6419324700</v>
      </c>
      <c r="H212" s="49">
        <f t="shared" si="74"/>
        <v>0.45585619760779</v>
      </c>
      <c r="I212" s="49">
        <f t="shared" si="85"/>
        <v>0.45585619760779</v>
      </c>
      <c r="J212" s="48">
        <v>0.3</v>
      </c>
      <c r="K212" s="48">
        <f t="shared" si="75"/>
        <v>0.26587822597482136</v>
      </c>
      <c r="L212" s="48">
        <v>238500</v>
      </c>
      <c r="M212" s="48">
        <v>229500</v>
      </c>
      <c r="N212" s="51">
        <v>125395903</v>
      </c>
      <c r="O212" s="48">
        <f t="shared" si="76"/>
        <v>2.6902217281479599</v>
      </c>
      <c r="P212" s="48">
        <f t="shared" si="86"/>
        <v>2.6902217281479599</v>
      </c>
      <c r="Q212" s="49">
        <v>0.3</v>
      </c>
      <c r="R212" s="49">
        <f t="shared" si="77"/>
        <v>0.28892747669766727</v>
      </c>
      <c r="S212" s="49">
        <v>202700</v>
      </c>
      <c r="T212" s="49">
        <v>193600</v>
      </c>
      <c r="U212" s="49">
        <v>15956260</v>
      </c>
      <c r="V212" s="49">
        <f t="shared" si="78"/>
        <v>27.2347710204326</v>
      </c>
      <c r="W212" s="49">
        <f t="shared" si="87"/>
        <v>27.2347710204326</v>
      </c>
      <c r="X212" s="48">
        <v>0</v>
      </c>
      <c r="Y212" s="48">
        <f t="shared" si="79"/>
        <v>0</v>
      </c>
      <c r="Z212" s="48">
        <v>0</v>
      </c>
      <c r="AA212" s="48">
        <v>0</v>
      </c>
      <c r="AB212" s="48">
        <v>0</v>
      </c>
      <c r="AC212" s="48">
        <f t="shared" si="80"/>
        <v>0</v>
      </c>
      <c r="AD212" s="48">
        <f t="shared" si="88"/>
        <v>0</v>
      </c>
      <c r="AE212" s="49">
        <v>0</v>
      </c>
      <c r="AF212" s="49">
        <f t="shared" si="81"/>
        <v>0</v>
      </c>
      <c r="AG212" s="19">
        <v>24250</v>
      </c>
      <c r="AH212" s="19">
        <v>23350</v>
      </c>
      <c r="AI212" s="19">
        <v>7234332</v>
      </c>
      <c r="AJ212" s="119">
        <f t="shared" si="82"/>
        <v>0</v>
      </c>
      <c r="AK212" s="49">
        <f t="shared" si="89"/>
        <v>0</v>
      </c>
      <c r="AL212" s="82">
        <f t="shared" si="90"/>
        <v>0</v>
      </c>
      <c r="AM212" s="82">
        <f t="shared" si="91"/>
        <v>291304837464665.44</v>
      </c>
      <c r="AN212" s="81">
        <f t="shared" si="83"/>
        <v>291186570036400.12</v>
      </c>
      <c r="AO212" s="80">
        <f t="shared" si="69"/>
        <v>999.59400801821687</v>
      </c>
      <c r="AP212" s="52">
        <f t="shared" si="84"/>
        <v>-2.1042686714149248E-2</v>
      </c>
      <c r="AQ212" s="48">
        <f t="shared" si="70"/>
        <v>5.6753688989784334E-3</v>
      </c>
      <c r="AR212" s="48">
        <f t="shared" si="71"/>
        <v>-3.7735849056603772E-2</v>
      </c>
      <c r="AS212" s="48">
        <f t="shared" si="72"/>
        <v>-4.4893931919092252E-2</v>
      </c>
      <c r="AT212" s="48" t="e">
        <f>(#REF!-#REF!)/#REF!</f>
        <v>#REF!</v>
      </c>
    </row>
    <row r="213" spans="1:46" x14ac:dyDescent="0.3">
      <c r="A213" s="48">
        <v>20181112</v>
      </c>
      <c r="B213" s="48" t="s">
        <v>88</v>
      </c>
      <c r="C213" s="79">
        <v>0.4</v>
      </c>
      <c r="D213" s="79">
        <f t="shared" si="73"/>
        <v>0.47396463630747737</v>
      </c>
      <c r="E213" s="49">
        <v>44300</v>
      </c>
      <c r="F213" s="49">
        <v>45200</v>
      </c>
      <c r="G213" s="49">
        <v>6419324700</v>
      </c>
      <c r="H213" s="49">
        <f t="shared" si="74"/>
        <v>0.45585619760779</v>
      </c>
      <c r="I213" s="49">
        <f t="shared" si="85"/>
        <v>0.45585619760779</v>
      </c>
      <c r="J213" s="48">
        <v>0.3</v>
      </c>
      <c r="K213" s="48">
        <f t="shared" si="75"/>
        <v>0.24418168695508052</v>
      </c>
      <c r="L213" s="48">
        <v>229500</v>
      </c>
      <c r="M213" s="48">
        <v>202000</v>
      </c>
      <c r="N213" s="51">
        <v>125395903</v>
      </c>
      <c r="O213" s="48">
        <f t="shared" si="76"/>
        <v>2.6902217281479599</v>
      </c>
      <c r="P213" s="48">
        <f t="shared" si="86"/>
        <v>2.6902217281479599</v>
      </c>
      <c r="Q213" s="49">
        <v>0.3</v>
      </c>
      <c r="R213" s="49">
        <f t="shared" si="77"/>
        <v>0.2818536767374421</v>
      </c>
      <c r="S213" s="49">
        <v>193600</v>
      </c>
      <c r="T213" s="49">
        <v>181000</v>
      </c>
      <c r="U213" s="49">
        <v>15956260</v>
      </c>
      <c r="V213" s="49">
        <f t="shared" si="78"/>
        <v>27.2347710204326</v>
      </c>
      <c r="W213" s="49">
        <f t="shared" si="87"/>
        <v>27.2347710204326</v>
      </c>
      <c r="X213" s="48">
        <v>0</v>
      </c>
      <c r="Y213" s="48">
        <f t="shared" si="79"/>
        <v>0</v>
      </c>
      <c r="Z213" s="48">
        <v>0</v>
      </c>
      <c r="AA213" s="48">
        <v>0</v>
      </c>
      <c r="AB213" s="48">
        <v>0</v>
      </c>
      <c r="AC213" s="48">
        <f t="shared" si="80"/>
        <v>0</v>
      </c>
      <c r="AD213" s="48">
        <f t="shared" si="88"/>
        <v>0</v>
      </c>
      <c r="AE213" s="49">
        <v>0</v>
      </c>
      <c r="AF213" s="49">
        <f t="shared" si="81"/>
        <v>0</v>
      </c>
      <c r="AG213" s="19">
        <v>23350</v>
      </c>
      <c r="AH213" s="19">
        <v>22200</v>
      </c>
      <c r="AI213" s="19">
        <v>7234332</v>
      </c>
      <c r="AJ213" s="119">
        <f t="shared" si="82"/>
        <v>0</v>
      </c>
      <c r="AK213" s="49">
        <f t="shared" si="89"/>
        <v>0</v>
      </c>
      <c r="AL213" s="82">
        <f t="shared" si="90"/>
        <v>0</v>
      </c>
      <c r="AM213" s="82">
        <f t="shared" si="91"/>
        <v>291304837464665.44</v>
      </c>
      <c r="AN213" s="81">
        <f t="shared" si="83"/>
        <v>279067783459719.66</v>
      </c>
      <c r="AO213" s="80">
        <f t="shared" si="69"/>
        <v>957.99227327822837</v>
      </c>
      <c r="AP213" s="52">
        <f t="shared" si="84"/>
        <v>-4.1618631570698991E-2</v>
      </c>
      <c r="AQ213" s="48">
        <f t="shared" si="70"/>
        <v>2.0316027088036117E-2</v>
      </c>
      <c r="AR213" s="48">
        <f t="shared" si="71"/>
        <v>-0.11982570806100218</v>
      </c>
      <c r="AS213" s="48">
        <f t="shared" si="72"/>
        <v>-6.5082644628099179E-2</v>
      </c>
      <c r="AT213" s="48" t="e">
        <f>(#REF!-#REF!)/#REF!</f>
        <v>#REF!</v>
      </c>
    </row>
    <row r="214" spans="1:46" x14ac:dyDescent="0.3">
      <c r="A214" s="48">
        <v>20181113</v>
      </c>
      <c r="B214" s="48" t="s">
        <v>88</v>
      </c>
      <c r="C214" s="79">
        <v>0.4</v>
      </c>
      <c r="D214" s="79">
        <f t="shared" si="73"/>
        <v>0.46755503139993193</v>
      </c>
      <c r="E214" s="49">
        <v>45200</v>
      </c>
      <c r="F214" s="49">
        <v>44500</v>
      </c>
      <c r="G214" s="49">
        <v>6419324700</v>
      </c>
      <c r="H214" s="49">
        <f t="shared" si="74"/>
        <v>0.45585619760779</v>
      </c>
      <c r="I214" s="49">
        <f t="shared" si="85"/>
        <v>0.45585619760779</v>
      </c>
      <c r="J214" s="48">
        <v>0.3</v>
      </c>
      <c r="K214" s="48">
        <f t="shared" si="75"/>
        <v>0.24285179446173463</v>
      </c>
      <c r="L214" s="48">
        <v>202000</v>
      </c>
      <c r="M214" s="48">
        <v>200500</v>
      </c>
      <c r="N214" s="51">
        <v>125395903</v>
      </c>
      <c r="O214" s="48">
        <f t="shared" si="76"/>
        <v>2.6902217281479599</v>
      </c>
      <c r="P214" s="48">
        <f t="shared" si="86"/>
        <v>2.6902217281479599</v>
      </c>
      <c r="Q214" s="49">
        <v>0.3</v>
      </c>
      <c r="R214" s="49">
        <f t="shared" si="77"/>
        <v>0.28959317413833346</v>
      </c>
      <c r="S214" s="49">
        <v>181000</v>
      </c>
      <c r="T214" s="49">
        <v>185600</v>
      </c>
      <c r="U214" s="49">
        <v>15956260</v>
      </c>
      <c r="V214" s="49">
        <f t="shared" si="78"/>
        <v>27.2347710204326</v>
      </c>
      <c r="W214" s="49">
        <f t="shared" si="87"/>
        <v>27.2347710204326</v>
      </c>
      <c r="X214" s="48">
        <v>0</v>
      </c>
      <c r="Y214" s="48">
        <f t="shared" si="79"/>
        <v>0</v>
      </c>
      <c r="Z214" s="48">
        <v>0</v>
      </c>
      <c r="AA214" s="48">
        <v>0</v>
      </c>
      <c r="AB214" s="48">
        <v>0</v>
      </c>
      <c r="AC214" s="48">
        <f t="shared" si="80"/>
        <v>0</v>
      </c>
      <c r="AD214" s="48">
        <f t="shared" si="88"/>
        <v>0</v>
      </c>
      <c r="AE214" s="49">
        <v>0</v>
      </c>
      <c r="AF214" s="49">
        <f t="shared" si="81"/>
        <v>0</v>
      </c>
      <c r="AG214" s="19">
        <v>22200</v>
      </c>
      <c r="AH214" s="19">
        <v>22250</v>
      </c>
      <c r="AI214" s="19">
        <v>7234332</v>
      </c>
      <c r="AJ214" s="119">
        <f t="shared" si="82"/>
        <v>0</v>
      </c>
      <c r="AK214" s="49">
        <f t="shared" si="89"/>
        <v>0</v>
      </c>
      <c r="AL214" s="82">
        <f t="shared" si="90"/>
        <v>0</v>
      </c>
      <c r="AM214" s="82">
        <f t="shared" si="91"/>
        <v>291304837464665.44</v>
      </c>
      <c r="AN214" s="81">
        <f t="shared" si="83"/>
        <v>278512366423381.84</v>
      </c>
      <c r="AO214" s="80">
        <f t="shared" si="69"/>
        <v>956.08562098514665</v>
      </c>
      <c r="AP214" s="52">
        <f t="shared" si="84"/>
        <v>-1.9902585294943958E-3</v>
      </c>
      <c r="AQ214" s="48">
        <f t="shared" si="70"/>
        <v>-1.5486725663716814E-2</v>
      </c>
      <c r="AR214" s="48">
        <f t="shared" si="71"/>
        <v>-7.4257425742574254E-3</v>
      </c>
      <c r="AS214" s="48">
        <f t="shared" si="72"/>
        <v>2.541436464088398E-2</v>
      </c>
      <c r="AT214" s="48" t="e">
        <f>(#REF!-#REF!)/#REF!</f>
        <v>#REF!</v>
      </c>
    </row>
    <row r="215" spans="1:46" x14ac:dyDescent="0.3">
      <c r="A215" s="48">
        <v>20181114</v>
      </c>
      <c r="B215" s="48" t="s">
        <v>88</v>
      </c>
      <c r="C215" s="79">
        <v>0.4</v>
      </c>
      <c r="D215" s="79">
        <f t="shared" si="73"/>
        <v>0.46124466514265278</v>
      </c>
      <c r="E215" s="49">
        <v>44500</v>
      </c>
      <c r="F215" s="49">
        <v>44100</v>
      </c>
      <c r="G215" s="49">
        <v>6419324700</v>
      </c>
      <c r="H215" s="49">
        <f t="shared" si="74"/>
        <v>0.45585619760779</v>
      </c>
      <c r="I215" s="49">
        <f t="shared" si="85"/>
        <v>0.45585619760779</v>
      </c>
      <c r="J215" s="48">
        <v>0.3</v>
      </c>
      <c r="K215" s="48">
        <f t="shared" si="75"/>
        <v>0.25079005899495588</v>
      </c>
      <c r="L215" s="48">
        <v>200500</v>
      </c>
      <c r="M215" s="48">
        <v>208000</v>
      </c>
      <c r="N215" s="51">
        <v>125395903</v>
      </c>
      <c r="O215" s="48">
        <f t="shared" si="76"/>
        <v>2.6902217281479599</v>
      </c>
      <c r="P215" s="48">
        <f t="shared" si="86"/>
        <v>2.6902217281479599</v>
      </c>
      <c r="Q215" s="49">
        <v>0.3</v>
      </c>
      <c r="R215" s="49">
        <f t="shared" si="77"/>
        <v>0.28796527586239129</v>
      </c>
      <c r="S215" s="49">
        <v>185600</v>
      </c>
      <c r="T215" s="49">
        <v>185400</v>
      </c>
      <c r="U215" s="49">
        <v>15956260</v>
      </c>
      <c r="V215" s="49">
        <f t="shared" si="78"/>
        <v>27.2347710204326</v>
      </c>
      <c r="W215" s="49">
        <f t="shared" si="87"/>
        <v>27.2347710204326</v>
      </c>
      <c r="X215" s="48">
        <v>0</v>
      </c>
      <c r="Y215" s="48">
        <f t="shared" si="79"/>
        <v>0</v>
      </c>
      <c r="Z215" s="48">
        <v>0</v>
      </c>
      <c r="AA215" s="48">
        <v>0</v>
      </c>
      <c r="AB215" s="48">
        <v>0</v>
      </c>
      <c r="AC215" s="48">
        <f t="shared" si="80"/>
        <v>0</v>
      </c>
      <c r="AD215" s="48">
        <f t="shared" si="88"/>
        <v>0</v>
      </c>
      <c r="AE215" s="49">
        <v>0</v>
      </c>
      <c r="AF215" s="49">
        <f t="shared" si="81"/>
        <v>0</v>
      </c>
      <c r="AG215" s="19">
        <v>22250</v>
      </c>
      <c r="AH215" s="19">
        <v>20500</v>
      </c>
      <c r="AI215" s="19">
        <v>7234332</v>
      </c>
      <c r="AJ215" s="119">
        <f t="shared" si="82"/>
        <v>0</v>
      </c>
      <c r="AK215" s="49">
        <f t="shared" si="89"/>
        <v>0</v>
      </c>
      <c r="AL215" s="82">
        <f t="shared" si="90"/>
        <v>0</v>
      </c>
      <c r="AM215" s="82">
        <f t="shared" si="91"/>
        <v>291304837464665.44</v>
      </c>
      <c r="AN215" s="81">
        <f t="shared" si="83"/>
        <v>279785008697847.66</v>
      </c>
      <c r="AO215" s="80">
        <f t="shared" si="69"/>
        <v>960.45438562888569</v>
      </c>
      <c r="AP215" s="52">
        <f t="shared" si="84"/>
        <v>4.5694282476892436E-3</v>
      </c>
      <c r="AQ215" s="48">
        <f t="shared" si="70"/>
        <v>-8.988764044943821E-3</v>
      </c>
      <c r="AR215" s="48">
        <f t="shared" si="71"/>
        <v>3.7406483790523692E-2</v>
      </c>
      <c r="AS215" s="48">
        <f t="shared" si="72"/>
        <v>-1.0775862068965517E-3</v>
      </c>
      <c r="AT215" s="48" t="e">
        <f>(#REF!-#REF!)/#REF!</f>
        <v>#REF!</v>
      </c>
    </row>
    <row r="216" spans="1:46" s="47" customFormat="1" x14ac:dyDescent="0.3">
      <c r="A216" s="48">
        <v>20181115</v>
      </c>
      <c r="B216" s="48" t="s">
        <v>88</v>
      </c>
      <c r="C216" s="79">
        <v>0.4</v>
      </c>
      <c r="D216" s="79">
        <f t="shared" si="73"/>
        <v>0.4551356622837609</v>
      </c>
      <c r="E216" s="49">
        <v>44100</v>
      </c>
      <c r="F216" s="49">
        <v>44250</v>
      </c>
      <c r="G216" s="49">
        <v>6419324700</v>
      </c>
      <c r="H216" s="49">
        <f t="shared" si="74"/>
        <v>0.45585619760779</v>
      </c>
      <c r="I216" s="49">
        <f t="shared" si="85"/>
        <v>0.508822879481031</v>
      </c>
      <c r="J216" s="48">
        <v>0.3</v>
      </c>
      <c r="K216" s="48">
        <f t="shared" si="75"/>
        <v>0.25907961824197495</v>
      </c>
      <c r="L216" s="48">
        <v>208000</v>
      </c>
      <c r="M216" s="48">
        <v>218500</v>
      </c>
      <c r="N216" s="51">
        <v>125456133</v>
      </c>
      <c r="O216" s="48">
        <f t="shared" si="76"/>
        <v>2.6902217281479599</v>
      </c>
      <c r="P216" s="48">
        <f t="shared" si="86"/>
        <v>3.0013614083773201</v>
      </c>
      <c r="Q216" s="49">
        <v>0.3</v>
      </c>
      <c r="R216" s="49">
        <f t="shared" si="77"/>
        <v>0.2857847194742642</v>
      </c>
      <c r="S216" s="49">
        <v>185400</v>
      </c>
      <c r="T216" s="49">
        <v>187100</v>
      </c>
      <c r="U216" s="49">
        <v>15956260</v>
      </c>
      <c r="V216" s="49">
        <f t="shared" si="78"/>
        <v>27.2347710204326</v>
      </c>
      <c r="W216" s="49">
        <f t="shared" si="87"/>
        <v>30.399223889780099</v>
      </c>
      <c r="X216" s="48">
        <v>0</v>
      </c>
      <c r="Y216" s="48">
        <f t="shared" si="79"/>
        <v>0</v>
      </c>
      <c r="Z216" s="48">
        <v>0</v>
      </c>
      <c r="AA216" s="48">
        <v>0</v>
      </c>
      <c r="AB216" s="48">
        <v>0</v>
      </c>
      <c r="AC216" s="48">
        <f t="shared" si="80"/>
        <v>0</v>
      </c>
      <c r="AD216" s="48">
        <f t="shared" si="88"/>
        <v>0</v>
      </c>
      <c r="AE216" s="49">
        <v>0</v>
      </c>
      <c r="AF216" s="49">
        <f t="shared" si="81"/>
        <v>0</v>
      </c>
      <c r="AG216" s="19">
        <v>20500</v>
      </c>
      <c r="AH216" s="19">
        <v>20200</v>
      </c>
      <c r="AI216" s="19">
        <v>7234332</v>
      </c>
      <c r="AJ216" s="119">
        <f t="shared" si="82"/>
        <v>0</v>
      </c>
      <c r="AK216" s="49">
        <f t="shared" si="89"/>
        <v>0</v>
      </c>
      <c r="AL216" s="82">
        <f t="shared" si="90"/>
        <v>1</v>
      </c>
      <c r="AM216" s="82">
        <f t="shared" si="91"/>
        <v>325152025975201.56</v>
      </c>
      <c r="AN216" s="81">
        <f t="shared" si="83"/>
        <v>317561894258358.12</v>
      </c>
      <c r="AO216" s="80">
        <f t="shared" si="69"/>
        <v>976.6566679260909</v>
      </c>
      <c r="AP216" s="52">
        <f t="shared" si="84"/>
        <v>1.6869392799530293E-2</v>
      </c>
      <c r="AQ216" s="48">
        <f t="shared" si="70"/>
        <v>3.4013605442176869E-3</v>
      </c>
      <c r="AR216" s="48">
        <f t="shared" si="71"/>
        <v>5.0480769230769232E-2</v>
      </c>
      <c r="AS216" s="48">
        <f t="shared" si="72"/>
        <v>9.1693635382955763E-3</v>
      </c>
      <c r="AT216" s="48" t="e">
        <f>(#REF!-#REF!)/#REF!</f>
        <v>#REF!</v>
      </c>
    </row>
    <row r="217" spans="1:46" x14ac:dyDescent="0.3">
      <c r="A217" s="48">
        <v>20181116</v>
      </c>
      <c r="B217" s="48" t="s">
        <v>88</v>
      </c>
      <c r="C217" s="79">
        <v>0.4</v>
      </c>
      <c r="D217" s="79">
        <f t="shared" si="73"/>
        <v>0.44853169131379123</v>
      </c>
      <c r="E217" s="49">
        <v>44250</v>
      </c>
      <c r="F217" s="49">
        <v>44000</v>
      </c>
      <c r="G217" s="49">
        <v>6419324700</v>
      </c>
      <c r="H217" s="49">
        <f t="shared" si="74"/>
        <v>0.508822879481031</v>
      </c>
      <c r="I217" s="49">
        <f t="shared" si="85"/>
        <v>0.508822879481031</v>
      </c>
      <c r="J217" s="48">
        <v>0.3</v>
      </c>
      <c r="K217" s="48">
        <f t="shared" si="75"/>
        <v>0.26323442947165188</v>
      </c>
      <c r="L217" s="48">
        <v>218500</v>
      </c>
      <c r="M217" s="48">
        <v>224000</v>
      </c>
      <c r="N217" s="51">
        <v>125456133</v>
      </c>
      <c r="O217" s="48">
        <f t="shared" si="76"/>
        <v>3.0013614083773201</v>
      </c>
      <c r="P217" s="48">
        <f t="shared" si="86"/>
        <v>3.0013614083773201</v>
      </c>
      <c r="Q217" s="49">
        <v>0.3</v>
      </c>
      <c r="R217" s="49">
        <f t="shared" si="77"/>
        <v>0.2882338792145569</v>
      </c>
      <c r="S217" s="49">
        <v>187100</v>
      </c>
      <c r="T217" s="49">
        <v>190400</v>
      </c>
      <c r="U217" s="49">
        <v>15956260</v>
      </c>
      <c r="V217" s="49">
        <f t="shared" si="78"/>
        <v>30.399223889780099</v>
      </c>
      <c r="W217" s="49">
        <f t="shared" si="87"/>
        <v>30.399223889780099</v>
      </c>
      <c r="X217" s="48">
        <v>0</v>
      </c>
      <c r="Y217" s="48">
        <f t="shared" si="79"/>
        <v>0</v>
      </c>
      <c r="Z217" s="48">
        <v>0</v>
      </c>
      <c r="AA217" s="48">
        <v>0</v>
      </c>
      <c r="AB217" s="48">
        <v>0</v>
      </c>
      <c r="AC217" s="48">
        <f t="shared" si="80"/>
        <v>0</v>
      </c>
      <c r="AD217" s="48">
        <f t="shared" si="88"/>
        <v>0</v>
      </c>
      <c r="AE217" s="49">
        <v>0</v>
      </c>
      <c r="AF217" s="49">
        <f t="shared" si="81"/>
        <v>0</v>
      </c>
      <c r="AG217" s="19">
        <v>20200</v>
      </c>
      <c r="AH217" s="19">
        <v>21050</v>
      </c>
      <c r="AI217" s="19">
        <v>7234332</v>
      </c>
      <c r="AJ217" s="119">
        <f t="shared" si="82"/>
        <v>0</v>
      </c>
      <c r="AK217" s="49">
        <f t="shared" si="89"/>
        <v>0</v>
      </c>
      <c r="AL217" s="82">
        <f t="shared" si="90"/>
        <v>0</v>
      </c>
      <c r="AM217" s="82">
        <f t="shared" si="91"/>
        <v>325152025975201.56</v>
      </c>
      <c r="AN217" s="81">
        <f t="shared" si="83"/>
        <v>320416976153586.87</v>
      </c>
      <c r="AO217" s="80">
        <f t="shared" si="69"/>
        <v>985.437427900339</v>
      </c>
      <c r="AP217" s="52">
        <f t="shared" si="84"/>
        <v>8.9906312654311274E-3</v>
      </c>
      <c r="AQ217" s="48">
        <f t="shared" si="70"/>
        <v>-5.6497175141242938E-3</v>
      </c>
      <c r="AR217" s="48">
        <f t="shared" si="71"/>
        <v>2.5171624713958809E-2</v>
      </c>
      <c r="AS217" s="48">
        <f t="shared" si="72"/>
        <v>1.7637626937466594E-2</v>
      </c>
      <c r="AT217" s="48" t="e">
        <f>(#REF!-#REF!)/#REF!</f>
        <v>#REF!</v>
      </c>
    </row>
    <row r="218" spans="1:46" x14ac:dyDescent="0.3">
      <c r="A218" s="48">
        <v>20181119</v>
      </c>
      <c r="B218" s="48" t="s">
        <v>88</v>
      </c>
      <c r="C218" s="79">
        <v>0.4</v>
      </c>
      <c r="D218" s="79">
        <f t="shared" si="73"/>
        <v>0.4364897180854837</v>
      </c>
      <c r="E218" s="49">
        <v>44000</v>
      </c>
      <c r="F218" s="49">
        <v>43650</v>
      </c>
      <c r="G218" s="49">
        <v>6419324700</v>
      </c>
      <c r="H218" s="49">
        <f t="shared" si="74"/>
        <v>0.508822879481031</v>
      </c>
      <c r="I218" s="49">
        <f t="shared" si="85"/>
        <v>0.508822879481031</v>
      </c>
      <c r="J218" s="48">
        <v>0.3</v>
      </c>
      <c r="K218" s="48">
        <f t="shared" si="75"/>
        <v>0.2639851324948625</v>
      </c>
      <c r="L218" s="48">
        <v>224000</v>
      </c>
      <c r="M218" s="48">
        <v>229000</v>
      </c>
      <c r="N218" s="51">
        <v>125456133</v>
      </c>
      <c r="O218" s="48">
        <f t="shared" si="76"/>
        <v>3.0013614083773201</v>
      </c>
      <c r="P218" s="48">
        <f t="shared" si="86"/>
        <v>3.0013614083773201</v>
      </c>
      <c r="Q218" s="49">
        <v>0.3</v>
      </c>
      <c r="R218" s="49">
        <f t="shared" si="77"/>
        <v>0.29952514941965375</v>
      </c>
      <c r="S218" s="49">
        <v>190400</v>
      </c>
      <c r="T218" s="49">
        <v>201700</v>
      </c>
      <c r="U218" s="49">
        <v>15956260</v>
      </c>
      <c r="V218" s="49">
        <f t="shared" si="78"/>
        <v>30.399223889780099</v>
      </c>
      <c r="W218" s="49">
        <f t="shared" si="87"/>
        <v>30.399223889780099</v>
      </c>
      <c r="X218" s="48">
        <v>0</v>
      </c>
      <c r="Y218" s="48">
        <f t="shared" si="79"/>
        <v>0</v>
      </c>
      <c r="Z218" s="118">
        <v>0</v>
      </c>
      <c r="AA218" s="118">
        <v>0</v>
      </c>
      <c r="AB218" s="118">
        <v>0</v>
      </c>
      <c r="AC218" s="48">
        <f t="shared" si="80"/>
        <v>0</v>
      </c>
      <c r="AD218" s="48">
        <f t="shared" si="88"/>
        <v>0</v>
      </c>
      <c r="AE218" s="49">
        <v>0</v>
      </c>
      <c r="AF218" s="49">
        <f t="shared" si="81"/>
        <v>0</v>
      </c>
      <c r="AG218" s="19">
        <v>21050</v>
      </c>
      <c r="AH218" s="19">
        <v>20850</v>
      </c>
      <c r="AI218" s="19">
        <v>7234332</v>
      </c>
      <c r="AJ218" s="119">
        <f t="shared" si="82"/>
        <v>0</v>
      </c>
      <c r="AK218" s="49">
        <f t="shared" si="89"/>
        <v>0</v>
      </c>
      <c r="AL218" s="82">
        <f t="shared" si="90"/>
        <v>0</v>
      </c>
      <c r="AM218" s="82">
        <f t="shared" si="91"/>
        <v>325152025975201.56</v>
      </c>
      <c r="AN218" s="81">
        <f t="shared" si="83"/>
        <v>326637621884451</v>
      </c>
      <c r="AO218" s="80">
        <f t="shared" si="69"/>
        <v>1004.5689271189186</v>
      </c>
      <c r="AP218" s="52">
        <f t="shared" si="84"/>
        <v>1.9414220200000828E-2</v>
      </c>
      <c r="AQ218" s="48">
        <f t="shared" si="70"/>
        <v>-7.9545454545454537E-3</v>
      </c>
      <c r="AR218" s="48">
        <f t="shared" si="71"/>
        <v>2.2321428571428572E-2</v>
      </c>
      <c r="AS218" s="48">
        <f t="shared" si="72"/>
        <v>5.9348739495798317E-2</v>
      </c>
      <c r="AT218" s="48" t="e">
        <f>(#REF!-#REF!)/#REF!</f>
        <v>#REF!</v>
      </c>
    </row>
    <row r="219" spans="1:46" x14ac:dyDescent="0.3">
      <c r="A219" s="48">
        <v>20181120</v>
      </c>
      <c r="B219" s="48" t="s">
        <v>88</v>
      </c>
      <c r="C219" s="79">
        <v>0.4</v>
      </c>
      <c r="D219" s="79">
        <f t="shared" si="73"/>
        <v>0.43733421284795215</v>
      </c>
      <c r="E219" s="49">
        <v>43650</v>
      </c>
      <c r="F219" s="49">
        <v>42800</v>
      </c>
      <c r="G219" s="49">
        <v>6419324700</v>
      </c>
      <c r="H219" s="49">
        <f t="shared" si="74"/>
        <v>0.508822879481031</v>
      </c>
      <c r="I219" s="49">
        <f t="shared" si="85"/>
        <v>0.508822879481031</v>
      </c>
      <c r="J219" s="48">
        <v>0.3</v>
      </c>
      <c r="K219" s="48">
        <f t="shared" si="75"/>
        <v>0.26798180115429243</v>
      </c>
      <c r="L219" s="48">
        <v>229000</v>
      </c>
      <c r="M219" s="48">
        <v>227500</v>
      </c>
      <c r="N219" s="51">
        <v>125456133</v>
      </c>
      <c r="O219" s="48">
        <f t="shared" si="76"/>
        <v>3.0013614083773201</v>
      </c>
      <c r="P219" s="48">
        <f t="shared" si="86"/>
        <v>3.0013614083773201</v>
      </c>
      <c r="Q219" s="49">
        <v>0.3</v>
      </c>
      <c r="R219" s="49">
        <f t="shared" si="77"/>
        <v>0.29468398599775542</v>
      </c>
      <c r="S219" s="49">
        <v>201700</v>
      </c>
      <c r="T219" s="49">
        <v>194200</v>
      </c>
      <c r="U219" s="49">
        <v>15956260</v>
      </c>
      <c r="V219" s="49">
        <f t="shared" si="78"/>
        <v>30.399223889780099</v>
      </c>
      <c r="W219" s="49">
        <f t="shared" si="87"/>
        <v>30.399223889780099</v>
      </c>
      <c r="X219" s="48">
        <v>0</v>
      </c>
      <c r="Y219" s="76">
        <f t="shared" si="79"/>
        <v>0</v>
      </c>
      <c r="Z219" s="18">
        <v>10325</v>
      </c>
      <c r="AA219" s="18">
        <v>10190</v>
      </c>
      <c r="AB219" s="18">
        <v>4500000</v>
      </c>
      <c r="AC219" s="117">
        <f t="shared" si="80"/>
        <v>0</v>
      </c>
      <c r="AD219" s="48">
        <f t="shared" si="88"/>
        <v>0</v>
      </c>
      <c r="AE219" s="49">
        <v>0</v>
      </c>
      <c r="AF219" s="49">
        <f t="shared" si="81"/>
        <v>0</v>
      </c>
      <c r="AG219" s="19">
        <v>20850</v>
      </c>
      <c r="AH219" s="19">
        <v>19700</v>
      </c>
      <c r="AI219" s="19">
        <v>7234332</v>
      </c>
      <c r="AJ219" s="119">
        <f t="shared" si="82"/>
        <v>0</v>
      </c>
      <c r="AK219" s="49">
        <f t="shared" si="89"/>
        <v>0</v>
      </c>
      <c r="AL219" s="82">
        <f t="shared" si="90"/>
        <v>0</v>
      </c>
      <c r="AM219" s="82">
        <f t="shared" si="91"/>
        <v>325152025975201.56</v>
      </c>
      <c r="AN219" s="81">
        <f t="shared" si="83"/>
        <v>319658524302577.69</v>
      </c>
      <c r="AO219" s="80">
        <f t="shared" si="69"/>
        <v>983.10482102595654</v>
      </c>
      <c r="AP219" s="52">
        <f t="shared" si="84"/>
        <v>-2.1366484183938144E-2</v>
      </c>
      <c r="AQ219" s="48">
        <f t="shared" si="70"/>
        <v>-1.9473081328751432E-2</v>
      </c>
      <c r="AR219" s="48">
        <f t="shared" si="71"/>
        <v>-6.5502183406113534E-3</v>
      </c>
      <c r="AS219" s="48">
        <f t="shared" si="72"/>
        <v>-3.7183936539414972E-2</v>
      </c>
      <c r="AT219" s="48" t="e">
        <f>(#REF!-#REF!)/#REF!</f>
        <v>#REF!</v>
      </c>
    </row>
    <row r="220" spans="1:46" x14ac:dyDescent="0.3">
      <c r="A220" s="48">
        <v>20181121</v>
      </c>
      <c r="B220" s="48" t="s">
        <v>88</v>
      </c>
      <c r="C220" s="79">
        <v>0.4</v>
      </c>
      <c r="D220" s="79">
        <f t="shared" si="73"/>
        <v>0.43664456050895262</v>
      </c>
      <c r="E220" s="49">
        <v>42800</v>
      </c>
      <c r="F220" s="49">
        <v>42100</v>
      </c>
      <c r="G220" s="49">
        <v>6419324700</v>
      </c>
      <c r="H220" s="49">
        <f t="shared" si="74"/>
        <v>0.508822879481031</v>
      </c>
      <c r="I220" s="49">
        <f t="shared" si="85"/>
        <v>0.508822879481031</v>
      </c>
      <c r="J220" s="48">
        <v>0.3</v>
      </c>
      <c r="K220" s="48">
        <f t="shared" si="75"/>
        <v>0.26901883811444199</v>
      </c>
      <c r="L220" s="48">
        <v>227500</v>
      </c>
      <c r="M220" s="48">
        <v>225000</v>
      </c>
      <c r="N220" s="51">
        <v>125456133</v>
      </c>
      <c r="O220" s="48">
        <f t="shared" si="76"/>
        <v>3.0013614083773201</v>
      </c>
      <c r="P220" s="48">
        <f t="shared" si="86"/>
        <v>3.0013614083773201</v>
      </c>
      <c r="Q220" s="49">
        <v>0.3</v>
      </c>
      <c r="R220" s="49">
        <f t="shared" si="77"/>
        <v>0.29433660137660539</v>
      </c>
      <c r="S220" s="49">
        <v>194200</v>
      </c>
      <c r="T220" s="49">
        <v>191100</v>
      </c>
      <c r="U220" s="49">
        <v>15956260</v>
      </c>
      <c r="V220" s="49">
        <f t="shared" si="78"/>
        <v>30.399223889780099</v>
      </c>
      <c r="W220" s="49">
        <f t="shared" si="87"/>
        <v>30.399223889780099</v>
      </c>
      <c r="X220" s="48">
        <v>0</v>
      </c>
      <c r="Y220" s="76">
        <f t="shared" si="79"/>
        <v>0</v>
      </c>
      <c r="Z220" s="18">
        <v>10190</v>
      </c>
      <c r="AA220" s="18">
        <v>10090</v>
      </c>
      <c r="AB220" s="18">
        <v>4500000</v>
      </c>
      <c r="AC220" s="117">
        <f t="shared" si="80"/>
        <v>0</v>
      </c>
      <c r="AD220" s="48">
        <f t="shared" si="88"/>
        <v>0</v>
      </c>
      <c r="AE220" s="49">
        <v>0</v>
      </c>
      <c r="AF220" s="49">
        <f t="shared" si="81"/>
        <v>0</v>
      </c>
      <c r="AG220" s="19">
        <v>19700</v>
      </c>
      <c r="AH220" s="19">
        <v>19050</v>
      </c>
      <c r="AI220" s="19">
        <v>7234332</v>
      </c>
      <c r="AJ220" s="119">
        <f t="shared" si="82"/>
        <v>0</v>
      </c>
      <c r="AK220" s="49">
        <f t="shared" si="89"/>
        <v>0</v>
      </c>
      <c r="AL220" s="82">
        <f t="shared" si="90"/>
        <v>0</v>
      </c>
      <c r="AM220" s="82">
        <f t="shared" si="91"/>
        <v>325152025975201.56</v>
      </c>
      <c r="AN220" s="81">
        <f t="shared" si="83"/>
        <v>314927087265208.19</v>
      </c>
      <c r="AO220" s="80">
        <f t="shared" si="69"/>
        <v>968.55335998806538</v>
      </c>
      <c r="AP220" s="52">
        <f t="shared" si="84"/>
        <v>-1.4801535631475621E-2</v>
      </c>
      <c r="AQ220" s="48">
        <f t="shared" si="70"/>
        <v>-1.6355140186915886E-2</v>
      </c>
      <c r="AR220" s="48">
        <f t="shared" si="71"/>
        <v>-1.098901098901099E-2</v>
      </c>
      <c r="AS220" s="48">
        <f t="shared" si="72"/>
        <v>-1.596292481977343E-2</v>
      </c>
      <c r="AT220" s="48" t="e">
        <f>(#REF!-#REF!)/#REF!</f>
        <v>#REF!</v>
      </c>
    </row>
    <row r="221" spans="1:46" x14ac:dyDescent="0.3">
      <c r="A221" s="48">
        <v>20181122</v>
      </c>
      <c r="B221" s="48" t="s">
        <v>88</v>
      </c>
      <c r="C221" s="79">
        <v>0.4</v>
      </c>
      <c r="D221" s="79">
        <f t="shared" si="73"/>
        <v>0.43717434338696065</v>
      </c>
      <c r="E221" s="49">
        <v>42100</v>
      </c>
      <c r="F221" s="49">
        <v>42450</v>
      </c>
      <c r="G221" s="49">
        <v>6419324700</v>
      </c>
      <c r="H221" s="49">
        <f t="shared" si="74"/>
        <v>0.508822879481031</v>
      </c>
      <c r="I221" s="49">
        <f t="shared" si="85"/>
        <v>0.508822879481031</v>
      </c>
      <c r="J221" s="48">
        <v>0.3</v>
      </c>
      <c r="K221" s="48">
        <f t="shared" si="75"/>
        <v>0.2647500500950265</v>
      </c>
      <c r="L221" s="48">
        <v>225000</v>
      </c>
      <c r="M221" s="48">
        <v>223000</v>
      </c>
      <c r="N221" s="51">
        <v>125456133</v>
      </c>
      <c r="O221" s="48">
        <f t="shared" si="76"/>
        <v>3.0013614083773201</v>
      </c>
      <c r="P221" s="48">
        <f t="shared" si="86"/>
        <v>3.0013614083773201</v>
      </c>
      <c r="Q221" s="49">
        <v>0.3</v>
      </c>
      <c r="R221" s="49">
        <f t="shared" si="77"/>
        <v>0.29807560651801279</v>
      </c>
      <c r="S221" s="49">
        <v>191100</v>
      </c>
      <c r="T221" s="49">
        <v>194900</v>
      </c>
      <c r="U221" s="49">
        <v>15956260</v>
      </c>
      <c r="V221" s="49">
        <f t="shared" si="78"/>
        <v>30.399223889780099</v>
      </c>
      <c r="W221" s="49">
        <f t="shared" si="87"/>
        <v>30.399223889780099</v>
      </c>
      <c r="X221" s="48">
        <v>0</v>
      </c>
      <c r="Y221" s="76">
        <f t="shared" si="79"/>
        <v>0</v>
      </c>
      <c r="Z221" s="18">
        <v>10090</v>
      </c>
      <c r="AA221" s="18">
        <v>10115</v>
      </c>
      <c r="AB221" s="18">
        <v>4500000</v>
      </c>
      <c r="AC221" s="117">
        <f t="shared" si="80"/>
        <v>0</v>
      </c>
      <c r="AD221" s="48">
        <f t="shared" si="88"/>
        <v>0</v>
      </c>
      <c r="AE221" s="49">
        <v>0</v>
      </c>
      <c r="AF221" s="49">
        <f t="shared" si="81"/>
        <v>0</v>
      </c>
      <c r="AG221" s="19">
        <v>19050</v>
      </c>
      <c r="AH221" s="19">
        <v>18350</v>
      </c>
      <c r="AI221" s="19">
        <v>7234332</v>
      </c>
      <c r="AJ221" s="119">
        <f t="shared" si="82"/>
        <v>0</v>
      </c>
      <c r="AK221" s="49">
        <f t="shared" si="89"/>
        <v>0</v>
      </c>
      <c r="AL221" s="82">
        <f t="shared" si="90"/>
        <v>0</v>
      </c>
      <c r="AM221" s="82">
        <f t="shared" si="91"/>
        <v>325152025975201.56</v>
      </c>
      <c r="AN221" s="81">
        <f t="shared" si="83"/>
        <v>317160433717206.94</v>
      </c>
      <c r="AO221" s="80">
        <f t="shared" si="69"/>
        <v>975.42198227421125</v>
      </c>
      <c r="AP221" s="52">
        <f t="shared" si="84"/>
        <v>7.0916302290567664E-3</v>
      </c>
      <c r="AQ221" s="48">
        <f t="shared" si="70"/>
        <v>8.3135391923990498E-3</v>
      </c>
      <c r="AR221" s="48">
        <f t="shared" si="71"/>
        <v>-8.8888888888888889E-3</v>
      </c>
      <c r="AS221" s="48">
        <f t="shared" si="72"/>
        <v>1.9884877027734171E-2</v>
      </c>
      <c r="AT221" s="48" t="e">
        <f>(#REF!-#REF!)/#REF!</f>
        <v>#REF!</v>
      </c>
    </row>
    <row r="222" spans="1:46" x14ac:dyDescent="0.3">
      <c r="A222" s="48">
        <v>20181123</v>
      </c>
      <c r="B222" s="48" t="s">
        <v>88</v>
      </c>
      <c r="C222" s="79">
        <v>0.4</v>
      </c>
      <c r="D222" s="79">
        <f t="shared" si="73"/>
        <v>0.44178715806775298</v>
      </c>
      <c r="E222" s="49">
        <v>42450</v>
      </c>
      <c r="F222" s="49">
        <v>42400</v>
      </c>
      <c r="G222" s="49">
        <v>6419324700</v>
      </c>
      <c r="H222" s="49">
        <f t="shared" si="74"/>
        <v>0.508822879481031</v>
      </c>
      <c r="I222" s="49">
        <f t="shared" si="85"/>
        <v>0.508822879481031</v>
      </c>
      <c r="J222" s="48">
        <v>0.3</v>
      </c>
      <c r="K222" s="48">
        <f t="shared" si="75"/>
        <v>0.26545671805585019</v>
      </c>
      <c r="L222" s="48">
        <v>223000</v>
      </c>
      <c r="M222" s="48">
        <v>221000</v>
      </c>
      <c r="N222" s="51">
        <v>125456133</v>
      </c>
      <c r="O222" s="48">
        <f t="shared" si="76"/>
        <v>3.0013614083773201</v>
      </c>
      <c r="P222" s="48">
        <f t="shared" si="86"/>
        <v>3.0013614083773201</v>
      </c>
      <c r="Q222" s="49">
        <v>0.3</v>
      </c>
      <c r="R222" s="49">
        <f t="shared" si="77"/>
        <v>0.29275612387639693</v>
      </c>
      <c r="S222" s="49">
        <v>194900</v>
      </c>
      <c r="T222" s="49">
        <v>189200</v>
      </c>
      <c r="U222" s="49">
        <v>15956260</v>
      </c>
      <c r="V222" s="49">
        <f t="shared" si="78"/>
        <v>30.399223889780099</v>
      </c>
      <c r="W222" s="49">
        <f t="shared" si="87"/>
        <v>30.399223889780099</v>
      </c>
      <c r="X222" s="48">
        <v>0</v>
      </c>
      <c r="Y222" s="76">
        <f t="shared" si="79"/>
        <v>0</v>
      </c>
      <c r="Z222" s="18">
        <v>10115</v>
      </c>
      <c r="AA222" s="18">
        <v>10065</v>
      </c>
      <c r="AB222" s="18">
        <v>4500000</v>
      </c>
      <c r="AC222" s="117">
        <f t="shared" si="80"/>
        <v>0</v>
      </c>
      <c r="AD222" s="48">
        <f t="shared" si="88"/>
        <v>0</v>
      </c>
      <c r="AE222" s="49">
        <v>0</v>
      </c>
      <c r="AF222" s="49">
        <f t="shared" si="81"/>
        <v>0</v>
      </c>
      <c r="AG222" s="19">
        <v>18350</v>
      </c>
      <c r="AH222" s="19">
        <v>17200</v>
      </c>
      <c r="AI222" s="19">
        <v>7234332</v>
      </c>
      <c r="AJ222" s="119">
        <f t="shared" si="82"/>
        <v>0</v>
      </c>
      <c r="AK222" s="49">
        <f t="shared" si="89"/>
        <v>0</v>
      </c>
      <c r="AL222" s="82">
        <f t="shared" si="90"/>
        <v>0</v>
      </c>
      <c r="AM222" s="82">
        <f t="shared" si="91"/>
        <v>325152025975201.56</v>
      </c>
      <c r="AN222" s="81">
        <f t="shared" si="83"/>
        <v>313479210216190.94</v>
      </c>
      <c r="AO222" s="80">
        <f t="shared" si="69"/>
        <v>964.10043663728891</v>
      </c>
      <c r="AP222" s="52">
        <f t="shared" si="84"/>
        <v>-1.1606818220895515E-2</v>
      </c>
      <c r="AQ222" s="48">
        <f t="shared" si="70"/>
        <v>-1.1778563015312131E-3</v>
      </c>
      <c r="AR222" s="48">
        <f t="shared" si="71"/>
        <v>-8.9686098654708519E-3</v>
      </c>
      <c r="AS222" s="48">
        <f t="shared" si="72"/>
        <v>-2.9245767060030785E-2</v>
      </c>
      <c r="AT222" s="48" t="e">
        <f>(#REF!-#REF!)/#REF!</f>
        <v>#REF!</v>
      </c>
    </row>
    <row r="223" spans="1:46" x14ac:dyDescent="0.3">
      <c r="A223" s="48">
        <v>20181126</v>
      </c>
      <c r="B223" s="48" t="s">
        <v>88</v>
      </c>
      <c r="C223" s="79">
        <v>0.4</v>
      </c>
      <c r="D223" s="79">
        <f t="shared" si="73"/>
        <v>0.42926866795035035</v>
      </c>
      <c r="E223" s="49">
        <v>42400</v>
      </c>
      <c r="F223" s="49">
        <v>42600</v>
      </c>
      <c r="G223" s="49">
        <v>6419324700</v>
      </c>
      <c r="H223" s="49">
        <f t="shared" si="74"/>
        <v>0.508822879481031</v>
      </c>
      <c r="I223" s="49">
        <f t="shared" si="85"/>
        <v>0.508822879481031</v>
      </c>
      <c r="J223" s="48">
        <v>0.3</v>
      </c>
      <c r="K223" s="48">
        <f t="shared" si="75"/>
        <v>0.27937586711674001</v>
      </c>
      <c r="L223" s="48">
        <v>221000</v>
      </c>
      <c r="M223" s="48">
        <v>240500</v>
      </c>
      <c r="N223" s="51">
        <v>125456133</v>
      </c>
      <c r="O223" s="48">
        <f t="shared" si="76"/>
        <v>3.0013614083773201</v>
      </c>
      <c r="P223" s="48">
        <f t="shared" si="86"/>
        <v>3.0013614083773201</v>
      </c>
      <c r="Q223" s="49">
        <v>0.3</v>
      </c>
      <c r="R223" s="49">
        <f t="shared" si="77"/>
        <v>0.29135546493290959</v>
      </c>
      <c r="S223" s="49">
        <v>189200</v>
      </c>
      <c r="T223" s="49">
        <v>194700</v>
      </c>
      <c r="U223" s="49">
        <v>15956260</v>
      </c>
      <c r="V223" s="49">
        <f t="shared" si="78"/>
        <v>30.399223889780099</v>
      </c>
      <c r="W223" s="49">
        <f t="shared" si="87"/>
        <v>30.399223889780099</v>
      </c>
      <c r="X223" s="48">
        <v>0</v>
      </c>
      <c r="Y223" s="76">
        <f t="shared" si="79"/>
        <v>0</v>
      </c>
      <c r="Z223" s="18">
        <v>10065</v>
      </c>
      <c r="AA223" s="18">
        <v>10190</v>
      </c>
      <c r="AB223" s="18">
        <v>4500000</v>
      </c>
      <c r="AC223" s="117">
        <f t="shared" si="80"/>
        <v>0</v>
      </c>
      <c r="AD223" s="48">
        <f t="shared" si="88"/>
        <v>0</v>
      </c>
      <c r="AE223" s="49">
        <v>0</v>
      </c>
      <c r="AF223" s="49">
        <f t="shared" si="81"/>
        <v>0</v>
      </c>
      <c r="AG223" s="19">
        <v>17200</v>
      </c>
      <c r="AH223" s="19">
        <v>17400</v>
      </c>
      <c r="AI223" s="19">
        <v>7234332</v>
      </c>
      <c r="AJ223" s="119">
        <f t="shared" si="82"/>
        <v>0</v>
      </c>
      <c r="AK223" s="49">
        <f t="shared" si="89"/>
        <v>0</v>
      </c>
      <c r="AL223" s="82">
        <f t="shared" si="90"/>
        <v>0</v>
      </c>
      <c r="AM223" s="82">
        <f t="shared" si="91"/>
        <v>325152025975201.56</v>
      </c>
      <c r="AN223" s="81">
        <f t="shared" si="83"/>
        <v>324142802955429.81</v>
      </c>
      <c r="AO223" s="80">
        <f t="shared" si="69"/>
        <v>996.8961502954046</v>
      </c>
      <c r="AP223" s="52">
        <f t="shared" si="84"/>
        <v>3.4016905720429619E-2</v>
      </c>
      <c r="AQ223" s="48">
        <f t="shared" si="70"/>
        <v>4.7169811320754715E-3</v>
      </c>
      <c r="AR223" s="48">
        <f t="shared" si="71"/>
        <v>8.8235294117647065E-2</v>
      </c>
      <c r="AS223" s="48">
        <f t="shared" si="72"/>
        <v>2.9069767441860465E-2</v>
      </c>
      <c r="AT223" s="48" t="e">
        <f>(#REF!-#REF!)/#REF!</f>
        <v>#REF!</v>
      </c>
    </row>
    <row r="224" spans="1:46" x14ac:dyDescent="0.3">
      <c r="A224" s="48">
        <v>20181127</v>
      </c>
      <c r="B224" s="48" t="s">
        <v>88</v>
      </c>
      <c r="C224" s="79">
        <v>0.4</v>
      </c>
      <c r="D224" s="79">
        <f t="shared" si="73"/>
        <v>0.42791866458538846</v>
      </c>
      <c r="E224" s="49">
        <v>42600</v>
      </c>
      <c r="F224" s="49">
        <v>43050</v>
      </c>
      <c r="G224" s="49">
        <v>6419324700</v>
      </c>
      <c r="H224" s="49">
        <f t="shared" si="74"/>
        <v>0.508822879481031</v>
      </c>
      <c r="I224" s="49">
        <f t="shared" si="85"/>
        <v>0.508822879481031</v>
      </c>
      <c r="J224" s="48">
        <v>0.3</v>
      </c>
      <c r="K224" s="48">
        <f t="shared" si="75"/>
        <v>0.2727214183705885</v>
      </c>
      <c r="L224" s="48">
        <v>240500</v>
      </c>
      <c r="M224" s="48">
        <v>238000</v>
      </c>
      <c r="N224" s="51">
        <v>125456133</v>
      </c>
      <c r="O224" s="48">
        <f t="shared" si="76"/>
        <v>3.0013614083773201</v>
      </c>
      <c r="P224" s="48">
        <f t="shared" si="86"/>
        <v>3.0013614083773201</v>
      </c>
      <c r="Q224" s="49">
        <v>0.3</v>
      </c>
      <c r="R224" s="49">
        <f t="shared" si="77"/>
        <v>0.29935991704402309</v>
      </c>
      <c r="S224" s="49">
        <v>194700</v>
      </c>
      <c r="T224" s="49">
        <v>202800</v>
      </c>
      <c r="U224" s="49">
        <v>15956260</v>
      </c>
      <c r="V224" s="49">
        <f t="shared" si="78"/>
        <v>30.399223889780099</v>
      </c>
      <c r="W224" s="49">
        <f t="shared" si="87"/>
        <v>30.399223889780099</v>
      </c>
      <c r="X224" s="48">
        <v>0</v>
      </c>
      <c r="Y224" s="76">
        <f t="shared" si="79"/>
        <v>0</v>
      </c>
      <c r="Z224" s="18">
        <v>10190</v>
      </c>
      <c r="AA224" s="18">
        <v>10290</v>
      </c>
      <c r="AB224" s="18">
        <v>4500000</v>
      </c>
      <c r="AC224" s="117">
        <f t="shared" si="80"/>
        <v>0</v>
      </c>
      <c r="AD224" s="48">
        <f t="shared" si="88"/>
        <v>0</v>
      </c>
      <c r="AE224" s="49">
        <v>0</v>
      </c>
      <c r="AF224" s="49">
        <f t="shared" si="81"/>
        <v>0</v>
      </c>
      <c r="AG224" s="19">
        <v>17400</v>
      </c>
      <c r="AH224" s="19">
        <v>18150</v>
      </c>
      <c r="AI224" s="19">
        <v>7234332</v>
      </c>
      <c r="AJ224" s="119">
        <f t="shared" si="82"/>
        <v>0</v>
      </c>
      <c r="AK224" s="49">
        <f t="shared" si="89"/>
        <v>0</v>
      </c>
      <c r="AL224" s="82">
        <f t="shared" si="90"/>
        <v>0</v>
      </c>
      <c r="AM224" s="82">
        <f t="shared" si="91"/>
        <v>325152025975201.56</v>
      </c>
      <c r="AN224" s="81">
        <f t="shared" si="83"/>
        <v>328600258794020.31</v>
      </c>
      <c r="AO224" s="80">
        <f t="shared" si="69"/>
        <v>1010.6049864166669</v>
      </c>
      <c r="AP224" s="52">
        <f t="shared" si="84"/>
        <v>1.3751518768730328E-2</v>
      </c>
      <c r="AQ224" s="48">
        <f t="shared" si="70"/>
        <v>1.0563380281690141E-2</v>
      </c>
      <c r="AR224" s="48">
        <f t="shared" si="71"/>
        <v>-1.0395010395010396E-2</v>
      </c>
      <c r="AS224" s="48">
        <f t="shared" si="72"/>
        <v>4.1602465331278891E-2</v>
      </c>
      <c r="AT224" s="48" t="e">
        <f>(#REF!-#REF!)/#REF!</f>
        <v>#REF!</v>
      </c>
    </row>
    <row r="225" spans="1:46" x14ac:dyDescent="0.3">
      <c r="A225" s="48">
        <v>20181128</v>
      </c>
      <c r="B225" s="48" t="s">
        <v>88</v>
      </c>
      <c r="C225" s="79">
        <v>0.4</v>
      </c>
      <c r="D225" s="79">
        <f t="shared" si="73"/>
        <v>0.43189580772278147</v>
      </c>
      <c r="E225" s="49">
        <v>43050</v>
      </c>
      <c r="F225" s="49">
        <v>43150</v>
      </c>
      <c r="G225" s="49">
        <v>6419324700</v>
      </c>
      <c r="H225" s="49">
        <f t="shared" si="74"/>
        <v>0.508822879481031</v>
      </c>
      <c r="I225" s="49">
        <f t="shared" si="85"/>
        <v>0.508822879481031</v>
      </c>
      <c r="J225" s="48">
        <v>0.3</v>
      </c>
      <c r="K225" s="48">
        <f t="shared" si="75"/>
        <v>0.27231051247667803</v>
      </c>
      <c r="L225" s="48">
        <v>238000</v>
      </c>
      <c r="M225" s="48">
        <v>236000</v>
      </c>
      <c r="N225" s="51">
        <v>125456133</v>
      </c>
      <c r="O225" s="48">
        <f t="shared" si="76"/>
        <v>3.0013614083773201</v>
      </c>
      <c r="P225" s="48">
        <f t="shared" si="86"/>
        <v>3.0013614083773201</v>
      </c>
      <c r="Q225" s="49">
        <v>0.3</v>
      </c>
      <c r="R225" s="49">
        <f t="shared" si="77"/>
        <v>0.2957936798005405</v>
      </c>
      <c r="S225" s="49">
        <v>202800</v>
      </c>
      <c r="T225" s="49">
        <v>199000</v>
      </c>
      <c r="U225" s="49">
        <v>15956260</v>
      </c>
      <c r="V225" s="49">
        <f t="shared" si="78"/>
        <v>30.399223889780099</v>
      </c>
      <c r="W225" s="49">
        <f t="shared" si="87"/>
        <v>30.399223889780099</v>
      </c>
      <c r="X225" s="48">
        <v>0</v>
      </c>
      <c r="Y225" s="76">
        <f t="shared" si="79"/>
        <v>0</v>
      </c>
      <c r="Z225" s="18">
        <v>10290</v>
      </c>
      <c r="AA225" s="18">
        <v>10300</v>
      </c>
      <c r="AB225" s="18">
        <v>4500000</v>
      </c>
      <c r="AC225" s="117">
        <f t="shared" si="80"/>
        <v>0</v>
      </c>
      <c r="AD225" s="48">
        <f t="shared" si="88"/>
        <v>0</v>
      </c>
      <c r="AE225" s="49">
        <v>0</v>
      </c>
      <c r="AF225" s="49">
        <f t="shared" si="81"/>
        <v>0</v>
      </c>
      <c r="AG225" s="19">
        <v>18150</v>
      </c>
      <c r="AH225" s="19">
        <v>18500</v>
      </c>
      <c r="AI225" s="19">
        <v>7234332</v>
      </c>
      <c r="AJ225" s="119">
        <f t="shared" si="82"/>
        <v>0</v>
      </c>
      <c r="AK225" s="49">
        <f t="shared" si="89"/>
        <v>0</v>
      </c>
      <c r="AL225" s="82">
        <f t="shared" si="90"/>
        <v>0</v>
      </c>
      <c r="AM225" s="82">
        <f t="shared" si="91"/>
        <v>325152025975201.56</v>
      </c>
      <c r="AN225" s="81">
        <f t="shared" si="83"/>
        <v>326330590233079.75</v>
      </c>
      <c r="AO225" s="80">
        <f t="shared" si="69"/>
        <v>1003.6246560492539</v>
      </c>
      <c r="AP225" s="52">
        <f t="shared" si="84"/>
        <v>-6.9070808686224287E-3</v>
      </c>
      <c r="AQ225" s="48">
        <f t="shared" si="70"/>
        <v>2.3228803716608595E-3</v>
      </c>
      <c r="AR225" s="48">
        <f t="shared" si="71"/>
        <v>-8.4033613445378148E-3</v>
      </c>
      <c r="AS225" s="48">
        <f t="shared" si="72"/>
        <v>-1.8737672583826429E-2</v>
      </c>
      <c r="AT225" s="48" t="e">
        <f>(#REF!-#REF!)/#REF!</f>
        <v>#REF!</v>
      </c>
    </row>
    <row r="226" spans="1:46" x14ac:dyDescent="0.3">
      <c r="A226" s="48">
        <v>20181129</v>
      </c>
      <c r="B226" s="48" t="s">
        <v>88</v>
      </c>
      <c r="C226" s="79">
        <v>0.4</v>
      </c>
      <c r="D226" s="79">
        <f t="shared" si="73"/>
        <v>0.43319889730568467</v>
      </c>
      <c r="E226" s="49">
        <v>43150</v>
      </c>
      <c r="F226" s="49">
        <v>43150</v>
      </c>
      <c r="G226" s="49">
        <v>6419324700</v>
      </c>
      <c r="H226" s="49">
        <f t="shared" si="74"/>
        <v>0.508822879481031</v>
      </c>
      <c r="I226" s="49">
        <f t="shared" si="85"/>
        <v>0.508822879481031</v>
      </c>
      <c r="J226" s="48">
        <v>0.3</v>
      </c>
      <c r="K226" s="48">
        <f t="shared" si="75"/>
        <v>0.27428945053307247</v>
      </c>
      <c r="L226" s="48">
        <v>236000</v>
      </c>
      <c r="M226" s="48">
        <v>237000</v>
      </c>
      <c r="N226" s="51">
        <v>125456133</v>
      </c>
      <c r="O226" s="48">
        <f t="shared" si="76"/>
        <v>3.0013614083773201</v>
      </c>
      <c r="P226" s="48">
        <f t="shared" si="86"/>
        <v>3.0013614083773201</v>
      </c>
      <c r="Q226" s="49">
        <v>0.3</v>
      </c>
      <c r="R226" s="49">
        <f t="shared" si="77"/>
        <v>0.29251165216124297</v>
      </c>
      <c r="S226" s="49">
        <v>199000</v>
      </c>
      <c r="T226" s="49">
        <v>196200</v>
      </c>
      <c r="U226" s="49">
        <v>15956260</v>
      </c>
      <c r="V226" s="49">
        <f t="shared" si="78"/>
        <v>30.399223889780099</v>
      </c>
      <c r="W226" s="49">
        <f t="shared" si="87"/>
        <v>30.399223889780099</v>
      </c>
      <c r="X226" s="48">
        <v>0</v>
      </c>
      <c r="Y226" s="76">
        <f t="shared" si="79"/>
        <v>0</v>
      </c>
      <c r="Z226" s="18">
        <v>10300</v>
      </c>
      <c r="AA226" s="18">
        <v>10320</v>
      </c>
      <c r="AB226" s="18">
        <v>4500000</v>
      </c>
      <c r="AC226" s="117">
        <f t="shared" si="80"/>
        <v>0</v>
      </c>
      <c r="AD226" s="48">
        <f t="shared" si="88"/>
        <v>0</v>
      </c>
      <c r="AE226" s="49">
        <v>0</v>
      </c>
      <c r="AF226" s="49">
        <f t="shared" si="81"/>
        <v>0</v>
      </c>
      <c r="AG226" s="19">
        <v>18500</v>
      </c>
      <c r="AH226" s="19">
        <v>17950</v>
      </c>
      <c r="AI226" s="19">
        <v>7234332</v>
      </c>
      <c r="AJ226" s="119">
        <f t="shared" si="82"/>
        <v>0</v>
      </c>
      <c r="AK226" s="49">
        <f t="shared" si="89"/>
        <v>0</v>
      </c>
      <c r="AL226" s="82">
        <f t="shared" si="90"/>
        <v>0</v>
      </c>
      <c r="AM226" s="82">
        <f t="shared" si="91"/>
        <v>325152025975201.56</v>
      </c>
      <c r="AN226" s="81">
        <f t="shared" si="83"/>
        <v>325348967252596.25</v>
      </c>
      <c r="AO226" s="80">
        <f t="shared" si="69"/>
        <v>1000.6056898363282</v>
      </c>
      <c r="AP226" s="52">
        <f t="shared" si="84"/>
        <v>-3.0080630191069049E-3</v>
      </c>
      <c r="AQ226" s="48">
        <f t="shared" si="70"/>
        <v>0</v>
      </c>
      <c r="AR226" s="48">
        <f t="shared" si="71"/>
        <v>4.2372881355932203E-3</v>
      </c>
      <c r="AS226" s="48">
        <f t="shared" si="72"/>
        <v>-1.407035175879397E-2</v>
      </c>
      <c r="AT226" s="48" t="e">
        <f>(#REF!-#REF!)/#REF!</f>
        <v>#REF!</v>
      </c>
    </row>
    <row r="227" spans="1:46" x14ac:dyDescent="0.3">
      <c r="A227" s="48">
        <v>20181130</v>
      </c>
      <c r="B227" s="48" t="s">
        <v>88</v>
      </c>
      <c r="C227" s="79">
        <v>0.4</v>
      </c>
      <c r="D227" s="79">
        <f t="shared" si="73"/>
        <v>0.42375721903450891</v>
      </c>
      <c r="E227" s="49">
        <v>43150</v>
      </c>
      <c r="F227" s="49">
        <v>41850</v>
      </c>
      <c r="G227" s="49">
        <v>6419324700</v>
      </c>
      <c r="H227" s="49">
        <f t="shared" si="74"/>
        <v>0.508822879481031</v>
      </c>
      <c r="I227" s="49">
        <f t="shared" si="85"/>
        <v>0.508822879481031</v>
      </c>
      <c r="J227" s="48">
        <v>0.3</v>
      </c>
      <c r="K227" s="48">
        <f t="shared" si="75"/>
        <v>0.27956408727193344</v>
      </c>
      <c r="L227" s="48">
        <v>237000</v>
      </c>
      <c r="M227" s="48">
        <v>239500</v>
      </c>
      <c r="N227" s="51">
        <v>125456133</v>
      </c>
      <c r="O227" s="48">
        <f t="shared" si="76"/>
        <v>3.0013614083773201</v>
      </c>
      <c r="P227" s="48">
        <f t="shared" si="86"/>
        <v>3.0013614083773201</v>
      </c>
      <c r="Q227" s="49">
        <v>0.3</v>
      </c>
      <c r="R227" s="49">
        <f t="shared" si="77"/>
        <v>0.2966786936935577</v>
      </c>
      <c r="S227" s="49">
        <v>196200</v>
      </c>
      <c r="T227" s="49">
        <v>197300</v>
      </c>
      <c r="U227" s="49">
        <v>15956260</v>
      </c>
      <c r="V227" s="49">
        <f t="shared" si="78"/>
        <v>30.399223889780099</v>
      </c>
      <c r="W227" s="49">
        <f t="shared" si="87"/>
        <v>30.399223889780099</v>
      </c>
      <c r="X227" s="48">
        <v>0</v>
      </c>
      <c r="Y227" s="76">
        <f t="shared" si="79"/>
        <v>0</v>
      </c>
      <c r="Z227" s="18">
        <v>10320</v>
      </c>
      <c r="AA227" s="18">
        <v>10235</v>
      </c>
      <c r="AB227" s="18">
        <v>4500000</v>
      </c>
      <c r="AC227" s="117">
        <f t="shared" si="80"/>
        <v>0</v>
      </c>
      <c r="AD227" s="48">
        <f t="shared" si="88"/>
        <v>0</v>
      </c>
      <c r="AE227" s="49">
        <v>0</v>
      </c>
      <c r="AF227" s="49">
        <f t="shared" si="81"/>
        <v>0</v>
      </c>
      <c r="AG227" s="19">
        <v>17950</v>
      </c>
      <c r="AH227" s="19">
        <v>18850</v>
      </c>
      <c r="AI227" s="19">
        <v>7234332</v>
      </c>
      <c r="AJ227" s="119">
        <f t="shared" si="82"/>
        <v>0</v>
      </c>
      <c r="AK227" s="49">
        <f t="shared" si="89"/>
        <v>0</v>
      </c>
      <c r="AL227" s="82">
        <f t="shared" si="90"/>
        <v>0</v>
      </c>
      <c r="AM227" s="82">
        <f t="shared" si="91"/>
        <v>325152025975201.56</v>
      </c>
      <c r="AN227" s="81">
        <f t="shared" si="83"/>
        <v>322577689893243.25</v>
      </c>
      <c r="AO227" s="80">
        <f t="shared" si="69"/>
        <v>992.0826694090639</v>
      </c>
      <c r="AP227" s="52">
        <f t="shared" si="84"/>
        <v>-8.5178612452808077E-3</v>
      </c>
      <c r="AQ227" s="48">
        <f t="shared" si="70"/>
        <v>-3.0127462340672075E-2</v>
      </c>
      <c r="AR227" s="48">
        <f t="shared" si="71"/>
        <v>1.0548523206751054E-2</v>
      </c>
      <c r="AS227" s="48">
        <f t="shared" si="72"/>
        <v>5.6065239551478085E-3</v>
      </c>
      <c r="AT227" s="48" t="e">
        <f>(#REF!-#REF!)/#REF!</f>
        <v>#REF!</v>
      </c>
    </row>
    <row r="228" spans="1:46" x14ac:dyDescent="0.3">
      <c r="A228" s="48">
        <v>20181203</v>
      </c>
      <c r="B228" s="48" t="s">
        <v>88</v>
      </c>
      <c r="C228" s="79">
        <v>0.4</v>
      </c>
      <c r="D228" s="79">
        <f t="shared" si="73"/>
        <v>0.4257042969584004</v>
      </c>
      <c r="E228" s="49">
        <v>41850</v>
      </c>
      <c r="F228" s="49">
        <v>43250</v>
      </c>
      <c r="G228" s="49">
        <v>6419324700</v>
      </c>
      <c r="H228" s="49">
        <f t="shared" si="74"/>
        <v>0.508822879481031</v>
      </c>
      <c r="I228" s="49">
        <f t="shared" si="85"/>
        <v>0.508822879481031</v>
      </c>
      <c r="J228" s="48">
        <v>0.3</v>
      </c>
      <c r="K228" s="48">
        <f t="shared" si="75"/>
        <v>0.27289226051401083</v>
      </c>
      <c r="L228" s="48">
        <v>239500</v>
      </c>
      <c r="M228" s="48">
        <v>240500</v>
      </c>
      <c r="N228" s="51">
        <v>125456133</v>
      </c>
      <c r="O228" s="48">
        <f t="shared" si="76"/>
        <v>3.0013614083773201</v>
      </c>
      <c r="P228" s="48">
        <f t="shared" si="86"/>
        <v>3.0013614083773201</v>
      </c>
      <c r="Q228" s="49">
        <v>0.3</v>
      </c>
      <c r="R228" s="49">
        <f t="shared" si="77"/>
        <v>0.30140344252758866</v>
      </c>
      <c r="S228" s="49">
        <v>197300</v>
      </c>
      <c r="T228" s="49">
        <v>206200</v>
      </c>
      <c r="U228" s="49">
        <v>15956260</v>
      </c>
      <c r="V228" s="49">
        <f t="shared" si="78"/>
        <v>30.399223889780099</v>
      </c>
      <c r="W228" s="49">
        <f t="shared" si="87"/>
        <v>30.399223889780099</v>
      </c>
      <c r="X228" s="48">
        <v>0</v>
      </c>
      <c r="Y228" s="76">
        <f t="shared" si="79"/>
        <v>0</v>
      </c>
      <c r="Z228" s="18">
        <v>10235</v>
      </c>
      <c r="AA228" s="18">
        <v>10430</v>
      </c>
      <c r="AB228" s="18">
        <v>4500000</v>
      </c>
      <c r="AC228" s="117">
        <f t="shared" si="80"/>
        <v>0</v>
      </c>
      <c r="AD228" s="48">
        <f t="shared" si="88"/>
        <v>0</v>
      </c>
      <c r="AE228" s="49">
        <v>0</v>
      </c>
      <c r="AF228" s="49">
        <f t="shared" si="81"/>
        <v>0</v>
      </c>
      <c r="AG228" s="19">
        <v>18850</v>
      </c>
      <c r="AH228" s="19">
        <v>19150</v>
      </c>
      <c r="AI228" s="19">
        <v>7234332</v>
      </c>
      <c r="AJ228" s="119">
        <f t="shared" si="82"/>
        <v>0</v>
      </c>
      <c r="AK228" s="49">
        <f t="shared" si="89"/>
        <v>0</v>
      </c>
      <c r="AL228" s="82">
        <f t="shared" si="90"/>
        <v>0</v>
      </c>
      <c r="AM228" s="82">
        <f t="shared" si="91"/>
        <v>325152025975201.56</v>
      </c>
      <c r="AN228" s="81">
        <f t="shared" si="83"/>
        <v>331844063568356.06</v>
      </c>
      <c r="AO228" s="80">
        <f t="shared" si="69"/>
        <v>1020.5812575612397</v>
      </c>
      <c r="AP228" s="52">
        <f t="shared" si="84"/>
        <v>2.8726021561440065E-2</v>
      </c>
      <c r="AQ228" s="48">
        <f t="shared" si="70"/>
        <v>3.3452807646356032E-2</v>
      </c>
      <c r="AR228" s="48">
        <f t="shared" si="71"/>
        <v>4.1753653444676405E-3</v>
      </c>
      <c r="AS228" s="48">
        <f t="shared" si="72"/>
        <v>4.5108971109984797E-2</v>
      </c>
      <c r="AT228" s="48" t="e">
        <f>(#REF!-#REF!)/#REF!</f>
        <v>#REF!</v>
      </c>
    </row>
    <row r="229" spans="1:46" x14ac:dyDescent="0.3">
      <c r="A229" s="48">
        <v>20181204</v>
      </c>
      <c r="B229" s="48" t="s">
        <v>88</v>
      </c>
      <c r="C229" s="79">
        <v>0.4</v>
      </c>
      <c r="D229" s="79">
        <f t="shared" si="73"/>
        <v>0.41822619971476827</v>
      </c>
      <c r="E229" s="49">
        <v>43250</v>
      </c>
      <c r="F229" s="49">
        <v>42150</v>
      </c>
      <c r="G229" s="49">
        <v>6419324700</v>
      </c>
      <c r="H229" s="49">
        <f t="shared" si="74"/>
        <v>0.508822879481031</v>
      </c>
      <c r="I229" s="49">
        <f t="shared" si="85"/>
        <v>0.508822879481031</v>
      </c>
      <c r="J229" s="48">
        <v>0.3</v>
      </c>
      <c r="K229" s="48">
        <f t="shared" si="75"/>
        <v>0.27852670298269694</v>
      </c>
      <c r="L229" s="48">
        <v>240500</v>
      </c>
      <c r="M229" s="48">
        <v>243500</v>
      </c>
      <c r="N229" s="51">
        <v>125456133</v>
      </c>
      <c r="O229" s="48">
        <f t="shared" si="76"/>
        <v>3.0013614083773201</v>
      </c>
      <c r="P229" s="48">
        <f t="shared" si="86"/>
        <v>3.0013614083773201</v>
      </c>
      <c r="Q229" s="49">
        <v>0.3</v>
      </c>
      <c r="R229" s="49">
        <f t="shared" si="77"/>
        <v>0.3032470973025348</v>
      </c>
      <c r="S229" s="49">
        <v>206200</v>
      </c>
      <c r="T229" s="49">
        <v>205800</v>
      </c>
      <c r="U229" s="49">
        <v>15956260</v>
      </c>
      <c r="V229" s="49">
        <f t="shared" si="78"/>
        <v>30.399223889780099</v>
      </c>
      <c r="W229" s="49">
        <f t="shared" si="87"/>
        <v>30.399223889780099</v>
      </c>
      <c r="X229" s="48">
        <v>0</v>
      </c>
      <c r="Y229" s="76">
        <f t="shared" si="79"/>
        <v>0</v>
      </c>
      <c r="Z229" s="18">
        <v>10430</v>
      </c>
      <c r="AA229" s="18">
        <v>10310</v>
      </c>
      <c r="AB229" s="18">
        <v>4500000</v>
      </c>
      <c r="AC229" s="117">
        <f t="shared" si="80"/>
        <v>0</v>
      </c>
      <c r="AD229" s="48">
        <f t="shared" si="88"/>
        <v>0</v>
      </c>
      <c r="AE229" s="49">
        <v>0</v>
      </c>
      <c r="AF229" s="49">
        <f t="shared" si="81"/>
        <v>0</v>
      </c>
      <c r="AG229" s="19">
        <v>19150</v>
      </c>
      <c r="AH229" s="19">
        <v>19400</v>
      </c>
      <c r="AI229" s="19">
        <v>7234332</v>
      </c>
      <c r="AJ229" s="119">
        <f t="shared" si="82"/>
        <v>0</v>
      </c>
      <c r="AK229" s="49">
        <f t="shared" si="89"/>
        <v>0</v>
      </c>
      <c r="AL229" s="82">
        <f t="shared" si="90"/>
        <v>0</v>
      </c>
      <c r="AM229" s="82">
        <f t="shared" si="91"/>
        <v>325152025975201.56</v>
      </c>
      <c r="AN229" s="81">
        <f t="shared" si="83"/>
        <v>329186728782378.5</v>
      </c>
      <c r="AO229" s="80">
        <f t="shared" si="69"/>
        <v>1012.4086657466643</v>
      </c>
      <c r="AP229" s="52">
        <f t="shared" si="84"/>
        <v>-8.0077815989923942E-3</v>
      </c>
      <c r="AQ229" s="48">
        <f t="shared" si="70"/>
        <v>-2.5433526011560695E-2</v>
      </c>
      <c r="AR229" s="48">
        <f t="shared" si="71"/>
        <v>1.2474012474012475E-2</v>
      </c>
      <c r="AS229" s="48">
        <f t="shared" si="72"/>
        <v>-1.9398642095053346E-3</v>
      </c>
      <c r="AT229" s="48" t="e">
        <f>(#REF!-#REF!)/#REF!</f>
        <v>#REF!</v>
      </c>
    </row>
    <row r="230" spans="1:46" x14ac:dyDescent="0.3">
      <c r="A230" s="48">
        <v>20181205</v>
      </c>
      <c r="B230" s="48" t="s">
        <v>88</v>
      </c>
      <c r="C230" s="79">
        <v>0.4</v>
      </c>
      <c r="D230" s="79">
        <f t="shared" si="73"/>
        <v>0.41754265132079843</v>
      </c>
      <c r="E230" s="49">
        <v>42150</v>
      </c>
      <c r="F230" s="49">
        <v>41450</v>
      </c>
      <c r="G230" s="49">
        <v>6419324700</v>
      </c>
      <c r="H230" s="49">
        <f t="shared" si="74"/>
        <v>0.508822879481031</v>
      </c>
      <c r="I230" s="49">
        <f t="shared" si="85"/>
        <v>0.508822879481031</v>
      </c>
      <c r="J230" s="48">
        <v>0.3</v>
      </c>
      <c r="K230" s="48">
        <f t="shared" si="75"/>
        <v>0.28102560518652808</v>
      </c>
      <c r="L230" s="48">
        <v>243500</v>
      </c>
      <c r="M230" s="48">
        <v>242000</v>
      </c>
      <c r="N230" s="51">
        <v>125456133</v>
      </c>
      <c r="O230" s="48">
        <f t="shared" si="76"/>
        <v>3.0013614083773201</v>
      </c>
      <c r="P230" s="48">
        <f t="shared" si="86"/>
        <v>3.0013614083773201</v>
      </c>
      <c r="Q230" s="49">
        <v>0.3</v>
      </c>
      <c r="R230" s="49">
        <f t="shared" si="77"/>
        <v>0.30143174349267338</v>
      </c>
      <c r="S230" s="49">
        <v>205800</v>
      </c>
      <c r="T230" s="49">
        <v>201500</v>
      </c>
      <c r="U230" s="49">
        <v>15956260</v>
      </c>
      <c r="V230" s="49">
        <f t="shared" si="78"/>
        <v>30.399223889780099</v>
      </c>
      <c r="W230" s="49">
        <f t="shared" si="87"/>
        <v>30.399223889780099</v>
      </c>
      <c r="X230" s="48">
        <v>0</v>
      </c>
      <c r="Y230" s="76">
        <f t="shared" si="79"/>
        <v>0</v>
      </c>
      <c r="Z230" s="18">
        <v>10310</v>
      </c>
      <c r="AA230" s="18">
        <v>10265</v>
      </c>
      <c r="AB230" s="18">
        <v>4500000</v>
      </c>
      <c r="AC230" s="117">
        <f t="shared" si="80"/>
        <v>0</v>
      </c>
      <c r="AD230" s="48">
        <f t="shared" si="88"/>
        <v>0</v>
      </c>
      <c r="AE230" s="49">
        <v>0</v>
      </c>
      <c r="AF230" s="49">
        <f t="shared" si="81"/>
        <v>0</v>
      </c>
      <c r="AG230" s="19">
        <v>19400</v>
      </c>
      <c r="AH230" s="19">
        <v>18900</v>
      </c>
      <c r="AI230" s="19">
        <v>7234332</v>
      </c>
      <c r="AJ230" s="119">
        <f t="shared" si="82"/>
        <v>0</v>
      </c>
      <c r="AK230" s="49">
        <f t="shared" si="89"/>
        <v>0</v>
      </c>
      <c r="AL230" s="82">
        <f t="shared" si="90"/>
        <v>0</v>
      </c>
      <c r="AM230" s="82">
        <f t="shared" si="91"/>
        <v>325152025975201.56</v>
      </c>
      <c r="AN230" s="81">
        <f t="shared" si="83"/>
        <v>324249761436819.25</v>
      </c>
      <c r="AO230" s="80">
        <f t="shared" si="69"/>
        <v>997.22509944178819</v>
      </c>
      <c r="AP230" s="52">
        <f t="shared" si="84"/>
        <v>-1.4997467740636147E-2</v>
      </c>
      <c r="AQ230" s="48">
        <f t="shared" si="70"/>
        <v>-1.6607354685646499E-2</v>
      </c>
      <c r="AR230" s="48">
        <f t="shared" si="71"/>
        <v>-6.1601642710472282E-3</v>
      </c>
      <c r="AS230" s="48">
        <f t="shared" si="72"/>
        <v>-2.0894071914480079E-2</v>
      </c>
      <c r="AT230" s="48" t="e">
        <f>(#REF!-#REF!)/#REF!</f>
        <v>#REF!</v>
      </c>
    </row>
    <row r="231" spans="1:46" x14ac:dyDescent="0.3">
      <c r="A231" s="48">
        <v>20181206</v>
      </c>
      <c r="B231" s="48" t="s">
        <v>88</v>
      </c>
      <c r="C231" s="79">
        <v>0.4</v>
      </c>
      <c r="D231" s="79">
        <f t="shared" si="73"/>
        <v>0.41954804444306631</v>
      </c>
      <c r="E231" s="49">
        <v>41450</v>
      </c>
      <c r="F231" s="49">
        <v>40500</v>
      </c>
      <c r="G231" s="49">
        <v>6419324700</v>
      </c>
      <c r="H231" s="49">
        <f t="shared" si="74"/>
        <v>0.508822879481031</v>
      </c>
      <c r="I231" s="49">
        <f t="shared" si="85"/>
        <v>0.508822879481031</v>
      </c>
      <c r="J231" s="48">
        <v>0.3</v>
      </c>
      <c r="K231" s="48">
        <f t="shared" si="75"/>
        <v>0.28123657833637516</v>
      </c>
      <c r="L231" s="48">
        <v>242000</v>
      </c>
      <c r="M231" s="48">
        <v>235500</v>
      </c>
      <c r="N231" s="51">
        <v>125456133</v>
      </c>
      <c r="O231" s="48">
        <f t="shared" si="76"/>
        <v>3.0013614083773201</v>
      </c>
      <c r="P231" s="48">
        <f t="shared" si="86"/>
        <v>3.0013614083773201</v>
      </c>
      <c r="Q231" s="49">
        <v>0.3</v>
      </c>
      <c r="R231" s="49">
        <f t="shared" si="77"/>
        <v>0.29921537722055858</v>
      </c>
      <c r="S231" s="49">
        <v>201500</v>
      </c>
      <c r="T231" s="49">
        <v>194500</v>
      </c>
      <c r="U231" s="49">
        <v>15956260</v>
      </c>
      <c r="V231" s="49">
        <f t="shared" si="78"/>
        <v>30.399223889780099</v>
      </c>
      <c r="W231" s="49">
        <f t="shared" si="87"/>
        <v>30.399223889780099</v>
      </c>
      <c r="X231" s="48">
        <v>0</v>
      </c>
      <c r="Y231" s="76">
        <f t="shared" si="79"/>
        <v>0</v>
      </c>
      <c r="Z231" s="18">
        <v>10265</v>
      </c>
      <c r="AA231" s="18">
        <v>10080</v>
      </c>
      <c r="AB231" s="18">
        <v>20300000</v>
      </c>
      <c r="AC231" s="117">
        <f t="shared" si="80"/>
        <v>0</v>
      </c>
      <c r="AD231" s="48">
        <f t="shared" si="88"/>
        <v>0</v>
      </c>
      <c r="AE231" s="49">
        <v>0</v>
      </c>
      <c r="AF231" s="49">
        <f t="shared" si="81"/>
        <v>0</v>
      </c>
      <c r="AG231" s="19">
        <v>18900</v>
      </c>
      <c r="AH231" s="19">
        <v>18200</v>
      </c>
      <c r="AI231" s="19">
        <v>7234332</v>
      </c>
      <c r="AJ231" s="119">
        <f t="shared" si="82"/>
        <v>0</v>
      </c>
      <c r="AK231" s="49">
        <f t="shared" si="89"/>
        <v>0</v>
      </c>
      <c r="AL231" s="82">
        <f t="shared" si="90"/>
        <v>0</v>
      </c>
      <c r="AM231" s="82">
        <f t="shared" si="91"/>
        <v>325152025975201.56</v>
      </c>
      <c r="AN231" s="81">
        <f t="shared" si="83"/>
        <v>315303866907067.62</v>
      </c>
      <c r="AO231" s="80">
        <f t="shared" si="69"/>
        <v>969.712139917944</v>
      </c>
      <c r="AP231" s="52">
        <f t="shared" si="84"/>
        <v>-2.7589517691888204E-2</v>
      </c>
      <c r="AQ231" s="48">
        <f t="shared" si="70"/>
        <v>-2.2919179734620022E-2</v>
      </c>
      <c r="AR231" s="48">
        <f t="shared" si="71"/>
        <v>-2.6859504132231406E-2</v>
      </c>
      <c r="AS231" s="48">
        <f t="shared" si="72"/>
        <v>-3.4739454094292806E-2</v>
      </c>
      <c r="AT231" s="48" t="e">
        <f>(#REF!-#REF!)/#REF!</f>
        <v>#REF!</v>
      </c>
    </row>
    <row r="232" spans="1:46" x14ac:dyDescent="0.3">
      <c r="A232" s="48">
        <v>20181207</v>
      </c>
      <c r="B232" s="48" t="s">
        <v>88</v>
      </c>
      <c r="C232" s="79">
        <v>0.4</v>
      </c>
      <c r="D232" s="79">
        <f t="shared" si="73"/>
        <v>0.41489545109180748</v>
      </c>
      <c r="E232" s="49">
        <v>40500</v>
      </c>
      <c r="F232" s="49">
        <v>40950</v>
      </c>
      <c r="G232" s="49">
        <v>6419324700</v>
      </c>
      <c r="H232" s="49">
        <f t="shared" si="74"/>
        <v>0.508822879481031</v>
      </c>
      <c r="I232" s="49">
        <f t="shared" si="85"/>
        <v>0.508822879481031</v>
      </c>
      <c r="J232" s="48">
        <v>0.3</v>
      </c>
      <c r="K232" s="48">
        <f t="shared" si="75"/>
        <v>0.2867414517314934</v>
      </c>
      <c r="L232" s="48">
        <v>235500</v>
      </c>
      <c r="M232" s="48">
        <v>245500</v>
      </c>
      <c r="N232" s="51">
        <v>125456133</v>
      </c>
      <c r="O232" s="48">
        <f t="shared" si="76"/>
        <v>3.0013614083773201</v>
      </c>
      <c r="P232" s="48">
        <f t="shared" si="86"/>
        <v>3.0013614083773201</v>
      </c>
      <c r="Q232" s="49">
        <v>0.3</v>
      </c>
      <c r="R232" s="49">
        <f t="shared" si="77"/>
        <v>0.29836309717669901</v>
      </c>
      <c r="S232" s="49">
        <v>194500</v>
      </c>
      <c r="T232" s="49">
        <v>198300</v>
      </c>
      <c r="U232" s="49">
        <v>15956260</v>
      </c>
      <c r="V232" s="49">
        <f t="shared" si="78"/>
        <v>30.399223889780099</v>
      </c>
      <c r="W232" s="49">
        <f t="shared" si="87"/>
        <v>30.399223889780099</v>
      </c>
      <c r="X232" s="48">
        <v>0</v>
      </c>
      <c r="Y232" s="76">
        <f t="shared" si="79"/>
        <v>0</v>
      </c>
      <c r="Z232" s="18">
        <v>10080</v>
      </c>
      <c r="AA232" s="18">
        <v>10120</v>
      </c>
      <c r="AB232" s="18">
        <v>24500000</v>
      </c>
      <c r="AC232" s="117">
        <f t="shared" si="80"/>
        <v>0</v>
      </c>
      <c r="AD232" s="48">
        <f t="shared" si="88"/>
        <v>0</v>
      </c>
      <c r="AE232" s="49">
        <v>0</v>
      </c>
      <c r="AF232" s="49">
        <f t="shared" si="81"/>
        <v>0</v>
      </c>
      <c r="AG232" s="19">
        <v>18200</v>
      </c>
      <c r="AH232" s="19">
        <v>18050</v>
      </c>
      <c r="AI232" s="19">
        <v>7234332</v>
      </c>
      <c r="AJ232" s="119">
        <f t="shared" si="82"/>
        <v>0</v>
      </c>
      <c r="AK232" s="49">
        <f t="shared" si="89"/>
        <v>0</v>
      </c>
      <c r="AL232" s="82">
        <f t="shared" si="90"/>
        <v>0</v>
      </c>
      <c r="AM232" s="82">
        <f t="shared" si="91"/>
        <v>325152025975201.56</v>
      </c>
      <c r="AN232" s="81">
        <f t="shared" si="83"/>
        <v>322382313639249.62</v>
      </c>
      <c r="AO232" s="80">
        <f t="shared" si="69"/>
        <v>991.48179277787074</v>
      </c>
      <c r="AP232" s="52">
        <f t="shared" si="84"/>
        <v>2.2449603303686453E-2</v>
      </c>
      <c r="AQ232" s="48">
        <f t="shared" si="70"/>
        <v>1.1111111111111112E-2</v>
      </c>
      <c r="AR232" s="48">
        <f t="shared" si="71"/>
        <v>4.2462845010615709E-2</v>
      </c>
      <c r="AS232" s="48">
        <f t="shared" si="72"/>
        <v>1.9537275064267352E-2</v>
      </c>
      <c r="AT232" s="48" t="e">
        <f>(#REF!-#REF!)/#REF!</f>
        <v>#REF!</v>
      </c>
    </row>
    <row r="233" spans="1:46" x14ac:dyDescent="0.3">
      <c r="A233" s="48">
        <v>20181210</v>
      </c>
      <c r="B233" s="48" t="s">
        <v>88</v>
      </c>
      <c r="C233" s="79">
        <v>0.4</v>
      </c>
      <c r="D233" s="79">
        <f t="shared" si="73"/>
        <v>0.41277858942540857</v>
      </c>
      <c r="E233" s="49">
        <v>40950</v>
      </c>
      <c r="F233" s="49">
        <v>40200</v>
      </c>
      <c r="G233" s="49">
        <v>6419324700</v>
      </c>
      <c r="H233" s="49">
        <f t="shared" si="74"/>
        <v>0.508822879481031</v>
      </c>
      <c r="I233" s="49">
        <f t="shared" si="85"/>
        <v>0.508822879481031</v>
      </c>
      <c r="J233" s="48">
        <v>0.3</v>
      </c>
      <c r="K233" s="48">
        <f t="shared" si="75"/>
        <v>0.28941710102240015</v>
      </c>
      <c r="L233" s="48">
        <v>245500</v>
      </c>
      <c r="M233" s="48">
        <v>244500</v>
      </c>
      <c r="N233" s="51">
        <v>125456133</v>
      </c>
      <c r="O233" s="48">
        <f t="shared" si="76"/>
        <v>3.0013614083773201</v>
      </c>
      <c r="P233" s="48">
        <f t="shared" si="86"/>
        <v>3.0013614083773201</v>
      </c>
      <c r="Q233" s="49">
        <v>0.3</v>
      </c>
      <c r="R233" s="49">
        <f t="shared" si="77"/>
        <v>0.29780430955219128</v>
      </c>
      <c r="S233" s="49">
        <v>198300</v>
      </c>
      <c r="T233" s="49">
        <v>195300</v>
      </c>
      <c r="U233" s="49">
        <v>15956260</v>
      </c>
      <c r="V233" s="49">
        <f t="shared" si="78"/>
        <v>30.399223889780099</v>
      </c>
      <c r="W233" s="49">
        <f t="shared" si="87"/>
        <v>30.399223889780099</v>
      </c>
      <c r="X233" s="48">
        <v>0</v>
      </c>
      <c r="Y233" s="76">
        <f t="shared" si="79"/>
        <v>0</v>
      </c>
      <c r="Z233" s="18">
        <v>10120</v>
      </c>
      <c r="AA233" s="18">
        <v>10020</v>
      </c>
      <c r="AB233" s="18">
        <v>26500000</v>
      </c>
      <c r="AC233" s="117">
        <f t="shared" si="80"/>
        <v>0</v>
      </c>
      <c r="AD233" s="48">
        <f t="shared" si="88"/>
        <v>0</v>
      </c>
      <c r="AE233" s="49">
        <v>0</v>
      </c>
      <c r="AF233" s="49">
        <f t="shared" si="81"/>
        <v>0</v>
      </c>
      <c r="AG233" s="19">
        <v>18050</v>
      </c>
      <c r="AH233" s="19">
        <v>17500</v>
      </c>
      <c r="AI233" s="19">
        <v>7234332</v>
      </c>
      <c r="AJ233" s="119">
        <f t="shared" si="82"/>
        <v>0</v>
      </c>
      <c r="AK233" s="49">
        <f t="shared" si="89"/>
        <v>0</v>
      </c>
      <c r="AL233" s="82">
        <f t="shared" si="90"/>
        <v>0</v>
      </c>
      <c r="AM233" s="82">
        <f t="shared" si="91"/>
        <v>325152025975201.56</v>
      </c>
      <c r="AN233" s="81">
        <f t="shared" si="83"/>
        <v>318100876224035.25</v>
      </c>
      <c r="AO233" s="80">
        <f t="shared" si="69"/>
        <v>978.31429858073807</v>
      </c>
      <c r="AP233" s="52">
        <f t="shared" si="84"/>
        <v>-1.3280621281244933E-2</v>
      </c>
      <c r="AQ233" s="48">
        <f t="shared" si="70"/>
        <v>-1.8315018315018316E-2</v>
      </c>
      <c r="AR233" s="48">
        <f t="shared" si="71"/>
        <v>-4.0733197556008143E-3</v>
      </c>
      <c r="AS233" s="48">
        <f t="shared" si="72"/>
        <v>-1.5128593040847202E-2</v>
      </c>
      <c r="AT233" s="48" t="e">
        <f>(#REF!-#REF!)/#REF!</f>
        <v>#REF!</v>
      </c>
    </row>
    <row r="234" spans="1:46" x14ac:dyDescent="0.3">
      <c r="A234" s="48">
        <v>20181211</v>
      </c>
      <c r="B234" s="48" t="s">
        <v>88</v>
      </c>
      <c r="C234" s="79">
        <v>0.4</v>
      </c>
      <c r="D234" s="79">
        <f t="shared" si="73"/>
        <v>0.42534412298595176</v>
      </c>
      <c r="E234" s="49">
        <v>40200</v>
      </c>
      <c r="F234" s="49">
        <v>40250</v>
      </c>
      <c r="G234" s="49">
        <v>6419324700</v>
      </c>
      <c r="H234" s="49">
        <f t="shared" si="74"/>
        <v>0.508822879481031</v>
      </c>
      <c r="I234" s="49">
        <f t="shared" si="85"/>
        <v>0.508822879481031</v>
      </c>
      <c r="J234" s="48">
        <v>0.3</v>
      </c>
      <c r="K234" s="48">
        <f t="shared" si="75"/>
        <v>0.26801027766358221</v>
      </c>
      <c r="L234" s="48">
        <v>244500</v>
      </c>
      <c r="M234" s="48">
        <v>220000</v>
      </c>
      <c r="N234" s="51">
        <v>125456133</v>
      </c>
      <c r="O234" s="48">
        <f t="shared" si="76"/>
        <v>3.0013614083773201</v>
      </c>
      <c r="P234" s="48">
        <f t="shared" si="86"/>
        <v>3.0013614083773201</v>
      </c>
      <c r="Q234" s="49">
        <v>0.3</v>
      </c>
      <c r="R234" s="49">
        <f t="shared" si="77"/>
        <v>0.30664559935046609</v>
      </c>
      <c r="S234" s="49">
        <v>195300</v>
      </c>
      <c r="T234" s="49">
        <v>195400</v>
      </c>
      <c r="U234" s="49">
        <v>15956260</v>
      </c>
      <c r="V234" s="49">
        <f t="shared" si="78"/>
        <v>30.399223889780099</v>
      </c>
      <c r="W234" s="49">
        <f t="shared" si="87"/>
        <v>30.399223889780099</v>
      </c>
      <c r="X234" s="48">
        <v>0</v>
      </c>
      <c r="Y234" s="76">
        <f t="shared" si="79"/>
        <v>0</v>
      </c>
      <c r="Z234" s="18">
        <v>10020</v>
      </c>
      <c r="AA234" s="18">
        <v>9980</v>
      </c>
      <c r="AB234" s="18">
        <v>40600000</v>
      </c>
      <c r="AC234" s="117">
        <f t="shared" si="80"/>
        <v>0</v>
      </c>
      <c r="AD234" s="48">
        <f t="shared" si="88"/>
        <v>0</v>
      </c>
      <c r="AE234" s="49">
        <v>0</v>
      </c>
      <c r="AF234" s="49">
        <f t="shared" si="81"/>
        <v>0</v>
      </c>
      <c r="AG234" s="19">
        <v>17500</v>
      </c>
      <c r="AH234" s="19">
        <v>17450</v>
      </c>
      <c r="AI234" s="19">
        <v>7234332</v>
      </c>
      <c r="AJ234" s="119">
        <f t="shared" si="82"/>
        <v>0</v>
      </c>
      <c r="AK234" s="49">
        <f t="shared" si="89"/>
        <v>0</v>
      </c>
      <c r="AL234" s="82">
        <f t="shared" si="90"/>
        <v>0</v>
      </c>
      <c r="AM234" s="82">
        <f t="shared" si="91"/>
        <v>325152025975201.56</v>
      </c>
      <c r="AN234" s="81">
        <f t="shared" si="83"/>
        <v>309087486677216.37</v>
      </c>
      <c r="AO234" s="80">
        <f t="shared" si="69"/>
        <v>950.59375918140404</v>
      </c>
      <c r="AP234" s="52">
        <f t="shared" si="84"/>
        <v>-2.8335003832151713E-2</v>
      </c>
      <c r="AQ234" s="48">
        <f t="shared" si="70"/>
        <v>1.2437810945273632E-3</v>
      </c>
      <c r="AR234" s="48">
        <f t="shared" si="71"/>
        <v>-0.10020449897750511</v>
      </c>
      <c r="AS234" s="48">
        <f t="shared" si="72"/>
        <v>5.1203277009728623E-4</v>
      </c>
      <c r="AT234" s="48" t="e">
        <f>(#REF!-#REF!)/#REF!</f>
        <v>#REF!</v>
      </c>
    </row>
    <row r="235" spans="1:46" s="47" customFormat="1" x14ac:dyDescent="0.3">
      <c r="A235" s="65">
        <v>20181212</v>
      </c>
      <c r="B235" s="48" t="s">
        <v>88</v>
      </c>
      <c r="C235" s="79">
        <v>0.4</v>
      </c>
      <c r="D235" s="79">
        <f t="shared" si="73"/>
        <v>0.41827284476224652</v>
      </c>
      <c r="E235" s="49">
        <v>40250</v>
      </c>
      <c r="F235" s="49">
        <v>40450</v>
      </c>
      <c r="G235" s="49">
        <v>5969782550</v>
      </c>
      <c r="H235" s="49">
        <f t="shared" si="74"/>
        <v>0.508822879481031</v>
      </c>
      <c r="I235" s="49">
        <f t="shared" si="85"/>
        <v>0.480661415180764</v>
      </c>
      <c r="J235" s="48">
        <v>0.3</v>
      </c>
      <c r="K235" s="48">
        <f t="shared" si="75"/>
        <v>0.26999987715311291</v>
      </c>
      <c r="L235" s="48">
        <v>220000</v>
      </c>
      <c r="M235" s="48">
        <v>226500</v>
      </c>
      <c r="N235" s="51">
        <v>125456133</v>
      </c>
      <c r="O235" s="48">
        <f t="shared" si="76"/>
        <v>3.0013614083773201</v>
      </c>
      <c r="P235" s="48">
        <f t="shared" si="86"/>
        <v>2.6366961929138801</v>
      </c>
      <c r="Q235" s="49">
        <v>0.3</v>
      </c>
      <c r="R235" s="49">
        <f t="shared" si="77"/>
        <v>0.31172727808464057</v>
      </c>
      <c r="S235" s="49">
        <v>195400</v>
      </c>
      <c r="T235" s="49">
        <v>203000</v>
      </c>
      <c r="U235" s="49">
        <v>15956260</v>
      </c>
      <c r="V235" s="49">
        <f t="shared" si="78"/>
        <v>30.399223889780099</v>
      </c>
      <c r="W235" s="49">
        <f t="shared" si="87"/>
        <v>26.705720168853201</v>
      </c>
      <c r="X235" s="48">
        <v>0</v>
      </c>
      <c r="Y235" s="76">
        <f t="shared" si="79"/>
        <v>0</v>
      </c>
      <c r="Z235" s="18">
        <v>9980</v>
      </c>
      <c r="AA235" s="18">
        <v>10115</v>
      </c>
      <c r="AB235" s="18">
        <v>40600000</v>
      </c>
      <c r="AC235" s="117">
        <f t="shared" si="80"/>
        <v>0</v>
      </c>
      <c r="AD235" s="48">
        <f t="shared" si="88"/>
        <v>0</v>
      </c>
      <c r="AE235" s="49">
        <v>0</v>
      </c>
      <c r="AF235" s="49">
        <f t="shared" si="81"/>
        <v>0</v>
      </c>
      <c r="AG235" s="19">
        <v>17450</v>
      </c>
      <c r="AH235" s="19">
        <v>18900</v>
      </c>
      <c r="AI235" s="19">
        <v>7234332</v>
      </c>
      <c r="AJ235" s="119">
        <f t="shared" si="82"/>
        <v>0</v>
      </c>
      <c r="AK235" s="49">
        <f t="shared" si="89"/>
        <v>0</v>
      </c>
      <c r="AL235" s="82">
        <f t="shared" si="90"/>
        <v>1</v>
      </c>
      <c r="AM235" s="82">
        <f t="shared" si="91"/>
        <v>285646076015404.19</v>
      </c>
      <c r="AN235" s="81">
        <f t="shared" si="83"/>
        <v>277495937074554.31</v>
      </c>
      <c r="AO235" s="80">
        <f t="shared" si="69"/>
        <v>971.46770207895179</v>
      </c>
      <c r="AP235" s="52">
        <f t="shared" si="84"/>
        <v>2.1958846979516437E-2</v>
      </c>
      <c r="AQ235" s="48">
        <f t="shared" si="70"/>
        <v>4.9689440993788822E-3</v>
      </c>
      <c r="AR235" s="48">
        <f t="shared" si="71"/>
        <v>2.9545454545454545E-2</v>
      </c>
      <c r="AS235" s="48">
        <f t="shared" si="72"/>
        <v>3.8894575230296824E-2</v>
      </c>
      <c r="AT235" s="48" t="e">
        <f>(#REF!-#REF!)/#REF!</f>
        <v>#REF!</v>
      </c>
    </row>
    <row r="236" spans="1:46" x14ac:dyDescent="0.3">
      <c r="A236" s="48">
        <v>20181213</v>
      </c>
      <c r="B236" s="48" t="s">
        <v>88</v>
      </c>
      <c r="C236" s="79">
        <v>0.4</v>
      </c>
      <c r="D236" s="79">
        <f t="shared" si="73"/>
        <v>0.4183196825414614</v>
      </c>
      <c r="E236" s="49">
        <v>40450</v>
      </c>
      <c r="F236" s="49">
        <v>40000</v>
      </c>
      <c r="G236" s="49">
        <v>5969782550</v>
      </c>
      <c r="H236" s="49">
        <f t="shared" si="74"/>
        <v>0.480661415180764</v>
      </c>
      <c r="I236" s="49">
        <f t="shared" si="85"/>
        <v>0.480661415180764</v>
      </c>
      <c r="J236" s="48">
        <v>0.3</v>
      </c>
      <c r="K236" s="48">
        <f t="shared" si="75"/>
        <v>0.26221756809802027</v>
      </c>
      <c r="L236" s="48">
        <v>226500</v>
      </c>
      <c r="M236" s="48">
        <v>217500</v>
      </c>
      <c r="N236" s="51">
        <v>125456133</v>
      </c>
      <c r="O236" s="48">
        <f t="shared" si="76"/>
        <v>2.6366961929138801</v>
      </c>
      <c r="P236" s="48">
        <f t="shared" si="86"/>
        <v>2.6366961929138801</v>
      </c>
      <c r="Q236" s="49">
        <v>0.3</v>
      </c>
      <c r="R236" s="49">
        <f t="shared" si="77"/>
        <v>0.31946274936051838</v>
      </c>
      <c r="S236" s="49">
        <v>203000</v>
      </c>
      <c r="T236" s="49">
        <v>205700</v>
      </c>
      <c r="U236" s="49">
        <v>15956260</v>
      </c>
      <c r="V236" s="49">
        <f t="shared" si="78"/>
        <v>26.705720168853201</v>
      </c>
      <c r="W236" s="49">
        <f t="shared" si="87"/>
        <v>26.705720168853201</v>
      </c>
      <c r="X236" s="48">
        <v>0</v>
      </c>
      <c r="Y236" s="76">
        <f t="shared" si="79"/>
        <v>0</v>
      </c>
      <c r="Z236" s="18">
        <v>10115</v>
      </c>
      <c r="AA236" s="18">
        <v>10195</v>
      </c>
      <c r="AB236" s="18">
        <v>40600000</v>
      </c>
      <c r="AC236" s="117">
        <f t="shared" si="80"/>
        <v>0</v>
      </c>
      <c r="AD236" s="48">
        <f t="shared" si="88"/>
        <v>0</v>
      </c>
      <c r="AE236" s="49">
        <v>0</v>
      </c>
      <c r="AF236" s="49">
        <f t="shared" si="81"/>
        <v>0</v>
      </c>
      <c r="AG236" s="19">
        <v>18900</v>
      </c>
      <c r="AH236" s="19">
        <v>20050</v>
      </c>
      <c r="AI236" s="19">
        <v>7234332</v>
      </c>
      <c r="AJ236" s="119">
        <f t="shared" si="82"/>
        <v>0</v>
      </c>
      <c r="AK236" s="49">
        <f t="shared" si="89"/>
        <v>0</v>
      </c>
      <c r="AL236" s="82">
        <f t="shared" si="90"/>
        <v>0</v>
      </c>
      <c r="AM236" s="82">
        <f t="shared" si="91"/>
        <v>285646076015404.19</v>
      </c>
      <c r="AN236" s="81">
        <f t="shared" si="83"/>
        <v>274378113061417.09</v>
      </c>
      <c r="AO236" s="80">
        <f t="shared" si="69"/>
        <v>960.55271225437934</v>
      </c>
      <c r="AP236" s="52">
        <f t="shared" si="84"/>
        <v>-1.12355663510112E-2</v>
      </c>
      <c r="AQ236" s="48">
        <f t="shared" si="70"/>
        <v>-1.1124845488257108E-2</v>
      </c>
      <c r="AR236" s="48">
        <f t="shared" si="71"/>
        <v>-3.9735099337748346E-2</v>
      </c>
      <c r="AS236" s="48">
        <f t="shared" si="72"/>
        <v>1.3300492610837438E-2</v>
      </c>
      <c r="AT236" s="48" t="e">
        <f>(#REF!-#REF!)/#REF!</f>
        <v>#REF!</v>
      </c>
    </row>
    <row r="237" spans="1:46" x14ac:dyDescent="0.3">
      <c r="A237" s="48">
        <v>20181214</v>
      </c>
      <c r="B237" s="48" t="s">
        <v>88</v>
      </c>
      <c r="C237" s="79">
        <v>0.4</v>
      </c>
      <c r="D237" s="79">
        <f t="shared" si="73"/>
        <v>0.42076441066726095</v>
      </c>
      <c r="E237" s="49">
        <v>40000</v>
      </c>
      <c r="F237" s="49">
        <v>38950</v>
      </c>
      <c r="G237" s="49">
        <v>5969782550</v>
      </c>
      <c r="H237" s="49">
        <f t="shared" si="74"/>
        <v>0.480661415180764</v>
      </c>
      <c r="I237" s="49">
        <f t="shared" si="85"/>
        <v>0.480661415180764</v>
      </c>
      <c r="J237" s="48">
        <v>0.3</v>
      </c>
      <c r="K237" s="48">
        <f t="shared" si="75"/>
        <v>0.25902941693845022</v>
      </c>
      <c r="L237" s="48">
        <v>217500</v>
      </c>
      <c r="M237" s="48">
        <v>208000</v>
      </c>
      <c r="N237" s="51">
        <v>125456133</v>
      </c>
      <c r="O237" s="48">
        <f t="shared" si="76"/>
        <v>2.6366961929138801</v>
      </c>
      <c r="P237" s="48">
        <f t="shared" si="86"/>
        <v>2.6366961929138801</v>
      </c>
      <c r="Q237" s="49">
        <v>0.3</v>
      </c>
      <c r="R237" s="49">
        <f t="shared" si="77"/>
        <v>0.32020617239428883</v>
      </c>
      <c r="S237" s="49">
        <v>205700</v>
      </c>
      <c r="T237" s="49">
        <v>199600</v>
      </c>
      <c r="U237" s="49">
        <v>15956260</v>
      </c>
      <c r="V237" s="49">
        <f t="shared" si="78"/>
        <v>26.705720168853201</v>
      </c>
      <c r="W237" s="49">
        <f t="shared" si="87"/>
        <v>26.705720168853201</v>
      </c>
      <c r="X237" s="48">
        <v>0</v>
      </c>
      <c r="Y237" s="76">
        <f t="shared" si="79"/>
        <v>0</v>
      </c>
      <c r="Z237" s="18">
        <v>10195</v>
      </c>
      <c r="AA237" s="18">
        <v>9995</v>
      </c>
      <c r="AB237" s="18">
        <v>40600000</v>
      </c>
      <c r="AC237" s="117">
        <f t="shared" si="80"/>
        <v>0</v>
      </c>
      <c r="AD237" s="48">
        <f t="shared" si="88"/>
        <v>0</v>
      </c>
      <c r="AE237" s="49">
        <v>0</v>
      </c>
      <c r="AF237" s="49">
        <f t="shared" si="81"/>
        <v>0</v>
      </c>
      <c r="AG237" s="19">
        <v>20050</v>
      </c>
      <c r="AH237" s="19">
        <v>20200</v>
      </c>
      <c r="AI237" s="19">
        <v>7234332</v>
      </c>
      <c r="AJ237" s="119">
        <f t="shared" si="82"/>
        <v>0</v>
      </c>
      <c r="AK237" s="49">
        <f t="shared" si="89"/>
        <v>0</v>
      </c>
      <c r="AL237" s="82">
        <f t="shared" si="90"/>
        <v>0</v>
      </c>
      <c r="AM237" s="82">
        <f t="shared" si="91"/>
        <v>285646076015404.19</v>
      </c>
      <c r="AN237" s="81">
        <f t="shared" si="83"/>
        <v>265623341669254.94</v>
      </c>
      <c r="AO237" s="80">
        <f t="shared" si="69"/>
        <v>929.90369542107953</v>
      </c>
      <c r="AP237" s="52">
        <f t="shared" si="84"/>
        <v>-3.1907688607081E-2</v>
      </c>
      <c r="AQ237" s="48">
        <f t="shared" si="70"/>
        <v>-2.6249999999999999E-2</v>
      </c>
      <c r="AR237" s="48">
        <f t="shared" si="71"/>
        <v>-4.3678160919540229E-2</v>
      </c>
      <c r="AS237" s="48">
        <f t="shared" si="72"/>
        <v>-2.9654837141468156E-2</v>
      </c>
      <c r="AT237" s="48" t="e">
        <f>(#REF!-#REF!)/#REF!</f>
        <v>#REF!</v>
      </c>
    </row>
    <row r="238" spans="1:46" x14ac:dyDescent="0.3">
      <c r="A238" s="48">
        <v>20181217</v>
      </c>
      <c r="B238" s="48" t="s">
        <v>88</v>
      </c>
      <c r="C238" s="79">
        <v>0.4</v>
      </c>
      <c r="D238" s="79">
        <f t="shared" si="73"/>
        <v>0.41704240526512876</v>
      </c>
      <c r="E238" s="49">
        <v>38950</v>
      </c>
      <c r="F238" s="49">
        <v>39150</v>
      </c>
      <c r="G238" s="49">
        <v>5969782550</v>
      </c>
      <c r="H238" s="49">
        <f t="shared" si="74"/>
        <v>0.480661415180764</v>
      </c>
      <c r="I238" s="49">
        <f t="shared" si="85"/>
        <v>0.480661415180764</v>
      </c>
      <c r="J238" s="48">
        <v>0.3</v>
      </c>
      <c r="K238" s="48">
        <f t="shared" si="75"/>
        <v>0.26340860775657665</v>
      </c>
      <c r="L238" s="48">
        <v>208000</v>
      </c>
      <c r="M238" s="48">
        <v>214500</v>
      </c>
      <c r="N238" s="51">
        <v>125456133</v>
      </c>
      <c r="O238" s="48">
        <f t="shared" si="76"/>
        <v>2.6366961929138801</v>
      </c>
      <c r="P238" s="48">
        <f t="shared" si="86"/>
        <v>2.6366961929138801</v>
      </c>
      <c r="Q238" s="49">
        <v>0.3</v>
      </c>
      <c r="R238" s="49">
        <f t="shared" si="77"/>
        <v>0.31954898697829454</v>
      </c>
      <c r="S238" s="49">
        <v>199600</v>
      </c>
      <c r="T238" s="49">
        <v>202000</v>
      </c>
      <c r="U238" s="49">
        <v>15956260</v>
      </c>
      <c r="V238" s="49">
        <f t="shared" si="78"/>
        <v>26.705720168853201</v>
      </c>
      <c r="W238" s="49">
        <f t="shared" si="87"/>
        <v>26.705720168853201</v>
      </c>
      <c r="X238" s="48">
        <v>0</v>
      </c>
      <c r="Y238" s="76">
        <f t="shared" si="79"/>
        <v>0</v>
      </c>
      <c r="Z238" s="18">
        <v>9995</v>
      </c>
      <c r="AA238" s="18">
        <v>10020</v>
      </c>
      <c r="AB238" s="18">
        <v>45600000</v>
      </c>
      <c r="AC238" s="117">
        <f t="shared" si="80"/>
        <v>0</v>
      </c>
      <c r="AD238" s="48">
        <f t="shared" si="88"/>
        <v>0</v>
      </c>
      <c r="AE238" s="49">
        <v>0</v>
      </c>
      <c r="AF238" s="49">
        <f t="shared" si="81"/>
        <v>0</v>
      </c>
      <c r="AG238" s="19">
        <v>20200</v>
      </c>
      <c r="AH238" s="19">
        <v>20050</v>
      </c>
      <c r="AI238" s="19">
        <v>7234332</v>
      </c>
      <c r="AJ238" s="119">
        <f t="shared" si="82"/>
        <v>0</v>
      </c>
      <c r="AK238" s="49">
        <f t="shared" si="89"/>
        <v>0</v>
      </c>
      <c r="AL238" s="82">
        <f t="shared" si="90"/>
        <v>0</v>
      </c>
      <c r="AM238" s="82">
        <f t="shared" si="91"/>
        <v>285646076015404.19</v>
      </c>
      <c r="AN238" s="81">
        <f t="shared" si="83"/>
        <v>269370059793501.56</v>
      </c>
      <c r="AO238" s="80">
        <f t="shared" si="69"/>
        <v>943.02034024432066</v>
      </c>
      <c r="AP238" s="52">
        <f t="shared" si="84"/>
        <v>1.4105379823554356E-2</v>
      </c>
      <c r="AQ238" s="48">
        <f t="shared" si="70"/>
        <v>5.1347881899871627E-3</v>
      </c>
      <c r="AR238" s="48">
        <f t="shared" si="71"/>
        <v>3.125E-2</v>
      </c>
      <c r="AS238" s="48">
        <f t="shared" si="72"/>
        <v>1.2024048096192385E-2</v>
      </c>
      <c r="AT238" s="48" t="e">
        <f>(#REF!-#REF!)/#REF!</f>
        <v>#REF!</v>
      </c>
    </row>
    <row r="239" spans="1:46" x14ac:dyDescent="0.3">
      <c r="A239" s="48">
        <v>20181218</v>
      </c>
      <c r="B239" s="48" t="s">
        <v>88</v>
      </c>
      <c r="C239" s="79">
        <v>0.4</v>
      </c>
      <c r="D239" s="79">
        <f t="shared" si="73"/>
        <v>0.40513652412523599</v>
      </c>
      <c r="E239" s="49">
        <v>39150</v>
      </c>
      <c r="F239" s="49">
        <v>38900</v>
      </c>
      <c r="G239" s="49">
        <v>5969782550</v>
      </c>
      <c r="H239" s="49">
        <f t="shared" si="74"/>
        <v>0.480661415180764</v>
      </c>
      <c r="I239" s="49">
        <f t="shared" si="85"/>
        <v>0.480661415180764</v>
      </c>
      <c r="J239" s="48">
        <v>0.3</v>
      </c>
      <c r="K239" s="48">
        <f t="shared" si="75"/>
        <v>0.26233573511400632</v>
      </c>
      <c r="L239" s="48">
        <v>214500</v>
      </c>
      <c r="M239" s="48">
        <v>218500</v>
      </c>
      <c r="N239" s="51">
        <v>125456133</v>
      </c>
      <c r="O239" s="48">
        <f t="shared" si="76"/>
        <v>2.6366961929138801</v>
      </c>
      <c r="P239" s="48">
        <f t="shared" si="86"/>
        <v>2.6366961929138801</v>
      </c>
      <c r="Q239" s="49">
        <v>0.3</v>
      </c>
      <c r="R239" s="49">
        <f t="shared" si="77"/>
        <v>0.33252774076075775</v>
      </c>
      <c r="S239" s="49">
        <v>202000</v>
      </c>
      <c r="T239" s="49">
        <v>215000</v>
      </c>
      <c r="U239" s="49">
        <v>15956260</v>
      </c>
      <c r="V239" s="49">
        <f t="shared" si="78"/>
        <v>26.705720168853201</v>
      </c>
      <c r="W239" s="49">
        <f t="shared" si="87"/>
        <v>26.705720168853201</v>
      </c>
      <c r="X239" s="48">
        <v>0</v>
      </c>
      <c r="Y239" s="76">
        <f t="shared" si="79"/>
        <v>0</v>
      </c>
      <c r="Z239" s="18">
        <v>10020</v>
      </c>
      <c r="AA239" s="18">
        <v>9960</v>
      </c>
      <c r="AB239" s="18">
        <v>55400000</v>
      </c>
      <c r="AC239" s="117">
        <f t="shared" si="80"/>
        <v>0</v>
      </c>
      <c r="AD239" s="48">
        <f t="shared" si="88"/>
        <v>0</v>
      </c>
      <c r="AE239" s="49">
        <v>0</v>
      </c>
      <c r="AF239" s="49">
        <f t="shared" si="81"/>
        <v>0</v>
      </c>
      <c r="AG239" s="19">
        <v>20050</v>
      </c>
      <c r="AH239" s="19">
        <v>19550</v>
      </c>
      <c r="AI239" s="19">
        <v>7234332</v>
      </c>
      <c r="AJ239" s="119">
        <f t="shared" si="82"/>
        <v>0</v>
      </c>
      <c r="AK239" s="49">
        <f t="shared" si="89"/>
        <v>0</v>
      </c>
      <c r="AL239" s="82">
        <f t="shared" si="90"/>
        <v>0</v>
      </c>
      <c r="AM239" s="82">
        <f t="shared" si="91"/>
        <v>285646076015404.19</v>
      </c>
      <c r="AN239" s="81">
        <f t="shared" si="83"/>
        <v>275515461982854.66</v>
      </c>
      <c r="AO239" s="80">
        <f t="shared" si="69"/>
        <v>964.53438403962809</v>
      </c>
      <c r="AP239" s="52">
        <f t="shared" si="84"/>
        <v>2.2813976408752226E-2</v>
      </c>
      <c r="AQ239" s="48">
        <f t="shared" si="70"/>
        <v>-6.3856960408684551E-3</v>
      </c>
      <c r="AR239" s="48">
        <f t="shared" si="71"/>
        <v>1.8648018648018648E-2</v>
      </c>
      <c r="AS239" s="48">
        <f t="shared" si="72"/>
        <v>6.4356435643564358E-2</v>
      </c>
      <c r="AT239" s="48" t="e">
        <f>(#REF!-#REF!)/#REF!</f>
        <v>#REF!</v>
      </c>
    </row>
    <row r="240" spans="1:46" x14ac:dyDescent="0.3">
      <c r="A240" s="48">
        <v>20181219</v>
      </c>
      <c r="B240" s="48" t="s">
        <v>88</v>
      </c>
      <c r="C240" s="79">
        <v>0.4</v>
      </c>
      <c r="D240" s="79">
        <f t="shared" si="73"/>
        <v>0.40194730553215652</v>
      </c>
      <c r="E240" s="49">
        <v>38900</v>
      </c>
      <c r="F240" s="49">
        <v>39100</v>
      </c>
      <c r="G240" s="49">
        <v>5969782550</v>
      </c>
      <c r="H240" s="49">
        <f t="shared" si="74"/>
        <v>0.480661415180764</v>
      </c>
      <c r="I240" s="49">
        <f t="shared" si="85"/>
        <v>0.480661415180764</v>
      </c>
      <c r="J240" s="48">
        <v>0.3</v>
      </c>
      <c r="K240" s="48">
        <f t="shared" si="75"/>
        <v>0.26723487024316284</v>
      </c>
      <c r="L240" s="48">
        <v>218500</v>
      </c>
      <c r="M240" s="48">
        <v>225500</v>
      </c>
      <c r="N240" s="51">
        <v>125456133</v>
      </c>
      <c r="O240" s="48">
        <f t="shared" si="76"/>
        <v>2.6366961929138801</v>
      </c>
      <c r="P240" s="48">
        <f t="shared" si="86"/>
        <v>2.6366961929138801</v>
      </c>
      <c r="Q240" s="49">
        <v>0.3</v>
      </c>
      <c r="R240" s="49">
        <f t="shared" si="77"/>
        <v>0.3308178242246807</v>
      </c>
      <c r="S240" s="49">
        <v>215000</v>
      </c>
      <c r="T240" s="49">
        <v>216700</v>
      </c>
      <c r="U240" s="49">
        <v>15956260</v>
      </c>
      <c r="V240" s="49">
        <f t="shared" si="78"/>
        <v>26.705720168853201</v>
      </c>
      <c r="W240" s="49">
        <f t="shared" si="87"/>
        <v>26.705720168853201</v>
      </c>
      <c r="X240" s="48">
        <v>0</v>
      </c>
      <c r="Y240" s="76">
        <f t="shared" si="79"/>
        <v>0</v>
      </c>
      <c r="Z240" s="18">
        <v>9960</v>
      </c>
      <c r="AA240" s="18">
        <v>10055</v>
      </c>
      <c r="AB240" s="18">
        <v>55400000</v>
      </c>
      <c r="AC240" s="117">
        <f t="shared" si="80"/>
        <v>0</v>
      </c>
      <c r="AD240" s="48">
        <f t="shared" si="88"/>
        <v>0</v>
      </c>
      <c r="AE240" s="49">
        <v>0</v>
      </c>
      <c r="AF240" s="49">
        <f t="shared" si="81"/>
        <v>0</v>
      </c>
      <c r="AG240" s="19">
        <v>19550</v>
      </c>
      <c r="AH240" s="19">
        <v>20450</v>
      </c>
      <c r="AI240" s="19">
        <v>7234332</v>
      </c>
      <c r="AJ240" s="119">
        <f t="shared" si="82"/>
        <v>0</v>
      </c>
      <c r="AK240" s="49">
        <f t="shared" si="89"/>
        <v>0</v>
      </c>
      <c r="AL240" s="82">
        <f t="shared" si="90"/>
        <v>0</v>
      </c>
      <c r="AM240" s="82">
        <f t="shared" si="91"/>
        <v>285646076015404.19</v>
      </c>
      <c r="AN240" s="81">
        <f t="shared" si="83"/>
        <v>279129288571079.62</v>
      </c>
      <c r="AO240" s="80">
        <f t="shared" si="69"/>
        <v>977.18579742025531</v>
      </c>
      <c r="AP240" s="52">
        <f t="shared" si="84"/>
        <v>1.3116601740666855E-2</v>
      </c>
      <c r="AQ240" s="48">
        <f t="shared" si="70"/>
        <v>5.1413881748071976E-3</v>
      </c>
      <c r="AR240" s="48">
        <f t="shared" si="71"/>
        <v>3.2036613272311214E-2</v>
      </c>
      <c r="AS240" s="48">
        <f t="shared" si="72"/>
        <v>7.9069767441860457E-3</v>
      </c>
      <c r="AT240" s="48" t="e">
        <f>(#REF!-#REF!)/#REF!</f>
        <v>#REF!</v>
      </c>
    </row>
    <row r="241" spans="1:46" x14ac:dyDescent="0.3">
      <c r="A241" s="48">
        <v>20181220</v>
      </c>
      <c r="B241" s="48" t="s">
        <v>88</v>
      </c>
      <c r="C241" s="79">
        <v>0.4</v>
      </c>
      <c r="D241" s="79">
        <f t="shared" si="73"/>
        <v>0.39514642673065908</v>
      </c>
      <c r="E241" s="49">
        <v>39100</v>
      </c>
      <c r="F241" s="49">
        <v>38650</v>
      </c>
      <c r="G241" s="49">
        <v>5969782550</v>
      </c>
      <c r="H241" s="49">
        <f t="shared" si="74"/>
        <v>0.480661415180764</v>
      </c>
      <c r="I241" s="49">
        <f t="shared" si="85"/>
        <v>0.480661415180764</v>
      </c>
      <c r="J241" s="48">
        <v>0.3</v>
      </c>
      <c r="K241" s="48">
        <f t="shared" si="75"/>
        <v>0.26400417514282676</v>
      </c>
      <c r="L241" s="48">
        <v>225500</v>
      </c>
      <c r="M241" s="48">
        <v>224000</v>
      </c>
      <c r="N241" s="51">
        <v>125456133</v>
      </c>
      <c r="O241" s="48">
        <f t="shared" si="76"/>
        <v>2.6366961929138801</v>
      </c>
      <c r="P241" s="48">
        <f t="shared" si="86"/>
        <v>2.6366961929138801</v>
      </c>
      <c r="Q241" s="49">
        <v>0.3</v>
      </c>
      <c r="R241" s="49">
        <f t="shared" si="77"/>
        <v>0.3408493981265141</v>
      </c>
      <c r="S241" s="49">
        <v>216700</v>
      </c>
      <c r="T241" s="49">
        <v>224500</v>
      </c>
      <c r="U241" s="49">
        <v>15956260</v>
      </c>
      <c r="V241" s="49">
        <f t="shared" si="78"/>
        <v>26.705720168853201</v>
      </c>
      <c r="W241" s="49">
        <f t="shared" si="87"/>
        <v>26.705720168853201</v>
      </c>
      <c r="X241" s="48">
        <v>0</v>
      </c>
      <c r="Y241" s="76">
        <f t="shared" si="79"/>
        <v>0</v>
      </c>
      <c r="Z241" s="18">
        <v>10055</v>
      </c>
      <c r="AA241" s="18">
        <v>9910</v>
      </c>
      <c r="AB241" s="18">
        <v>54900000</v>
      </c>
      <c r="AC241" s="117">
        <f t="shared" si="80"/>
        <v>0</v>
      </c>
      <c r="AD241" s="48">
        <f t="shared" si="88"/>
        <v>0</v>
      </c>
      <c r="AE241" s="49">
        <v>0</v>
      </c>
      <c r="AF241" s="49">
        <f t="shared" si="81"/>
        <v>0</v>
      </c>
      <c r="AG241" s="19">
        <v>20450</v>
      </c>
      <c r="AH241" s="19">
        <v>20350</v>
      </c>
      <c r="AI241" s="19">
        <v>7234332</v>
      </c>
      <c r="AJ241" s="119">
        <f t="shared" si="82"/>
        <v>0</v>
      </c>
      <c r="AK241" s="49">
        <f t="shared" si="89"/>
        <v>0</v>
      </c>
      <c r="AL241" s="82">
        <f t="shared" si="90"/>
        <v>0</v>
      </c>
      <c r="AM241" s="82">
        <f t="shared" si="91"/>
        <v>285646076015404.19</v>
      </c>
      <c r="AN241" s="81">
        <f t="shared" si="83"/>
        <v>280665616783840.87</v>
      </c>
      <c r="AO241" s="80">
        <f t="shared" si="69"/>
        <v>982.56423017939608</v>
      </c>
      <c r="AP241" s="52">
        <f t="shared" si="84"/>
        <v>5.5040021798717139E-3</v>
      </c>
      <c r="AQ241" s="48">
        <f t="shared" si="70"/>
        <v>-1.1508951406649617E-2</v>
      </c>
      <c r="AR241" s="48">
        <f t="shared" si="71"/>
        <v>-6.6518847006651885E-3</v>
      </c>
      <c r="AS241" s="48">
        <f t="shared" si="72"/>
        <v>3.599446239040148E-2</v>
      </c>
      <c r="AT241" s="48" t="e">
        <f>(#REF!-#REF!)/#REF!</f>
        <v>#REF!</v>
      </c>
    </row>
    <row r="242" spans="1:46" x14ac:dyDescent="0.3">
      <c r="A242" s="48">
        <v>20181221</v>
      </c>
      <c r="B242" s="48" t="s">
        <v>88</v>
      </c>
      <c r="C242" s="79">
        <v>0.4</v>
      </c>
      <c r="D242" s="79">
        <f t="shared" si="73"/>
        <v>0.39472997547290944</v>
      </c>
      <c r="E242" s="49">
        <v>38650</v>
      </c>
      <c r="F242" s="49">
        <v>38650</v>
      </c>
      <c r="G242" s="49">
        <v>5969782550</v>
      </c>
      <c r="H242" s="49">
        <f t="shared" si="74"/>
        <v>0.480661415180764</v>
      </c>
      <c r="I242" s="49">
        <f t="shared" si="85"/>
        <v>0.480661415180764</v>
      </c>
      <c r="J242" s="48">
        <v>0.3</v>
      </c>
      <c r="K242" s="48">
        <f t="shared" si="75"/>
        <v>0.25901654511158967</v>
      </c>
      <c r="L242" s="48">
        <v>224000</v>
      </c>
      <c r="M242" s="48">
        <v>220000</v>
      </c>
      <c r="N242" s="51">
        <v>125456133</v>
      </c>
      <c r="O242" s="48">
        <f t="shared" si="76"/>
        <v>2.6366961929138801</v>
      </c>
      <c r="P242" s="48">
        <f t="shared" si="86"/>
        <v>2.6366961929138801</v>
      </c>
      <c r="Q242" s="49">
        <v>0.3</v>
      </c>
      <c r="R242" s="49">
        <f t="shared" si="77"/>
        <v>0.34625347941550094</v>
      </c>
      <c r="S242" s="49">
        <v>224500</v>
      </c>
      <c r="T242" s="49">
        <v>228300</v>
      </c>
      <c r="U242" s="49">
        <v>15956260</v>
      </c>
      <c r="V242" s="49">
        <f t="shared" si="78"/>
        <v>26.705720168853201</v>
      </c>
      <c r="W242" s="49">
        <f t="shared" si="87"/>
        <v>26.705720168853201</v>
      </c>
      <c r="X242" s="48">
        <v>0</v>
      </c>
      <c r="Y242" s="76">
        <f t="shared" si="79"/>
        <v>0</v>
      </c>
      <c r="Z242" s="18">
        <v>9910</v>
      </c>
      <c r="AA242" s="18">
        <v>9880</v>
      </c>
      <c r="AB242" s="18">
        <v>62500000</v>
      </c>
      <c r="AC242" s="117">
        <f t="shared" si="80"/>
        <v>0</v>
      </c>
      <c r="AD242" s="48">
        <f t="shared" si="88"/>
        <v>0</v>
      </c>
      <c r="AE242" s="49">
        <v>0</v>
      </c>
      <c r="AF242" s="49">
        <f t="shared" si="81"/>
        <v>0</v>
      </c>
      <c r="AG242" s="19">
        <v>20350</v>
      </c>
      <c r="AH242" s="19">
        <v>20800</v>
      </c>
      <c r="AI242" s="19">
        <v>7234332</v>
      </c>
      <c r="AJ242" s="119">
        <f t="shared" si="82"/>
        <v>0</v>
      </c>
      <c r="AK242" s="49">
        <f t="shared" si="89"/>
        <v>0</v>
      </c>
      <c r="AL242" s="82">
        <f t="shared" si="90"/>
        <v>0</v>
      </c>
      <c r="AM242" s="82">
        <f t="shared" si="91"/>
        <v>285646076015404.19</v>
      </c>
      <c r="AN242" s="81">
        <f t="shared" si="83"/>
        <v>280961726925911.22</v>
      </c>
      <c r="AO242" s="80">
        <f t="shared" si="69"/>
        <v>983.60086315612352</v>
      </c>
      <c r="AP242" s="52">
        <f t="shared" si="84"/>
        <v>1.0550282056758554E-3</v>
      </c>
      <c r="AQ242" s="48">
        <f t="shared" si="70"/>
        <v>0</v>
      </c>
      <c r="AR242" s="48">
        <f t="shared" si="71"/>
        <v>-1.7857142857142856E-2</v>
      </c>
      <c r="AS242" s="48">
        <f t="shared" si="72"/>
        <v>1.6926503340757237E-2</v>
      </c>
      <c r="AT242" s="48" t="e">
        <f>(#REF!-#REF!)/#REF!</f>
        <v>#REF!</v>
      </c>
    </row>
    <row r="243" spans="1:46" x14ac:dyDescent="0.3">
      <c r="A243" s="48">
        <v>20181224</v>
      </c>
      <c r="B243" s="48" t="s">
        <v>88</v>
      </c>
      <c r="C243" s="79">
        <v>0.4</v>
      </c>
      <c r="D243" s="79">
        <f t="shared" si="73"/>
        <v>0.40098397897946331</v>
      </c>
      <c r="E243" s="49">
        <v>38650</v>
      </c>
      <c r="F243" s="49">
        <v>38800</v>
      </c>
      <c r="G243" s="49">
        <v>5969782550</v>
      </c>
      <c r="H243" s="49">
        <f t="shared" si="74"/>
        <v>0.480661415180764</v>
      </c>
      <c r="I243" s="49">
        <f t="shared" si="85"/>
        <v>0.480661415180764</v>
      </c>
      <c r="J243" s="48">
        <v>0.3</v>
      </c>
      <c r="K243" s="48">
        <f t="shared" si="75"/>
        <v>0.25078503167823046</v>
      </c>
      <c r="L243" s="48">
        <v>220000</v>
      </c>
      <c r="M243" s="48">
        <v>210500</v>
      </c>
      <c r="N243" s="51">
        <v>125456133</v>
      </c>
      <c r="O243" s="48">
        <f t="shared" si="76"/>
        <v>2.6366961929138801</v>
      </c>
      <c r="P243" s="48">
        <f t="shared" si="86"/>
        <v>2.6366961929138801</v>
      </c>
      <c r="Q243" s="49">
        <v>0.3</v>
      </c>
      <c r="R243" s="49">
        <f t="shared" si="77"/>
        <v>0.34823098934230617</v>
      </c>
      <c r="S243" s="49">
        <v>228300</v>
      </c>
      <c r="T243" s="49">
        <v>226900</v>
      </c>
      <c r="U243" s="49">
        <v>15956260</v>
      </c>
      <c r="V243" s="49">
        <f t="shared" si="78"/>
        <v>26.705720168853201</v>
      </c>
      <c r="W243" s="49">
        <f t="shared" si="87"/>
        <v>26.705720168853201</v>
      </c>
      <c r="X243" s="48">
        <v>0</v>
      </c>
      <c r="Y243" s="76">
        <f t="shared" si="79"/>
        <v>0</v>
      </c>
      <c r="Z243" s="18">
        <v>9880</v>
      </c>
      <c r="AA243" s="18">
        <v>9955</v>
      </c>
      <c r="AB243" s="18">
        <v>57500000</v>
      </c>
      <c r="AC243" s="117">
        <f t="shared" si="80"/>
        <v>0</v>
      </c>
      <c r="AD243" s="48">
        <f t="shared" si="88"/>
        <v>0</v>
      </c>
      <c r="AE243" s="49">
        <v>0</v>
      </c>
      <c r="AF243" s="49">
        <f t="shared" si="81"/>
        <v>0</v>
      </c>
      <c r="AG243" s="19">
        <v>20800</v>
      </c>
      <c r="AH243" s="19">
        <v>20600</v>
      </c>
      <c r="AI243" s="19">
        <v>7234332</v>
      </c>
      <c r="AJ243" s="119">
        <f t="shared" si="82"/>
        <v>0</v>
      </c>
      <c r="AK243" s="49">
        <f t="shared" si="89"/>
        <v>0</v>
      </c>
      <c r="AL243" s="82">
        <f t="shared" si="90"/>
        <v>0</v>
      </c>
      <c r="AM243" s="82">
        <f t="shared" si="91"/>
        <v>285646076015404.19</v>
      </c>
      <c r="AN243" s="81">
        <f t="shared" si="83"/>
        <v>277653068536471.31</v>
      </c>
      <c r="AO243" s="80">
        <f t="shared" si="69"/>
        <v>972.01779352116205</v>
      </c>
      <c r="AP243" s="52">
        <f t="shared" si="84"/>
        <v>-1.1776188969369515E-2</v>
      </c>
      <c r="AQ243" s="48">
        <f t="shared" si="70"/>
        <v>3.8809831824062097E-3</v>
      </c>
      <c r="AR243" s="48">
        <f t="shared" si="71"/>
        <v>-4.3181818181818182E-2</v>
      </c>
      <c r="AS243" s="48">
        <f t="shared" si="72"/>
        <v>-6.1322820849759093E-3</v>
      </c>
      <c r="AT243" s="48" t="e">
        <f>(#REF!-#REF!)/#REF!</f>
        <v>#REF!</v>
      </c>
    </row>
    <row r="244" spans="1:46" x14ac:dyDescent="0.3">
      <c r="A244" s="48">
        <v>20181226</v>
      </c>
      <c r="B244" s="48" t="s">
        <v>88</v>
      </c>
      <c r="C244" s="79">
        <v>0.4</v>
      </c>
      <c r="D244" s="79">
        <f t="shared" si="73"/>
        <v>0.3863976131872246</v>
      </c>
      <c r="E244" s="49">
        <v>38800</v>
      </c>
      <c r="F244" s="49">
        <v>38350</v>
      </c>
      <c r="G244" s="49">
        <v>5969782550</v>
      </c>
      <c r="H244" s="49">
        <f t="shared" si="74"/>
        <v>0.480661415180764</v>
      </c>
      <c r="I244" s="49">
        <f t="shared" si="85"/>
        <v>0.480661415180764</v>
      </c>
      <c r="J244" s="48">
        <v>0.3</v>
      </c>
      <c r="K244" s="48">
        <f t="shared" si="75"/>
        <v>0.26482448101454087</v>
      </c>
      <c r="L244" s="48">
        <v>210500</v>
      </c>
      <c r="M244" s="48">
        <v>228000</v>
      </c>
      <c r="N244" s="51">
        <v>125456133</v>
      </c>
      <c r="O244" s="48">
        <f t="shared" si="76"/>
        <v>2.6366961929138801</v>
      </c>
      <c r="P244" s="48">
        <f t="shared" si="86"/>
        <v>2.6366961929138801</v>
      </c>
      <c r="Q244" s="49">
        <v>0.3</v>
      </c>
      <c r="R244" s="49">
        <f t="shared" si="77"/>
        <v>0.34877790579823459</v>
      </c>
      <c r="S244" s="49">
        <v>226900</v>
      </c>
      <c r="T244" s="49">
        <v>233100</v>
      </c>
      <c r="U244" s="49">
        <v>15956260</v>
      </c>
      <c r="V244" s="49">
        <f t="shared" si="78"/>
        <v>26.705720168853201</v>
      </c>
      <c r="W244" s="49">
        <f t="shared" si="87"/>
        <v>26.705720168853201</v>
      </c>
      <c r="X244" s="48">
        <v>0</v>
      </c>
      <c r="Y244" s="76">
        <f t="shared" si="79"/>
        <v>0</v>
      </c>
      <c r="Z244" s="18">
        <v>9955</v>
      </c>
      <c r="AA244" s="18">
        <v>9790</v>
      </c>
      <c r="AB244" s="18">
        <v>62100000</v>
      </c>
      <c r="AC244" s="117">
        <f t="shared" si="80"/>
        <v>0</v>
      </c>
      <c r="AD244" s="48">
        <f t="shared" si="88"/>
        <v>0</v>
      </c>
      <c r="AE244" s="49">
        <v>0</v>
      </c>
      <c r="AF244" s="49">
        <f t="shared" si="81"/>
        <v>0</v>
      </c>
      <c r="AG244" s="19">
        <v>20600</v>
      </c>
      <c r="AH244" s="19">
        <v>20300</v>
      </c>
      <c r="AI244" s="19">
        <v>7234332</v>
      </c>
      <c r="AJ244" s="119">
        <f t="shared" si="82"/>
        <v>0</v>
      </c>
      <c r="AK244" s="49">
        <f t="shared" si="89"/>
        <v>0</v>
      </c>
      <c r="AL244" s="82">
        <f t="shared" si="90"/>
        <v>0</v>
      </c>
      <c r="AM244" s="82">
        <f t="shared" si="91"/>
        <v>285646076015404.19</v>
      </c>
      <c r="AN244" s="81">
        <f t="shared" si="83"/>
        <v>284792603742947.31</v>
      </c>
      <c r="AO244" s="80">
        <f t="shared" si="69"/>
        <v>997.01213374129861</v>
      </c>
      <c r="AP244" s="52">
        <f t="shared" si="84"/>
        <v>2.5713871069781406E-2</v>
      </c>
      <c r="AQ244" s="48">
        <f t="shared" si="70"/>
        <v>-1.1597938144329897E-2</v>
      </c>
      <c r="AR244" s="48">
        <f t="shared" si="71"/>
        <v>8.3135391923990498E-2</v>
      </c>
      <c r="AS244" s="48">
        <f t="shared" si="72"/>
        <v>2.7324812692816218E-2</v>
      </c>
      <c r="AT244" s="48" t="e">
        <f>(#REF!-#REF!)/#REF!</f>
        <v>#REF!</v>
      </c>
    </row>
    <row r="245" spans="1:46" s="47" customFormat="1" x14ac:dyDescent="0.3">
      <c r="A245" s="48">
        <v>20181227</v>
      </c>
      <c r="B245" s="48" t="s">
        <v>88</v>
      </c>
      <c r="C245" s="79">
        <v>0.4</v>
      </c>
      <c r="D245" s="79">
        <f t="shared" si="73"/>
        <v>0.38024874889314864</v>
      </c>
      <c r="E245" s="49">
        <v>38350</v>
      </c>
      <c r="F245" s="49">
        <v>38250</v>
      </c>
      <c r="G245" s="49">
        <v>5969782550</v>
      </c>
      <c r="H245" s="49">
        <f t="shared" si="74"/>
        <v>0.480661415180764</v>
      </c>
      <c r="I245" s="49">
        <f t="shared" si="85"/>
        <v>0.44137873069428601</v>
      </c>
      <c r="J245" s="48">
        <v>0.3</v>
      </c>
      <c r="K245" s="48">
        <f t="shared" si="75"/>
        <v>0.26012510114373466</v>
      </c>
      <c r="L245" s="48">
        <v>224000</v>
      </c>
      <c r="M245" s="48">
        <v>223000</v>
      </c>
      <c r="N245" s="51">
        <v>125456133</v>
      </c>
      <c r="O245" s="48">
        <f t="shared" si="76"/>
        <v>2.6366961929138801</v>
      </c>
      <c r="P245" s="48">
        <f t="shared" si="86"/>
        <v>2.4644446091677801</v>
      </c>
      <c r="Q245" s="49">
        <v>0.3</v>
      </c>
      <c r="R245" s="49">
        <f t="shared" si="77"/>
        <v>0.3596261499631167</v>
      </c>
      <c r="S245" s="49">
        <v>233100</v>
      </c>
      <c r="T245" s="49">
        <v>243600</v>
      </c>
      <c r="U245" s="49">
        <v>15956260</v>
      </c>
      <c r="V245" s="49">
        <f t="shared" si="78"/>
        <v>26.705720168853201</v>
      </c>
      <c r="W245" s="49">
        <f t="shared" si="87"/>
        <v>24.523160166647301</v>
      </c>
      <c r="X245" s="48">
        <v>0</v>
      </c>
      <c r="Y245" s="76">
        <f t="shared" si="79"/>
        <v>0</v>
      </c>
      <c r="Z245" s="18">
        <v>9790</v>
      </c>
      <c r="AA245" s="18">
        <v>9940</v>
      </c>
      <c r="AB245" s="18">
        <v>62100000</v>
      </c>
      <c r="AC245" s="117">
        <f t="shared" si="80"/>
        <v>0</v>
      </c>
      <c r="AD245" s="48">
        <f t="shared" si="88"/>
        <v>0</v>
      </c>
      <c r="AE245" s="49">
        <v>0</v>
      </c>
      <c r="AF245" s="49">
        <f t="shared" si="81"/>
        <v>0</v>
      </c>
      <c r="AG245" s="19">
        <v>20300</v>
      </c>
      <c r="AH245" s="19">
        <v>19750</v>
      </c>
      <c r="AI245" s="19">
        <v>7234332</v>
      </c>
      <c r="AJ245" s="119">
        <f t="shared" si="82"/>
        <v>0</v>
      </c>
      <c r="AK245" s="49">
        <f t="shared" si="89"/>
        <v>0</v>
      </c>
      <c r="AL245" s="82">
        <f t="shared" si="90"/>
        <v>1</v>
      </c>
      <c r="AM245" s="82">
        <f t="shared" si="91"/>
        <v>262301275861862.16</v>
      </c>
      <c r="AN245" s="81">
        <f t="shared" si="83"/>
        <v>265053509691224.31</v>
      </c>
      <c r="AO245" s="80">
        <f t="shared" si="69"/>
        <v>1010.4926436988113</v>
      </c>
      <c r="AP245" s="52">
        <f t="shared" si="84"/>
        <v>1.3520908624177874E-2</v>
      </c>
      <c r="AQ245" s="48">
        <f t="shared" si="70"/>
        <v>-2.6075619295958278E-3</v>
      </c>
      <c r="AR245" s="48">
        <f t="shared" si="71"/>
        <v>-4.464285714285714E-3</v>
      </c>
      <c r="AS245" s="48">
        <f t="shared" si="72"/>
        <v>4.5045045045045043E-2</v>
      </c>
      <c r="AT245" s="48" t="e">
        <f>(#REF!-#REF!)/#REF!</f>
        <v>#REF!</v>
      </c>
    </row>
    <row r="246" spans="1:46" x14ac:dyDescent="0.3">
      <c r="A246" s="48">
        <v>20181228</v>
      </c>
      <c r="B246" s="48" t="s">
        <v>88</v>
      </c>
      <c r="C246" s="79">
        <v>0.4</v>
      </c>
      <c r="D246" s="79">
        <f t="shared" si="73"/>
        <v>0.37745853757700309</v>
      </c>
      <c r="E246" s="49">
        <v>38250</v>
      </c>
      <c r="F246" s="49">
        <v>38700</v>
      </c>
      <c r="G246" s="49">
        <v>5969782550</v>
      </c>
      <c r="H246" s="49">
        <f t="shared" si="74"/>
        <v>0.44137873069428601</v>
      </c>
      <c r="I246" s="49">
        <f t="shared" si="85"/>
        <v>0.44137873069428601</v>
      </c>
      <c r="J246" s="48">
        <v>0.3</v>
      </c>
      <c r="K246" s="48">
        <f t="shared" si="75"/>
        <v>0.25464159620613958</v>
      </c>
      <c r="L246" s="48">
        <v>223000</v>
      </c>
      <c r="M246" s="48">
        <v>222500</v>
      </c>
      <c r="N246" s="51">
        <v>125456133</v>
      </c>
      <c r="O246" s="48">
        <f t="shared" si="76"/>
        <v>2.4644446091677801</v>
      </c>
      <c r="P246" s="48">
        <f t="shared" si="86"/>
        <v>2.4644446091677801</v>
      </c>
      <c r="Q246" s="49">
        <v>0.3</v>
      </c>
      <c r="R246" s="49">
        <f t="shared" si="77"/>
        <v>0.36789986621685733</v>
      </c>
      <c r="S246" s="49">
        <v>243600</v>
      </c>
      <c r="T246" s="49">
        <v>254000</v>
      </c>
      <c r="U246" s="49">
        <v>15956260</v>
      </c>
      <c r="V246" s="49">
        <f t="shared" si="78"/>
        <v>24.523160166647301</v>
      </c>
      <c r="W246" s="49">
        <f t="shared" si="87"/>
        <v>24.523160166647301</v>
      </c>
      <c r="X246" s="48">
        <v>0</v>
      </c>
      <c r="Y246" s="76">
        <f t="shared" si="79"/>
        <v>0</v>
      </c>
      <c r="Z246" s="18">
        <v>9940</v>
      </c>
      <c r="AA246" s="18">
        <v>10040</v>
      </c>
      <c r="AB246" s="18">
        <v>62100000</v>
      </c>
      <c r="AC246" s="117">
        <f t="shared" si="80"/>
        <v>0</v>
      </c>
      <c r="AD246" s="48">
        <f t="shared" si="88"/>
        <v>0</v>
      </c>
      <c r="AE246" s="49">
        <v>0</v>
      </c>
      <c r="AF246" s="49">
        <f t="shared" si="81"/>
        <v>0</v>
      </c>
      <c r="AG246" s="19">
        <v>19750</v>
      </c>
      <c r="AH246" s="19">
        <v>19650</v>
      </c>
      <c r="AI246" s="19">
        <v>7234332</v>
      </c>
      <c r="AJ246" s="119">
        <f t="shared" si="82"/>
        <v>0</v>
      </c>
      <c r="AK246" s="49">
        <f t="shared" si="89"/>
        <v>0</v>
      </c>
      <c r="AL246" s="82">
        <f t="shared" si="90"/>
        <v>0</v>
      </c>
      <c r="AM246" s="82">
        <f t="shared" si="91"/>
        <v>262301275861862.16</v>
      </c>
      <c r="AN246" s="81">
        <f t="shared" si="83"/>
        <v>270154138980155.78</v>
      </c>
      <c r="AO246" s="80">
        <f t="shared" si="69"/>
        <v>1029.9383336679966</v>
      </c>
      <c r="AP246" s="52">
        <f t="shared" si="84"/>
        <v>1.9243771926934796E-2</v>
      </c>
      <c r="AQ246" s="48">
        <f t="shared" si="70"/>
        <v>1.1764705882352941E-2</v>
      </c>
      <c r="AR246" s="48">
        <f t="shared" si="71"/>
        <v>-2.242152466367713E-3</v>
      </c>
      <c r="AS246" s="48">
        <f t="shared" si="72"/>
        <v>4.2692939244663386E-2</v>
      </c>
      <c r="AT246" s="48" t="e">
        <f>(#REF!-#REF!)/#REF!</f>
        <v>#REF!</v>
      </c>
    </row>
    <row r="247" spans="1:46" s="129" customFormat="1" x14ac:dyDescent="0.3">
      <c r="A247" s="121">
        <v>20190102</v>
      </c>
      <c r="B247" s="121" t="s">
        <v>89</v>
      </c>
      <c r="C247" s="122">
        <v>0.3</v>
      </c>
      <c r="D247" s="122">
        <f t="shared" si="73"/>
        <v>0.30026382563519638</v>
      </c>
      <c r="E247" s="121">
        <v>38700</v>
      </c>
      <c r="F247" s="121">
        <v>38750</v>
      </c>
      <c r="G247" s="121">
        <v>5969782550</v>
      </c>
      <c r="H247" s="121">
        <f t="shared" si="74"/>
        <v>0.44137873069428601</v>
      </c>
      <c r="I247" s="123">
        <f t="shared" si="85"/>
        <v>0.34250413636912502</v>
      </c>
      <c r="J247" s="123">
        <v>0.15</v>
      </c>
      <c r="K247" s="123">
        <f t="shared" si="75"/>
        <v>0.14454715802372531</v>
      </c>
      <c r="L247" s="121">
        <v>222500</v>
      </c>
      <c r="M247" s="121">
        <v>214500</v>
      </c>
      <c r="N247" s="124">
        <v>125456133</v>
      </c>
      <c r="O247" s="121">
        <f t="shared" si="76"/>
        <v>2.4644446091677801</v>
      </c>
      <c r="P247" s="123">
        <f t="shared" si="86"/>
        <v>1.41737050198748</v>
      </c>
      <c r="Q247" s="123">
        <v>0.15</v>
      </c>
      <c r="R247" s="123">
        <f t="shared" si="77"/>
        <v>0.1534800413279831</v>
      </c>
      <c r="S247" s="121">
        <v>254000</v>
      </c>
      <c r="T247" s="121">
        <v>260000</v>
      </c>
      <c r="U247" s="121">
        <v>15956260</v>
      </c>
      <c r="V247" s="121">
        <f t="shared" si="78"/>
        <v>24.523160166647301</v>
      </c>
      <c r="W247" s="123">
        <f t="shared" si="87"/>
        <v>9.7620377189396894</v>
      </c>
      <c r="X247" s="123">
        <v>0.1</v>
      </c>
      <c r="Y247" s="130">
        <f t="shared" si="79"/>
        <v>9.8017365345284227E-2</v>
      </c>
      <c r="Z247" s="131">
        <v>10040</v>
      </c>
      <c r="AA247" s="131">
        <v>9845</v>
      </c>
      <c r="AB247" s="131">
        <v>62100000</v>
      </c>
      <c r="AC247" s="132">
        <f t="shared" si="80"/>
        <v>0</v>
      </c>
      <c r="AD247" s="123">
        <f t="shared" si="88"/>
        <v>42.304710777068898</v>
      </c>
      <c r="AE247" s="123">
        <v>0.3</v>
      </c>
      <c r="AF247" s="123">
        <f t="shared" si="81"/>
        <v>0.303691609667811</v>
      </c>
      <c r="AG247" s="131">
        <v>19650</v>
      </c>
      <c r="AH247" s="131">
        <v>19900</v>
      </c>
      <c r="AI247" s="131">
        <v>7234332</v>
      </c>
      <c r="AJ247" s="132">
        <f t="shared" si="82"/>
        <v>0</v>
      </c>
      <c r="AK247" s="123">
        <f t="shared" si="89"/>
        <v>556.63986697835401</v>
      </c>
      <c r="AL247" s="82">
        <f t="shared" si="90"/>
        <v>0</v>
      </c>
      <c r="AM247" s="82">
        <f t="shared" si="91"/>
        <v>256096014993383.78</v>
      </c>
      <c r="AN247" s="126">
        <f t="shared" si="83"/>
        <v>263871828301692.56</v>
      </c>
      <c r="AO247" s="127">
        <f t="shared" si="69"/>
        <v>1030.3628828762121</v>
      </c>
      <c r="AP247" s="128">
        <f t="shared" si="84"/>
        <v>4.1220837630490749E-4</v>
      </c>
      <c r="AQ247" s="121">
        <f t="shared" si="70"/>
        <v>1.2919896640826874E-3</v>
      </c>
      <c r="AR247" s="121">
        <f t="shared" si="71"/>
        <v>-3.5955056179775284E-2</v>
      </c>
      <c r="AS247" s="121">
        <f t="shared" si="72"/>
        <v>2.3622047244094488E-2</v>
      </c>
      <c r="AT247" s="121" t="e">
        <f>(#REF!-#REF!)/#REF!</f>
        <v>#REF!</v>
      </c>
    </row>
    <row r="248" spans="1:46" x14ac:dyDescent="0.3">
      <c r="A248" s="48">
        <v>20190103</v>
      </c>
      <c r="B248" s="48" t="s">
        <v>88</v>
      </c>
      <c r="C248" s="79">
        <v>0.3</v>
      </c>
      <c r="D248" s="79">
        <f t="shared" si="73"/>
        <v>0.30186791366821875</v>
      </c>
      <c r="E248" s="49">
        <v>38750</v>
      </c>
      <c r="F248" s="49">
        <v>37600</v>
      </c>
      <c r="G248" s="49">
        <v>5969782550</v>
      </c>
      <c r="H248" s="49">
        <f t="shared" si="74"/>
        <v>0.34250413636912502</v>
      </c>
      <c r="I248" s="49">
        <f t="shared" si="85"/>
        <v>0.34250413636912502</v>
      </c>
      <c r="J248" s="48">
        <v>0.15</v>
      </c>
      <c r="K248" s="48">
        <f t="shared" si="75"/>
        <v>0.14697117370972373</v>
      </c>
      <c r="L248" s="48">
        <v>214500</v>
      </c>
      <c r="M248" s="48">
        <v>210500</v>
      </c>
      <c r="N248" s="51">
        <v>125456133</v>
      </c>
      <c r="O248" s="48">
        <f t="shared" si="76"/>
        <v>1.41737050198748</v>
      </c>
      <c r="P248" s="48">
        <f t="shared" si="86"/>
        <v>1.41737050198748</v>
      </c>
      <c r="Q248" s="49">
        <v>0.15</v>
      </c>
      <c r="R248" s="49">
        <f t="shared" si="77"/>
        <v>0.15253616035897147</v>
      </c>
      <c r="S248" s="49">
        <v>260000</v>
      </c>
      <c r="T248" s="49">
        <v>249400</v>
      </c>
      <c r="U248" s="49">
        <v>15956260</v>
      </c>
      <c r="V248" s="49">
        <f t="shared" si="78"/>
        <v>9.7620377189396894</v>
      </c>
      <c r="W248" s="49">
        <f t="shared" si="87"/>
        <v>9.7620377189396894</v>
      </c>
      <c r="X248" s="48">
        <v>0.1</v>
      </c>
      <c r="Y248" s="76">
        <f t="shared" si="79"/>
        <v>0.10057492593885174</v>
      </c>
      <c r="Z248" s="18">
        <v>9845</v>
      </c>
      <c r="AA248" s="18">
        <v>9750</v>
      </c>
      <c r="AB248" s="18">
        <v>62100000</v>
      </c>
      <c r="AC248" s="117">
        <f t="shared" si="80"/>
        <v>42.304710777068898</v>
      </c>
      <c r="AD248" s="48">
        <f t="shared" si="88"/>
        <v>42.304710777068898</v>
      </c>
      <c r="AE248" s="49">
        <v>0.3</v>
      </c>
      <c r="AF248" s="49">
        <f t="shared" si="81"/>
        <v>0.29804982632423438</v>
      </c>
      <c r="AG248" s="19">
        <v>19900</v>
      </c>
      <c r="AH248" s="19">
        <v>18850</v>
      </c>
      <c r="AI248" s="19">
        <v>7234332</v>
      </c>
      <c r="AJ248" s="119">
        <f t="shared" si="82"/>
        <v>556.63986697835401</v>
      </c>
      <c r="AK248" s="49">
        <f t="shared" si="89"/>
        <v>556.63986697835401</v>
      </c>
      <c r="AL248" s="82">
        <f t="shared" si="90"/>
        <v>0</v>
      </c>
      <c r="AM248" s="82">
        <f t="shared" si="91"/>
        <v>256096014993383.78</v>
      </c>
      <c r="AN248" s="81">
        <f t="shared" si="83"/>
        <v>254680224903362.53</v>
      </c>
      <c r="AO248" s="80">
        <f t="shared" si="69"/>
        <v>994.47164341835696</v>
      </c>
      <c r="AP248" s="52">
        <f t="shared" si="84"/>
        <v>-3.4833591207853239E-2</v>
      </c>
      <c r="AQ248" s="48">
        <f t="shared" si="70"/>
        <v>-2.9677419354838711E-2</v>
      </c>
      <c r="AR248" s="48">
        <f t="shared" si="71"/>
        <v>-1.8648018648018648E-2</v>
      </c>
      <c r="AS248" s="48">
        <f t="shared" si="72"/>
        <v>-4.0769230769230766E-2</v>
      </c>
      <c r="AT248" s="48" t="e">
        <f>(#REF!-#REF!)/#REF!</f>
        <v>#REF!</v>
      </c>
    </row>
    <row r="249" spans="1:46" x14ac:dyDescent="0.3">
      <c r="A249" s="48">
        <v>20190104</v>
      </c>
      <c r="B249" s="48" t="s">
        <v>88</v>
      </c>
      <c r="C249" s="79">
        <v>0.3</v>
      </c>
      <c r="D249" s="79">
        <f t="shared" si="73"/>
        <v>0.29939427936898733</v>
      </c>
      <c r="E249" s="49">
        <v>37600</v>
      </c>
      <c r="F249" s="49">
        <v>37450</v>
      </c>
      <c r="G249" s="49">
        <v>5969782550</v>
      </c>
      <c r="H249" s="49">
        <f t="shared" si="74"/>
        <v>0.34250413636912502</v>
      </c>
      <c r="I249" s="49">
        <f t="shared" si="85"/>
        <v>0.34250413636912502</v>
      </c>
      <c r="J249" s="48">
        <v>0.15</v>
      </c>
      <c r="K249" s="48">
        <f t="shared" si="75"/>
        <v>0.15295557489671993</v>
      </c>
      <c r="L249" s="48">
        <v>210500</v>
      </c>
      <c r="M249" s="48">
        <v>220000</v>
      </c>
      <c r="N249" s="51">
        <v>125456133</v>
      </c>
      <c r="O249" s="48">
        <f t="shared" si="76"/>
        <v>1.41737050198748</v>
      </c>
      <c r="P249" s="48">
        <f t="shared" si="86"/>
        <v>1.41737050198748</v>
      </c>
      <c r="Q249" s="49">
        <v>0.15</v>
      </c>
      <c r="R249" s="49">
        <f t="shared" si="77"/>
        <v>0.1548155124976919</v>
      </c>
      <c r="S249" s="49">
        <v>249400</v>
      </c>
      <c r="T249" s="49">
        <v>254200</v>
      </c>
      <c r="U249" s="49">
        <v>15956260</v>
      </c>
      <c r="V249" s="49">
        <f t="shared" si="78"/>
        <v>9.7620377189396894</v>
      </c>
      <c r="W249" s="49">
        <f t="shared" si="87"/>
        <v>9.7620377189396894</v>
      </c>
      <c r="X249" s="48">
        <v>0.1</v>
      </c>
      <c r="Y249" s="76">
        <f t="shared" si="79"/>
        <v>0.10076661753484339</v>
      </c>
      <c r="Z249" s="18">
        <v>9750</v>
      </c>
      <c r="AA249" s="18">
        <v>9810</v>
      </c>
      <c r="AB249" s="18">
        <v>62100000</v>
      </c>
      <c r="AC249" s="117">
        <f t="shared" si="80"/>
        <v>42.304710777068898</v>
      </c>
      <c r="AD249" s="48">
        <f t="shared" si="88"/>
        <v>42.304710777068898</v>
      </c>
      <c r="AE249" s="49">
        <v>0.3</v>
      </c>
      <c r="AF249" s="49">
        <f t="shared" si="81"/>
        <v>0.2920680157017575</v>
      </c>
      <c r="AG249" s="19">
        <v>18850</v>
      </c>
      <c r="AH249" s="19">
        <v>18550</v>
      </c>
      <c r="AI249" s="19">
        <v>7234332</v>
      </c>
      <c r="AJ249" s="119">
        <f t="shared" si="82"/>
        <v>556.63986697835401</v>
      </c>
      <c r="AK249" s="49">
        <f t="shared" si="89"/>
        <v>556.63986697835401</v>
      </c>
      <c r="AL249" s="82">
        <f t="shared" si="90"/>
        <v>0</v>
      </c>
      <c r="AM249" s="82">
        <f t="shared" si="91"/>
        <v>256096014993383.78</v>
      </c>
      <c r="AN249" s="81">
        <f t="shared" si="83"/>
        <v>255760019941024.62</v>
      </c>
      <c r="AO249" s="80">
        <f t="shared" si="69"/>
        <v>998.6880113992878</v>
      </c>
      <c r="AP249" s="52">
        <f t="shared" si="84"/>
        <v>4.2398071466750592E-3</v>
      </c>
      <c r="AQ249" s="48">
        <f t="shared" si="70"/>
        <v>-3.9893617021276593E-3</v>
      </c>
      <c r="AR249" s="48">
        <f t="shared" si="71"/>
        <v>4.5130641330166268E-2</v>
      </c>
      <c r="AS249" s="48">
        <f t="shared" si="72"/>
        <v>1.9246190858059342E-2</v>
      </c>
      <c r="AT249" s="48" t="e">
        <f>(#REF!-#REF!)/#REF!</f>
        <v>#REF!</v>
      </c>
    </row>
    <row r="250" spans="1:46" x14ac:dyDescent="0.3">
      <c r="A250" s="48">
        <v>20190107</v>
      </c>
      <c r="B250" s="48" t="s">
        <v>88</v>
      </c>
      <c r="C250" s="79">
        <v>0.3</v>
      </c>
      <c r="D250" s="79">
        <f t="shared" si="73"/>
        <v>0.30246507810434931</v>
      </c>
      <c r="E250" s="49">
        <v>37450</v>
      </c>
      <c r="F250" s="49">
        <v>38750</v>
      </c>
      <c r="G250" s="49">
        <v>5969782550</v>
      </c>
      <c r="H250" s="49">
        <f t="shared" si="74"/>
        <v>0.34250413636912502</v>
      </c>
      <c r="I250" s="49">
        <f t="shared" si="85"/>
        <v>0.342763197241575</v>
      </c>
      <c r="J250" s="48">
        <v>0.15</v>
      </c>
      <c r="K250" s="48">
        <f t="shared" si="75"/>
        <v>0.14662507174424855</v>
      </c>
      <c r="L250" s="48">
        <v>220000</v>
      </c>
      <c r="M250" s="48">
        <v>216000</v>
      </c>
      <c r="N250" s="51">
        <v>125456133</v>
      </c>
      <c r="O250" s="48">
        <f t="shared" si="76"/>
        <v>1.41737050198748</v>
      </c>
      <c r="P250" s="48">
        <f t="shared" si="86"/>
        <v>1.4184425627302299</v>
      </c>
      <c r="Q250" s="49">
        <v>0.15</v>
      </c>
      <c r="R250" s="49">
        <f t="shared" si="77"/>
        <v>0.15186988990001676</v>
      </c>
      <c r="S250" s="49">
        <v>254200</v>
      </c>
      <c r="T250" s="49">
        <v>255400</v>
      </c>
      <c r="U250" s="49">
        <v>15956260</v>
      </c>
      <c r="V250" s="49">
        <f t="shared" si="78"/>
        <v>9.7620377189396894</v>
      </c>
      <c r="W250" s="49">
        <f t="shared" si="87"/>
        <v>9.7694214604476599</v>
      </c>
      <c r="X250" s="48">
        <v>0.1</v>
      </c>
      <c r="Y250" s="76">
        <f t="shared" si="79"/>
        <v>0.10003971234487209</v>
      </c>
      <c r="Z250" s="18">
        <v>9810</v>
      </c>
      <c r="AA250" s="18">
        <v>9975</v>
      </c>
      <c r="AB250" s="18">
        <v>60600000</v>
      </c>
      <c r="AC250" s="117">
        <f t="shared" si="80"/>
        <v>42.304710777068898</v>
      </c>
      <c r="AD250" s="48">
        <f t="shared" si="88"/>
        <v>43.384647256530101</v>
      </c>
      <c r="AE250" s="49">
        <v>0.3</v>
      </c>
      <c r="AF250" s="49">
        <f t="shared" si="81"/>
        <v>0.29900024790651325</v>
      </c>
      <c r="AG250" s="19">
        <v>18550</v>
      </c>
      <c r="AH250" s="19">
        <v>19450</v>
      </c>
      <c r="AI250" s="19">
        <v>7234332</v>
      </c>
      <c r="AJ250" s="119">
        <f t="shared" si="82"/>
        <v>556.63986697835401</v>
      </c>
      <c r="AK250" s="49">
        <f t="shared" si="89"/>
        <v>557.06089433034094</v>
      </c>
      <c r="AL250" s="82">
        <f t="shared" si="90"/>
        <v>1</v>
      </c>
      <c r="AM250" s="82">
        <f t="shared" si="91"/>
        <v>256289719098036.44</v>
      </c>
      <c r="AN250" s="81">
        <f t="shared" si="83"/>
        <v>262149579223653.94</v>
      </c>
      <c r="AO250" s="80">
        <f t="shared" si="69"/>
        <v>1022.8642028491826</v>
      </c>
      <c r="AP250" s="52">
        <f t="shared" si="84"/>
        <v>2.4207952006974499E-2</v>
      </c>
      <c r="AQ250" s="48">
        <f t="shared" si="70"/>
        <v>3.4712950600801068E-2</v>
      </c>
      <c r="AR250" s="48">
        <f t="shared" si="71"/>
        <v>-1.8181818181818181E-2</v>
      </c>
      <c r="AS250" s="48">
        <f t="shared" si="72"/>
        <v>4.7206923682140047E-3</v>
      </c>
      <c r="AT250" s="48" t="e">
        <f>(#REF!-#REF!)/#REF!</f>
        <v>#REF!</v>
      </c>
    </row>
    <row r="251" spans="1:46" x14ac:dyDescent="0.3">
      <c r="A251" s="48">
        <v>20190108</v>
      </c>
      <c r="B251" s="48" t="s">
        <v>88</v>
      </c>
      <c r="C251" s="79">
        <v>0.3</v>
      </c>
      <c r="D251" s="79">
        <f t="shared" si="73"/>
        <v>0.29582759624473631</v>
      </c>
      <c r="E251" s="49">
        <v>38750</v>
      </c>
      <c r="F251" s="49">
        <v>38100</v>
      </c>
      <c r="G251" s="49">
        <v>5969782550</v>
      </c>
      <c r="H251" s="49">
        <f t="shared" si="74"/>
        <v>0.342763197241575</v>
      </c>
      <c r="I251" s="49">
        <f t="shared" si="85"/>
        <v>0.34425811053338801</v>
      </c>
      <c r="J251" s="48">
        <v>0.15</v>
      </c>
      <c r="K251" s="48">
        <f t="shared" si="75"/>
        <v>0.14416589829203663</v>
      </c>
      <c r="L251" s="48">
        <v>216000</v>
      </c>
      <c r="M251" s="48">
        <v>213500</v>
      </c>
      <c r="N251" s="51">
        <v>125456133</v>
      </c>
      <c r="O251" s="48">
        <f t="shared" si="76"/>
        <v>1.4184425627302299</v>
      </c>
      <c r="P251" s="48">
        <f t="shared" si="86"/>
        <v>1.42462889970504</v>
      </c>
      <c r="Q251" s="49">
        <v>0.15</v>
      </c>
      <c r="R251" s="49">
        <f t="shared" si="77"/>
        <v>0.15367389835180967</v>
      </c>
      <c r="S251" s="49">
        <v>255400</v>
      </c>
      <c r="T251" s="49">
        <v>259800</v>
      </c>
      <c r="U251" s="49">
        <v>15956260</v>
      </c>
      <c r="V251" s="49">
        <f t="shared" si="78"/>
        <v>9.7694214604476599</v>
      </c>
      <c r="W251" s="49">
        <f t="shared" si="87"/>
        <v>9.8120294128535104</v>
      </c>
      <c r="X251" s="48">
        <v>0.1</v>
      </c>
      <c r="Y251" s="76">
        <f t="shared" si="79"/>
        <v>9.8964942948015056E-2</v>
      </c>
      <c r="Z251" s="18">
        <v>9975</v>
      </c>
      <c r="AA251" s="18">
        <v>9920</v>
      </c>
      <c r="AB251" s="18">
        <v>65100000</v>
      </c>
      <c r="AC251" s="117">
        <f t="shared" si="80"/>
        <v>43.384647256530101</v>
      </c>
      <c r="AD251" s="48">
        <f t="shared" si="88"/>
        <v>40.561845071879503</v>
      </c>
      <c r="AE251" s="49">
        <v>0.3</v>
      </c>
      <c r="AF251" s="49">
        <f t="shared" si="81"/>
        <v>0.30736766416340233</v>
      </c>
      <c r="AG251" s="19">
        <v>19450</v>
      </c>
      <c r="AH251" s="19">
        <v>20100</v>
      </c>
      <c r="AI251" s="19">
        <v>7234332</v>
      </c>
      <c r="AJ251" s="119">
        <f t="shared" si="82"/>
        <v>557.06089433034094</v>
      </c>
      <c r="AK251" s="49">
        <f t="shared" si="89"/>
        <v>559.49043677242798</v>
      </c>
      <c r="AL251" s="82">
        <f t="shared" si="90"/>
        <v>1</v>
      </c>
      <c r="AM251" s="82">
        <f t="shared" si="91"/>
        <v>257407490523667.91</v>
      </c>
      <c r="AN251" s="81">
        <f t="shared" si="83"/>
        <v>264684789101720.91</v>
      </c>
      <c r="AO251" s="80">
        <f t="shared" si="69"/>
        <v>1028.2715105269397</v>
      </c>
      <c r="AP251" s="52">
        <f t="shared" si="84"/>
        <v>5.2864374984431736E-3</v>
      </c>
      <c r="AQ251" s="48">
        <f t="shared" si="70"/>
        <v>-1.6774193548387096E-2</v>
      </c>
      <c r="AR251" s="48">
        <f t="shared" si="71"/>
        <v>-1.1574074074074073E-2</v>
      </c>
      <c r="AS251" s="48">
        <f t="shared" si="72"/>
        <v>1.7227877838684416E-2</v>
      </c>
      <c r="AT251" s="48" t="e">
        <f>(#REF!-#REF!)/#REF!</f>
        <v>#REF!</v>
      </c>
    </row>
    <row r="252" spans="1:46" x14ac:dyDescent="0.3">
      <c r="A252" s="48">
        <v>20190109</v>
      </c>
      <c r="B252" s="48" t="s">
        <v>88</v>
      </c>
      <c r="C252" s="79">
        <v>0.3</v>
      </c>
      <c r="D252" s="79">
        <f t="shared" si="73"/>
        <v>0.29831546080664306</v>
      </c>
      <c r="E252" s="49">
        <v>38100</v>
      </c>
      <c r="F252" s="49">
        <v>39600</v>
      </c>
      <c r="G252" s="49">
        <v>5969782550</v>
      </c>
      <c r="H252" s="49">
        <f t="shared" si="74"/>
        <v>0.34425811053338801</v>
      </c>
      <c r="I252" s="49">
        <f t="shared" si="85"/>
        <v>0.33715020774621501</v>
      </c>
      <c r="J252" s="48">
        <v>0.15</v>
      </c>
      <c r="K252" s="48">
        <f t="shared" si="75"/>
        <v>0.1401991251451862</v>
      </c>
      <c r="L252" s="48">
        <v>213500</v>
      </c>
      <c r="M252" s="48">
        <v>214000</v>
      </c>
      <c r="N252" s="51">
        <v>125456133</v>
      </c>
      <c r="O252" s="48">
        <f t="shared" si="76"/>
        <v>1.42462889970504</v>
      </c>
      <c r="P252" s="48">
        <f t="shared" si="86"/>
        <v>1.39521456372553</v>
      </c>
      <c r="Q252" s="49">
        <v>0.15</v>
      </c>
      <c r="R252" s="49">
        <f t="shared" si="77"/>
        <v>0.13985672625889861</v>
      </c>
      <c r="S252" s="49">
        <v>259800</v>
      </c>
      <c r="T252" s="49">
        <v>243700</v>
      </c>
      <c r="U252" s="49">
        <v>15956260</v>
      </c>
      <c r="V252" s="49">
        <f t="shared" si="78"/>
        <v>9.8120294128535104</v>
      </c>
      <c r="W252" s="49">
        <f t="shared" si="87"/>
        <v>9.6094402825542105</v>
      </c>
      <c r="X252" s="48">
        <v>0.1</v>
      </c>
      <c r="Y252" s="76">
        <f t="shared" si="79"/>
        <v>9.8194830560324131E-2</v>
      </c>
      <c r="Z252" s="18">
        <v>9920</v>
      </c>
      <c r="AA252" s="18">
        <v>10145</v>
      </c>
      <c r="AB252" s="18">
        <v>70100000</v>
      </c>
      <c r="AC252" s="117">
        <f t="shared" si="80"/>
        <v>40.561845071879503</v>
      </c>
      <c r="AD252" s="48">
        <f t="shared" si="88"/>
        <v>36.890957152027902</v>
      </c>
      <c r="AE252" s="49">
        <v>0.3</v>
      </c>
      <c r="AF252" s="49">
        <f t="shared" si="81"/>
        <v>0.32343385722894796</v>
      </c>
      <c r="AG252" s="19">
        <v>20100</v>
      </c>
      <c r="AH252" s="19">
        <v>21800</v>
      </c>
      <c r="AI252" s="19">
        <v>7234332</v>
      </c>
      <c r="AJ252" s="119">
        <f t="shared" si="82"/>
        <v>559.49043677242798</v>
      </c>
      <c r="AK252" s="49">
        <f t="shared" si="89"/>
        <v>547.93862865737901</v>
      </c>
      <c r="AL252" s="82">
        <f t="shared" si="90"/>
        <v>1</v>
      </c>
      <c r="AM252" s="82">
        <f t="shared" si="91"/>
        <v>252092793895322.69</v>
      </c>
      <c r="AN252" s="81">
        <f t="shared" si="83"/>
        <v>267178414055371.69</v>
      </c>
      <c r="AO252" s="80">
        <f t="shared" si="69"/>
        <v>1059.8415366300121</v>
      </c>
      <c r="AP252" s="52">
        <f t="shared" si="84"/>
        <v>3.0702033246933325E-2</v>
      </c>
      <c r="AQ252" s="48">
        <f t="shared" si="70"/>
        <v>3.937007874015748E-2</v>
      </c>
      <c r="AR252" s="48">
        <f t="shared" si="71"/>
        <v>2.34192037470726E-3</v>
      </c>
      <c r="AS252" s="48">
        <f t="shared" si="72"/>
        <v>-6.19707467282525E-2</v>
      </c>
      <c r="AT252" s="48" t="e">
        <f>(#REF!-#REF!)/#REF!</f>
        <v>#REF!</v>
      </c>
    </row>
    <row r="253" spans="1:46" x14ac:dyDescent="0.3">
      <c r="A253" s="48">
        <v>20190110</v>
      </c>
      <c r="B253" s="48" t="s">
        <v>88</v>
      </c>
      <c r="C253" s="79">
        <v>0.3</v>
      </c>
      <c r="D253" s="79">
        <f t="shared" si="73"/>
        <v>0.29451094959181523</v>
      </c>
      <c r="E253" s="49">
        <v>39600</v>
      </c>
      <c r="F253" s="49">
        <v>39800</v>
      </c>
      <c r="G253" s="49">
        <v>5969782550</v>
      </c>
      <c r="H253" s="49">
        <f t="shared" si="74"/>
        <v>0.33715020774621501</v>
      </c>
      <c r="I253" s="49">
        <f t="shared" si="85"/>
        <v>0.33715020774621501</v>
      </c>
      <c r="J253" s="48">
        <v>0.15</v>
      </c>
      <c r="K253" s="48">
        <f t="shared" si="75"/>
        <v>0.1393244151489198</v>
      </c>
      <c r="L253" s="48">
        <v>214000</v>
      </c>
      <c r="M253" s="48">
        <v>216500</v>
      </c>
      <c r="N253" s="51">
        <v>125456133</v>
      </c>
      <c r="O253" s="48">
        <f t="shared" si="76"/>
        <v>1.39521456372553</v>
      </c>
      <c r="P253" s="48">
        <f t="shared" si="86"/>
        <v>1.39521456372553</v>
      </c>
      <c r="Q253" s="49">
        <v>0.15</v>
      </c>
      <c r="R253" s="49">
        <f t="shared" si="77"/>
        <v>0.14053610254403801</v>
      </c>
      <c r="S253" s="49">
        <v>243700</v>
      </c>
      <c r="T253" s="49">
        <v>249300</v>
      </c>
      <c r="U253" s="49">
        <v>15956260</v>
      </c>
      <c r="V253" s="49">
        <f t="shared" si="78"/>
        <v>9.6094402825542105</v>
      </c>
      <c r="W253" s="49">
        <f t="shared" si="87"/>
        <v>9.6094402825542105</v>
      </c>
      <c r="X253" s="48">
        <v>0.1</v>
      </c>
      <c r="Y253" s="76">
        <f t="shared" si="79"/>
        <v>9.6265219032315705E-2</v>
      </c>
      <c r="Z253" s="18">
        <v>10145</v>
      </c>
      <c r="AA253" s="18">
        <v>10125</v>
      </c>
      <c r="AB253" s="18">
        <v>70100000</v>
      </c>
      <c r="AC253" s="117">
        <f t="shared" si="80"/>
        <v>36.890957152027902</v>
      </c>
      <c r="AD253" s="48">
        <f t="shared" si="88"/>
        <v>36.890957152027902</v>
      </c>
      <c r="AE253" s="49">
        <v>0.3</v>
      </c>
      <c r="AF253" s="49">
        <f t="shared" si="81"/>
        <v>0.32936331368291144</v>
      </c>
      <c r="AG253" s="19">
        <v>21800</v>
      </c>
      <c r="AH253" s="19">
        <v>22600</v>
      </c>
      <c r="AI253" s="19">
        <v>7234332</v>
      </c>
      <c r="AJ253" s="119">
        <f t="shared" si="82"/>
        <v>547.93862865737901</v>
      </c>
      <c r="AK253" s="49">
        <f t="shared" si="89"/>
        <v>547.93862865737901</v>
      </c>
      <c r="AL253" s="82">
        <f t="shared" si="90"/>
        <v>0</v>
      </c>
      <c r="AM253" s="82">
        <f t="shared" si="91"/>
        <v>252092793895322.69</v>
      </c>
      <c r="AN253" s="81">
        <f t="shared" si="83"/>
        <v>271996659217348.69</v>
      </c>
      <c r="AO253" s="80">
        <f t="shared" si="69"/>
        <v>1078.9545191454015</v>
      </c>
      <c r="AP253" s="52">
        <f t="shared" si="84"/>
        <v>1.8033811522582047E-2</v>
      </c>
      <c r="AQ253" s="48">
        <f t="shared" si="70"/>
        <v>5.0505050505050509E-3</v>
      </c>
      <c r="AR253" s="48">
        <f t="shared" si="71"/>
        <v>1.1682242990654205E-2</v>
      </c>
      <c r="AS253" s="48">
        <f t="shared" si="72"/>
        <v>2.2979072630283134E-2</v>
      </c>
      <c r="AT253" s="48" t="e">
        <f>(#REF!-#REF!)/#REF!</f>
        <v>#REF!</v>
      </c>
    </row>
    <row r="254" spans="1:46" x14ac:dyDescent="0.3">
      <c r="A254" s="48">
        <v>20190111</v>
      </c>
      <c r="B254" s="48" t="s">
        <v>88</v>
      </c>
      <c r="C254" s="79">
        <v>0.3</v>
      </c>
      <c r="D254" s="79">
        <f t="shared" si="73"/>
        <v>0.29900559207883276</v>
      </c>
      <c r="E254" s="49">
        <v>39800</v>
      </c>
      <c r="F254" s="49">
        <v>40500</v>
      </c>
      <c r="G254" s="49">
        <v>5969782550</v>
      </c>
      <c r="H254" s="49">
        <f t="shared" si="74"/>
        <v>0.33715020774621501</v>
      </c>
      <c r="I254" s="49">
        <f t="shared" si="85"/>
        <v>0.33417397536285598</v>
      </c>
      <c r="J254" s="48">
        <v>0.15</v>
      </c>
      <c r="K254" s="48">
        <f t="shared" si="75"/>
        <v>0.13900587063460204</v>
      </c>
      <c r="L254" s="48">
        <v>216500</v>
      </c>
      <c r="M254" s="48">
        <v>216500</v>
      </c>
      <c r="N254" s="51">
        <v>125456133</v>
      </c>
      <c r="O254" s="48">
        <f t="shared" si="76"/>
        <v>1.39521456372553</v>
      </c>
      <c r="P254" s="48">
        <f t="shared" si="86"/>
        <v>1.3828981460847001</v>
      </c>
      <c r="Q254" s="49">
        <v>0.15</v>
      </c>
      <c r="R254" s="49">
        <f t="shared" si="77"/>
        <v>0.13987732730753538</v>
      </c>
      <c r="S254" s="49">
        <v>249300</v>
      </c>
      <c r="T254" s="49">
        <v>248700</v>
      </c>
      <c r="U254" s="49">
        <v>15956260</v>
      </c>
      <c r="V254" s="49">
        <f t="shared" si="78"/>
        <v>9.6094402825542105</v>
      </c>
      <c r="W254" s="49">
        <f t="shared" si="87"/>
        <v>9.52461183903619</v>
      </c>
      <c r="X254" s="48">
        <v>0.1</v>
      </c>
      <c r="Y254" s="76">
        <f t="shared" si="79"/>
        <v>9.7136005831601077E-2</v>
      </c>
      <c r="Z254" s="18">
        <v>10125</v>
      </c>
      <c r="AA254" s="18">
        <v>10240</v>
      </c>
      <c r="AB254" s="18">
        <v>68700000</v>
      </c>
      <c r="AC254" s="117">
        <f t="shared" si="80"/>
        <v>36.890957152027902</v>
      </c>
      <c r="AD254" s="48">
        <f t="shared" si="88"/>
        <v>37.310442323182599</v>
      </c>
      <c r="AE254" s="49">
        <v>0.3</v>
      </c>
      <c r="AF254" s="49">
        <f t="shared" si="81"/>
        <v>0.32497520414742864</v>
      </c>
      <c r="AG254" s="19">
        <v>22600</v>
      </c>
      <c r="AH254" s="19">
        <v>22350</v>
      </c>
      <c r="AI254" s="19">
        <v>7234332</v>
      </c>
      <c r="AJ254" s="119">
        <f t="shared" si="82"/>
        <v>547.93862865737901</v>
      </c>
      <c r="AK254" s="49">
        <f t="shared" si="89"/>
        <v>543.10163715259898</v>
      </c>
      <c r="AL254" s="82">
        <f t="shared" si="90"/>
        <v>1</v>
      </c>
      <c r="AM254" s="82">
        <f t="shared" si="91"/>
        <v>249867415652733.97</v>
      </c>
      <c r="AN254" s="81">
        <f t="shared" si="83"/>
        <v>270213379934055.81</v>
      </c>
      <c r="AO254" s="80">
        <f t="shared" si="69"/>
        <v>1081.4270409295732</v>
      </c>
      <c r="AP254" s="52">
        <f t="shared" si="84"/>
        <v>2.2915903685450001E-3</v>
      </c>
      <c r="AQ254" s="48">
        <f t="shared" si="70"/>
        <v>1.7587939698492462E-2</v>
      </c>
      <c r="AR254" s="48">
        <f t="shared" si="71"/>
        <v>0</v>
      </c>
      <c r="AS254" s="48">
        <f t="shared" si="72"/>
        <v>-2.4067388688327317E-3</v>
      </c>
      <c r="AT254" s="48" t="e">
        <f>(#REF!-#REF!)/#REF!</f>
        <v>#REF!</v>
      </c>
    </row>
    <row r="255" spans="1:46" x14ac:dyDescent="0.3">
      <c r="A255" s="48">
        <v>20190114</v>
      </c>
      <c r="B255" s="48" t="s">
        <v>88</v>
      </c>
      <c r="C255" s="79">
        <v>0.3</v>
      </c>
      <c r="D255" s="79">
        <f t="shared" si="73"/>
        <v>0.2988861686656078</v>
      </c>
      <c r="E255" s="49">
        <v>40500</v>
      </c>
      <c r="F255" s="49">
        <v>40050</v>
      </c>
      <c r="G255" s="49">
        <v>5969782550</v>
      </c>
      <c r="H255" s="49">
        <f t="shared" si="74"/>
        <v>0.33417397536285598</v>
      </c>
      <c r="I255" s="49">
        <f t="shared" si="85"/>
        <v>0.33417397536285598</v>
      </c>
      <c r="J255" s="48">
        <v>0.15</v>
      </c>
      <c r="K255" s="48">
        <f t="shared" si="75"/>
        <v>0.13694201279146931</v>
      </c>
      <c r="L255" s="48">
        <v>216500</v>
      </c>
      <c r="M255" s="48">
        <v>211000</v>
      </c>
      <c r="N255" s="51">
        <v>125456133</v>
      </c>
      <c r="O255" s="48">
        <f t="shared" si="76"/>
        <v>1.3828981460847001</v>
      </c>
      <c r="P255" s="48">
        <f t="shared" si="86"/>
        <v>1.3828981460847001</v>
      </c>
      <c r="Q255" s="49">
        <v>0.15</v>
      </c>
      <c r="R255" s="49">
        <f t="shared" si="77"/>
        <v>0.13860670886441853</v>
      </c>
      <c r="S255" s="49">
        <v>248700</v>
      </c>
      <c r="T255" s="49">
        <v>243800</v>
      </c>
      <c r="U255" s="49">
        <v>15956260</v>
      </c>
      <c r="V255" s="49">
        <f t="shared" si="78"/>
        <v>9.52461183903619</v>
      </c>
      <c r="W255" s="49">
        <f t="shared" si="87"/>
        <v>9.52461183903619</v>
      </c>
      <c r="X255" s="48">
        <v>0.1</v>
      </c>
      <c r="Y255" s="76">
        <f t="shared" si="79"/>
        <v>9.7804641789945843E-2</v>
      </c>
      <c r="Z255" s="18">
        <v>10240</v>
      </c>
      <c r="AA255" s="18">
        <v>10200</v>
      </c>
      <c r="AB255" s="18">
        <v>68700000</v>
      </c>
      <c r="AC255" s="117">
        <f t="shared" si="80"/>
        <v>37.310442323182599</v>
      </c>
      <c r="AD255" s="48">
        <f t="shared" si="88"/>
        <v>37.310442323182599</v>
      </c>
      <c r="AE255" s="49">
        <v>0.3</v>
      </c>
      <c r="AF255" s="49">
        <f t="shared" si="81"/>
        <v>0.32776046788855862</v>
      </c>
      <c r="AG255" s="19">
        <v>22350</v>
      </c>
      <c r="AH255" s="19">
        <v>22300</v>
      </c>
      <c r="AI255" s="19">
        <v>7234332</v>
      </c>
      <c r="AJ255" s="119">
        <f t="shared" si="82"/>
        <v>543.10163715259898</v>
      </c>
      <c r="AK255" s="49">
        <f t="shared" si="89"/>
        <v>543.10163715259898</v>
      </c>
      <c r="AL255" s="82">
        <f t="shared" si="90"/>
        <v>0</v>
      </c>
      <c r="AM255" s="82">
        <f t="shared" si="91"/>
        <v>249867415652733.97</v>
      </c>
      <c r="AN255" s="81">
        <f t="shared" si="83"/>
        <v>267317776284055.97</v>
      </c>
      <c r="AO255" s="80">
        <f t="shared" si="69"/>
        <v>1069.8384804826835</v>
      </c>
      <c r="AP255" s="52">
        <f t="shared" si="84"/>
        <v>-1.0715989159036E-2</v>
      </c>
      <c r="AQ255" s="48">
        <f t="shared" si="70"/>
        <v>-1.1111111111111112E-2</v>
      </c>
      <c r="AR255" s="48">
        <f t="shared" si="71"/>
        <v>-2.5404157043879907E-2</v>
      </c>
      <c r="AS255" s="48">
        <f t="shared" si="72"/>
        <v>-1.9702452754322478E-2</v>
      </c>
      <c r="AT255" s="48" t="e">
        <f>(#REF!-#REF!)/#REF!</f>
        <v>#REF!</v>
      </c>
    </row>
    <row r="256" spans="1:46" x14ac:dyDescent="0.3">
      <c r="A256" s="48">
        <v>20190115</v>
      </c>
      <c r="B256" s="48" t="s">
        <v>88</v>
      </c>
      <c r="C256" s="79">
        <v>0.3</v>
      </c>
      <c r="D256" s="79">
        <f t="shared" si="73"/>
        <v>0.30664004779575921</v>
      </c>
      <c r="E256" s="49">
        <v>40050</v>
      </c>
      <c r="F256" s="49">
        <v>41100</v>
      </c>
      <c r="G256" s="49">
        <v>5969782550</v>
      </c>
      <c r="H256" s="49">
        <f t="shared" si="74"/>
        <v>0.33417397536285598</v>
      </c>
      <c r="I256" s="49">
        <f t="shared" si="85"/>
        <v>0.33417397536285598</v>
      </c>
      <c r="J256" s="48">
        <v>0.15</v>
      </c>
      <c r="K256" s="48">
        <f t="shared" si="75"/>
        <v>0.13463442105098039</v>
      </c>
      <c r="L256" s="48">
        <v>211000</v>
      </c>
      <c r="M256" s="48">
        <v>207500</v>
      </c>
      <c r="N256" s="51">
        <v>125456133</v>
      </c>
      <c r="O256" s="48">
        <f t="shared" si="76"/>
        <v>1.3828981460847001</v>
      </c>
      <c r="P256" s="48">
        <f t="shared" si="86"/>
        <v>1.3828981460847001</v>
      </c>
      <c r="Q256" s="49">
        <v>0.15</v>
      </c>
      <c r="R256" s="49">
        <f t="shared" si="77"/>
        <v>0.14044524828341975</v>
      </c>
      <c r="S256" s="49">
        <v>243800</v>
      </c>
      <c r="T256" s="49">
        <v>247100</v>
      </c>
      <c r="U256" s="49">
        <v>15956260</v>
      </c>
      <c r="V256" s="49">
        <f t="shared" si="78"/>
        <v>9.52461183903619</v>
      </c>
      <c r="W256" s="49">
        <f t="shared" si="87"/>
        <v>9.52461183903619</v>
      </c>
      <c r="X256" s="48">
        <v>0.1</v>
      </c>
      <c r="Y256" s="76">
        <f t="shared" si="79"/>
        <v>9.8689148194423842E-2</v>
      </c>
      <c r="Z256" s="18">
        <v>10200</v>
      </c>
      <c r="AA256" s="18">
        <v>10295</v>
      </c>
      <c r="AB256" s="18">
        <v>68700000</v>
      </c>
      <c r="AC256" s="117">
        <f t="shared" si="80"/>
        <v>37.310442323182599</v>
      </c>
      <c r="AD256" s="48">
        <f t="shared" si="88"/>
        <v>37.310442323182599</v>
      </c>
      <c r="AE256" s="49">
        <v>0.3</v>
      </c>
      <c r="AF256" s="49">
        <f t="shared" si="81"/>
        <v>0.31959113467541683</v>
      </c>
      <c r="AG256" s="19">
        <v>22300</v>
      </c>
      <c r="AH256" s="19">
        <v>21750</v>
      </c>
      <c r="AI256" s="19">
        <v>7234332</v>
      </c>
      <c r="AJ256" s="119">
        <f t="shared" si="82"/>
        <v>543.10163715259898</v>
      </c>
      <c r="AK256" s="49">
        <f t="shared" si="89"/>
        <v>543.10163715259898</v>
      </c>
      <c r="AL256" s="82">
        <f t="shared" si="90"/>
        <v>0</v>
      </c>
      <c r="AM256" s="82">
        <f t="shared" si="91"/>
        <v>249867415652733.97</v>
      </c>
      <c r="AN256" s="81">
        <f t="shared" si="83"/>
        <v>267389337512391.56</v>
      </c>
      <c r="AO256" s="80">
        <f t="shared" si="69"/>
        <v>1070.124877282957</v>
      </c>
      <c r="AP256" s="52">
        <f t="shared" si="84"/>
        <v>2.6770097121972666E-4</v>
      </c>
      <c r="AQ256" s="48">
        <f t="shared" si="70"/>
        <v>2.6217228464419477E-2</v>
      </c>
      <c r="AR256" s="48">
        <f t="shared" si="71"/>
        <v>-1.6587677725118485E-2</v>
      </c>
      <c r="AS256" s="48">
        <f t="shared" si="72"/>
        <v>1.3535684987694831E-2</v>
      </c>
      <c r="AT256" s="48" t="e">
        <f>(#REF!-#REF!)/#REF!</f>
        <v>#REF!</v>
      </c>
    </row>
    <row r="257" spans="1:46" x14ac:dyDescent="0.3">
      <c r="A257" s="48">
        <v>20190116</v>
      </c>
      <c r="B257" s="48" t="s">
        <v>88</v>
      </c>
      <c r="C257" s="79">
        <v>0.3</v>
      </c>
      <c r="D257" s="79">
        <f t="shared" si="73"/>
        <v>0.310691312017425</v>
      </c>
      <c r="E257" s="49">
        <v>41100</v>
      </c>
      <c r="F257" s="49">
        <v>41450</v>
      </c>
      <c r="G257" s="49">
        <v>5969782550</v>
      </c>
      <c r="H257" s="49">
        <f t="shared" si="74"/>
        <v>0.33417397536285598</v>
      </c>
      <c r="I257" s="49">
        <f t="shared" si="85"/>
        <v>0.33417397536285598</v>
      </c>
      <c r="J257" s="48">
        <v>0.15</v>
      </c>
      <c r="K257" s="48">
        <f t="shared" si="75"/>
        <v>0.13167608259931571</v>
      </c>
      <c r="L257" s="48">
        <v>207500</v>
      </c>
      <c r="M257" s="48">
        <v>202000</v>
      </c>
      <c r="N257" s="51">
        <v>125456133</v>
      </c>
      <c r="O257" s="48">
        <f t="shared" si="76"/>
        <v>1.3828981460847001</v>
      </c>
      <c r="P257" s="48">
        <f t="shared" si="86"/>
        <v>1.3828981460847001</v>
      </c>
      <c r="Q257" s="49">
        <v>0.15</v>
      </c>
      <c r="R257" s="49">
        <f t="shared" si="77"/>
        <v>0.14229835019654358</v>
      </c>
      <c r="S257" s="49">
        <v>247100</v>
      </c>
      <c r="T257" s="49">
        <v>249200</v>
      </c>
      <c r="U257" s="49">
        <v>15956260</v>
      </c>
      <c r="V257" s="49">
        <f t="shared" si="78"/>
        <v>9.52461183903619</v>
      </c>
      <c r="W257" s="49">
        <f t="shared" si="87"/>
        <v>9.52461183903619</v>
      </c>
      <c r="X257" s="48">
        <v>0.1</v>
      </c>
      <c r="Y257" s="76">
        <f t="shared" si="79"/>
        <v>0.10015990662262379</v>
      </c>
      <c r="Z257" s="18">
        <v>10295</v>
      </c>
      <c r="AA257" s="18">
        <v>10400</v>
      </c>
      <c r="AB257" s="18">
        <v>68700000</v>
      </c>
      <c r="AC257" s="117">
        <f t="shared" si="80"/>
        <v>37.310442323182599</v>
      </c>
      <c r="AD257" s="48">
        <f t="shared" si="88"/>
        <v>37.310442323182599</v>
      </c>
      <c r="AE257" s="49">
        <v>0.3</v>
      </c>
      <c r="AF257" s="49">
        <f t="shared" si="81"/>
        <v>0.31517434856409193</v>
      </c>
      <c r="AG257" s="19">
        <v>21750</v>
      </c>
      <c r="AH257" s="19">
        <v>21350</v>
      </c>
      <c r="AI257" s="19">
        <v>7234332</v>
      </c>
      <c r="AJ257" s="119">
        <f t="shared" si="82"/>
        <v>543.10163715259898</v>
      </c>
      <c r="AK257" s="49">
        <f t="shared" si="89"/>
        <v>543.10163715259898</v>
      </c>
      <c r="AL257" s="82">
        <f t="shared" si="90"/>
        <v>0</v>
      </c>
      <c r="AM257" s="82">
        <f t="shared" si="91"/>
        <v>249867415652733.97</v>
      </c>
      <c r="AN257" s="81">
        <f t="shared" si="83"/>
        <v>266150056743824.69</v>
      </c>
      <c r="AO257" s="80">
        <f t="shared" si="69"/>
        <v>1065.165123866012</v>
      </c>
      <c r="AP257" s="52">
        <f t="shared" si="84"/>
        <v>-4.6347426568923173E-3</v>
      </c>
      <c r="AQ257" s="48">
        <f t="shared" si="70"/>
        <v>8.5158150851581509E-3</v>
      </c>
      <c r="AR257" s="48">
        <f t="shared" si="71"/>
        <v>-2.6506024096385541E-2</v>
      </c>
      <c r="AS257" s="48">
        <f t="shared" si="72"/>
        <v>8.4985835694051E-3</v>
      </c>
      <c r="AT257" s="48" t="e">
        <f>(#REF!-#REF!)/#REF!</f>
        <v>#REF!</v>
      </c>
    </row>
    <row r="258" spans="1:46" x14ac:dyDescent="0.3">
      <c r="A258" s="48">
        <v>20190117</v>
      </c>
      <c r="B258" s="48" t="s">
        <v>88</v>
      </c>
      <c r="C258" s="79">
        <v>0.3</v>
      </c>
      <c r="D258" s="79">
        <f t="shared" si="73"/>
        <v>0.31676975285433517</v>
      </c>
      <c r="E258" s="49">
        <v>41450</v>
      </c>
      <c r="F258" s="49">
        <v>41950</v>
      </c>
      <c r="G258" s="49">
        <v>5969782550</v>
      </c>
      <c r="H258" s="49">
        <f t="shared" si="74"/>
        <v>0.33417397536285598</v>
      </c>
      <c r="I258" s="49">
        <f t="shared" si="85"/>
        <v>0.33417397536285598</v>
      </c>
      <c r="J258" s="48">
        <v>0.15</v>
      </c>
      <c r="K258" s="48">
        <f t="shared" si="75"/>
        <v>0.12838357245157994</v>
      </c>
      <c r="L258" s="48">
        <v>202000</v>
      </c>
      <c r="M258" s="48">
        <v>195500</v>
      </c>
      <c r="N258" s="51">
        <v>125456133</v>
      </c>
      <c r="O258" s="48">
        <f t="shared" si="76"/>
        <v>1.3828981460847001</v>
      </c>
      <c r="P258" s="48">
        <f t="shared" si="86"/>
        <v>1.3828981460847001</v>
      </c>
      <c r="Q258" s="49">
        <v>0.15</v>
      </c>
      <c r="R258" s="49">
        <f t="shared" si="77"/>
        <v>0.14674707445996665</v>
      </c>
      <c r="S258" s="49">
        <v>249200</v>
      </c>
      <c r="T258" s="49">
        <v>255100</v>
      </c>
      <c r="U258" s="49">
        <v>15956260</v>
      </c>
      <c r="V258" s="49">
        <f t="shared" si="78"/>
        <v>9.52461183903619</v>
      </c>
      <c r="W258" s="49">
        <f t="shared" si="87"/>
        <v>9.52461183903619</v>
      </c>
      <c r="X258" s="48">
        <v>0.1</v>
      </c>
      <c r="Y258" s="76">
        <f t="shared" si="79"/>
        <v>0.10099932413624632</v>
      </c>
      <c r="Z258" s="18">
        <v>10400</v>
      </c>
      <c r="AA258" s="18">
        <v>10410</v>
      </c>
      <c r="AB258" s="18">
        <v>68700000</v>
      </c>
      <c r="AC258" s="117">
        <f t="shared" si="80"/>
        <v>37.310442323182599</v>
      </c>
      <c r="AD258" s="48">
        <f t="shared" si="88"/>
        <v>37.310442323182599</v>
      </c>
      <c r="AE258" s="49">
        <v>0.3</v>
      </c>
      <c r="AF258" s="49">
        <f t="shared" si="81"/>
        <v>0.30710027609787194</v>
      </c>
      <c r="AG258" s="19">
        <v>21350</v>
      </c>
      <c r="AH258" s="19">
        <v>20650</v>
      </c>
      <c r="AI258" s="19">
        <v>7234332</v>
      </c>
      <c r="AJ258" s="119">
        <f t="shared" si="82"/>
        <v>543.10163715259898</v>
      </c>
      <c r="AK258" s="49">
        <f t="shared" si="89"/>
        <v>543.10163715259898</v>
      </c>
      <c r="AL258" s="82">
        <f t="shared" si="90"/>
        <v>0</v>
      </c>
      <c r="AM258" s="82">
        <f t="shared" si="91"/>
        <v>249867415652733.97</v>
      </c>
      <c r="AN258" s="81">
        <f t="shared" si="83"/>
        <v>264191838243871.47</v>
      </c>
      <c r="AO258" s="80">
        <f t="shared" si="69"/>
        <v>1057.3280935960277</v>
      </c>
      <c r="AP258" s="52">
        <f t="shared" si="84"/>
        <v>-7.3575731071064921E-3</v>
      </c>
      <c r="AQ258" s="48">
        <f t="shared" si="70"/>
        <v>1.2062726176115802E-2</v>
      </c>
      <c r="AR258" s="48">
        <f t="shared" si="71"/>
        <v>-3.2178217821782179E-2</v>
      </c>
      <c r="AS258" s="48">
        <f t="shared" si="72"/>
        <v>2.3675762439807384E-2</v>
      </c>
      <c r="AT258" s="48" t="e">
        <f>(#REF!-#REF!)/#REF!</f>
        <v>#REF!</v>
      </c>
    </row>
    <row r="259" spans="1:46" x14ac:dyDescent="0.3">
      <c r="A259" s="48">
        <v>20190118</v>
      </c>
      <c r="B259" s="48" t="s">
        <v>88</v>
      </c>
      <c r="C259" s="79">
        <v>0.3</v>
      </c>
      <c r="D259" s="79">
        <f t="shared" si="73"/>
        <v>0.30890209127521706</v>
      </c>
      <c r="E259" s="49">
        <v>41950</v>
      </c>
      <c r="F259" s="49">
        <v>42300</v>
      </c>
      <c r="G259" s="49">
        <v>5969782550</v>
      </c>
      <c r="H259" s="49">
        <f t="shared" si="74"/>
        <v>0.33417397536285598</v>
      </c>
      <c r="I259" s="49">
        <f t="shared" si="85"/>
        <v>0.33417397536285598</v>
      </c>
      <c r="J259" s="48">
        <v>0.15</v>
      </c>
      <c r="K259" s="48">
        <f t="shared" si="75"/>
        <v>0.12765196150569985</v>
      </c>
      <c r="L259" s="48">
        <v>195500</v>
      </c>
      <c r="M259" s="48">
        <v>201000</v>
      </c>
      <c r="N259" s="51">
        <v>125456133</v>
      </c>
      <c r="O259" s="48">
        <f t="shared" si="76"/>
        <v>1.3828981460847001</v>
      </c>
      <c r="P259" s="48">
        <f t="shared" si="86"/>
        <v>1.3828981460847001</v>
      </c>
      <c r="Q259" s="49">
        <v>0.15</v>
      </c>
      <c r="R259" s="49">
        <f t="shared" si="77"/>
        <v>0.14520054323931039</v>
      </c>
      <c r="S259" s="49">
        <v>255100</v>
      </c>
      <c r="T259" s="49">
        <v>261000</v>
      </c>
      <c r="U259" s="49">
        <v>15956260</v>
      </c>
      <c r="V259" s="49">
        <f t="shared" si="78"/>
        <v>9.52461183903619</v>
      </c>
      <c r="W259" s="49">
        <f t="shared" si="87"/>
        <v>9.52461183903619</v>
      </c>
      <c r="X259" s="48">
        <v>0.1</v>
      </c>
      <c r="Y259" s="76">
        <f t="shared" si="79"/>
        <v>9.8238825204865585E-2</v>
      </c>
      <c r="Z259" s="18">
        <v>10410</v>
      </c>
      <c r="AA259" s="18">
        <v>10470</v>
      </c>
      <c r="AB259" s="18">
        <v>68700000</v>
      </c>
      <c r="AC259" s="117">
        <f t="shared" si="80"/>
        <v>37.310442323182599</v>
      </c>
      <c r="AD259" s="48">
        <f t="shared" si="88"/>
        <v>37.310442323182599</v>
      </c>
      <c r="AE259" s="49">
        <v>0.3</v>
      </c>
      <c r="AF259" s="49">
        <f t="shared" si="81"/>
        <v>0.32000657877490712</v>
      </c>
      <c r="AG259" s="19">
        <v>20650</v>
      </c>
      <c r="AH259" s="19">
        <v>22250</v>
      </c>
      <c r="AI259" s="19">
        <v>7234332</v>
      </c>
      <c r="AJ259" s="119">
        <f t="shared" si="82"/>
        <v>543.10163715259898</v>
      </c>
      <c r="AK259" s="49">
        <f t="shared" si="89"/>
        <v>543.10163715259898</v>
      </c>
      <c r="AL259" s="82">
        <f t="shared" si="90"/>
        <v>0</v>
      </c>
      <c r="AM259" s="82">
        <f t="shared" si="91"/>
        <v>249867415652733.97</v>
      </c>
      <c r="AN259" s="81">
        <f t="shared" si="83"/>
        <v>273181104234850.94</v>
      </c>
      <c r="AO259" s="80">
        <f t="shared" ref="AO259:AO322" si="92">AN259/AM259*1000</f>
        <v>1093.3042370539356</v>
      </c>
      <c r="AP259" s="52">
        <f t="shared" si="84"/>
        <v>3.4025524977352305E-2</v>
      </c>
      <c r="AQ259" s="48">
        <f t="shared" ref="AQ259:AQ322" si="93">(F259-E259)/E259</f>
        <v>8.3432657926102508E-3</v>
      </c>
      <c r="AR259" s="48">
        <f t="shared" ref="AR259:AR322" si="94">(M259-L259)/L259</f>
        <v>2.8132992327365727E-2</v>
      </c>
      <c r="AS259" s="48">
        <f t="shared" ref="AS259:AS322" si="95">(T259-S259)/S259</f>
        <v>2.3128185025480204E-2</v>
      </c>
      <c r="AT259" s="48" t="e">
        <f>(#REF!-#REF!)/#REF!</f>
        <v>#REF!</v>
      </c>
    </row>
    <row r="260" spans="1:46" x14ac:dyDescent="0.3">
      <c r="A260" s="48">
        <v>20190121</v>
      </c>
      <c r="B260" s="48" t="s">
        <v>88</v>
      </c>
      <c r="C260" s="79">
        <v>0.3</v>
      </c>
      <c r="D260" s="79">
        <f t="shared" ref="D260:D323" si="96">F260*G260*I260/AN260</f>
        <v>0.31234944209784093</v>
      </c>
      <c r="E260" s="49">
        <v>42300</v>
      </c>
      <c r="F260" s="49">
        <v>42750</v>
      </c>
      <c r="G260" s="49">
        <v>5969782550</v>
      </c>
      <c r="H260" s="49">
        <f t="shared" ref="H260:H323" si="97">I259</f>
        <v>0.33417397536285598</v>
      </c>
      <c r="I260" s="49">
        <f t="shared" si="85"/>
        <v>0.33417397536285598</v>
      </c>
      <c r="J260" s="48">
        <v>0.15</v>
      </c>
      <c r="K260" s="48">
        <f t="shared" ref="K260:K323" si="98">M260*N260*P260/AN260</f>
        <v>0.12581162152671929</v>
      </c>
      <c r="L260" s="48">
        <v>201000</v>
      </c>
      <c r="M260" s="48">
        <v>198000</v>
      </c>
      <c r="N260" s="51">
        <v>125456133</v>
      </c>
      <c r="O260" s="48">
        <f t="shared" ref="O260:O323" si="99">P259</f>
        <v>1.3828981460847001</v>
      </c>
      <c r="P260" s="48">
        <f t="shared" si="86"/>
        <v>1.3828981460847001</v>
      </c>
      <c r="Q260" s="49">
        <v>0.15</v>
      </c>
      <c r="R260" s="49">
        <f t="shared" ref="R260:R323" si="100">T260*U260*W260/AN260</f>
        <v>0.14304905448086427</v>
      </c>
      <c r="S260" s="49">
        <v>261000</v>
      </c>
      <c r="T260" s="49">
        <v>257000</v>
      </c>
      <c r="U260" s="49">
        <v>15956260</v>
      </c>
      <c r="V260" s="49">
        <f t="shared" ref="V260:V323" si="101">W259</f>
        <v>9.52461183903619</v>
      </c>
      <c r="W260" s="49">
        <f t="shared" si="87"/>
        <v>9.52461183903619</v>
      </c>
      <c r="X260" s="48">
        <v>0.1</v>
      </c>
      <c r="Y260" s="76">
        <f t="shared" ref="Y260:Y323" si="102">AA260*AB260*AD260/AN260</f>
        <v>9.8618108783970579E-2</v>
      </c>
      <c r="Z260" s="18">
        <v>10470</v>
      </c>
      <c r="AA260" s="18">
        <v>10505</v>
      </c>
      <c r="AB260" s="18">
        <v>68700000</v>
      </c>
      <c r="AC260" s="117">
        <f t="shared" ref="AC260:AC323" si="103">AD259</f>
        <v>37.310442323182599</v>
      </c>
      <c r="AD260" s="48">
        <f t="shared" si="88"/>
        <v>37.310442323182599</v>
      </c>
      <c r="AE260" s="49">
        <v>0.3</v>
      </c>
      <c r="AF260" s="49">
        <f t="shared" ref="AF260:AF323" si="104">AH260*AI260*AK260/AN260</f>
        <v>0.32017177311060496</v>
      </c>
      <c r="AG260" s="19">
        <v>22250</v>
      </c>
      <c r="AH260" s="19">
        <v>22250</v>
      </c>
      <c r="AI260" s="19">
        <v>7234332</v>
      </c>
      <c r="AJ260" s="119">
        <f t="shared" ref="AJ260:AJ323" si="105">AK259</f>
        <v>543.10163715259898</v>
      </c>
      <c r="AK260" s="49">
        <f t="shared" si="89"/>
        <v>543.10163715259898</v>
      </c>
      <c r="AL260" s="82">
        <f t="shared" si="90"/>
        <v>0</v>
      </c>
      <c r="AM260" s="82">
        <f t="shared" si="91"/>
        <v>249867415652733.97</v>
      </c>
      <c r="AN260" s="81">
        <f t="shared" ref="AN260:AN323" si="106">F260*G260*I260+M260*N260*P260+T260*U260*W260+AA260*AB260*AD260+AH260*AI260*AK260</f>
        <v>273040154985637.47</v>
      </c>
      <c r="AO260" s="80">
        <f t="shared" si="92"/>
        <v>1092.7401408957983</v>
      </c>
      <c r="AP260" s="52">
        <f t="shared" ref="AP260:AP323" si="107">(AO260-AO259)/AO259</f>
        <v>-5.1595533888842808E-4</v>
      </c>
      <c r="AQ260" s="48">
        <f t="shared" si="93"/>
        <v>1.0638297872340425E-2</v>
      </c>
      <c r="AR260" s="48">
        <f t="shared" si="94"/>
        <v>-1.4925373134328358E-2</v>
      </c>
      <c r="AS260" s="48">
        <f t="shared" si="95"/>
        <v>-1.532567049808429E-2</v>
      </c>
      <c r="AT260" s="48" t="e">
        <f>(#REF!-#REF!)/#REF!</f>
        <v>#REF!</v>
      </c>
    </row>
    <row r="261" spans="1:46" x14ac:dyDescent="0.3">
      <c r="A261" s="48">
        <v>20190122</v>
      </c>
      <c r="B261" s="48" t="s">
        <v>88</v>
      </c>
      <c r="C261" s="79">
        <v>0.3</v>
      </c>
      <c r="D261" s="79">
        <f t="shared" si="96"/>
        <v>0.31109177504504792</v>
      </c>
      <c r="E261" s="49">
        <v>42750</v>
      </c>
      <c r="F261" s="49">
        <v>42150</v>
      </c>
      <c r="G261" s="49">
        <v>5969782550</v>
      </c>
      <c r="H261" s="49">
        <f t="shared" si="97"/>
        <v>0.33417397536285598</v>
      </c>
      <c r="I261" s="49">
        <f t="shared" ref="I261:I324" si="108">IF(B261="Y",ROUND(C261*(E261*G261+L261*N261+S261*U261+Z261*AB261+AG261*AI261)/(E261*G261),17),IF(AL261=0,H261,ROUND(F260*G260*I260/AN260*(E261*G261+L261*N261+S261*U261+Z261*AB261+AG261*AI261)/(E261*G261),17)))</f>
        <v>0.33417397536285598</v>
      </c>
      <c r="J261" s="48">
        <v>0.15</v>
      </c>
      <c r="K261" s="48">
        <f t="shared" si="98"/>
        <v>0.12837247064916263</v>
      </c>
      <c r="L261" s="48">
        <v>198000</v>
      </c>
      <c r="M261" s="48">
        <v>200000</v>
      </c>
      <c r="N261" s="51">
        <v>125456133</v>
      </c>
      <c r="O261" s="48">
        <f t="shared" si="99"/>
        <v>1.3828981460847001</v>
      </c>
      <c r="P261" s="48">
        <f t="shared" ref="P261:P324" si="109">IF(B261="Y",ROUND(J261*(E261*G261+L261*N261+S261*U261+Z261*AB261+AG261*AI261)/(L261*N261),17),IF(AL261=0,O261,ROUND(M260*N260*P260/AN260*(E261*G261+L261*N261+S261*U261+Z261*AB261+AG261*AI261)/(L261*N261),17)))</f>
        <v>1.3828981460847001</v>
      </c>
      <c r="Q261" s="49">
        <v>0.15</v>
      </c>
      <c r="R261" s="49">
        <f t="shared" si="100"/>
        <v>0.1445573836686552</v>
      </c>
      <c r="S261" s="49">
        <v>257000</v>
      </c>
      <c r="T261" s="49">
        <v>257100</v>
      </c>
      <c r="U261" s="49">
        <v>15956260</v>
      </c>
      <c r="V261" s="49">
        <f t="shared" si="101"/>
        <v>9.52461183903619</v>
      </c>
      <c r="W261" s="49">
        <f t="shared" ref="W261:W324" si="110">IF(B261="Y",ROUND(Q261*(E261*G261+L261*N261+S261*U261+Z261*AB261+AG261*AI261)/(S261*U261),17),IF(AL261=0,V261,ROUND(T260*U260*W260/AN260*(E261*G261+L261*N261+S261*U261+Z261*AB261+AG261*AI261)/(S261*U261),17)))</f>
        <v>9.52461183903619</v>
      </c>
      <c r="X261" s="48">
        <v>0.1</v>
      </c>
      <c r="Y261" s="76">
        <f t="shared" si="102"/>
        <v>9.9097623113590286E-2</v>
      </c>
      <c r="Z261" s="18">
        <v>10505</v>
      </c>
      <c r="AA261" s="18">
        <v>10450</v>
      </c>
      <c r="AB261" s="18">
        <v>68700000</v>
      </c>
      <c r="AC261" s="117">
        <f t="shared" si="103"/>
        <v>37.310442323182599</v>
      </c>
      <c r="AD261" s="48">
        <f t="shared" ref="AD261:AD324" si="111">IFERROR(IF(B261="Y",ROUND(X261*(E261*G261+L261*N261+S261*U261+Z261*AB261+AG261*AI261)/(Z261*AB261),17),IF(AL261=0,AC261,ROUND(AA260*AB260*AD260/AN260*(E261*G261+L261*N261+S261*U261+Z261*AB261+AG261*AI261)/(Z261*AB261),17))),0)</f>
        <v>37.310442323182599</v>
      </c>
      <c r="AE261" s="49">
        <v>0.3</v>
      </c>
      <c r="AF261" s="49">
        <f t="shared" si="104"/>
        <v>0.316880747523544</v>
      </c>
      <c r="AG261" s="19">
        <v>22250</v>
      </c>
      <c r="AH261" s="19">
        <v>21800</v>
      </c>
      <c r="AI261" s="19">
        <v>7234332</v>
      </c>
      <c r="AJ261" s="119">
        <f t="shared" si="105"/>
        <v>543.10163715259898</v>
      </c>
      <c r="AK261" s="49">
        <f t="shared" ref="AK261:AK324" si="112">IFERROR(IF(B261="Y",ROUND(AE261*(E261*G261+L261*N261+S261*U261+Z261*AB261+AG261*AI261)/(AG261*AI261),17),IF(AL261=0,AJ261,ROUND(AH260*AI260*AK260/AN260*(E261*G261+L261*N261+S261*U261+Z261*AB261+AG261*AI261)/(AG261*AI261),17))),0)</f>
        <v>543.10163715259898</v>
      </c>
      <c r="AL261" s="82">
        <f t="shared" ref="AL261:AL324" si="113">IF(AN260&lt;&gt;(E261*G261*H261+L261*N261*O261+S261*U261*V261+Z261*AB261*AC261+AG261*AI261*AJ261),1,0)</f>
        <v>0</v>
      </c>
      <c r="AM261" s="82">
        <f t="shared" ref="AM261:AM324" si="114">IF(AND(AL261=0,B261="N"),AM260,AM260*(E261*G261*I261+L261*N261*P261+S261*U261*W261+Z261*AB261*AD261+AG261*AI261*AK261)/AN260)</f>
        <v>249867415652733.97</v>
      </c>
      <c r="AN261" s="81">
        <f t="shared" si="106"/>
        <v>270296353826212.31</v>
      </c>
      <c r="AO261" s="80">
        <f t="shared" si="92"/>
        <v>1081.7591126082261</v>
      </c>
      <c r="AP261" s="52">
        <f t="shared" si="107"/>
        <v>-1.004907560050846E-2</v>
      </c>
      <c r="AQ261" s="48">
        <f t="shared" si="93"/>
        <v>-1.4035087719298246E-2</v>
      </c>
      <c r="AR261" s="48">
        <f t="shared" si="94"/>
        <v>1.0101010101010102E-2</v>
      </c>
      <c r="AS261" s="48">
        <f t="shared" si="95"/>
        <v>3.8910505836575878E-4</v>
      </c>
      <c r="AT261" s="48" t="e">
        <f>(#REF!-#REF!)/#REF!</f>
        <v>#REF!</v>
      </c>
    </row>
    <row r="262" spans="1:46" x14ac:dyDescent="0.3">
      <c r="A262" s="48">
        <v>20190123</v>
      </c>
      <c r="B262" s="48" t="s">
        <v>88</v>
      </c>
      <c r="C262" s="79">
        <v>0.3</v>
      </c>
      <c r="D262" s="79">
        <f t="shared" si="96"/>
        <v>0.31181796233905057</v>
      </c>
      <c r="E262" s="49">
        <v>42150</v>
      </c>
      <c r="F262" s="49">
        <v>42000</v>
      </c>
      <c r="G262" s="49">
        <v>5969782550</v>
      </c>
      <c r="H262" s="49">
        <f t="shared" si="97"/>
        <v>0.33417397536285598</v>
      </c>
      <c r="I262" s="49">
        <f t="shared" si="108"/>
        <v>0.33417397536285598</v>
      </c>
      <c r="J262" s="48">
        <v>0.15</v>
      </c>
      <c r="K262" s="48">
        <f t="shared" si="98"/>
        <v>0.12913167621745647</v>
      </c>
      <c r="L262" s="48">
        <v>200000</v>
      </c>
      <c r="M262" s="48">
        <v>200000</v>
      </c>
      <c r="N262" s="51">
        <v>125456133</v>
      </c>
      <c r="O262" s="48">
        <f t="shared" si="99"/>
        <v>1.3828981460847001</v>
      </c>
      <c r="P262" s="48">
        <f t="shared" si="109"/>
        <v>1.3828981460847001</v>
      </c>
      <c r="Q262" s="49">
        <v>0.15</v>
      </c>
      <c r="R262" s="49">
        <f t="shared" si="100"/>
        <v>0.142471257986554</v>
      </c>
      <c r="S262" s="49">
        <v>257100</v>
      </c>
      <c r="T262" s="49">
        <v>251900</v>
      </c>
      <c r="U262" s="49">
        <v>15956260</v>
      </c>
      <c r="V262" s="49">
        <f t="shared" si="101"/>
        <v>9.52461183903619</v>
      </c>
      <c r="W262" s="49">
        <f t="shared" si="110"/>
        <v>9.52461183903619</v>
      </c>
      <c r="X262" s="48">
        <v>0.1</v>
      </c>
      <c r="Y262" s="76">
        <f t="shared" si="102"/>
        <v>0.10001756361011176</v>
      </c>
      <c r="Z262" s="18">
        <v>10450</v>
      </c>
      <c r="AA262" s="18">
        <v>10485</v>
      </c>
      <c r="AB262" s="18">
        <v>68700000</v>
      </c>
      <c r="AC262" s="117">
        <f t="shared" si="103"/>
        <v>37.310442323182599</v>
      </c>
      <c r="AD262" s="48">
        <f t="shared" si="111"/>
        <v>37.310442323182599</v>
      </c>
      <c r="AE262" s="49">
        <v>0.3</v>
      </c>
      <c r="AF262" s="49">
        <f t="shared" si="104"/>
        <v>0.31656153984682733</v>
      </c>
      <c r="AG262" s="19">
        <v>21800</v>
      </c>
      <c r="AH262" s="19">
        <v>21650</v>
      </c>
      <c r="AI262" s="19">
        <v>7234332</v>
      </c>
      <c r="AJ262" s="119">
        <f t="shared" si="105"/>
        <v>543.10163715259898</v>
      </c>
      <c r="AK262" s="49">
        <f t="shared" si="112"/>
        <v>543.10163715259898</v>
      </c>
      <c r="AL262" s="82">
        <f t="shared" si="113"/>
        <v>0</v>
      </c>
      <c r="AM262" s="82">
        <f t="shared" si="114"/>
        <v>249867415652733.97</v>
      </c>
      <c r="AN262" s="81">
        <f t="shared" si="106"/>
        <v>268707196905730.53</v>
      </c>
      <c r="AO262" s="80">
        <f t="shared" si="92"/>
        <v>1075.3991119801715</v>
      </c>
      <c r="AP262" s="52">
        <f t="shared" si="107"/>
        <v>-5.8793131982221728E-3</v>
      </c>
      <c r="AQ262" s="48">
        <f t="shared" si="93"/>
        <v>-3.5587188612099642E-3</v>
      </c>
      <c r="AR262" s="48">
        <f t="shared" si="94"/>
        <v>0</v>
      </c>
      <c r="AS262" s="48">
        <f t="shared" si="95"/>
        <v>-2.0225593154414623E-2</v>
      </c>
      <c r="AT262" s="48" t="e">
        <f>(#REF!-#REF!)/#REF!</f>
        <v>#REF!</v>
      </c>
    </row>
    <row r="263" spans="1:46" x14ac:dyDescent="0.3">
      <c r="A263" s="48">
        <v>20190124</v>
      </c>
      <c r="B263" s="48" t="s">
        <v>88</v>
      </c>
      <c r="C263" s="79">
        <v>0.3</v>
      </c>
      <c r="D263" s="79">
        <f t="shared" si="96"/>
        <v>0.31413030133527775</v>
      </c>
      <c r="E263" s="49">
        <v>42000</v>
      </c>
      <c r="F263" s="49">
        <v>43050</v>
      </c>
      <c r="G263" s="49">
        <v>5969782550</v>
      </c>
      <c r="H263" s="49">
        <f t="shared" si="97"/>
        <v>0.33417397536285598</v>
      </c>
      <c r="I263" s="49">
        <f t="shared" si="108"/>
        <v>0.33417397536285598</v>
      </c>
      <c r="J263" s="48">
        <v>0.15</v>
      </c>
      <c r="K263" s="48">
        <f t="shared" si="98"/>
        <v>0.13199301954239062</v>
      </c>
      <c r="L263" s="48">
        <v>200000</v>
      </c>
      <c r="M263" s="48">
        <v>208000</v>
      </c>
      <c r="N263" s="51">
        <v>125456133</v>
      </c>
      <c r="O263" s="48">
        <f t="shared" si="99"/>
        <v>1.3828981460847001</v>
      </c>
      <c r="P263" s="48">
        <f t="shared" si="109"/>
        <v>1.3828981460847001</v>
      </c>
      <c r="Q263" s="49">
        <v>0.15</v>
      </c>
      <c r="R263" s="49">
        <f t="shared" si="100"/>
        <v>0.1454747603757042</v>
      </c>
      <c r="S263" s="49">
        <v>251900</v>
      </c>
      <c r="T263" s="49">
        <v>261700</v>
      </c>
      <c r="U263" s="49">
        <v>15956260</v>
      </c>
      <c r="V263" s="49">
        <f t="shared" si="101"/>
        <v>9.52461183903619</v>
      </c>
      <c r="W263" s="49">
        <f t="shared" si="110"/>
        <v>9.52461183903619</v>
      </c>
      <c r="X263" s="48">
        <v>0.1</v>
      </c>
      <c r="Y263" s="76">
        <f t="shared" si="102"/>
        <v>9.942677329942054E-2</v>
      </c>
      <c r="Z263" s="18">
        <v>10485</v>
      </c>
      <c r="AA263" s="18">
        <v>10605</v>
      </c>
      <c r="AB263" s="18">
        <v>68700000</v>
      </c>
      <c r="AC263" s="117">
        <f t="shared" si="103"/>
        <v>37.310442323182599</v>
      </c>
      <c r="AD263" s="48">
        <f t="shared" si="111"/>
        <v>37.310442323182599</v>
      </c>
      <c r="AE263" s="49">
        <v>0.3</v>
      </c>
      <c r="AF263" s="49">
        <f t="shared" si="104"/>
        <v>0.30897514544720678</v>
      </c>
      <c r="AG263" s="19">
        <v>21650</v>
      </c>
      <c r="AH263" s="19">
        <v>21500</v>
      </c>
      <c r="AI263" s="19">
        <v>7234332</v>
      </c>
      <c r="AJ263" s="119">
        <f t="shared" si="105"/>
        <v>543.10163715259898</v>
      </c>
      <c r="AK263" s="49">
        <f t="shared" si="112"/>
        <v>543.10163715259898</v>
      </c>
      <c r="AL263" s="82">
        <f t="shared" si="113"/>
        <v>0</v>
      </c>
      <c r="AM263" s="82">
        <f t="shared" si="114"/>
        <v>249867415652733.97</v>
      </c>
      <c r="AN263" s="81">
        <f t="shared" si="106"/>
        <v>273397451646803.75</v>
      </c>
      <c r="AO263" s="80">
        <f t="shared" si="92"/>
        <v>1094.17008589376</v>
      </c>
      <c r="AP263" s="52">
        <f t="shared" si="107"/>
        <v>1.7454890658245757E-2</v>
      </c>
      <c r="AQ263" s="48">
        <f t="shared" si="93"/>
        <v>2.5000000000000001E-2</v>
      </c>
      <c r="AR263" s="48">
        <f t="shared" si="94"/>
        <v>0.04</v>
      </c>
      <c r="AS263" s="48">
        <f t="shared" si="95"/>
        <v>3.8904327113934101E-2</v>
      </c>
      <c r="AT263" s="48" t="e">
        <f>(#REF!-#REF!)/#REF!</f>
        <v>#REF!</v>
      </c>
    </row>
    <row r="264" spans="1:46" x14ac:dyDescent="0.3">
      <c r="A264" s="48">
        <v>20190125</v>
      </c>
      <c r="B264" s="48" t="s">
        <v>88</v>
      </c>
      <c r="C264" s="79">
        <v>0.3</v>
      </c>
      <c r="D264" s="79">
        <f t="shared" si="96"/>
        <v>0.31887586617301428</v>
      </c>
      <c r="E264" s="49">
        <v>43050</v>
      </c>
      <c r="F264" s="49">
        <v>44750</v>
      </c>
      <c r="G264" s="49">
        <v>5969782550</v>
      </c>
      <c r="H264" s="49">
        <f t="shared" si="97"/>
        <v>0.33417397536285598</v>
      </c>
      <c r="I264" s="49">
        <f t="shared" si="108"/>
        <v>0.33417397536285598</v>
      </c>
      <c r="J264" s="48">
        <v>0.15</v>
      </c>
      <c r="K264" s="48">
        <f t="shared" si="98"/>
        <v>0.12920687566916098</v>
      </c>
      <c r="L264" s="48">
        <v>208000</v>
      </c>
      <c r="M264" s="48">
        <v>208500</v>
      </c>
      <c r="N264" s="51">
        <v>125456133</v>
      </c>
      <c r="O264" s="48">
        <f t="shared" si="99"/>
        <v>1.3828981460847001</v>
      </c>
      <c r="P264" s="48">
        <f t="shared" si="109"/>
        <v>1.3828981460847001</v>
      </c>
      <c r="Q264" s="49">
        <v>0.15</v>
      </c>
      <c r="R264" s="49">
        <f t="shared" si="100"/>
        <v>0.14130256078120579</v>
      </c>
      <c r="S264" s="49">
        <v>261700</v>
      </c>
      <c r="T264" s="49">
        <v>260300</v>
      </c>
      <c r="U264" s="49">
        <v>15956260</v>
      </c>
      <c r="V264" s="49">
        <f t="shared" si="101"/>
        <v>9.52461183903619</v>
      </c>
      <c r="W264" s="49">
        <f t="shared" si="110"/>
        <v>9.52461183903619</v>
      </c>
      <c r="X264" s="48">
        <v>0.1</v>
      </c>
      <c r="Y264" s="76">
        <f t="shared" si="102"/>
        <v>9.9063089872236471E-2</v>
      </c>
      <c r="Z264" s="18">
        <v>10605</v>
      </c>
      <c r="AA264" s="18">
        <v>10820</v>
      </c>
      <c r="AB264" s="18">
        <v>68700000</v>
      </c>
      <c r="AC264" s="117">
        <f t="shared" si="103"/>
        <v>37.310442323182599</v>
      </c>
      <c r="AD264" s="48">
        <f t="shared" si="111"/>
        <v>37.310442323182599</v>
      </c>
      <c r="AE264" s="49">
        <v>0.3</v>
      </c>
      <c r="AF264" s="49">
        <f t="shared" si="104"/>
        <v>0.31155160750438243</v>
      </c>
      <c r="AG264" s="19">
        <v>21500</v>
      </c>
      <c r="AH264" s="19">
        <v>22200</v>
      </c>
      <c r="AI264" s="19">
        <v>7234332</v>
      </c>
      <c r="AJ264" s="119">
        <f t="shared" si="105"/>
        <v>543.10163715259898</v>
      </c>
      <c r="AK264" s="49">
        <f t="shared" si="112"/>
        <v>543.10163715259898</v>
      </c>
      <c r="AL264" s="82">
        <f t="shared" si="113"/>
        <v>0</v>
      </c>
      <c r="AM264" s="82">
        <f t="shared" si="114"/>
        <v>249867415652733.97</v>
      </c>
      <c r="AN264" s="81">
        <f t="shared" si="106"/>
        <v>279964216436513.62</v>
      </c>
      <c r="AO264" s="80">
        <f t="shared" si="92"/>
        <v>1120.4510828479063</v>
      </c>
      <c r="AP264" s="52">
        <f t="shared" si="107"/>
        <v>2.4019114846005846E-2</v>
      </c>
      <c r="AQ264" s="48">
        <f t="shared" si="93"/>
        <v>3.9488966318234613E-2</v>
      </c>
      <c r="AR264" s="48">
        <f t="shared" si="94"/>
        <v>2.403846153846154E-3</v>
      </c>
      <c r="AS264" s="48">
        <f t="shared" si="95"/>
        <v>-5.349636988918609E-3</v>
      </c>
      <c r="AT264" s="48" t="e">
        <f>(#REF!-#REF!)/#REF!</f>
        <v>#REF!</v>
      </c>
    </row>
    <row r="265" spans="1:46" x14ac:dyDescent="0.3">
      <c r="A265" s="48">
        <v>20190128</v>
      </c>
      <c r="B265" s="48" t="s">
        <v>88</v>
      </c>
      <c r="C265" s="79">
        <v>0.3</v>
      </c>
      <c r="D265" s="79">
        <f t="shared" si="96"/>
        <v>0.32150341963904133</v>
      </c>
      <c r="E265" s="49">
        <v>44750</v>
      </c>
      <c r="F265" s="49">
        <v>45050</v>
      </c>
      <c r="G265" s="49">
        <v>5969782550</v>
      </c>
      <c r="H265" s="49">
        <f t="shared" si="97"/>
        <v>0.33417397536285598</v>
      </c>
      <c r="I265" s="49">
        <f t="shared" si="108"/>
        <v>0.33417397536285598</v>
      </c>
      <c r="J265" s="48">
        <v>0.15</v>
      </c>
      <c r="K265" s="48">
        <f t="shared" si="98"/>
        <v>0.13095564098549828</v>
      </c>
      <c r="L265" s="48">
        <v>208500</v>
      </c>
      <c r="M265" s="48">
        <v>211000</v>
      </c>
      <c r="N265" s="51">
        <v>125456133</v>
      </c>
      <c r="O265" s="48">
        <f t="shared" si="99"/>
        <v>1.3828981460847001</v>
      </c>
      <c r="P265" s="48">
        <f t="shared" si="109"/>
        <v>1.3828981460847001</v>
      </c>
      <c r="Q265" s="49">
        <v>0.15</v>
      </c>
      <c r="R265" s="49">
        <f t="shared" si="100"/>
        <v>0.1428229919829293</v>
      </c>
      <c r="S265" s="49">
        <v>260300</v>
      </c>
      <c r="T265" s="49">
        <v>262700</v>
      </c>
      <c r="U265" s="49">
        <v>15956260</v>
      </c>
      <c r="V265" s="49">
        <f t="shared" si="101"/>
        <v>9.52461183903619</v>
      </c>
      <c r="W265" s="49">
        <f t="shared" si="110"/>
        <v>9.52461183903619</v>
      </c>
      <c r="X265" s="48">
        <v>0.1</v>
      </c>
      <c r="Y265" s="76">
        <f t="shared" si="102"/>
        <v>9.9718575161312911E-2</v>
      </c>
      <c r="Z265" s="18">
        <v>10820</v>
      </c>
      <c r="AA265" s="18">
        <v>10875</v>
      </c>
      <c r="AB265" s="18">
        <v>68700000</v>
      </c>
      <c r="AC265" s="117">
        <f t="shared" si="103"/>
        <v>37.310442323182599</v>
      </c>
      <c r="AD265" s="48">
        <f t="shared" si="111"/>
        <v>37.310442323182599</v>
      </c>
      <c r="AE265" s="49">
        <v>0.3</v>
      </c>
      <c r="AF265" s="49">
        <f t="shared" si="104"/>
        <v>0.30499937223121826</v>
      </c>
      <c r="AG265" s="19">
        <v>22200</v>
      </c>
      <c r="AH265" s="19">
        <v>21700</v>
      </c>
      <c r="AI265" s="19">
        <v>7234332</v>
      </c>
      <c r="AJ265" s="119">
        <f t="shared" si="105"/>
        <v>543.10163715259898</v>
      </c>
      <c r="AK265" s="49">
        <f t="shared" si="112"/>
        <v>543.10163715259898</v>
      </c>
      <c r="AL265" s="82">
        <f t="shared" si="113"/>
        <v>0</v>
      </c>
      <c r="AM265" s="82">
        <f t="shared" si="114"/>
        <v>249867415652733.97</v>
      </c>
      <c r="AN265" s="81">
        <f t="shared" si="106"/>
        <v>279537666829732.81</v>
      </c>
      <c r="AO265" s="80">
        <f t="shared" si="92"/>
        <v>1118.7439790798278</v>
      </c>
      <c r="AP265" s="52">
        <f t="shared" si="107"/>
        <v>-1.5235861647252265E-3</v>
      </c>
      <c r="AQ265" s="48">
        <f t="shared" si="93"/>
        <v>6.7039106145251395E-3</v>
      </c>
      <c r="AR265" s="48">
        <f t="shared" si="94"/>
        <v>1.1990407673860911E-2</v>
      </c>
      <c r="AS265" s="48">
        <f t="shared" si="95"/>
        <v>9.2201306185170952E-3</v>
      </c>
      <c r="AT265" s="48" t="e">
        <f>(#REF!-#REF!)/#REF!</f>
        <v>#REF!</v>
      </c>
    </row>
    <row r="266" spans="1:46" x14ac:dyDescent="0.3">
      <c r="A266" s="48">
        <v>20190129</v>
      </c>
      <c r="B266" s="48" t="s">
        <v>88</v>
      </c>
      <c r="C266" s="79">
        <v>0.3</v>
      </c>
      <c r="D266" s="79">
        <f t="shared" si="96"/>
        <v>0.32638971760511909</v>
      </c>
      <c r="E266" s="49">
        <v>45050</v>
      </c>
      <c r="F266" s="49">
        <v>45500</v>
      </c>
      <c r="G266" s="49">
        <v>5969782550</v>
      </c>
      <c r="H266" s="49">
        <f t="shared" si="97"/>
        <v>0.33417397536285598</v>
      </c>
      <c r="I266" s="49">
        <f t="shared" si="108"/>
        <v>0.33417397536285598</v>
      </c>
      <c r="J266" s="48">
        <v>0.15</v>
      </c>
      <c r="K266" s="48">
        <f t="shared" si="98"/>
        <v>0.13131916908321881</v>
      </c>
      <c r="L266" s="48">
        <v>211000</v>
      </c>
      <c r="M266" s="48">
        <v>210500</v>
      </c>
      <c r="N266" s="51">
        <v>125456133</v>
      </c>
      <c r="O266" s="48">
        <f t="shared" si="99"/>
        <v>1.3828981460847001</v>
      </c>
      <c r="P266" s="48">
        <f t="shared" si="109"/>
        <v>1.3828981460847001</v>
      </c>
      <c r="Q266" s="49">
        <v>0.15</v>
      </c>
      <c r="R266" s="49">
        <f t="shared" si="100"/>
        <v>0.14749429051868007</v>
      </c>
      <c r="S266" s="49">
        <v>262700</v>
      </c>
      <c r="T266" s="49">
        <v>269900</v>
      </c>
      <c r="U266" s="49">
        <v>15956260</v>
      </c>
      <c r="V266" s="49">
        <f t="shared" si="101"/>
        <v>9.52461183903619</v>
      </c>
      <c r="W266" s="49">
        <f t="shared" si="110"/>
        <v>9.52461183903619</v>
      </c>
      <c r="X266" s="48">
        <v>0.1</v>
      </c>
      <c r="Y266" s="76">
        <f t="shared" si="102"/>
        <v>0.10023290904191648</v>
      </c>
      <c r="Z266" s="18">
        <v>10875</v>
      </c>
      <c r="AA266" s="18">
        <v>10875</v>
      </c>
      <c r="AB266" s="18">
        <v>68700000</v>
      </c>
      <c r="AC266" s="117">
        <f t="shared" si="103"/>
        <v>37.310442323182599</v>
      </c>
      <c r="AD266" s="48">
        <f t="shared" si="111"/>
        <v>37.310442323182599</v>
      </c>
      <c r="AE266" s="49">
        <v>0.3</v>
      </c>
      <c r="AF266" s="49">
        <f t="shared" si="104"/>
        <v>0.29456391375106555</v>
      </c>
      <c r="AG266" s="19">
        <v>21700</v>
      </c>
      <c r="AH266" s="19">
        <v>20850</v>
      </c>
      <c r="AI266" s="19">
        <v>7234332</v>
      </c>
      <c r="AJ266" s="119">
        <f t="shared" si="105"/>
        <v>543.10163715259898</v>
      </c>
      <c r="AK266" s="49">
        <f t="shared" si="112"/>
        <v>543.10163715259898</v>
      </c>
      <c r="AL266" s="82">
        <f t="shared" si="113"/>
        <v>0</v>
      </c>
      <c r="AM266" s="82">
        <f t="shared" si="114"/>
        <v>249867415652733.97</v>
      </c>
      <c r="AN266" s="81">
        <f t="shared" si="106"/>
        <v>278103250784846</v>
      </c>
      <c r="AO266" s="80">
        <f t="shared" si="92"/>
        <v>1113.0032703878212</v>
      </c>
      <c r="AP266" s="52">
        <f t="shared" si="107"/>
        <v>-5.1313873409431464E-3</v>
      </c>
      <c r="AQ266" s="48">
        <f t="shared" si="93"/>
        <v>9.9889012208657056E-3</v>
      </c>
      <c r="AR266" s="48">
        <f t="shared" si="94"/>
        <v>-2.3696682464454978E-3</v>
      </c>
      <c r="AS266" s="48">
        <f t="shared" si="95"/>
        <v>2.7407689379520365E-2</v>
      </c>
      <c r="AT266" s="48" t="e">
        <f>(#REF!-#REF!)/#REF!</f>
        <v>#REF!</v>
      </c>
    </row>
    <row r="267" spans="1:46" x14ac:dyDescent="0.3">
      <c r="A267" s="48">
        <v>20190130</v>
      </c>
      <c r="B267" s="48" t="s">
        <v>88</v>
      </c>
      <c r="C267" s="79">
        <v>0.3</v>
      </c>
      <c r="D267" s="79">
        <f t="shared" si="96"/>
        <v>0.32780005993803929</v>
      </c>
      <c r="E267" s="49">
        <v>45500</v>
      </c>
      <c r="F267" s="49">
        <v>46400</v>
      </c>
      <c r="G267" s="49">
        <v>5969782550</v>
      </c>
      <c r="H267" s="49">
        <f t="shared" si="97"/>
        <v>0.33417397536285598</v>
      </c>
      <c r="I267" s="49">
        <f t="shared" si="108"/>
        <v>0.33417397536285598</v>
      </c>
      <c r="J267" s="48">
        <v>0.15</v>
      </c>
      <c r="K267" s="48">
        <f t="shared" si="98"/>
        <v>0.13209320024769794</v>
      </c>
      <c r="L267" s="48">
        <v>210500</v>
      </c>
      <c r="M267" s="48">
        <v>215000</v>
      </c>
      <c r="N267" s="51">
        <v>125456133</v>
      </c>
      <c r="O267" s="48">
        <f t="shared" si="99"/>
        <v>1.3828981460847001</v>
      </c>
      <c r="P267" s="48">
        <f t="shared" si="109"/>
        <v>1.3828981460847001</v>
      </c>
      <c r="Q267" s="49">
        <v>0.15</v>
      </c>
      <c r="R267" s="49">
        <f t="shared" si="100"/>
        <v>0.1471958722683272</v>
      </c>
      <c r="S267" s="49">
        <v>269900</v>
      </c>
      <c r="T267" s="49">
        <v>273500</v>
      </c>
      <c r="U267" s="49">
        <v>15956260</v>
      </c>
      <c r="V267" s="49">
        <f t="shared" si="101"/>
        <v>9.52461183903619</v>
      </c>
      <c r="W267" s="49">
        <f t="shared" si="110"/>
        <v>9.52461183903619</v>
      </c>
      <c r="X267" s="48">
        <v>0.1</v>
      </c>
      <c r="Y267" s="76">
        <f t="shared" si="102"/>
        <v>0.10002962486406088</v>
      </c>
      <c r="Z267" s="18">
        <v>10875</v>
      </c>
      <c r="AA267" s="18">
        <v>11020</v>
      </c>
      <c r="AB267" s="18">
        <v>68700000</v>
      </c>
      <c r="AC267" s="117">
        <f t="shared" si="103"/>
        <v>37.310442323182599</v>
      </c>
      <c r="AD267" s="48">
        <f t="shared" si="111"/>
        <v>37.310442323182599</v>
      </c>
      <c r="AE267" s="49">
        <v>0.3</v>
      </c>
      <c r="AF267" s="49">
        <f t="shared" si="104"/>
        <v>0.29288124268187465</v>
      </c>
      <c r="AG267" s="19">
        <v>20850</v>
      </c>
      <c r="AH267" s="19">
        <v>21050</v>
      </c>
      <c r="AI267" s="19">
        <v>7234332</v>
      </c>
      <c r="AJ267" s="119">
        <f t="shared" si="105"/>
        <v>543.10163715259898</v>
      </c>
      <c r="AK267" s="49">
        <f t="shared" si="112"/>
        <v>543.10163715259898</v>
      </c>
      <c r="AL267" s="82">
        <f t="shared" si="113"/>
        <v>0</v>
      </c>
      <c r="AM267" s="82">
        <f t="shared" si="114"/>
        <v>249867415652733.97</v>
      </c>
      <c r="AN267" s="81">
        <f t="shared" si="106"/>
        <v>282384002237019.06</v>
      </c>
      <c r="AO267" s="80">
        <f t="shared" si="92"/>
        <v>1130.1353619852405</v>
      </c>
      <c r="AP267" s="52">
        <f t="shared" si="107"/>
        <v>1.5392669593369364E-2</v>
      </c>
      <c r="AQ267" s="48">
        <f t="shared" si="93"/>
        <v>1.9780219780219779E-2</v>
      </c>
      <c r="AR267" s="48">
        <f t="shared" si="94"/>
        <v>2.1377672209026127E-2</v>
      </c>
      <c r="AS267" s="48">
        <f t="shared" si="95"/>
        <v>1.333827343460541E-2</v>
      </c>
      <c r="AT267" s="48" t="e">
        <f>(#REF!-#REF!)/#REF!</f>
        <v>#REF!</v>
      </c>
    </row>
    <row r="268" spans="1:46" x14ac:dyDescent="0.3">
      <c r="A268" s="48">
        <v>20190131</v>
      </c>
      <c r="B268" s="48" t="s">
        <v>88</v>
      </c>
      <c r="C268" s="79">
        <v>0.3</v>
      </c>
      <c r="D268" s="79">
        <f t="shared" si="96"/>
        <v>0.3259762779450569</v>
      </c>
      <c r="E268" s="49">
        <v>46400</v>
      </c>
      <c r="F268" s="49">
        <v>46150</v>
      </c>
      <c r="G268" s="49">
        <v>5969782550</v>
      </c>
      <c r="H268" s="49">
        <f t="shared" si="97"/>
        <v>0.33417397536285598</v>
      </c>
      <c r="I268" s="49">
        <f t="shared" si="108"/>
        <v>0.33417397536285598</v>
      </c>
      <c r="J268" s="48">
        <v>0.15</v>
      </c>
      <c r="K268" s="48">
        <f t="shared" si="98"/>
        <v>0.13452696986951454</v>
      </c>
      <c r="L268" s="48">
        <v>215000</v>
      </c>
      <c r="M268" s="48">
        <v>219000</v>
      </c>
      <c r="N268" s="51">
        <v>125456133</v>
      </c>
      <c r="O268" s="48">
        <f t="shared" si="99"/>
        <v>1.3828981460847001</v>
      </c>
      <c r="P268" s="48">
        <f t="shared" si="109"/>
        <v>1.3828981460847001</v>
      </c>
      <c r="Q268" s="49">
        <v>0.15</v>
      </c>
      <c r="R268" s="49">
        <f t="shared" si="100"/>
        <v>0.14851510480147564</v>
      </c>
      <c r="S268" s="49">
        <v>273500</v>
      </c>
      <c r="T268" s="49">
        <v>276000</v>
      </c>
      <c r="U268" s="49">
        <v>15956260</v>
      </c>
      <c r="V268" s="49">
        <f t="shared" si="101"/>
        <v>9.52461183903619</v>
      </c>
      <c r="W268" s="49">
        <f t="shared" si="110"/>
        <v>9.52461183903619</v>
      </c>
      <c r="X268" s="48">
        <v>0.1</v>
      </c>
      <c r="Y268" s="76">
        <f t="shared" si="102"/>
        <v>0.10023883462844362</v>
      </c>
      <c r="Z268" s="18">
        <v>11020</v>
      </c>
      <c r="AA268" s="18">
        <v>11045</v>
      </c>
      <c r="AB268" s="18">
        <v>68700000</v>
      </c>
      <c r="AC268" s="117">
        <f t="shared" si="103"/>
        <v>37.310442323182599</v>
      </c>
      <c r="AD268" s="48">
        <f t="shared" si="111"/>
        <v>37.310442323182599</v>
      </c>
      <c r="AE268" s="49">
        <v>0.3</v>
      </c>
      <c r="AF268" s="49">
        <f t="shared" si="104"/>
        <v>0.29074281275550939</v>
      </c>
      <c r="AG268" s="19">
        <v>21050</v>
      </c>
      <c r="AH268" s="19">
        <v>20900</v>
      </c>
      <c r="AI268" s="19">
        <v>7234332</v>
      </c>
      <c r="AJ268" s="119">
        <f t="shared" si="105"/>
        <v>543.10163715259898</v>
      </c>
      <c r="AK268" s="49">
        <f t="shared" si="112"/>
        <v>543.10163715259898</v>
      </c>
      <c r="AL268" s="82">
        <f t="shared" si="113"/>
        <v>0</v>
      </c>
      <c r="AM268" s="82">
        <f t="shared" si="114"/>
        <v>249867415652733.97</v>
      </c>
      <c r="AN268" s="81">
        <f t="shared" si="106"/>
        <v>282433914969296.44</v>
      </c>
      <c r="AO268" s="80">
        <f t="shared" si="92"/>
        <v>1130.3351188528857</v>
      </c>
      <c r="AP268" s="52">
        <f t="shared" si="107"/>
        <v>1.7675481571896939E-4</v>
      </c>
      <c r="AQ268" s="48">
        <f t="shared" si="93"/>
        <v>-5.387931034482759E-3</v>
      </c>
      <c r="AR268" s="48">
        <f t="shared" si="94"/>
        <v>1.8604651162790697E-2</v>
      </c>
      <c r="AS268" s="48">
        <f t="shared" si="95"/>
        <v>9.140767824497258E-3</v>
      </c>
      <c r="AT268" s="48" t="e">
        <f>(#REF!-#REF!)/#REF!</f>
        <v>#REF!</v>
      </c>
    </row>
    <row r="269" spans="1:46" x14ac:dyDescent="0.3">
      <c r="A269" s="48">
        <v>20190201</v>
      </c>
      <c r="B269" s="48" t="s">
        <v>88</v>
      </c>
      <c r="C269" s="79">
        <v>0.3</v>
      </c>
      <c r="D269" s="79">
        <f t="shared" si="96"/>
        <v>0.3281734774282638</v>
      </c>
      <c r="E269" s="49">
        <v>46150</v>
      </c>
      <c r="F269" s="49">
        <v>46350</v>
      </c>
      <c r="G269" s="49">
        <v>5969782550</v>
      </c>
      <c r="H269" s="49">
        <f t="shared" si="97"/>
        <v>0.33417397536285598</v>
      </c>
      <c r="I269" s="49">
        <f t="shared" si="108"/>
        <v>0.33417397536285598</v>
      </c>
      <c r="J269" s="48">
        <v>0.15</v>
      </c>
      <c r="K269" s="48">
        <f t="shared" si="98"/>
        <v>0.13207845834229756</v>
      </c>
      <c r="L269" s="48">
        <v>219000</v>
      </c>
      <c r="M269" s="48">
        <v>214500</v>
      </c>
      <c r="N269" s="51">
        <v>125456133</v>
      </c>
      <c r="O269" s="48">
        <f t="shared" si="99"/>
        <v>1.3828981460847001</v>
      </c>
      <c r="P269" s="48">
        <f t="shared" si="109"/>
        <v>1.3828981460847001</v>
      </c>
      <c r="Q269" s="49">
        <v>0.15</v>
      </c>
      <c r="R269" s="49">
        <f t="shared" si="100"/>
        <v>0.15005764242349076</v>
      </c>
      <c r="S269" s="49">
        <v>276000</v>
      </c>
      <c r="T269" s="49">
        <v>278200</v>
      </c>
      <c r="U269" s="49">
        <v>15956260</v>
      </c>
      <c r="V269" s="49">
        <f t="shared" si="101"/>
        <v>9.52461183903619</v>
      </c>
      <c r="W269" s="49">
        <f t="shared" si="110"/>
        <v>9.52461183903619</v>
      </c>
      <c r="X269" s="48">
        <v>0.1</v>
      </c>
      <c r="Y269" s="76">
        <f t="shared" si="102"/>
        <v>0.10034257701198555</v>
      </c>
      <c r="Z269" s="18">
        <v>11045</v>
      </c>
      <c r="AA269" s="18">
        <v>11030</v>
      </c>
      <c r="AB269" s="18">
        <v>68700000</v>
      </c>
      <c r="AC269" s="117">
        <f t="shared" si="103"/>
        <v>37.310442323182599</v>
      </c>
      <c r="AD269" s="48">
        <f t="shared" si="111"/>
        <v>37.310442323182599</v>
      </c>
      <c r="AE269" s="49">
        <v>0.3</v>
      </c>
      <c r="AF269" s="49">
        <f t="shared" si="104"/>
        <v>0.28934784479396231</v>
      </c>
      <c r="AG269" s="19">
        <v>20900</v>
      </c>
      <c r="AH269" s="19">
        <v>20750</v>
      </c>
      <c r="AI269" s="19">
        <v>7234332</v>
      </c>
      <c r="AJ269" s="119">
        <f t="shared" si="105"/>
        <v>543.10163715259898</v>
      </c>
      <c r="AK269" s="49">
        <f t="shared" si="112"/>
        <v>543.10163715259898</v>
      </c>
      <c r="AL269" s="82">
        <f t="shared" si="113"/>
        <v>0</v>
      </c>
      <c r="AM269" s="82">
        <f t="shared" si="114"/>
        <v>249867415652733.97</v>
      </c>
      <c r="AN269" s="81">
        <f t="shared" si="106"/>
        <v>281758740179456.75</v>
      </c>
      <c r="AO269" s="80">
        <f t="shared" si="92"/>
        <v>1127.6329866517904</v>
      </c>
      <c r="AP269" s="52">
        <f t="shared" si="107"/>
        <v>-2.3905584777703394E-3</v>
      </c>
      <c r="AQ269" s="48">
        <f t="shared" si="93"/>
        <v>4.3336944745395447E-3</v>
      </c>
      <c r="AR269" s="48">
        <f t="shared" si="94"/>
        <v>-2.0547945205479451E-2</v>
      </c>
      <c r="AS269" s="48">
        <f t="shared" si="95"/>
        <v>7.9710144927536229E-3</v>
      </c>
      <c r="AT269" s="48" t="e">
        <f>(#REF!-#REF!)/#REF!</f>
        <v>#REF!</v>
      </c>
    </row>
    <row r="270" spans="1:46" x14ac:dyDescent="0.3">
      <c r="A270" s="48">
        <v>20190207</v>
      </c>
      <c r="B270" s="48" t="s">
        <v>88</v>
      </c>
      <c r="C270" s="79">
        <v>0.3</v>
      </c>
      <c r="D270" s="79">
        <f t="shared" si="96"/>
        <v>0.32382330815326676</v>
      </c>
      <c r="E270" s="49">
        <v>46350</v>
      </c>
      <c r="F270" s="49">
        <v>46200</v>
      </c>
      <c r="G270" s="49">
        <v>5969782550</v>
      </c>
      <c r="H270" s="49">
        <f t="shared" si="97"/>
        <v>0.33417397536285598</v>
      </c>
      <c r="I270" s="49">
        <f t="shared" si="108"/>
        <v>0.33417397536285598</v>
      </c>
      <c r="J270" s="48">
        <v>0.15</v>
      </c>
      <c r="K270" s="48">
        <f t="shared" si="98"/>
        <v>0.13044602721259477</v>
      </c>
      <c r="L270" s="48">
        <v>214500</v>
      </c>
      <c r="M270" s="48">
        <v>214000</v>
      </c>
      <c r="N270" s="51">
        <v>125456133</v>
      </c>
      <c r="O270" s="48">
        <f t="shared" si="99"/>
        <v>1.3828981460847001</v>
      </c>
      <c r="P270" s="48">
        <f t="shared" si="109"/>
        <v>1.3828981460847001</v>
      </c>
      <c r="Q270" s="49">
        <v>0.15</v>
      </c>
      <c r="R270" s="49">
        <f t="shared" si="100"/>
        <v>0.15383552593804828</v>
      </c>
      <c r="S270" s="49">
        <v>278200</v>
      </c>
      <c r="T270" s="49">
        <v>288100</v>
      </c>
      <c r="U270" s="49">
        <v>15956260</v>
      </c>
      <c r="V270" s="49">
        <f t="shared" si="101"/>
        <v>9.52461183903619</v>
      </c>
      <c r="W270" s="49">
        <f t="shared" si="110"/>
        <v>9.52461183903619</v>
      </c>
      <c r="X270" s="48">
        <v>0.1</v>
      </c>
      <c r="Y270" s="76">
        <f t="shared" si="102"/>
        <v>9.9243876960668692E-2</v>
      </c>
      <c r="Z270" s="18">
        <v>11030</v>
      </c>
      <c r="AA270" s="18">
        <v>11020</v>
      </c>
      <c r="AB270" s="18">
        <v>68700000</v>
      </c>
      <c r="AC270" s="117">
        <f t="shared" si="103"/>
        <v>37.310442323182599</v>
      </c>
      <c r="AD270" s="48">
        <f t="shared" si="111"/>
        <v>37.310442323182599</v>
      </c>
      <c r="AE270" s="49">
        <v>0.3</v>
      </c>
      <c r="AF270" s="49">
        <f t="shared" si="104"/>
        <v>0.29265126173542139</v>
      </c>
      <c r="AG270" s="19">
        <v>20750</v>
      </c>
      <c r="AH270" s="19">
        <v>21200</v>
      </c>
      <c r="AI270" s="19">
        <v>7234332</v>
      </c>
      <c r="AJ270" s="119">
        <f t="shared" si="105"/>
        <v>543.10163715259898</v>
      </c>
      <c r="AK270" s="49">
        <f t="shared" si="112"/>
        <v>543.10163715259898</v>
      </c>
      <c r="AL270" s="82">
        <f t="shared" si="113"/>
        <v>0</v>
      </c>
      <c r="AM270" s="82">
        <f t="shared" si="114"/>
        <v>249867415652733.97</v>
      </c>
      <c r="AN270" s="81">
        <f t="shared" si="106"/>
        <v>284619733493237.19</v>
      </c>
      <c r="AO270" s="80">
        <f t="shared" si="92"/>
        <v>1139.0830322942229</v>
      </c>
      <c r="AP270" s="52">
        <f t="shared" si="107"/>
        <v>1.0154053471272104E-2</v>
      </c>
      <c r="AQ270" s="48">
        <f t="shared" si="93"/>
        <v>-3.2362459546925568E-3</v>
      </c>
      <c r="AR270" s="48">
        <f t="shared" si="94"/>
        <v>-2.331002331002331E-3</v>
      </c>
      <c r="AS270" s="48">
        <f t="shared" si="95"/>
        <v>3.5585909417685122E-2</v>
      </c>
      <c r="AT270" s="48" t="e">
        <f>(#REF!-#REF!)/#REF!</f>
        <v>#REF!</v>
      </c>
    </row>
    <row r="271" spans="1:46" x14ac:dyDescent="0.3">
      <c r="A271" s="48">
        <v>20190208</v>
      </c>
      <c r="B271" s="48" t="s">
        <v>88</v>
      </c>
      <c r="C271" s="79">
        <v>0.3</v>
      </c>
      <c r="D271" s="79">
        <f t="shared" si="96"/>
        <v>0.31680197753466049</v>
      </c>
      <c r="E271" s="49">
        <v>46200</v>
      </c>
      <c r="F271" s="49">
        <v>44800</v>
      </c>
      <c r="G271" s="49">
        <v>5969782550</v>
      </c>
      <c r="H271" s="49">
        <f t="shared" si="97"/>
        <v>0.33417397536285598</v>
      </c>
      <c r="I271" s="49">
        <f t="shared" si="108"/>
        <v>0.33417397536285598</v>
      </c>
      <c r="J271" s="48">
        <v>0.15</v>
      </c>
      <c r="K271" s="48">
        <f t="shared" si="98"/>
        <v>0.13222064877995351</v>
      </c>
      <c r="L271" s="48">
        <v>214000</v>
      </c>
      <c r="M271" s="48">
        <v>215000</v>
      </c>
      <c r="N271" s="51">
        <v>125456133</v>
      </c>
      <c r="O271" s="48">
        <f t="shared" si="99"/>
        <v>1.3828981460847001</v>
      </c>
      <c r="P271" s="48">
        <f t="shared" si="109"/>
        <v>1.3828981460847001</v>
      </c>
      <c r="Q271" s="49">
        <v>0.15</v>
      </c>
      <c r="R271" s="49">
        <f t="shared" si="100"/>
        <v>0.15579568004108529</v>
      </c>
      <c r="S271" s="49">
        <v>288100</v>
      </c>
      <c r="T271" s="49">
        <v>289200</v>
      </c>
      <c r="U271" s="49">
        <v>15956260</v>
      </c>
      <c r="V271" s="49">
        <f t="shared" si="101"/>
        <v>9.52461183903619</v>
      </c>
      <c r="W271" s="49">
        <f t="shared" si="110"/>
        <v>9.52461183903619</v>
      </c>
      <c r="X271" s="48">
        <v>0.1</v>
      </c>
      <c r="Y271" s="76">
        <f t="shared" si="102"/>
        <v>9.853611237658276E-2</v>
      </c>
      <c r="Z271" s="18">
        <v>11020</v>
      </c>
      <c r="AA271" s="18">
        <v>10845</v>
      </c>
      <c r="AB271" s="18">
        <v>68700000</v>
      </c>
      <c r="AC271" s="117">
        <f t="shared" si="103"/>
        <v>37.310442323182599</v>
      </c>
      <c r="AD271" s="48">
        <f t="shared" si="111"/>
        <v>37.310442323182599</v>
      </c>
      <c r="AE271" s="49">
        <v>0.3</v>
      </c>
      <c r="AF271" s="49">
        <f t="shared" si="104"/>
        <v>0.29664558126771784</v>
      </c>
      <c r="AG271" s="19">
        <v>21200</v>
      </c>
      <c r="AH271" s="19">
        <v>21300</v>
      </c>
      <c r="AI271" s="19">
        <v>7234332</v>
      </c>
      <c r="AJ271" s="119">
        <f t="shared" si="105"/>
        <v>543.10163715259898</v>
      </c>
      <c r="AK271" s="49">
        <f t="shared" si="112"/>
        <v>543.10163715259898</v>
      </c>
      <c r="AL271" s="82">
        <f t="shared" si="113"/>
        <v>0</v>
      </c>
      <c r="AM271" s="82">
        <f t="shared" si="114"/>
        <v>249867415652733.97</v>
      </c>
      <c r="AN271" s="81">
        <f t="shared" si="106"/>
        <v>282111810057131.5</v>
      </c>
      <c r="AO271" s="80">
        <f t="shared" si="92"/>
        <v>1129.0460155445433</v>
      </c>
      <c r="AP271" s="52">
        <f t="shared" si="107"/>
        <v>-8.8114882454741975E-3</v>
      </c>
      <c r="AQ271" s="48">
        <f t="shared" si="93"/>
        <v>-3.0303030303030304E-2</v>
      </c>
      <c r="AR271" s="48">
        <f t="shared" si="94"/>
        <v>4.6728971962616819E-3</v>
      </c>
      <c r="AS271" s="48">
        <f t="shared" si="95"/>
        <v>3.8181187087816732E-3</v>
      </c>
      <c r="AT271" s="48" t="e">
        <f>(#REF!-#REF!)/#REF!</f>
        <v>#REF!</v>
      </c>
    </row>
    <row r="272" spans="1:46" x14ac:dyDescent="0.3">
      <c r="A272" s="48">
        <v>20190211</v>
      </c>
      <c r="B272" s="48" t="s">
        <v>88</v>
      </c>
      <c r="C272" s="79">
        <v>0.3</v>
      </c>
      <c r="D272" s="79">
        <f t="shared" si="96"/>
        <v>0.31532267977505651</v>
      </c>
      <c r="E272" s="49">
        <v>44800</v>
      </c>
      <c r="F272" s="49">
        <v>45000</v>
      </c>
      <c r="G272" s="49">
        <v>5969782550</v>
      </c>
      <c r="H272" s="49">
        <f t="shared" si="97"/>
        <v>0.33417397536285598</v>
      </c>
      <c r="I272" s="49">
        <f t="shared" si="108"/>
        <v>0.33417397536285598</v>
      </c>
      <c r="J272" s="48">
        <v>0.15</v>
      </c>
      <c r="K272" s="48">
        <f t="shared" si="98"/>
        <v>0.13132303874766624</v>
      </c>
      <c r="L272" s="48">
        <v>215000</v>
      </c>
      <c r="M272" s="48">
        <v>215500</v>
      </c>
      <c r="N272" s="51">
        <v>125456133</v>
      </c>
      <c r="O272" s="48">
        <f t="shared" si="99"/>
        <v>1.3828981460847001</v>
      </c>
      <c r="P272" s="48">
        <f t="shared" si="109"/>
        <v>1.3828981460847001</v>
      </c>
      <c r="Q272" s="49">
        <v>0.15</v>
      </c>
      <c r="R272" s="49">
        <f t="shared" si="100"/>
        <v>0.15480605577932957</v>
      </c>
      <c r="S272" s="49">
        <v>289200</v>
      </c>
      <c r="T272" s="49">
        <v>290000</v>
      </c>
      <c r="U272" s="49">
        <v>15956260</v>
      </c>
      <c r="V272" s="49">
        <f t="shared" si="101"/>
        <v>9.52461183903619</v>
      </c>
      <c r="W272" s="49">
        <f t="shared" si="110"/>
        <v>9.52461183903619</v>
      </c>
      <c r="X272" s="48">
        <v>0.1</v>
      </c>
      <c r="Y272" s="76">
        <f t="shared" si="102"/>
        <v>9.7009880880995047E-2</v>
      </c>
      <c r="Z272" s="18">
        <v>10845</v>
      </c>
      <c r="AA272" s="18">
        <v>10775</v>
      </c>
      <c r="AB272" s="18">
        <v>68700000</v>
      </c>
      <c r="AC272" s="117">
        <f t="shared" si="103"/>
        <v>37.310442323182599</v>
      </c>
      <c r="AD272" s="48">
        <f t="shared" si="111"/>
        <v>37.310442323182599</v>
      </c>
      <c r="AE272" s="49">
        <v>0.3</v>
      </c>
      <c r="AF272" s="49">
        <f t="shared" si="104"/>
        <v>0.30153834481695257</v>
      </c>
      <c r="AG272" s="19">
        <v>21300</v>
      </c>
      <c r="AH272" s="19">
        <v>21850</v>
      </c>
      <c r="AI272" s="19">
        <v>7234332</v>
      </c>
      <c r="AJ272" s="119">
        <f t="shared" si="105"/>
        <v>543.10163715259898</v>
      </c>
      <c r="AK272" s="49">
        <f t="shared" si="112"/>
        <v>543.10163715259898</v>
      </c>
      <c r="AL272" s="82">
        <f t="shared" si="113"/>
        <v>0</v>
      </c>
      <c r="AM272" s="82">
        <f t="shared" si="114"/>
        <v>249867415652733.97</v>
      </c>
      <c r="AN272" s="81">
        <f t="shared" si="106"/>
        <v>284700639260646.87</v>
      </c>
      <c r="AO272" s="80">
        <f t="shared" si="92"/>
        <v>1139.4068270843452</v>
      </c>
      <c r="AP272" s="52">
        <f t="shared" si="107"/>
        <v>9.1766069736359535E-3</v>
      </c>
      <c r="AQ272" s="48">
        <f t="shared" si="93"/>
        <v>4.464285714285714E-3</v>
      </c>
      <c r="AR272" s="48">
        <f t="shared" si="94"/>
        <v>2.3255813953488372E-3</v>
      </c>
      <c r="AS272" s="48">
        <f t="shared" si="95"/>
        <v>2.7662517289073307E-3</v>
      </c>
      <c r="AT272" s="48" t="e">
        <f>(#REF!-#REF!)/#REF!</f>
        <v>#REF!</v>
      </c>
    </row>
    <row r="273" spans="1:46" x14ac:dyDescent="0.3">
      <c r="A273" s="48">
        <v>20190212</v>
      </c>
      <c r="B273" s="48" t="s">
        <v>88</v>
      </c>
      <c r="C273" s="79">
        <v>0.3</v>
      </c>
      <c r="D273" s="79">
        <f t="shared" si="96"/>
        <v>0.32183118202765854</v>
      </c>
      <c r="E273" s="49">
        <v>45000</v>
      </c>
      <c r="F273" s="49">
        <v>46050</v>
      </c>
      <c r="G273" s="49">
        <v>5969782550</v>
      </c>
      <c r="H273" s="49">
        <f t="shared" si="97"/>
        <v>0.33417397536285598</v>
      </c>
      <c r="I273" s="49">
        <f t="shared" si="108"/>
        <v>0.33417397536285598</v>
      </c>
      <c r="J273" s="48">
        <v>0.15</v>
      </c>
      <c r="K273" s="48">
        <f t="shared" si="98"/>
        <v>0.1291541525796322</v>
      </c>
      <c r="L273" s="48">
        <v>215500</v>
      </c>
      <c r="M273" s="48">
        <v>212500</v>
      </c>
      <c r="N273" s="51">
        <v>125456133</v>
      </c>
      <c r="O273" s="48">
        <f t="shared" si="99"/>
        <v>1.3828981460847001</v>
      </c>
      <c r="P273" s="48">
        <f t="shared" si="109"/>
        <v>1.3828981460847001</v>
      </c>
      <c r="Q273" s="49">
        <v>0.15</v>
      </c>
      <c r="R273" s="49">
        <f t="shared" si="100"/>
        <v>0.14870195361642999</v>
      </c>
      <c r="S273" s="49">
        <v>290000</v>
      </c>
      <c r="T273" s="49">
        <v>279300</v>
      </c>
      <c r="U273" s="49">
        <v>15956260</v>
      </c>
      <c r="V273" s="49">
        <f t="shared" si="101"/>
        <v>9.52461183903619</v>
      </c>
      <c r="W273" s="49">
        <f t="shared" si="110"/>
        <v>9.52461183903619</v>
      </c>
      <c r="X273" s="48">
        <v>0.1</v>
      </c>
      <c r="Y273" s="76">
        <f t="shared" si="102"/>
        <v>9.8191358958508446E-2</v>
      </c>
      <c r="Z273" s="18">
        <v>10775</v>
      </c>
      <c r="AA273" s="18">
        <v>10935</v>
      </c>
      <c r="AB273" s="18">
        <v>68700000</v>
      </c>
      <c r="AC273" s="117">
        <f t="shared" si="103"/>
        <v>37.310442323182599</v>
      </c>
      <c r="AD273" s="48">
        <f t="shared" si="111"/>
        <v>37.310442323182599</v>
      </c>
      <c r="AE273" s="49">
        <v>0.3</v>
      </c>
      <c r="AF273" s="49">
        <f t="shared" si="104"/>
        <v>0.30212135281777075</v>
      </c>
      <c r="AG273" s="19">
        <v>21850</v>
      </c>
      <c r="AH273" s="19">
        <v>21950</v>
      </c>
      <c r="AI273" s="19">
        <v>7234332</v>
      </c>
      <c r="AJ273" s="119">
        <f t="shared" si="105"/>
        <v>543.10163715259898</v>
      </c>
      <c r="AK273" s="49">
        <f t="shared" si="112"/>
        <v>543.10163715259898</v>
      </c>
      <c r="AL273" s="82">
        <f t="shared" si="113"/>
        <v>0</v>
      </c>
      <c r="AM273" s="82">
        <f t="shared" si="114"/>
        <v>249867415652733.97</v>
      </c>
      <c r="AN273" s="81">
        <f t="shared" si="106"/>
        <v>285451711644797.12</v>
      </c>
      <c r="AO273" s="80">
        <f t="shared" si="92"/>
        <v>1142.4127107534432</v>
      </c>
      <c r="AP273" s="52">
        <f t="shared" si="107"/>
        <v>2.6381127422150327E-3</v>
      </c>
      <c r="AQ273" s="48">
        <f t="shared" si="93"/>
        <v>2.3333333333333334E-2</v>
      </c>
      <c r="AR273" s="48">
        <f t="shared" si="94"/>
        <v>-1.3921113689095127E-2</v>
      </c>
      <c r="AS273" s="48">
        <f t="shared" si="95"/>
        <v>-3.689655172413793E-2</v>
      </c>
      <c r="AT273" s="48" t="e">
        <f>(#REF!-#REF!)/#REF!</f>
        <v>#REF!</v>
      </c>
    </row>
    <row r="274" spans="1:46" x14ac:dyDescent="0.3">
      <c r="A274" s="48">
        <v>20190213</v>
      </c>
      <c r="B274" s="48" t="s">
        <v>88</v>
      </c>
      <c r="C274" s="79">
        <v>0.3</v>
      </c>
      <c r="D274" s="79">
        <f t="shared" si="96"/>
        <v>0.32191527720625313</v>
      </c>
      <c r="E274" s="49">
        <v>46050</v>
      </c>
      <c r="F274" s="49">
        <v>46200</v>
      </c>
      <c r="G274" s="49">
        <v>5969782550</v>
      </c>
      <c r="H274" s="49">
        <f t="shared" si="97"/>
        <v>0.33417397536285598</v>
      </c>
      <c r="I274" s="49">
        <f t="shared" si="108"/>
        <v>0.33417397536285598</v>
      </c>
      <c r="J274" s="48">
        <v>0.15</v>
      </c>
      <c r="K274" s="48">
        <f t="shared" si="98"/>
        <v>0.12846547498959063</v>
      </c>
      <c r="L274" s="48">
        <v>212500</v>
      </c>
      <c r="M274" s="48">
        <v>212000</v>
      </c>
      <c r="N274" s="51">
        <v>125456133</v>
      </c>
      <c r="O274" s="48">
        <f t="shared" si="99"/>
        <v>1.3828981460847001</v>
      </c>
      <c r="P274" s="48">
        <f t="shared" si="109"/>
        <v>1.3828981460847001</v>
      </c>
      <c r="Q274" s="49">
        <v>0.15</v>
      </c>
      <c r="R274" s="49">
        <f t="shared" si="100"/>
        <v>0.15000958938369066</v>
      </c>
      <c r="S274" s="49">
        <v>279300</v>
      </c>
      <c r="T274" s="49">
        <v>282600</v>
      </c>
      <c r="U274" s="49">
        <v>15956260</v>
      </c>
      <c r="V274" s="49">
        <f t="shared" si="101"/>
        <v>9.52461183903619</v>
      </c>
      <c r="W274" s="49">
        <f t="shared" si="110"/>
        <v>9.52461183903619</v>
      </c>
      <c r="X274" s="48">
        <v>0.1</v>
      </c>
      <c r="Y274" s="76">
        <f t="shared" si="102"/>
        <v>9.8390530442748175E-2</v>
      </c>
      <c r="Z274" s="18">
        <v>10935</v>
      </c>
      <c r="AA274" s="18">
        <v>10990</v>
      </c>
      <c r="AB274" s="18">
        <v>68700000</v>
      </c>
      <c r="AC274" s="117">
        <f t="shared" si="103"/>
        <v>37.310442323182599</v>
      </c>
      <c r="AD274" s="48">
        <f t="shared" si="111"/>
        <v>37.310442323182599</v>
      </c>
      <c r="AE274" s="49">
        <v>0.3</v>
      </c>
      <c r="AF274" s="49">
        <f t="shared" si="104"/>
        <v>0.30121912797771749</v>
      </c>
      <c r="AG274" s="19">
        <v>21950</v>
      </c>
      <c r="AH274" s="19">
        <v>21950</v>
      </c>
      <c r="AI274" s="19">
        <v>7234332</v>
      </c>
      <c r="AJ274" s="119">
        <f t="shared" si="105"/>
        <v>543.10163715259898</v>
      </c>
      <c r="AK274" s="49">
        <f t="shared" si="112"/>
        <v>543.10163715259898</v>
      </c>
      <c r="AL274" s="82">
        <f t="shared" si="113"/>
        <v>0</v>
      </c>
      <c r="AM274" s="82">
        <f t="shared" si="114"/>
        <v>249867415652733.97</v>
      </c>
      <c r="AN274" s="81">
        <f t="shared" si="106"/>
        <v>286306709222841.75</v>
      </c>
      <c r="AO274" s="80">
        <f t="shared" si="92"/>
        <v>1145.8345157767635</v>
      </c>
      <c r="AP274" s="52">
        <f t="shared" si="107"/>
        <v>2.9952441802433699E-3</v>
      </c>
      <c r="AQ274" s="48">
        <f t="shared" si="93"/>
        <v>3.2573289902280132E-3</v>
      </c>
      <c r="AR274" s="48">
        <f t="shared" si="94"/>
        <v>-2.352941176470588E-3</v>
      </c>
      <c r="AS274" s="48">
        <f t="shared" si="95"/>
        <v>1.1815252416756176E-2</v>
      </c>
      <c r="AT274" s="48" t="e">
        <f>(#REF!-#REF!)/#REF!</f>
        <v>#REF!</v>
      </c>
    </row>
    <row r="275" spans="1:46" s="47" customFormat="1" x14ac:dyDescent="0.3">
      <c r="A275" s="48">
        <v>20190214</v>
      </c>
      <c r="B275" s="48" t="s">
        <v>88</v>
      </c>
      <c r="C275" s="79">
        <v>0.3</v>
      </c>
      <c r="D275" s="79">
        <f t="shared" si="96"/>
        <v>0.32743971488459028</v>
      </c>
      <c r="E275" s="49">
        <v>46200</v>
      </c>
      <c r="F275" s="49">
        <v>47500</v>
      </c>
      <c r="G275" s="49">
        <v>5969782550</v>
      </c>
      <c r="H275" s="49">
        <f t="shared" si="97"/>
        <v>0.33417397536285598</v>
      </c>
      <c r="I275" s="49">
        <f t="shared" si="108"/>
        <v>0.35928849304385202</v>
      </c>
      <c r="J275" s="48">
        <v>0.15</v>
      </c>
      <c r="K275" s="48">
        <f t="shared" si="98"/>
        <v>0.12589485808951284</v>
      </c>
      <c r="L275" s="48">
        <v>212000</v>
      </c>
      <c r="M275" s="48">
        <v>210000</v>
      </c>
      <c r="N275" s="51">
        <v>125456133</v>
      </c>
      <c r="O275" s="48">
        <f t="shared" si="99"/>
        <v>1.3828981460847001</v>
      </c>
      <c r="P275" s="48">
        <f t="shared" si="109"/>
        <v>1.4868285012332401</v>
      </c>
      <c r="Q275" s="49">
        <v>0.15</v>
      </c>
      <c r="R275" s="49">
        <f t="shared" si="100"/>
        <v>0.14704255078696365</v>
      </c>
      <c r="S275" s="49">
        <v>282600</v>
      </c>
      <c r="T275" s="49">
        <v>280000</v>
      </c>
      <c r="U275" s="49">
        <v>15956260</v>
      </c>
      <c r="V275" s="49">
        <f t="shared" si="101"/>
        <v>9.52461183903619</v>
      </c>
      <c r="W275" s="49">
        <f t="shared" si="110"/>
        <v>10.2404247091927</v>
      </c>
      <c r="X275" s="48">
        <v>0.1</v>
      </c>
      <c r="Y275" s="76">
        <f t="shared" si="102"/>
        <v>9.8225735062076963E-2</v>
      </c>
      <c r="Z275" s="18">
        <v>10990</v>
      </c>
      <c r="AA275" s="18">
        <v>11090</v>
      </c>
      <c r="AB275" s="18">
        <v>68700000</v>
      </c>
      <c r="AC275" s="117">
        <f t="shared" si="103"/>
        <v>37.310442323182599</v>
      </c>
      <c r="AD275" s="48">
        <f t="shared" si="111"/>
        <v>40.114472057676103</v>
      </c>
      <c r="AE275" s="49">
        <v>0.3</v>
      </c>
      <c r="AF275" s="49">
        <f t="shared" si="104"/>
        <v>0.30139714117685634</v>
      </c>
      <c r="AG275" s="19">
        <v>21950</v>
      </c>
      <c r="AH275" s="19">
        <v>22200</v>
      </c>
      <c r="AI275" s="19">
        <v>7239332</v>
      </c>
      <c r="AJ275" s="119">
        <f t="shared" si="105"/>
        <v>543.10163715259898</v>
      </c>
      <c r="AK275" s="49">
        <f t="shared" si="112"/>
        <v>583.51461310522996</v>
      </c>
      <c r="AL275" s="82">
        <f t="shared" si="113"/>
        <v>1</v>
      </c>
      <c r="AM275" s="82">
        <f t="shared" si="114"/>
        <v>268645956445748.91</v>
      </c>
      <c r="AN275" s="81">
        <f t="shared" si="106"/>
        <v>311145895680021.62</v>
      </c>
      <c r="AO275" s="80">
        <f t="shared" si="92"/>
        <v>1158.2005543524913</v>
      </c>
      <c r="AP275" s="52">
        <f t="shared" si="107"/>
        <v>1.0792167983650597E-2</v>
      </c>
      <c r="AQ275" s="48">
        <f t="shared" si="93"/>
        <v>2.813852813852814E-2</v>
      </c>
      <c r="AR275" s="48">
        <f t="shared" si="94"/>
        <v>-9.433962264150943E-3</v>
      </c>
      <c r="AS275" s="48">
        <f t="shared" si="95"/>
        <v>-9.200283085633405E-3</v>
      </c>
      <c r="AT275" s="48" t="e">
        <f>(#REF!-#REF!)/#REF!</f>
        <v>#REF!</v>
      </c>
    </row>
    <row r="276" spans="1:46" x14ac:dyDescent="0.3">
      <c r="A276" s="48">
        <v>20190215</v>
      </c>
      <c r="B276" s="48" t="s">
        <v>88</v>
      </c>
      <c r="C276" s="79">
        <v>0.3</v>
      </c>
      <c r="D276" s="79">
        <f t="shared" si="96"/>
        <v>0.31775096922530371</v>
      </c>
      <c r="E276" s="49">
        <v>47500</v>
      </c>
      <c r="F276" s="49">
        <v>46050</v>
      </c>
      <c r="G276" s="49">
        <v>5969782550</v>
      </c>
      <c r="H276" s="49">
        <f t="shared" si="97"/>
        <v>0.35928849304385202</v>
      </c>
      <c r="I276" s="49">
        <f t="shared" si="108"/>
        <v>0.35928849304385202</v>
      </c>
      <c r="J276" s="48">
        <v>0.15</v>
      </c>
      <c r="K276" s="48">
        <f t="shared" si="98"/>
        <v>0.12571648528783055</v>
      </c>
      <c r="L276" s="48">
        <v>210000</v>
      </c>
      <c r="M276" s="48">
        <v>209500</v>
      </c>
      <c r="N276" s="51">
        <v>125456133</v>
      </c>
      <c r="O276" s="48">
        <f t="shared" si="99"/>
        <v>1.4868285012332401</v>
      </c>
      <c r="P276" s="48">
        <f t="shared" si="109"/>
        <v>1.4868285012332401</v>
      </c>
      <c r="Q276" s="49">
        <v>0.15</v>
      </c>
      <c r="R276" s="49">
        <f t="shared" si="100"/>
        <v>0.14965525431608034</v>
      </c>
      <c r="S276" s="49">
        <v>280000</v>
      </c>
      <c r="T276" s="49">
        <v>284700</v>
      </c>
      <c r="U276" s="49">
        <v>15956260</v>
      </c>
      <c r="V276" s="49">
        <f t="shared" si="101"/>
        <v>10.2404247091927</v>
      </c>
      <c r="W276" s="49">
        <f t="shared" si="110"/>
        <v>10.2404247091927</v>
      </c>
      <c r="X276" s="48">
        <v>0.1</v>
      </c>
      <c r="Y276" s="76">
        <f t="shared" si="102"/>
        <v>9.7035134641467527E-2</v>
      </c>
      <c r="Z276" s="18">
        <v>11090</v>
      </c>
      <c r="AA276" s="18">
        <v>10945</v>
      </c>
      <c r="AB276" s="18">
        <v>68700000</v>
      </c>
      <c r="AC276" s="117">
        <f t="shared" si="103"/>
        <v>40.114472057676103</v>
      </c>
      <c r="AD276" s="48">
        <f t="shared" si="111"/>
        <v>40.114472057676103</v>
      </c>
      <c r="AE276" s="49">
        <v>0.3</v>
      </c>
      <c r="AF276" s="49">
        <f t="shared" si="104"/>
        <v>0.30984215652931779</v>
      </c>
      <c r="AG276" s="19">
        <v>22200</v>
      </c>
      <c r="AH276" s="19">
        <v>22800</v>
      </c>
      <c r="AI276" s="19">
        <v>7239332</v>
      </c>
      <c r="AJ276" s="119">
        <f t="shared" si="105"/>
        <v>583.51461310522996</v>
      </c>
      <c r="AK276" s="49">
        <f t="shared" si="112"/>
        <v>583.51461310522996</v>
      </c>
      <c r="AL276" s="82">
        <f t="shared" si="113"/>
        <v>0</v>
      </c>
      <c r="AM276" s="82">
        <f t="shared" si="114"/>
        <v>268645956445748.91</v>
      </c>
      <c r="AN276" s="81">
        <f t="shared" si="106"/>
        <v>310845490272818.25</v>
      </c>
      <c r="AO276" s="80">
        <f t="shared" si="92"/>
        <v>1157.0823338842667</v>
      </c>
      <c r="AP276" s="52">
        <f t="shared" si="107"/>
        <v>-9.6548086082525906E-4</v>
      </c>
      <c r="AQ276" s="48">
        <f t="shared" si="93"/>
        <v>-3.0526315789473683E-2</v>
      </c>
      <c r="AR276" s="48">
        <f t="shared" si="94"/>
        <v>-2.3809523809523812E-3</v>
      </c>
      <c r="AS276" s="48">
        <f t="shared" si="95"/>
        <v>1.6785714285714286E-2</v>
      </c>
      <c r="AT276" s="48" t="e">
        <f>(#REF!-#REF!)/#REF!</f>
        <v>#REF!</v>
      </c>
    </row>
    <row r="277" spans="1:46" x14ac:dyDescent="0.3">
      <c r="A277" s="48">
        <v>20190218</v>
      </c>
      <c r="B277" s="48" t="s">
        <v>88</v>
      </c>
      <c r="C277" s="79">
        <v>0.3</v>
      </c>
      <c r="D277" s="79">
        <f t="shared" si="96"/>
        <v>0.31835276931386641</v>
      </c>
      <c r="E277" s="49">
        <v>46050</v>
      </c>
      <c r="F277" s="49">
        <v>46200</v>
      </c>
      <c r="G277" s="49">
        <v>5969782550</v>
      </c>
      <c r="H277" s="49">
        <f t="shared" si="97"/>
        <v>0.35928849304385202</v>
      </c>
      <c r="I277" s="49">
        <f t="shared" si="108"/>
        <v>0.35928849304385202</v>
      </c>
      <c r="J277" s="48">
        <v>0.15</v>
      </c>
      <c r="K277" s="48">
        <f t="shared" si="98"/>
        <v>0.12704379885007527</v>
      </c>
      <c r="L277" s="48">
        <v>209500</v>
      </c>
      <c r="M277" s="48">
        <v>212000</v>
      </c>
      <c r="N277" s="51">
        <v>125456133</v>
      </c>
      <c r="O277" s="48">
        <f t="shared" si="99"/>
        <v>1.4868285012332401</v>
      </c>
      <c r="P277" s="48">
        <f t="shared" si="109"/>
        <v>1.4868285012332401</v>
      </c>
      <c r="Q277" s="49">
        <v>0.15</v>
      </c>
      <c r="R277" s="49">
        <f t="shared" si="100"/>
        <v>0.14630220713011249</v>
      </c>
      <c r="S277" s="49">
        <v>284700</v>
      </c>
      <c r="T277" s="49">
        <v>278700</v>
      </c>
      <c r="U277" s="49">
        <v>15956260</v>
      </c>
      <c r="V277" s="49">
        <f t="shared" si="101"/>
        <v>10.2404247091927</v>
      </c>
      <c r="W277" s="49">
        <f t="shared" si="110"/>
        <v>10.2404247091927</v>
      </c>
      <c r="X277" s="48">
        <v>0.1</v>
      </c>
      <c r="Y277" s="76">
        <f t="shared" si="102"/>
        <v>9.7523023116408855E-2</v>
      </c>
      <c r="Z277" s="18">
        <v>10945</v>
      </c>
      <c r="AA277" s="18">
        <v>11015</v>
      </c>
      <c r="AB277" s="18">
        <v>68700000</v>
      </c>
      <c r="AC277" s="117">
        <f t="shared" si="103"/>
        <v>40.114472057676103</v>
      </c>
      <c r="AD277" s="48">
        <f t="shared" si="111"/>
        <v>40.114472057676103</v>
      </c>
      <c r="AE277" s="49">
        <v>0.3</v>
      </c>
      <c r="AF277" s="49">
        <f t="shared" si="104"/>
        <v>0.3107782015895369</v>
      </c>
      <c r="AG277" s="19">
        <v>22800</v>
      </c>
      <c r="AH277" s="19">
        <v>22900</v>
      </c>
      <c r="AI277" s="19">
        <v>7239332</v>
      </c>
      <c r="AJ277" s="119">
        <f t="shared" si="105"/>
        <v>583.51461310522996</v>
      </c>
      <c r="AK277" s="49">
        <f t="shared" si="112"/>
        <v>583.51461310522996</v>
      </c>
      <c r="AL277" s="82">
        <f t="shared" si="113"/>
        <v>0</v>
      </c>
      <c r="AM277" s="82">
        <f t="shared" si="114"/>
        <v>268645956445748.91</v>
      </c>
      <c r="AN277" s="81">
        <f t="shared" si="106"/>
        <v>311268493606959.44</v>
      </c>
      <c r="AO277" s="80">
        <f t="shared" si="92"/>
        <v>1158.6569093580154</v>
      </c>
      <c r="AP277" s="52">
        <f t="shared" si="107"/>
        <v>1.360815412731123E-3</v>
      </c>
      <c r="AQ277" s="48">
        <f t="shared" si="93"/>
        <v>3.2573289902280132E-3</v>
      </c>
      <c r="AR277" s="48">
        <f t="shared" si="94"/>
        <v>1.1933174224343675E-2</v>
      </c>
      <c r="AS277" s="48">
        <f t="shared" si="95"/>
        <v>-2.107481559536354E-2</v>
      </c>
      <c r="AT277" s="48" t="e">
        <f>(#REF!-#REF!)/#REF!</f>
        <v>#REF!</v>
      </c>
    </row>
    <row r="278" spans="1:46" x14ac:dyDescent="0.3">
      <c r="A278" s="48">
        <v>20190219</v>
      </c>
      <c r="B278" s="48" t="s">
        <v>88</v>
      </c>
      <c r="C278" s="79">
        <v>0.3</v>
      </c>
      <c r="D278" s="79">
        <f t="shared" si="96"/>
        <v>0.31966344014465337</v>
      </c>
      <c r="E278" s="49">
        <v>46200</v>
      </c>
      <c r="F278" s="49">
        <v>45950</v>
      </c>
      <c r="G278" s="49">
        <v>5969782550</v>
      </c>
      <c r="H278" s="49">
        <f t="shared" si="97"/>
        <v>0.35928849304385202</v>
      </c>
      <c r="I278" s="49">
        <f t="shared" si="108"/>
        <v>0.35928849304385202</v>
      </c>
      <c r="J278" s="48">
        <v>0.15</v>
      </c>
      <c r="K278" s="48">
        <f t="shared" si="98"/>
        <v>0.13007590828935217</v>
      </c>
      <c r="L278" s="48">
        <v>212000</v>
      </c>
      <c r="M278" s="48">
        <v>215000</v>
      </c>
      <c r="N278" s="51">
        <v>125456133</v>
      </c>
      <c r="O278" s="48">
        <f t="shared" si="99"/>
        <v>1.4868285012332401</v>
      </c>
      <c r="P278" s="48">
        <f t="shared" si="109"/>
        <v>1.4868285012332401</v>
      </c>
      <c r="Q278" s="49">
        <v>0.15</v>
      </c>
      <c r="R278" s="49">
        <f t="shared" si="100"/>
        <v>0.15279155411206724</v>
      </c>
      <c r="S278" s="49">
        <v>278700</v>
      </c>
      <c r="T278" s="49">
        <v>288300</v>
      </c>
      <c r="U278" s="49">
        <v>15956260</v>
      </c>
      <c r="V278" s="49">
        <f t="shared" si="101"/>
        <v>10.2404247091927</v>
      </c>
      <c r="W278" s="49">
        <f t="shared" si="110"/>
        <v>10.2404247091927</v>
      </c>
      <c r="X278" s="48">
        <v>0.1</v>
      </c>
      <c r="Y278" s="76">
        <f t="shared" si="102"/>
        <v>9.8099767842839289E-2</v>
      </c>
      <c r="Z278" s="18">
        <v>11015</v>
      </c>
      <c r="AA278" s="18">
        <v>10975</v>
      </c>
      <c r="AB278" s="18">
        <v>68700000</v>
      </c>
      <c r="AC278" s="117">
        <f t="shared" si="103"/>
        <v>40.114472057676103</v>
      </c>
      <c r="AD278" s="48">
        <f t="shared" si="111"/>
        <v>40.114472057676103</v>
      </c>
      <c r="AE278" s="49">
        <v>0.3</v>
      </c>
      <c r="AF278" s="49">
        <f t="shared" si="104"/>
        <v>0.29936932961108792</v>
      </c>
      <c r="AG278" s="19">
        <v>22900</v>
      </c>
      <c r="AH278" s="19">
        <v>21850</v>
      </c>
      <c r="AI278" s="19">
        <v>7239332</v>
      </c>
      <c r="AJ278" s="119">
        <f t="shared" si="105"/>
        <v>583.51461310522996</v>
      </c>
      <c r="AK278" s="49">
        <f t="shared" si="112"/>
        <v>583.51461310522996</v>
      </c>
      <c r="AL278" s="82">
        <f t="shared" si="113"/>
        <v>0</v>
      </c>
      <c r="AM278" s="82">
        <f t="shared" si="114"/>
        <v>268645956445748.91</v>
      </c>
      <c r="AN278" s="81">
        <f t="shared" si="106"/>
        <v>308314796184653</v>
      </c>
      <c r="AO278" s="80">
        <f t="shared" si="92"/>
        <v>1147.6621508238293</v>
      </c>
      <c r="AP278" s="52">
        <f t="shared" si="107"/>
        <v>-9.4892270916314761E-3</v>
      </c>
      <c r="AQ278" s="48">
        <f t="shared" si="93"/>
        <v>-5.411255411255411E-3</v>
      </c>
      <c r="AR278" s="48">
        <f t="shared" si="94"/>
        <v>1.4150943396226415E-2</v>
      </c>
      <c r="AS278" s="48">
        <f t="shared" si="95"/>
        <v>3.4445640473627553E-2</v>
      </c>
      <c r="AT278" s="48" t="e">
        <f>(#REF!-#REF!)/#REF!</f>
        <v>#REF!</v>
      </c>
    </row>
    <row r="279" spans="1:46" s="73" customFormat="1" x14ac:dyDescent="0.3">
      <c r="A279" s="48">
        <v>20190220</v>
      </c>
      <c r="B279" s="48" t="s">
        <v>88</v>
      </c>
      <c r="C279" s="79">
        <v>0.3</v>
      </c>
      <c r="D279" s="79">
        <f t="shared" si="96"/>
        <v>0.32524689849339089</v>
      </c>
      <c r="E279" s="49">
        <v>45950</v>
      </c>
      <c r="F279" s="49">
        <v>46900</v>
      </c>
      <c r="G279" s="49">
        <v>5969782550</v>
      </c>
      <c r="H279" s="49">
        <f t="shared" si="97"/>
        <v>0.35928849304385202</v>
      </c>
      <c r="I279" s="49">
        <f t="shared" si="108"/>
        <v>0.35752100530214298</v>
      </c>
      <c r="J279" s="48">
        <v>0.15</v>
      </c>
      <c r="K279" s="48">
        <f t="shared" si="98"/>
        <v>0.12876242717983394</v>
      </c>
      <c r="L279" s="48">
        <v>215000</v>
      </c>
      <c r="M279" s="48">
        <v>213500</v>
      </c>
      <c r="N279" s="51">
        <v>125461438</v>
      </c>
      <c r="O279" s="48">
        <f t="shared" si="99"/>
        <v>1.4868285012332401</v>
      </c>
      <c r="P279" s="48">
        <f t="shared" si="109"/>
        <v>1.4794516212022699</v>
      </c>
      <c r="Q279" s="49">
        <v>0.15</v>
      </c>
      <c r="R279" s="49">
        <f t="shared" si="100"/>
        <v>0.15352644153141889</v>
      </c>
      <c r="S279" s="49">
        <v>288300</v>
      </c>
      <c r="T279" s="49">
        <v>290600</v>
      </c>
      <c r="U279" s="49">
        <v>15956260</v>
      </c>
      <c r="V279" s="49">
        <f t="shared" si="101"/>
        <v>10.2404247091927</v>
      </c>
      <c r="W279" s="49">
        <f t="shared" si="110"/>
        <v>10.190047851893301</v>
      </c>
      <c r="X279" s="48">
        <v>0.1</v>
      </c>
      <c r="Y279" s="76">
        <f t="shared" si="102"/>
        <v>9.8816135342134848E-2</v>
      </c>
      <c r="Z279" s="18">
        <v>10975</v>
      </c>
      <c r="AA279" s="18">
        <v>11090</v>
      </c>
      <c r="AB279" s="18">
        <v>68700000</v>
      </c>
      <c r="AC279" s="117">
        <f t="shared" si="103"/>
        <v>40.114472057676103</v>
      </c>
      <c r="AD279" s="48">
        <f t="shared" si="111"/>
        <v>39.917132485160401</v>
      </c>
      <c r="AE279" s="49">
        <v>0.3</v>
      </c>
      <c r="AF279" s="49">
        <f t="shared" si="104"/>
        <v>0.29364809745322129</v>
      </c>
      <c r="AG279" s="19">
        <v>21850</v>
      </c>
      <c r="AH279" s="19">
        <v>21500</v>
      </c>
      <c r="AI279" s="19">
        <v>7239332</v>
      </c>
      <c r="AJ279" s="119">
        <f t="shared" si="105"/>
        <v>583.51461310522996</v>
      </c>
      <c r="AK279" s="49">
        <f t="shared" si="112"/>
        <v>580.64406493644697</v>
      </c>
      <c r="AL279" s="82">
        <f t="shared" si="113"/>
        <v>1</v>
      </c>
      <c r="AM279" s="82">
        <f t="shared" si="114"/>
        <v>267324376589809.41</v>
      </c>
      <c r="AN279" s="81">
        <f t="shared" si="106"/>
        <v>307765371959692.62</v>
      </c>
      <c r="AO279" s="80">
        <f t="shared" si="92"/>
        <v>1151.2806122875099</v>
      </c>
      <c r="AP279" s="52">
        <f t="shared" si="107"/>
        <v>3.152897794079216E-3</v>
      </c>
      <c r="AQ279" s="48">
        <f t="shared" si="93"/>
        <v>2.0674646354733407E-2</v>
      </c>
      <c r="AR279" s="48">
        <f t="shared" si="94"/>
        <v>-6.9767441860465115E-3</v>
      </c>
      <c r="AS279" s="48">
        <f t="shared" si="95"/>
        <v>7.9778009018383628E-3</v>
      </c>
      <c r="AT279" s="48" t="e">
        <f>(#REF!-#REF!)/#REF!</f>
        <v>#REF!</v>
      </c>
    </row>
    <row r="280" spans="1:46" x14ac:dyDescent="0.3">
      <c r="A280" s="48">
        <v>20190221</v>
      </c>
      <c r="B280" s="48" t="s">
        <v>88</v>
      </c>
      <c r="C280" s="79">
        <v>0.3</v>
      </c>
      <c r="D280" s="79">
        <f t="shared" si="96"/>
        <v>0.32324408643277192</v>
      </c>
      <c r="E280" s="49">
        <v>46900</v>
      </c>
      <c r="F280" s="49">
        <v>46950</v>
      </c>
      <c r="G280" s="49">
        <v>5969782550</v>
      </c>
      <c r="H280" s="49">
        <f t="shared" si="97"/>
        <v>0.35752100530214298</v>
      </c>
      <c r="I280" s="49">
        <f t="shared" si="108"/>
        <v>0.35752100530214298</v>
      </c>
      <c r="J280" s="48">
        <v>0.15</v>
      </c>
      <c r="K280" s="48">
        <f t="shared" si="98"/>
        <v>0.1242407449989481</v>
      </c>
      <c r="L280" s="48">
        <v>213500</v>
      </c>
      <c r="M280" s="48">
        <v>207500</v>
      </c>
      <c r="N280" s="51">
        <v>125461438</v>
      </c>
      <c r="O280" s="48">
        <f t="shared" si="99"/>
        <v>1.4794516212022699</v>
      </c>
      <c r="P280" s="48">
        <f t="shared" si="109"/>
        <v>1.4794516212022699</v>
      </c>
      <c r="Q280" s="49">
        <v>0.15</v>
      </c>
      <c r="R280" s="49">
        <f t="shared" si="100"/>
        <v>0.15063527344507735</v>
      </c>
      <c r="S280" s="49">
        <v>290600</v>
      </c>
      <c r="T280" s="49">
        <v>287200</v>
      </c>
      <c r="U280" s="49">
        <v>15956260</v>
      </c>
      <c r="V280" s="49">
        <f t="shared" si="101"/>
        <v>10.190047851893301</v>
      </c>
      <c r="W280" s="49">
        <f t="shared" si="110"/>
        <v>10.190047851893301</v>
      </c>
      <c r="X280" s="48">
        <v>0.1</v>
      </c>
      <c r="Y280" s="76">
        <f t="shared" si="102"/>
        <v>9.8147286238928808E-2</v>
      </c>
      <c r="Z280" s="18">
        <v>11090</v>
      </c>
      <c r="AA280" s="18">
        <v>11095</v>
      </c>
      <c r="AB280" s="18">
        <v>68700000</v>
      </c>
      <c r="AC280" s="117">
        <f t="shared" si="103"/>
        <v>39.917132485160401</v>
      </c>
      <c r="AD280" s="48">
        <f t="shared" si="111"/>
        <v>39.917132485160401</v>
      </c>
      <c r="AE280" s="49">
        <v>0.3</v>
      </c>
      <c r="AF280" s="49">
        <f t="shared" si="104"/>
        <v>0.30373260888427389</v>
      </c>
      <c r="AG280" s="19">
        <v>21500</v>
      </c>
      <c r="AH280" s="19">
        <v>22400</v>
      </c>
      <c r="AI280" s="19">
        <v>7239332</v>
      </c>
      <c r="AJ280" s="119">
        <f t="shared" si="105"/>
        <v>580.64406493644697</v>
      </c>
      <c r="AK280" s="49">
        <f t="shared" si="112"/>
        <v>580.64406493644697</v>
      </c>
      <c r="AL280" s="82">
        <f t="shared" si="113"/>
        <v>0</v>
      </c>
      <c r="AM280" s="82">
        <f t="shared" si="114"/>
        <v>267324376589809.41</v>
      </c>
      <c r="AN280" s="81">
        <f t="shared" si="106"/>
        <v>310002419324479.37</v>
      </c>
      <c r="AO280" s="80">
        <f t="shared" si="92"/>
        <v>1159.6489002578182</v>
      </c>
      <c r="AP280" s="52">
        <f t="shared" si="107"/>
        <v>7.2686779235178198E-3</v>
      </c>
      <c r="AQ280" s="48">
        <f t="shared" si="93"/>
        <v>1.0660980810234541E-3</v>
      </c>
      <c r="AR280" s="48">
        <f t="shared" si="94"/>
        <v>-2.8103044496487119E-2</v>
      </c>
      <c r="AS280" s="48">
        <f t="shared" si="95"/>
        <v>-1.1699931176875429E-2</v>
      </c>
      <c r="AT280" s="48" t="e">
        <f>(#REF!-#REF!)/#REF!</f>
        <v>#REF!</v>
      </c>
    </row>
    <row r="281" spans="1:46" x14ac:dyDescent="0.3">
      <c r="A281" s="48">
        <v>20190222</v>
      </c>
      <c r="B281" s="48" t="s">
        <v>88</v>
      </c>
      <c r="C281" s="79">
        <v>0.3</v>
      </c>
      <c r="D281" s="79">
        <f t="shared" si="96"/>
        <v>0.32493816527510178</v>
      </c>
      <c r="E281" s="49">
        <v>46950</v>
      </c>
      <c r="F281" s="49">
        <v>47150</v>
      </c>
      <c r="G281" s="49">
        <v>5969782550</v>
      </c>
      <c r="H281" s="49">
        <f t="shared" si="97"/>
        <v>0.35752100530214298</v>
      </c>
      <c r="I281" s="49">
        <f t="shared" si="108"/>
        <v>0.35752100530214298</v>
      </c>
      <c r="J281" s="48">
        <v>0.15</v>
      </c>
      <c r="K281" s="48">
        <f t="shared" si="98"/>
        <v>0.12406244227494462</v>
      </c>
      <c r="L281" s="48">
        <v>207500</v>
      </c>
      <c r="M281" s="48">
        <v>207000</v>
      </c>
      <c r="N281" s="51">
        <v>125461438</v>
      </c>
      <c r="O281" s="48">
        <f t="shared" si="99"/>
        <v>1.4794516212022699</v>
      </c>
      <c r="P281" s="48">
        <f t="shared" si="109"/>
        <v>1.4794516212022699</v>
      </c>
      <c r="Q281" s="49">
        <v>0.15</v>
      </c>
      <c r="R281" s="49">
        <f t="shared" si="100"/>
        <v>0.1509399245744491</v>
      </c>
      <c r="S281" s="49">
        <v>287200</v>
      </c>
      <c r="T281" s="49">
        <v>287500</v>
      </c>
      <c r="U281" s="49">
        <v>15956260</v>
      </c>
      <c r="V281" s="49">
        <f t="shared" si="101"/>
        <v>10.190047851893301</v>
      </c>
      <c r="W281" s="49">
        <f t="shared" si="110"/>
        <v>10.190047851893301</v>
      </c>
      <c r="X281" s="48">
        <v>0.1</v>
      </c>
      <c r="Y281" s="76">
        <f t="shared" si="102"/>
        <v>9.8066067284289557E-2</v>
      </c>
      <c r="Z281" s="18">
        <v>11095</v>
      </c>
      <c r="AA281" s="18">
        <v>11075</v>
      </c>
      <c r="AB281" s="18">
        <v>68700000</v>
      </c>
      <c r="AC281" s="117">
        <f t="shared" si="103"/>
        <v>39.917132485160401</v>
      </c>
      <c r="AD281" s="48">
        <f t="shared" si="111"/>
        <v>39.917132485160401</v>
      </c>
      <c r="AE281" s="49">
        <v>0.3</v>
      </c>
      <c r="AF281" s="49">
        <f t="shared" si="104"/>
        <v>0.3019934005912151</v>
      </c>
      <c r="AG281" s="19">
        <v>22400</v>
      </c>
      <c r="AH281" s="19">
        <v>22250</v>
      </c>
      <c r="AI281" s="19">
        <v>7239332</v>
      </c>
      <c r="AJ281" s="119">
        <f t="shared" si="105"/>
        <v>580.64406493644697</v>
      </c>
      <c r="AK281" s="49">
        <f t="shared" si="112"/>
        <v>580.64406493644697</v>
      </c>
      <c r="AL281" s="82">
        <f t="shared" si="113"/>
        <v>0</v>
      </c>
      <c r="AM281" s="82">
        <f t="shared" si="114"/>
        <v>267324376589809.41</v>
      </c>
      <c r="AN281" s="81">
        <f t="shared" si="106"/>
        <v>309699887894158.75</v>
      </c>
      <c r="AO281" s="80">
        <f t="shared" si="92"/>
        <v>1158.5171986368141</v>
      </c>
      <c r="AP281" s="52">
        <f t="shared" si="107"/>
        <v>-9.7590022355260745E-4</v>
      </c>
      <c r="AQ281" s="48">
        <f t="shared" si="93"/>
        <v>4.2598509052183178E-3</v>
      </c>
      <c r="AR281" s="48">
        <f t="shared" si="94"/>
        <v>-2.4096385542168677E-3</v>
      </c>
      <c r="AS281" s="48">
        <f t="shared" si="95"/>
        <v>1.0445682451253482E-3</v>
      </c>
      <c r="AT281" s="48" t="e">
        <f>(#REF!-#REF!)/#REF!</f>
        <v>#REF!</v>
      </c>
    </row>
    <row r="282" spans="1:46" x14ac:dyDescent="0.3">
      <c r="A282" s="48">
        <v>20190225</v>
      </c>
      <c r="B282" s="48" t="s">
        <v>88</v>
      </c>
      <c r="C282" s="79">
        <v>0.3</v>
      </c>
      <c r="D282" s="79">
        <f t="shared" si="96"/>
        <v>0.32551725894328293</v>
      </c>
      <c r="E282" s="49">
        <v>47150</v>
      </c>
      <c r="F282" s="49">
        <v>47350</v>
      </c>
      <c r="G282" s="49">
        <v>5969782550</v>
      </c>
      <c r="H282" s="49">
        <f t="shared" si="97"/>
        <v>0.35752100530214298</v>
      </c>
      <c r="I282" s="49">
        <f t="shared" si="108"/>
        <v>0.35752100530214298</v>
      </c>
      <c r="J282" s="48">
        <v>0.15</v>
      </c>
      <c r="K282" s="48">
        <f t="shared" si="98"/>
        <v>0.12196498254240769</v>
      </c>
      <c r="L282" s="48">
        <v>207000</v>
      </c>
      <c r="M282" s="48">
        <v>204000</v>
      </c>
      <c r="N282" s="51">
        <v>125461438</v>
      </c>
      <c r="O282" s="48">
        <f t="shared" si="99"/>
        <v>1.4794516212022699</v>
      </c>
      <c r="P282" s="48">
        <f t="shared" si="109"/>
        <v>1.4794516212022699</v>
      </c>
      <c r="Q282" s="49">
        <v>0.15</v>
      </c>
      <c r="R282" s="49">
        <f t="shared" si="100"/>
        <v>0.14821348691985248</v>
      </c>
      <c r="S282" s="49">
        <v>287500</v>
      </c>
      <c r="T282" s="49">
        <v>283000</v>
      </c>
      <c r="U282" s="49">
        <v>15956260</v>
      </c>
      <c r="V282" s="49">
        <f t="shared" si="101"/>
        <v>10.190047851893301</v>
      </c>
      <c r="W282" s="49">
        <f t="shared" si="110"/>
        <v>10.190047851893301</v>
      </c>
      <c r="X282" s="48">
        <v>0.1</v>
      </c>
      <c r="Y282" s="76">
        <f t="shared" si="102"/>
        <v>9.8311698269855807E-2</v>
      </c>
      <c r="Z282" s="18">
        <v>11075</v>
      </c>
      <c r="AA282" s="18">
        <v>11130</v>
      </c>
      <c r="AB282" s="18">
        <v>68700000</v>
      </c>
      <c r="AC282" s="117">
        <f t="shared" si="103"/>
        <v>39.917132485160401</v>
      </c>
      <c r="AD282" s="48">
        <f t="shared" si="111"/>
        <v>39.917132485160401</v>
      </c>
      <c r="AE282" s="49">
        <v>0.3</v>
      </c>
      <c r="AF282" s="49">
        <f t="shared" si="104"/>
        <v>0.30599257332460106</v>
      </c>
      <c r="AG282" s="19">
        <v>22250</v>
      </c>
      <c r="AH282" s="19">
        <v>22600</v>
      </c>
      <c r="AI282" s="19">
        <v>7239332</v>
      </c>
      <c r="AJ282" s="119">
        <f t="shared" si="105"/>
        <v>580.64406493644697</v>
      </c>
      <c r="AK282" s="49">
        <f t="shared" si="112"/>
        <v>580.64406493644697</v>
      </c>
      <c r="AL282" s="82">
        <f t="shared" si="113"/>
        <v>0</v>
      </c>
      <c r="AM282" s="82">
        <f t="shared" si="114"/>
        <v>267324376589809.41</v>
      </c>
      <c r="AN282" s="81">
        <f t="shared" si="106"/>
        <v>310460275495202.75</v>
      </c>
      <c r="AO282" s="80">
        <f t="shared" si="92"/>
        <v>1161.3616365842402</v>
      </c>
      <c r="AP282" s="52">
        <f t="shared" si="107"/>
        <v>2.4552401559277733E-3</v>
      </c>
      <c r="AQ282" s="48">
        <f t="shared" si="93"/>
        <v>4.2417815482502655E-3</v>
      </c>
      <c r="AR282" s="48">
        <f t="shared" si="94"/>
        <v>-1.4492753623188406E-2</v>
      </c>
      <c r="AS282" s="48">
        <f t="shared" si="95"/>
        <v>-1.5652173913043479E-2</v>
      </c>
      <c r="AT282" s="48" t="e">
        <f>(#REF!-#REF!)/#REF!</f>
        <v>#REF!</v>
      </c>
    </row>
    <row r="283" spans="1:46" x14ac:dyDescent="0.3">
      <c r="A283" s="48">
        <v>20190226</v>
      </c>
      <c r="B283" s="48" t="s">
        <v>88</v>
      </c>
      <c r="C283" s="79">
        <v>0.3</v>
      </c>
      <c r="D283" s="79">
        <f t="shared" si="96"/>
        <v>0.32254284322021293</v>
      </c>
      <c r="E283" s="49">
        <v>47350</v>
      </c>
      <c r="F283" s="49">
        <v>46750</v>
      </c>
      <c r="G283" s="49">
        <v>5969782550</v>
      </c>
      <c r="H283" s="49">
        <f t="shared" si="97"/>
        <v>0.35752100530214298</v>
      </c>
      <c r="I283" s="49">
        <f t="shared" si="108"/>
        <v>0.35752100530214298</v>
      </c>
      <c r="J283" s="48">
        <v>0.15</v>
      </c>
      <c r="K283" s="48">
        <f t="shared" si="98"/>
        <v>0.12270155345412509</v>
      </c>
      <c r="L283" s="48">
        <v>204000</v>
      </c>
      <c r="M283" s="48">
        <v>204500</v>
      </c>
      <c r="N283" s="51">
        <v>125461438</v>
      </c>
      <c r="O283" s="48">
        <f t="shared" si="99"/>
        <v>1.4794516212022699</v>
      </c>
      <c r="P283" s="48">
        <f t="shared" si="109"/>
        <v>1.4794516212022699</v>
      </c>
      <c r="Q283" s="49">
        <v>0.15</v>
      </c>
      <c r="R283" s="49">
        <f t="shared" si="100"/>
        <v>0.14795561333880078</v>
      </c>
      <c r="S283" s="49">
        <v>283000</v>
      </c>
      <c r="T283" s="49">
        <v>281500</v>
      </c>
      <c r="U283" s="49">
        <v>15956260</v>
      </c>
      <c r="V283" s="49">
        <f t="shared" si="101"/>
        <v>10.190047851893301</v>
      </c>
      <c r="W283" s="49">
        <f t="shared" si="110"/>
        <v>10.190047851893301</v>
      </c>
      <c r="X283" s="48">
        <v>0.1</v>
      </c>
      <c r="Y283" s="76">
        <f t="shared" si="102"/>
        <v>9.8353336828759158E-2</v>
      </c>
      <c r="Z283" s="18">
        <v>11130</v>
      </c>
      <c r="AA283" s="18">
        <v>11095</v>
      </c>
      <c r="AB283" s="18">
        <v>68700000</v>
      </c>
      <c r="AC283" s="117">
        <f t="shared" si="103"/>
        <v>39.917132485160401</v>
      </c>
      <c r="AD283" s="48">
        <f t="shared" si="111"/>
        <v>39.917132485160401</v>
      </c>
      <c r="AE283" s="49">
        <v>0.3</v>
      </c>
      <c r="AF283" s="49">
        <f t="shared" si="104"/>
        <v>0.30844665315810205</v>
      </c>
      <c r="AG283" s="19">
        <v>22600</v>
      </c>
      <c r="AH283" s="19">
        <v>22700</v>
      </c>
      <c r="AI283" s="19">
        <v>7239332</v>
      </c>
      <c r="AJ283" s="119">
        <f t="shared" si="105"/>
        <v>580.64406493644697</v>
      </c>
      <c r="AK283" s="49">
        <f t="shared" si="112"/>
        <v>580.64406493644697</v>
      </c>
      <c r="AL283" s="82">
        <f t="shared" si="113"/>
        <v>0</v>
      </c>
      <c r="AM283" s="82">
        <f t="shared" si="114"/>
        <v>267324376589809.41</v>
      </c>
      <c r="AN283" s="81">
        <f t="shared" si="106"/>
        <v>309352963155423.75</v>
      </c>
      <c r="AO283" s="80">
        <f t="shared" si="92"/>
        <v>1157.2194316947919</v>
      </c>
      <c r="AP283" s="52">
        <f t="shared" si="107"/>
        <v>-3.5666796275716623E-3</v>
      </c>
      <c r="AQ283" s="48">
        <f t="shared" si="93"/>
        <v>-1.2671594508975714E-2</v>
      </c>
      <c r="AR283" s="48">
        <f t="shared" si="94"/>
        <v>2.4509803921568627E-3</v>
      </c>
      <c r="AS283" s="48">
        <f t="shared" si="95"/>
        <v>-5.3003533568904597E-3</v>
      </c>
      <c r="AT283" s="48" t="e">
        <f>(#REF!-#REF!)/#REF!</f>
        <v>#REF!</v>
      </c>
    </row>
    <row r="284" spans="1:46" x14ac:dyDescent="0.3">
      <c r="A284" s="48">
        <v>20190227</v>
      </c>
      <c r="B284" s="48" t="s">
        <v>88</v>
      </c>
      <c r="C284" s="79">
        <v>0.3</v>
      </c>
      <c r="D284" s="79">
        <f t="shared" si="96"/>
        <v>0.31886340484202891</v>
      </c>
      <c r="E284" s="49">
        <v>46750</v>
      </c>
      <c r="F284" s="49">
        <v>46750</v>
      </c>
      <c r="G284" s="49">
        <v>5969782550</v>
      </c>
      <c r="H284" s="49">
        <f t="shared" si="97"/>
        <v>0.35752100530214298</v>
      </c>
      <c r="I284" s="49">
        <f t="shared" si="108"/>
        <v>0.35752100530214298</v>
      </c>
      <c r="J284" s="48">
        <v>0.15</v>
      </c>
      <c r="K284" s="48">
        <f t="shared" si="98"/>
        <v>0.12011549782591006</v>
      </c>
      <c r="L284" s="48">
        <v>204500</v>
      </c>
      <c r="M284" s="48">
        <v>202500</v>
      </c>
      <c r="N284" s="51">
        <v>125461438</v>
      </c>
      <c r="O284" s="48">
        <f t="shared" si="99"/>
        <v>1.4794516212022699</v>
      </c>
      <c r="P284" s="48">
        <f t="shared" si="109"/>
        <v>1.4794516212022699</v>
      </c>
      <c r="Q284" s="49">
        <v>0.15</v>
      </c>
      <c r="R284" s="49">
        <f t="shared" si="100"/>
        <v>0.14408546960698557</v>
      </c>
      <c r="S284" s="49">
        <v>281500</v>
      </c>
      <c r="T284" s="49">
        <v>277300</v>
      </c>
      <c r="U284" s="49">
        <v>15956260</v>
      </c>
      <c r="V284" s="49">
        <f t="shared" si="101"/>
        <v>10.190047851893301</v>
      </c>
      <c r="W284" s="49">
        <f t="shared" si="110"/>
        <v>10.190047851893301</v>
      </c>
      <c r="X284" s="48">
        <v>0.1</v>
      </c>
      <c r="Y284" s="76">
        <f t="shared" si="102"/>
        <v>9.7231361718298798E-2</v>
      </c>
      <c r="Z284" s="18">
        <v>11095</v>
      </c>
      <c r="AA284" s="18">
        <v>11095</v>
      </c>
      <c r="AB284" s="18">
        <v>68700000</v>
      </c>
      <c r="AC284" s="117">
        <f t="shared" si="103"/>
        <v>39.917132485160401</v>
      </c>
      <c r="AD284" s="48">
        <f t="shared" si="111"/>
        <v>39.917132485160401</v>
      </c>
      <c r="AE284" s="49">
        <v>0.3</v>
      </c>
      <c r="AF284" s="49">
        <f t="shared" si="104"/>
        <v>0.31970426600677665</v>
      </c>
      <c r="AG284" s="19">
        <v>22700</v>
      </c>
      <c r="AH284" s="19">
        <v>23800</v>
      </c>
      <c r="AI284" s="19">
        <v>7239332</v>
      </c>
      <c r="AJ284" s="119">
        <f t="shared" si="105"/>
        <v>580.64406493644697</v>
      </c>
      <c r="AK284" s="49">
        <f t="shared" si="112"/>
        <v>580.64406493644697</v>
      </c>
      <c r="AL284" s="82">
        <f t="shared" si="113"/>
        <v>0</v>
      </c>
      <c r="AM284" s="82">
        <f t="shared" si="114"/>
        <v>267324376589809.41</v>
      </c>
      <c r="AN284" s="81">
        <f t="shared" si="106"/>
        <v>312922658353287.31</v>
      </c>
      <c r="AO284" s="80">
        <f t="shared" si="92"/>
        <v>1170.572853643816</v>
      </c>
      <c r="AP284" s="52">
        <f t="shared" si="107"/>
        <v>1.1539230662129051E-2</v>
      </c>
      <c r="AQ284" s="48">
        <f t="shared" si="93"/>
        <v>0</v>
      </c>
      <c r="AR284" s="48">
        <f t="shared" si="94"/>
        <v>-9.7799511002444987E-3</v>
      </c>
      <c r="AS284" s="48">
        <f t="shared" si="95"/>
        <v>-1.4920071047957371E-2</v>
      </c>
      <c r="AT284" s="48" t="e">
        <f>(#REF!-#REF!)/#REF!</f>
        <v>#REF!</v>
      </c>
    </row>
    <row r="285" spans="1:46" x14ac:dyDescent="0.3">
      <c r="A285" s="48">
        <v>20190228</v>
      </c>
      <c r="B285" s="48" t="s">
        <v>88</v>
      </c>
      <c r="C285" s="79">
        <v>0.3</v>
      </c>
      <c r="D285" s="79">
        <f t="shared" si="96"/>
        <v>0.31361141011261867</v>
      </c>
      <c r="E285" s="49">
        <v>46750</v>
      </c>
      <c r="F285" s="49">
        <v>45100</v>
      </c>
      <c r="G285" s="49">
        <v>5969782550</v>
      </c>
      <c r="H285" s="49">
        <f t="shared" si="97"/>
        <v>0.35752100530214298</v>
      </c>
      <c r="I285" s="49">
        <f t="shared" si="108"/>
        <v>0.35387380738312102</v>
      </c>
      <c r="J285" s="48">
        <v>0.15</v>
      </c>
      <c r="K285" s="48">
        <f t="shared" si="98"/>
        <v>0.12366863854818411</v>
      </c>
      <c r="L285" s="48">
        <v>202500</v>
      </c>
      <c r="M285" s="48">
        <v>204500</v>
      </c>
      <c r="N285" s="51">
        <v>125461438</v>
      </c>
      <c r="O285" s="48">
        <f t="shared" si="99"/>
        <v>1.4794516212022699</v>
      </c>
      <c r="P285" s="48">
        <f t="shared" si="109"/>
        <v>1.4643592132203</v>
      </c>
      <c r="Q285" s="49">
        <v>0.15</v>
      </c>
      <c r="R285" s="49">
        <f t="shared" si="100"/>
        <v>0.14716170384811381</v>
      </c>
      <c r="S285" s="49">
        <v>277300</v>
      </c>
      <c r="T285" s="49">
        <v>277800</v>
      </c>
      <c r="U285" s="49">
        <v>15956260</v>
      </c>
      <c r="V285" s="49">
        <f t="shared" si="101"/>
        <v>10.190047851893301</v>
      </c>
      <c r="W285" s="49">
        <f t="shared" si="110"/>
        <v>10.086095578407299</v>
      </c>
      <c r="X285" s="48">
        <v>0.1</v>
      </c>
      <c r="Y285" s="76">
        <f t="shared" si="102"/>
        <v>9.7833013258403267E-2</v>
      </c>
      <c r="Z285" s="18">
        <v>11095</v>
      </c>
      <c r="AA285" s="18">
        <v>10950</v>
      </c>
      <c r="AB285" s="18">
        <v>57700000</v>
      </c>
      <c r="AC285" s="117">
        <f t="shared" si="103"/>
        <v>39.917132485160401</v>
      </c>
      <c r="AD285" s="48">
        <f t="shared" si="111"/>
        <v>47.0421448949607</v>
      </c>
      <c r="AE285" s="49">
        <v>0.3</v>
      </c>
      <c r="AF285" s="49">
        <f t="shared" si="104"/>
        <v>0.31772523423268012</v>
      </c>
      <c r="AG285" s="19">
        <v>23800</v>
      </c>
      <c r="AH285" s="19">
        <v>23200</v>
      </c>
      <c r="AI285" s="19">
        <v>7239332</v>
      </c>
      <c r="AJ285" s="119">
        <f t="shared" si="105"/>
        <v>580.64406493644697</v>
      </c>
      <c r="AK285" s="49">
        <f t="shared" si="112"/>
        <v>574.72070996171203</v>
      </c>
      <c r="AL285" s="82">
        <f t="shared" si="113"/>
        <v>1</v>
      </c>
      <c r="AM285" s="82">
        <f t="shared" si="114"/>
        <v>264597306304307.56</v>
      </c>
      <c r="AN285" s="81">
        <f t="shared" si="106"/>
        <v>303802691820459.25</v>
      </c>
      <c r="AO285" s="80">
        <f t="shared" si="92"/>
        <v>1148.1700099813656</v>
      </c>
      <c r="AP285" s="52">
        <f t="shared" si="107"/>
        <v>-1.9138359131354931E-2</v>
      </c>
      <c r="AQ285" s="48">
        <f t="shared" si="93"/>
        <v>-3.5294117647058823E-2</v>
      </c>
      <c r="AR285" s="48">
        <f t="shared" si="94"/>
        <v>9.876543209876543E-3</v>
      </c>
      <c r="AS285" s="48">
        <f t="shared" si="95"/>
        <v>1.8031013342949874E-3</v>
      </c>
      <c r="AT285" s="48" t="e">
        <f>(#REF!-#REF!)/#REF!</f>
        <v>#REF!</v>
      </c>
    </row>
    <row r="286" spans="1:46" x14ac:dyDescent="0.3">
      <c r="A286" s="48">
        <v>20190304</v>
      </c>
      <c r="B286" s="48" t="s">
        <v>88</v>
      </c>
      <c r="C286" s="79">
        <v>0.3</v>
      </c>
      <c r="D286" s="79">
        <f t="shared" si="96"/>
        <v>0.30777389120628607</v>
      </c>
      <c r="E286" s="49">
        <v>45100</v>
      </c>
      <c r="F286" s="49">
        <v>44850</v>
      </c>
      <c r="G286" s="49">
        <v>5969782550</v>
      </c>
      <c r="H286" s="49">
        <f t="shared" si="97"/>
        <v>0.35387380738312102</v>
      </c>
      <c r="I286" s="49">
        <f t="shared" si="108"/>
        <v>0.35387380738312102</v>
      </c>
      <c r="J286" s="48">
        <v>0.15</v>
      </c>
      <c r="K286" s="48">
        <f t="shared" si="98"/>
        <v>0.12383356706421048</v>
      </c>
      <c r="L286" s="48">
        <v>204500</v>
      </c>
      <c r="M286" s="48">
        <v>207500</v>
      </c>
      <c r="N286" s="51">
        <v>125461438</v>
      </c>
      <c r="O286" s="48">
        <f t="shared" si="99"/>
        <v>1.4643592132203</v>
      </c>
      <c r="P286" s="48">
        <f t="shared" si="109"/>
        <v>1.4643592132203</v>
      </c>
      <c r="Q286" s="49">
        <v>0.15</v>
      </c>
      <c r="R286" s="49">
        <f t="shared" si="100"/>
        <v>0.15202358959786841</v>
      </c>
      <c r="S286" s="49">
        <v>277800</v>
      </c>
      <c r="T286" s="49">
        <v>290800</v>
      </c>
      <c r="U286" s="49">
        <v>15956260</v>
      </c>
      <c r="V286" s="49">
        <f t="shared" si="101"/>
        <v>10.086095578407299</v>
      </c>
      <c r="W286" s="49">
        <f t="shared" si="110"/>
        <v>10.086095578407299</v>
      </c>
      <c r="X286" s="48">
        <v>0.1</v>
      </c>
      <c r="Y286" s="76">
        <f t="shared" si="102"/>
        <v>9.6062206972629349E-2</v>
      </c>
      <c r="Z286" s="18">
        <v>10950</v>
      </c>
      <c r="AA286" s="18">
        <v>10895</v>
      </c>
      <c r="AB286" s="18">
        <v>57700000</v>
      </c>
      <c r="AC286" s="117">
        <f t="shared" si="103"/>
        <v>47.0421448949607</v>
      </c>
      <c r="AD286" s="48">
        <f t="shared" si="111"/>
        <v>47.0421448949607</v>
      </c>
      <c r="AE286" s="49">
        <v>0.3</v>
      </c>
      <c r="AF286" s="49">
        <f t="shared" si="104"/>
        <v>0.32030674515900565</v>
      </c>
      <c r="AG286" s="19">
        <v>23200</v>
      </c>
      <c r="AH286" s="19">
        <v>23700</v>
      </c>
      <c r="AI286" s="19">
        <v>7239332</v>
      </c>
      <c r="AJ286" s="119">
        <f t="shared" si="105"/>
        <v>574.72070996171203</v>
      </c>
      <c r="AK286" s="49">
        <f t="shared" si="112"/>
        <v>574.72070996171203</v>
      </c>
      <c r="AL286" s="82">
        <f t="shared" si="113"/>
        <v>0</v>
      </c>
      <c r="AM286" s="82">
        <f t="shared" si="114"/>
        <v>264597306304307.56</v>
      </c>
      <c r="AN286" s="81">
        <f t="shared" si="106"/>
        <v>307848897729483.37</v>
      </c>
      <c r="AO286" s="80">
        <f t="shared" si="92"/>
        <v>1163.4619491380352</v>
      </c>
      <c r="AP286" s="52">
        <f t="shared" si="107"/>
        <v>1.3318532119574953E-2</v>
      </c>
      <c r="AQ286" s="48">
        <f t="shared" si="93"/>
        <v>-5.5432372505543242E-3</v>
      </c>
      <c r="AR286" s="48">
        <f t="shared" si="94"/>
        <v>1.4669926650366748E-2</v>
      </c>
      <c r="AS286" s="48">
        <f t="shared" si="95"/>
        <v>4.679625629949604E-2</v>
      </c>
      <c r="AT286" s="48" t="e">
        <f>(#REF!-#REF!)/#REF!</f>
        <v>#REF!</v>
      </c>
    </row>
    <row r="287" spans="1:46" x14ac:dyDescent="0.3">
      <c r="A287" s="48">
        <v>20190305</v>
      </c>
      <c r="B287" s="48" t="s">
        <v>88</v>
      </c>
      <c r="C287" s="79">
        <v>0.3</v>
      </c>
      <c r="D287" s="79">
        <f t="shared" si="96"/>
        <v>0.30478711167518929</v>
      </c>
      <c r="E287" s="49">
        <v>44850</v>
      </c>
      <c r="F287" s="49">
        <v>44250</v>
      </c>
      <c r="G287" s="49">
        <v>5969782550</v>
      </c>
      <c r="H287" s="49">
        <f t="shared" si="97"/>
        <v>0.35387380738312102</v>
      </c>
      <c r="I287" s="49">
        <f t="shared" si="108"/>
        <v>0.35387380738312102</v>
      </c>
      <c r="J287" s="48">
        <v>0.15</v>
      </c>
      <c r="K287" s="48">
        <f t="shared" si="98"/>
        <v>0.12579215928822515</v>
      </c>
      <c r="L287" s="48">
        <v>207500</v>
      </c>
      <c r="M287" s="48">
        <v>210000</v>
      </c>
      <c r="N287" s="51">
        <v>125461438</v>
      </c>
      <c r="O287" s="48">
        <f t="shared" si="99"/>
        <v>1.4643592132203</v>
      </c>
      <c r="P287" s="48">
        <f t="shared" si="109"/>
        <v>1.4643592132203</v>
      </c>
      <c r="Q287" s="49">
        <v>0.15</v>
      </c>
      <c r="R287" s="49">
        <f t="shared" si="100"/>
        <v>0.15636762507697441</v>
      </c>
      <c r="S287" s="49">
        <v>290800</v>
      </c>
      <c r="T287" s="49">
        <v>298000</v>
      </c>
      <c r="U287" s="49">
        <v>15956260</v>
      </c>
      <c r="V287" s="49">
        <f t="shared" si="101"/>
        <v>10.086095578407299</v>
      </c>
      <c r="W287" s="49">
        <f t="shared" si="110"/>
        <v>10.086095578407299</v>
      </c>
      <c r="X287" s="48">
        <v>0.1</v>
      </c>
      <c r="Y287" s="76">
        <f t="shared" si="102"/>
        <v>9.5623380303172634E-2</v>
      </c>
      <c r="Z287" s="18">
        <v>10895</v>
      </c>
      <c r="AA287" s="18">
        <v>10805</v>
      </c>
      <c r="AB287" s="18">
        <v>57700000</v>
      </c>
      <c r="AC287" s="117">
        <f t="shared" si="103"/>
        <v>47.0421448949607</v>
      </c>
      <c r="AD287" s="48">
        <f t="shared" si="111"/>
        <v>47.0421448949607</v>
      </c>
      <c r="AE287" s="49">
        <v>0.3</v>
      </c>
      <c r="AF287" s="49">
        <f t="shared" si="104"/>
        <v>0.31742972365643851</v>
      </c>
      <c r="AG287" s="19">
        <v>23700</v>
      </c>
      <c r="AH287" s="19">
        <v>23400</v>
      </c>
      <c r="AI287" s="19">
        <v>7239332</v>
      </c>
      <c r="AJ287" s="119">
        <f t="shared" si="105"/>
        <v>574.72070996171203</v>
      </c>
      <c r="AK287" s="49">
        <f t="shared" si="112"/>
        <v>574.72070996171203</v>
      </c>
      <c r="AL287" s="82">
        <f t="shared" si="113"/>
        <v>0</v>
      </c>
      <c r="AM287" s="82">
        <f t="shared" si="114"/>
        <v>264597306304307.56</v>
      </c>
      <c r="AN287" s="81">
        <f t="shared" si="106"/>
        <v>306706943203228.69</v>
      </c>
      <c r="AO287" s="80">
        <f t="shared" si="92"/>
        <v>1159.1461284586615</v>
      </c>
      <c r="AP287" s="52">
        <f t="shared" si="107"/>
        <v>-3.7094643985315797E-3</v>
      </c>
      <c r="AQ287" s="48">
        <f t="shared" si="93"/>
        <v>-1.3377926421404682E-2</v>
      </c>
      <c r="AR287" s="48">
        <f t="shared" si="94"/>
        <v>1.2048192771084338E-2</v>
      </c>
      <c r="AS287" s="48">
        <f t="shared" si="95"/>
        <v>2.4759284731774415E-2</v>
      </c>
      <c r="AT287" s="48" t="e">
        <f>(#REF!-#REF!)/#REF!</f>
        <v>#REF!</v>
      </c>
    </row>
    <row r="288" spans="1:46" x14ac:dyDescent="0.3">
      <c r="A288" s="48">
        <v>20190306</v>
      </c>
      <c r="B288" s="48" t="s">
        <v>88</v>
      </c>
      <c r="C288" s="79">
        <v>0.3</v>
      </c>
      <c r="D288" s="79">
        <f t="shared" si="96"/>
        <v>0.30271430884243833</v>
      </c>
      <c r="E288" s="49">
        <v>44250</v>
      </c>
      <c r="F288" s="49">
        <v>44000</v>
      </c>
      <c r="G288" s="49">
        <v>5969782550</v>
      </c>
      <c r="H288" s="49">
        <f t="shared" si="97"/>
        <v>0.35387380738312102</v>
      </c>
      <c r="I288" s="49">
        <f t="shared" si="108"/>
        <v>0.35387380738312102</v>
      </c>
      <c r="J288" s="48">
        <v>0.15</v>
      </c>
      <c r="K288" s="48">
        <f t="shared" si="98"/>
        <v>0.12624485350943301</v>
      </c>
      <c r="L288" s="48">
        <v>210000</v>
      </c>
      <c r="M288" s="48">
        <v>211000</v>
      </c>
      <c r="N288" s="51">
        <v>125461438</v>
      </c>
      <c r="O288" s="48">
        <f t="shared" si="99"/>
        <v>1.4643592132203</v>
      </c>
      <c r="P288" s="48">
        <f t="shared" si="109"/>
        <v>1.4643592132203</v>
      </c>
      <c r="Q288" s="49">
        <v>0.15</v>
      </c>
      <c r="R288" s="49">
        <f t="shared" si="100"/>
        <v>0.15597696048029</v>
      </c>
      <c r="S288" s="49">
        <v>298000</v>
      </c>
      <c r="T288" s="49">
        <v>297600</v>
      </c>
      <c r="U288" s="49">
        <v>15956260</v>
      </c>
      <c r="V288" s="49">
        <f t="shared" si="101"/>
        <v>10.086095578407299</v>
      </c>
      <c r="W288" s="49">
        <f t="shared" si="110"/>
        <v>10.086095578407299</v>
      </c>
      <c r="X288" s="48">
        <v>0.1</v>
      </c>
      <c r="Y288" s="76">
        <f t="shared" si="102"/>
        <v>9.5291690547462962E-2</v>
      </c>
      <c r="Z288" s="18">
        <v>10805</v>
      </c>
      <c r="AA288" s="18">
        <v>10780</v>
      </c>
      <c r="AB288" s="18">
        <v>57700000</v>
      </c>
      <c r="AC288" s="117">
        <f t="shared" si="103"/>
        <v>47.0421448949607</v>
      </c>
      <c r="AD288" s="48">
        <f t="shared" si="111"/>
        <v>47.0421448949607</v>
      </c>
      <c r="AE288" s="49">
        <v>0.3</v>
      </c>
      <c r="AF288" s="49">
        <f t="shared" si="104"/>
        <v>0.31977218662037565</v>
      </c>
      <c r="AG288" s="19">
        <v>23400</v>
      </c>
      <c r="AH288" s="19">
        <v>23600</v>
      </c>
      <c r="AI288" s="19">
        <v>7239332</v>
      </c>
      <c r="AJ288" s="119">
        <f t="shared" si="105"/>
        <v>574.72070996171203</v>
      </c>
      <c r="AK288" s="49">
        <f t="shared" si="112"/>
        <v>574.72070996171203</v>
      </c>
      <c r="AL288" s="82">
        <f t="shared" si="113"/>
        <v>0</v>
      </c>
      <c r="AM288" s="82">
        <f t="shared" si="114"/>
        <v>264597306304307.56</v>
      </c>
      <c r="AN288" s="81">
        <f t="shared" si="106"/>
        <v>307062412361766.56</v>
      </c>
      <c r="AO288" s="80">
        <f t="shared" si="92"/>
        <v>1160.489562991321</v>
      </c>
      <c r="AP288" s="52">
        <f t="shared" si="107"/>
        <v>1.1589863432024295E-3</v>
      </c>
      <c r="AQ288" s="48">
        <f t="shared" si="93"/>
        <v>-5.6497175141242938E-3</v>
      </c>
      <c r="AR288" s="48">
        <f t="shared" si="94"/>
        <v>4.7619047619047623E-3</v>
      </c>
      <c r="AS288" s="48">
        <f t="shared" si="95"/>
        <v>-1.3422818791946308E-3</v>
      </c>
      <c r="AT288" s="48" t="e">
        <f>(#REF!-#REF!)/#REF!</f>
        <v>#REF!</v>
      </c>
    </row>
    <row r="289" spans="1:46" x14ac:dyDescent="0.3">
      <c r="A289" s="48">
        <v>20190307</v>
      </c>
      <c r="B289" s="48" t="s">
        <v>88</v>
      </c>
      <c r="C289" s="79">
        <v>0.3</v>
      </c>
      <c r="D289" s="79">
        <f t="shared" si="96"/>
        <v>0.31001206940280951</v>
      </c>
      <c r="E289" s="49">
        <v>44000</v>
      </c>
      <c r="F289" s="49">
        <v>44450</v>
      </c>
      <c r="G289" s="49">
        <v>5969782550</v>
      </c>
      <c r="H289" s="49">
        <f t="shared" si="97"/>
        <v>0.35387380738312102</v>
      </c>
      <c r="I289" s="49">
        <f t="shared" si="108"/>
        <v>0.33974524267142803</v>
      </c>
      <c r="J289" s="48">
        <v>0.15</v>
      </c>
      <c r="K289" s="48">
        <f t="shared" si="98"/>
        <v>0.125553301236282</v>
      </c>
      <c r="L289" s="48">
        <v>211000</v>
      </c>
      <c r="M289" s="48">
        <v>207000</v>
      </c>
      <c r="N289" s="51">
        <v>125461438</v>
      </c>
      <c r="O289" s="48">
        <f t="shared" si="99"/>
        <v>1.4643592132203</v>
      </c>
      <c r="P289" s="48">
        <f t="shared" si="109"/>
        <v>1.4058940387047201</v>
      </c>
      <c r="Q289" s="49">
        <v>0.15</v>
      </c>
      <c r="R289" s="49">
        <f t="shared" si="100"/>
        <v>0.15089415925141147</v>
      </c>
      <c r="S289" s="49">
        <v>297600</v>
      </c>
      <c r="T289" s="49">
        <v>284000</v>
      </c>
      <c r="U289" s="49">
        <v>15956260</v>
      </c>
      <c r="V289" s="49">
        <f t="shared" si="101"/>
        <v>10.086095578407299</v>
      </c>
      <c r="W289" s="49">
        <f t="shared" si="110"/>
        <v>9.6834038530104998</v>
      </c>
      <c r="X289" s="48">
        <v>0.1</v>
      </c>
      <c r="Y289" s="76">
        <f t="shared" si="102"/>
        <v>9.6242548741998932E-2</v>
      </c>
      <c r="Z289" s="18">
        <v>10780</v>
      </c>
      <c r="AA289" s="18">
        <v>10740</v>
      </c>
      <c r="AB289" s="18">
        <v>68700000</v>
      </c>
      <c r="AC289" s="117">
        <f t="shared" si="103"/>
        <v>47.0421448949607</v>
      </c>
      <c r="AD289" s="48">
        <f t="shared" si="111"/>
        <v>37.932472950665797</v>
      </c>
      <c r="AE289" s="49">
        <v>0.3</v>
      </c>
      <c r="AF289" s="49">
        <f t="shared" si="104"/>
        <v>0.31729792136749807</v>
      </c>
      <c r="AG289" s="19">
        <v>23600</v>
      </c>
      <c r="AH289" s="19">
        <v>23100</v>
      </c>
      <c r="AI289" s="19">
        <v>7239332</v>
      </c>
      <c r="AJ289" s="119">
        <f t="shared" si="105"/>
        <v>574.72070996171203</v>
      </c>
      <c r="AK289" s="49">
        <f t="shared" si="112"/>
        <v>551.77473720975604</v>
      </c>
      <c r="AL289" s="82">
        <f t="shared" si="113"/>
        <v>1</v>
      </c>
      <c r="AM289" s="82">
        <f t="shared" si="114"/>
        <v>254033144485423.16</v>
      </c>
      <c r="AN289" s="81">
        <f t="shared" si="106"/>
        <v>290807136165958.19</v>
      </c>
      <c r="AO289" s="80">
        <f t="shared" si="92"/>
        <v>1144.7606049794231</v>
      </c>
      <c r="AP289" s="52">
        <f t="shared" si="107"/>
        <v>-1.3553726387124399E-2</v>
      </c>
      <c r="AQ289" s="48">
        <f t="shared" si="93"/>
        <v>1.0227272727272727E-2</v>
      </c>
      <c r="AR289" s="48">
        <f t="shared" si="94"/>
        <v>-1.8957345971563982E-2</v>
      </c>
      <c r="AS289" s="48">
        <f t="shared" si="95"/>
        <v>-4.5698924731182797E-2</v>
      </c>
      <c r="AT289" s="48" t="e">
        <f>(#REF!-#REF!)/#REF!</f>
        <v>#REF!</v>
      </c>
    </row>
    <row r="290" spans="1:46" x14ac:dyDescent="0.3">
      <c r="A290" s="48">
        <v>20190308</v>
      </c>
      <c r="B290" s="48" t="s">
        <v>88</v>
      </c>
      <c r="C290" s="79">
        <v>0.3</v>
      </c>
      <c r="D290" s="79">
        <f t="shared" si="96"/>
        <v>0.30918666963359676</v>
      </c>
      <c r="E290" s="49">
        <v>44450</v>
      </c>
      <c r="F290" s="49">
        <v>43800</v>
      </c>
      <c r="G290" s="49">
        <v>5969782550</v>
      </c>
      <c r="H290" s="49">
        <f t="shared" si="97"/>
        <v>0.33974524267142803</v>
      </c>
      <c r="I290" s="49">
        <f t="shared" si="108"/>
        <v>0.33974524267142803</v>
      </c>
      <c r="J290" s="48">
        <v>0.15</v>
      </c>
      <c r="K290" s="48">
        <f t="shared" si="98"/>
        <v>0.12646339170144991</v>
      </c>
      <c r="L290" s="48">
        <v>207000</v>
      </c>
      <c r="M290" s="48">
        <v>206000</v>
      </c>
      <c r="N290" s="51">
        <v>125461438</v>
      </c>
      <c r="O290" s="48">
        <f t="shared" si="99"/>
        <v>1.4058940387047201</v>
      </c>
      <c r="P290" s="48">
        <f t="shared" si="109"/>
        <v>1.4058940387047201</v>
      </c>
      <c r="Q290" s="49">
        <v>0.15</v>
      </c>
      <c r="R290" s="49">
        <f t="shared" si="100"/>
        <v>0.151381325204127</v>
      </c>
      <c r="S290" s="49">
        <v>284000</v>
      </c>
      <c r="T290" s="49">
        <v>281500</v>
      </c>
      <c r="U290" s="49">
        <v>15956260</v>
      </c>
      <c r="V290" s="49">
        <f t="shared" si="101"/>
        <v>9.6834038530104998</v>
      </c>
      <c r="W290" s="49">
        <f t="shared" si="110"/>
        <v>9.6834038530104998</v>
      </c>
      <c r="X290" s="48">
        <v>0.1</v>
      </c>
      <c r="Y290" s="76">
        <f t="shared" si="102"/>
        <v>9.668516729428081E-2</v>
      </c>
      <c r="Z290" s="18">
        <v>10740</v>
      </c>
      <c r="AA290" s="18">
        <v>10660</v>
      </c>
      <c r="AB290" s="18">
        <v>68700000</v>
      </c>
      <c r="AC290" s="117">
        <f t="shared" si="103"/>
        <v>37.932472950665797</v>
      </c>
      <c r="AD290" s="48">
        <f t="shared" si="111"/>
        <v>37.932472950665797</v>
      </c>
      <c r="AE290" s="49">
        <v>0.3</v>
      </c>
      <c r="AF290" s="49">
        <f t="shared" si="104"/>
        <v>0.31628344616654547</v>
      </c>
      <c r="AG290" s="19">
        <v>23100</v>
      </c>
      <c r="AH290" s="19">
        <v>22750</v>
      </c>
      <c r="AI290" s="19">
        <v>7239332</v>
      </c>
      <c r="AJ290" s="119">
        <f t="shared" si="105"/>
        <v>551.77473720975604</v>
      </c>
      <c r="AK290" s="49">
        <f t="shared" si="112"/>
        <v>551.77473720975604</v>
      </c>
      <c r="AL290" s="82">
        <f t="shared" si="113"/>
        <v>0</v>
      </c>
      <c r="AM290" s="82">
        <f t="shared" si="114"/>
        <v>254033144485423.16</v>
      </c>
      <c r="AN290" s="81">
        <f t="shared" si="106"/>
        <v>287319594960040.25</v>
      </c>
      <c r="AO290" s="80">
        <f t="shared" si="92"/>
        <v>1131.0319192483448</v>
      </c>
      <c r="AP290" s="52">
        <f t="shared" si="107"/>
        <v>-1.1992625944116089E-2</v>
      </c>
      <c r="AQ290" s="48">
        <f t="shared" si="93"/>
        <v>-1.4623172103487065E-2</v>
      </c>
      <c r="AR290" s="48">
        <f t="shared" si="94"/>
        <v>-4.830917874396135E-3</v>
      </c>
      <c r="AS290" s="48">
        <f t="shared" si="95"/>
        <v>-8.8028169014084511E-3</v>
      </c>
      <c r="AT290" s="48" t="e">
        <f>(#REF!-#REF!)/#REF!</f>
        <v>#REF!</v>
      </c>
    </row>
    <row r="291" spans="1:46" x14ac:dyDescent="0.3">
      <c r="A291" s="48">
        <v>20190311</v>
      </c>
      <c r="B291" s="48" t="s">
        <v>88</v>
      </c>
      <c r="C291" s="79">
        <v>0.3</v>
      </c>
      <c r="D291" s="79">
        <f t="shared" si="96"/>
        <v>0.29917550092571932</v>
      </c>
      <c r="E291" s="49">
        <v>43800</v>
      </c>
      <c r="F291" s="49">
        <v>43650</v>
      </c>
      <c r="G291" s="49">
        <v>5969782550</v>
      </c>
      <c r="H291" s="49">
        <f t="shared" si="97"/>
        <v>0.33974524267142803</v>
      </c>
      <c r="I291" s="49">
        <f t="shared" si="108"/>
        <v>0.34599723907846203</v>
      </c>
      <c r="J291" s="48">
        <v>0.15</v>
      </c>
      <c r="K291" s="48">
        <f t="shared" si="98"/>
        <v>0.12219307497556854</v>
      </c>
      <c r="L291" s="48">
        <v>206000</v>
      </c>
      <c r="M291" s="48">
        <v>205000</v>
      </c>
      <c r="N291" s="51">
        <v>125461438</v>
      </c>
      <c r="O291" s="48">
        <f t="shared" si="99"/>
        <v>1.4058940387047201</v>
      </c>
      <c r="P291" s="48">
        <f t="shared" si="109"/>
        <v>1.4317653192252</v>
      </c>
      <c r="Q291" s="49">
        <v>0.15</v>
      </c>
      <c r="R291" s="49">
        <f t="shared" si="100"/>
        <v>0.15042924986273676</v>
      </c>
      <c r="S291" s="49">
        <v>281500</v>
      </c>
      <c r="T291" s="49">
        <v>288100</v>
      </c>
      <c r="U291" s="49">
        <v>15956260</v>
      </c>
      <c r="V291" s="49">
        <f t="shared" si="101"/>
        <v>9.6834038530104998</v>
      </c>
      <c r="W291" s="49">
        <f t="shared" si="110"/>
        <v>9.8615979775870297</v>
      </c>
      <c r="X291" s="48">
        <v>0.1</v>
      </c>
      <c r="Y291" s="76">
        <f t="shared" si="102"/>
        <v>9.3435768121562623E-2</v>
      </c>
      <c r="Z291" s="18">
        <v>10660</v>
      </c>
      <c r="AA291" s="18">
        <v>10610</v>
      </c>
      <c r="AB291" s="18">
        <v>59000000</v>
      </c>
      <c r="AC291" s="117">
        <f t="shared" si="103"/>
        <v>37.932472950665797</v>
      </c>
      <c r="AD291" s="48">
        <f t="shared" si="111"/>
        <v>44.981624037011798</v>
      </c>
      <c r="AE291" s="49">
        <v>0.3</v>
      </c>
      <c r="AF291" s="49">
        <f t="shared" si="104"/>
        <v>0.33476640611441288</v>
      </c>
      <c r="AG291" s="19">
        <v>22750</v>
      </c>
      <c r="AH291" s="19">
        <v>24800</v>
      </c>
      <c r="AI291" s="19">
        <v>7239332</v>
      </c>
      <c r="AJ291" s="119">
        <f t="shared" si="105"/>
        <v>551.77473720975604</v>
      </c>
      <c r="AK291" s="49">
        <f t="shared" si="112"/>
        <v>561.92850315332703</v>
      </c>
      <c r="AL291" s="82">
        <f t="shared" si="113"/>
        <v>1</v>
      </c>
      <c r="AM291" s="82">
        <f t="shared" si="114"/>
        <v>258707865738624.91</v>
      </c>
      <c r="AN291" s="81">
        <f t="shared" si="106"/>
        <v>301362608742024.62</v>
      </c>
      <c r="AO291" s="80">
        <f t="shared" si="92"/>
        <v>1164.8760963707775</v>
      </c>
      <c r="AP291" s="52">
        <f t="shared" si="107"/>
        <v>2.9923273204282948E-2</v>
      </c>
      <c r="AQ291" s="48">
        <f t="shared" si="93"/>
        <v>-3.4246575342465752E-3</v>
      </c>
      <c r="AR291" s="48">
        <f t="shared" si="94"/>
        <v>-4.8543689320388345E-3</v>
      </c>
      <c r="AS291" s="48">
        <f t="shared" si="95"/>
        <v>2.3445825932504442E-2</v>
      </c>
      <c r="AT291" s="48" t="e">
        <f>(#REF!-#REF!)/#REF!</f>
        <v>#REF!</v>
      </c>
    </row>
    <row r="292" spans="1:46" x14ac:dyDescent="0.3">
      <c r="A292" s="48">
        <v>20190312</v>
      </c>
      <c r="B292" s="48" t="s">
        <v>88</v>
      </c>
      <c r="C292" s="79">
        <v>0.3</v>
      </c>
      <c r="D292" s="79">
        <f t="shared" si="96"/>
        <v>0.30024304252798251</v>
      </c>
      <c r="E292" s="49">
        <v>43650</v>
      </c>
      <c r="F292" s="49">
        <v>44650</v>
      </c>
      <c r="G292" s="49">
        <v>5969782550</v>
      </c>
      <c r="H292" s="49">
        <f t="shared" si="97"/>
        <v>0.34599723907846203</v>
      </c>
      <c r="I292" s="49">
        <f t="shared" si="108"/>
        <v>0.34599723907846203</v>
      </c>
      <c r="J292" s="48">
        <v>0.15</v>
      </c>
      <c r="K292" s="48">
        <f t="shared" si="98"/>
        <v>0.12222181516056588</v>
      </c>
      <c r="L292" s="48">
        <v>205000</v>
      </c>
      <c r="M292" s="48">
        <v>209000</v>
      </c>
      <c r="N292" s="51">
        <v>125461438</v>
      </c>
      <c r="O292" s="48">
        <f t="shared" si="99"/>
        <v>1.4317653192252</v>
      </c>
      <c r="P292" s="48">
        <f t="shared" si="109"/>
        <v>1.4317653192252</v>
      </c>
      <c r="Q292" s="49">
        <v>0.15</v>
      </c>
      <c r="R292" s="49">
        <f t="shared" si="100"/>
        <v>0.15444934055641182</v>
      </c>
      <c r="S292" s="49">
        <v>288100</v>
      </c>
      <c r="T292" s="49">
        <v>301500</v>
      </c>
      <c r="U292" s="49">
        <v>15956260</v>
      </c>
      <c r="V292" s="49">
        <f t="shared" si="101"/>
        <v>9.8615979775870297</v>
      </c>
      <c r="W292" s="49">
        <f t="shared" si="110"/>
        <v>9.8615979775870297</v>
      </c>
      <c r="X292" s="48">
        <v>0.1</v>
      </c>
      <c r="Y292" s="76">
        <f t="shared" si="102"/>
        <v>9.2662665221204227E-2</v>
      </c>
      <c r="Z292" s="18">
        <v>10610</v>
      </c>
      <c r="AA292" s="18">
        <v>10725</v>
      </c>
      <c r="AB292" s="18">
        <v>59000000</v>
      </c>
      <c r="AC292" s="117">
        <f t="shared" si="103"/>
        <v>44.981624037011798</v>
      </c>
      <c r="AD292" s="48">
        <f t="shared" si="111"/>
        <v>44.981624037011798</v>
      </c>
      <c r="AE292" s="49">
        <v>0.3</v>
      </c>
      <c r="AF292" s="49">
        <f t="shared" si="104"/>
        <v>0.33042313653383548</v>
      </c>
      <c r="AG292" s="19">
        <v>24800</v>
      </c>
      <c r="AH292" s="19">
        <v>24950</v>
      </c>
      <c r="AI292" s="19">
        <v>7239332</v>
      </c>
      <c r="AJ292" s="119">
        <f t="shared" si="105"/>
        <v>561.92850315332703</v>
      </c>
      <c r="AK292" s="49">
        <f t="shared" si="112"/>
        <v>561.92850315332703</v>
      </c>
      <c r="AL292" s="82">
        <f t="shared" si="113"/>
        <v>0</v>
      </c>
      <c r="AM292" s="82">
        <f t="shared" si="114"/>
        <v>258707865738624.91</v>
      </c>
      <c r="AN292" s="81">
        <f t="shared" si="106"/>
        <v>307170607299851.62</v>
      </c>
      <c r="AO292" s="80">
        <f t="shared" si="92"/>
        <v>1187.3261233200735</v>
      </c>
      <c r="AP292" s="52">
        <f t="shared" si="107"/>
        <v>1.9272459121824227E-2</v>
      </c>
      <c r="AQ292" s="48">
        <f t="shared" si="93"/>
        <v>2.2909507445589918E-2</v>
      </c>
      <c r="AR292" s="48">
        <f t="shared" si="94"/>
        <v>1.9512195121951219E-2</v>
      </c>
      <c r="AS292" s="48">
        <f t="shared" si="95"/>
        <v>4.6511627906976744E-2</v>
      </c>
      <c r="AT292" s="48" t="e">
        <f>(#REF!-#REF!)/#REF!</f>
        <v>#REF!</v>
      </c>
    </row>
    <row r="293" spans="1:46" x14ac:dyDescent="0.3">
      <c r="A293" s="48">
        <v>20190313</v>
      </c>
      <c r="B293" s="48" t="s">
        <v>88</v>
      </c>
      <c r="C293" s="79">
        <v>0.3</v>
      </c>
      <c r="D293" s="79">
        <f t="shared" si="96"/>
        <v>0.29358254470446571</v>
      </c>
      <c r="E293" s="49">
        <v>44650</v>
      </c>
      <c r="F293" s="49">
        <v>43850</v>
      </c>
      <c r="G293" s="49">
        <v>5969782550</v>
      </c>
      <c r="H293" s="49">
        <f t="shared" si="97"/>
        <v>0.34599723907846203</v>
      </c>
      <c r="I293" s="49">
        <f t="shared" si="108"/>
        <v>0.34599723907846203</v>
      </c>
      <c r="J293" s="48">
        <v>0.15</v>
      </c>
      <c r="K293" s="48">
        <f t="shared" si="98"/>
        <v>0.1208174563239352</v>
      </c>
      <c r="L293" s="48">
        <v>209000</v>
      </c>
      <c r="M293" s="48">
        <v>207500</v>
      </c>
      <c r="N293" s="51">
        <v>125461438</v>
      </c>
      <c r="O293" s="48">
        <f t="shared" si="99"/>
        <v>1.4317653192252</v>
      </c>
      <c r="P293" s="48">
        <f t="shared" si="109"/>
        <v>1.4317653192252</v>
      </c>
      <c r="Q293" s="49">
        <v>0.15</v>
      </c>
      <c r="R293" s="49">
        <f t="shared" si="100"/>
        <v>0.15923582572458148</v>
      </c>
      <c r="S293" s="49">
        <v>301500</v>
      </c>
      <c r="T293" s="49">
        <v>312200</v>
      </c>
      <c r="U293" s="49">
        <v>15956260</v>
      </c>
      <c r="V293" s="49">
        <f t="shared" si="101"/>
        <v>9.8615979775870297</v>
      </c>
      <c r="W293" s="49">
        <f t="shared" si="110"/>
        <v>9.8615979775870297</v>
      </c>
      <c r="X293" s="48">
        <v>0.1</v>
      </c>
      <c r="Y293" s="76">
        <f t="shared" si="102"/>
        <v>9.1442879809585653E-2</v>
      </c>
      <c r="Z293" s="18">
        <v>10725</v>
      </c>
      <c r="AA293" s="18">
        <v>10630</v>
      </c>
      <c r="AB293" s="18">
        <v>59000000</v>
      </c>
      <c r="AC293" s="117">
        <f t="shared" si="103"/>
        <v>44.981624037011798</v>
      </c>
      <c r="AD293" s="48">
        <f t="shared" si="111"/>
        <v>44.981624037011798</v>
      </c>
      <c r="AE293" s="49">
        <v>0.3</v>
      </c>
      <c r="AF293" s="49">
        <f t="shared" si="104"/>
        <v>0.33492129343743199</v>
      </c>
      <c r="AG293" s="19">
        <v>24950</v>
      </c>
      <c r="AH293" s="19">
        <v>25400</v>
      </c>
      <c r="AI293" s="19">
        <v>7239332</v>
      </c>
      <c r="AJ293" s="119">
        <f t="shared" si="105"/>
        <v>561.92850315332703</v>
      </c>
      <c r="AK293" s="49">
        <f t="shared" si="112"/>
        <v>561.92850315332703</v>
      </c>
      <c r="AL293" s="82">
        <f t="shared" si="113"/>
        <v>0</v>
      </c>
      <c r="AM293" s="82">
        <f t="shared" si="114"/>
        <v>258707865738624.91</v>
      </c>
      <c r="AN293" s="81">
        <f t="shared" si="106"/>
        <v>308510899985188.44</v>
      </c>
      <c r="AO293" s="80">
        <f t="shared" si="92"/>
        <v>1192.5068420489388</v>
      </c>
      <c r="AP293" s="52">
        <f t="shared" si="107"/>
        <v>4.3633494009031127E-3</v>
      </c>
      <c r="AQ293" s="48">
        <f t="shared" si="93"/>
        <v>-1.7917133258678612E-2</v>
      </c>
      <c r="AR293" s="48">
        <f t="shared" si="94"/>
        <v>-7.1770334928229667E-3</v>
      </c>
      <c r="AS293" s="48">
        <f t="shared" si="95"/>
        <v>3.5489220563847429E-2</v>
      </c>
      <c r="AT293" s="48" t="e">
        <f>(#REF!-#REF!)/#REF!</f>
        <v>#REF!</v>
      </c>
    </row>
    <row r="294" spans="1:46" x14ac:dyDescent="0.3">
      <c r="A294" s="48">
        <v>20190314</v>
      </c>
      <c r="B294" s="48" t="s">
        <v>88</v>
      </c>
      <c r="C294" s="79">
        <v>0.3</v>
      </c>
      <c r="D294" s="79">
        <f t="shared" si="96"/>
        <v>0.29624519438558994</v>
      </c>
      <c r="E294" s="49">
        <v>43850</v>
      </c>
      <c r="F294" s="49">
        <v>43850</v>
      </c>
      <c r="G294" s="49">
        <v>5969782550</v>
      </c>
      <c r="H294" s="49">
        <f t="shared" si="97"/>
        <v>0.34599723907846203</v>
      </c>
      <c r="I294" s="49">
        <f t="shared" si="108"/>
        <v>0.34599723907846203</v>
      </c>
      <c r="J294" s="48">
        <v>0.15</v>
      </c>
      <c r="K294" s="48">
        <f t="shared" si="98"/>
        <v>0.12103191106969845</v>
      </c>
      <c r="L294" s="48">
        <v>207500</v>
      </c>
      <c r="M294" s="48">
        <v>206000</v>
      </c>
      <c r="N294" s="51">
        <v>125461438</v>
      </c>
      <c r="O294" s="48">
        <f t="shared" si="99"/>
        <v>1.4317653192252</v>
      </c>
      <c r="P294" s="48">
        <f t="shared" si="109"/>
        <v>1.4317653192252</v>
      </c>
      <c r="Q294" s="49">
        <v>0.15</v>
      </c>
      <c r="R294" s="49">
        <f t="shared" si="100"/>
        <v>0.15790079782415131</v>
      </c>
      <c r="S294" s="49">
        <v>312200</v>
      </c>
      <c r="T294" s="49">
        <v>306800</v>
      </c>
      <c r="U294" s="49">
        <v>15956260</v>
      </c>
      <c r="V294" s="49">
        <f t="shared" si="101"/>
        <v>9.8615979775870297</v>
      </c>
      <c r="W294" s="49">
        <f t="shared" si="110"/>
        <v>9.8615979775870297</v>
      </c>
      <c r="X294" s="48">
        <v>0.1</v>
      </c>
      <c r="Y294" s="76">
        <f t="shared" si="102"/>
        <v>9.2185418282257764E-2</v>
      </c>
      <c r="Z294" s="18">
        <v>10630</v>
      </c>
      <c r="AA294" s="18">
        <v>10620</v>
      </c>
      <c r="AB294" s="18">
        <v>59000000</v>
      </c>
      <c r="AC294" s="117">
        <f t="shared" si="103"/>
        <v>44.981624037011798</v>
      </c>
      <c r="AD294" s="48">
        <f t="shared" si="111"/>
        <v>44.981624037011798</v>
      </c>
      <c r="AE294" s="49">
        <v>0.3</v>
      </c>
      <c r="AF294" s="49">
        <f t="shared" si="104"/>
        <v>0.33263667843830247</v>
      </c>
      <c r="AG294" s="19">
        <v>25400</v>
      </c>
      <c r="AH294" s="19">
        <v>25000</v>
      </c>
      <c r="AI294" s="19">
        <v>7239332</v>
      </c>
      <c r="AJ294" s="119">
        <f t="shared" si="105"/>
        <v>561.92850315332703</v>
      </c>
      <c r="AK294" s="49">
        <f t="shared" si="112"/>
        <v>561.92850315332703</v>
      </c>
      <c r="AL294" s="82">
        <f t="shared" si="113"/>
        <v>0</v>
      </c>
      <c r="AM294" s="82">
        <f t="shared" si="114"/>
        <v>258707865738624.91</v>
      </c>
      <c r="AN294" s="81">
        <f t="shared" si="106"/>
        <v>305738006230160.25</v>
      </c>
      <c r="AO294" s="80">
        <f t="shared" si="92"/>
        <v>1181.7885991106677</v>
      </c>
      <c r="AP294" s="52">
        <f t="shared" si="107"/>
        <v>-8.9879928234668956E-3</v>
      </c>
      <c r="AQ294" s="48">
        <f t="shared" si="93"/>
        <v>0</v>
      </c>
      <c r="AR294" s="48">
        <f t="shared" si="94"/>
        <v>-7.2289156626506026E-3</v>
      </c>
      <c r="AS294" s="48">
        <f t="shared" si="95"/>
        <v>-1.729660474055093E-2</v>
      </c>
      <c r="AT294" s="48" t="e">
        <f>(#REF!-#REF!)/#REF!</f>
        <v>#REF!</v>
      </c>
    </row>
    <row r="295" spans="1:46" x14ac:dyDescent="0.3">
      <c r="A295" s="48">
        <v>20190315</v>
      </c>
      <c r="B295" s="48" t="s">
        <v>88</v>
      </c>
      <c r="C295" s="79">
        <v>0.3</v>
      </c>
      <c r="D295" s="79">
        <f t="shared" si="96"/>
        <v>0.29088423584704448</v>
      </c>
      <c r="E295" s="49">
        <v>43850</v>
      </c>
      <c r="F295" s="49">
        <v>44200</v>
      </c>
      <c r="G295" s="49">
        <v>5969782550</v>
      </c>
      <c r="H295" s="49">
        <f t="shared" si="97"/>
        <v>0.34599723907846203</v>
      </c>
      <c r="I295" s="49">
        <f t="shared" si="108"/>
        <v>0.34599723907846203</v>
      </c>
      <c r="J295" s="48">
        <v>0.15</v>
      </c>
      <c r="K295" s="48">
        <f t="shared" si="98"/>
        <v>0.11618362119263609</v>
      </c>
      <c r="L295" s="48">
        <v>206000</v>
      </c>
      <c r="M295" s="48">
        <v>203000</v>
      </c>
      <c r="N295" s="51">
        <v>125461438</v>
      </c>
      <c r="O295" s="48">
        <f t="shared" si="99"/>
        <v>1.4317653192252</v>
      </c>
      <c r="P295" s="48">
        <f t="shared" si="109"/>
        <v>1.4317653192252</v>
      </c>
      <c r="Q295" s="49">
        <v>0.15</v>
      </c>
      <c r="R295" s="49">
        <f t="shared" si="100"/>
        <v>0.1531638885427837</v>
      </c>
      <c r="S295" s="49">
        <v>306800</v>
      </c>
      <c r="T295" s="49">
        <v>305500</v>
      </c>
      <c r="U295" s="49">
        <v>15956260</v>
      </c>
      <c r="V295" s="49">
        <f t="shared" si="101"/>
        <v>9.8615979775870297</v>
      </c>
      <c r="W295" s="49">
        <f t="shared" si="110"/>
        <v>9.8615979775870297</v>
      </c>
      <c r="X295" s="48">
        <v>0.1</v>
      </c>
      <c r="Y295" s="76">
        <f t="shared" si="102"/>
        <v>9.1111079600488587E-2</v>
      </c>
      <c r="Z295" s="18">
        <v>10620</v>
      </c>
      <c r="AA295" s="18">
        <v>10775</v>
      </c>
      <c r="AB295" s="18">
        <v>59000000</v>
      </c>
      <c r="AC295" s="117">
        <f t="shared" si="103"/>
        <v>44.981624037011798</v>
      </c>
      <c r="AD295" s="48">
        <f t="shared" si="111"/>
        <v>44.981624037011798</v>
      </c>
      <c r="AE295" s="49">
        <v>0.3</v>
      </c>
      <c r="AF295" s="49">
        <f t="shared" si="104"/>
        <v>0.34865717481704711</v>
      </c>
      <c r="AG295" s="19">
        <v>25000</v>
      </c>
      <c r="AH295" s="19">
        <v>26900</v>
      </c>
      <c r="AI295" s="19">
        <v>7239332</v>
      </c>
      <c r="AJ295" s="119">
        <f t="shared" si="105"/>
        <v>561.92850315332703</v>
      </c>
      <c r="AK295" s="49">
        <f t="shared" si="112"/>
        <v>561.92850315332703</v>
      </c>
      <c r="AL295" s="82">
        <f t="shared" si="113"/>
        <v>0</v>
      </c>
      <c r="AM295" s="82">
        <f t="shared" si="114"/>
        <v>258707865738624.91</v>
      </c>
      <c r="AN295" s="81">
        <f t="shared" si="106"/>
        <v>313858018874534.06</v>
      </c>
      <c r="AO295" s="80">
        <f t="shared" si="92"/>
        <v>1213.1754014453813</v>
      </c>
      <c r="AP295" s="52">
        <f t="shared" si="107"/>
        <v>2.6558728319373809E-2</v>
      </c>
      <c r="AQ295" s="48">
        <f t="shared" si="93"/>
        <v>7.98175598631699E-3</v>
      </c>
      <c r="AR295" s="48">
        <f t="shared" si="94"/>
        <v>-1.4563106796116505E-2</v>
      </c>
      <c r="AS295" s="48">
        <f t="shared" si="95"/>
        <v>-4.2372881355932203E-3</v>
      </c>
      <c r="AT295" s="48" t="e">
        <f>(#REF!-#REF!)/#REF!</f>
        <v>#REF!</v>
      </c>
    </row>
    <row r="296" spans="1:46" x14ac:dyDescent="0.3">
      <c r="A296" s="48">
        <v>20190318</v>
      </c>
      <c r="B296" s="48" t="s">
        <v>88</v>
      </c>
      <c r="C296" s="79">
        <v>0.3</v>
      </c>
      <c r="D296" s="79">
        <f t="shared" si="96"/>
        <v>0.28737465040836846</v>
      </c>
      <c r="E296" s="49">
        <v>44200</v>
      </c>
      <c r="F296" s="49">
        <v>43700</v>
      </c>
      <c r="G296" s="49">
        <v>5969782550</v>
      </c>
      <c r="H296" s="49">
        <f t="shared" si="97"/>
        <v>0.34599723907846203</v>
      </c>
      <c r="I296" s="49">
        <f t="shared" si="108"/>
        <v>0.34599723907846203</v>
      </c>
      <c r="J296" s="48">
        <v>0.15</v>
      </c>
      <c r="K296" s="48">
        <f t="shared" si="98"/>
        <v>0.11495133793389911</v>
      </c>
      <c r="L296" s="48">
        <v>203000</v>
      </c>
      <c r="M296" s="48">
        <v>201000</v>
      </c>
      <c r="N296" s="51">
        <v>125461438</v>
      </c>
      <c r="O296" s="48">
        <f t="shared" si="99"/>
        <v>1.4317653192252</v>
      </c>
      <c r="P296" s="48">
        <f t="shared" si="109"/>
        <v>1.4317653192252</v>
      </c>
      <c r="Q296" s="49">
        <v>0.15</v>
      </c>
      <c r="R296" s="49">
        <f t="shared" si="100"/>
        <v>0.14999129947650827</v>
      </c>
      <c r="S296" s="49">
        <v>305500</v>
      </c>
      <c r="T296" s="49">
        <v>299400</v>
      </c>
      <c r="U296" s="49">
        <v>15956260</v>
      </c>
      <c r="V296" s="49">
        <f t="shared" si="101"/>
        <v>9.8615979775870297</v>
      </c>
      <c r="W296" s="49">
        <f t="shared" si="110"/>
        <v>9.8615979775870297</v>
      </c>
      <c r="X296" s="48">
        <v>0.1</v>
      </c>
      <c r="Y296" s="76">
        <f t="shared" si="102"/>
        <v>9.0872699842123261E-2</v>
      </c>
      <c r="Z296" s="18">
        <v>10775</v>
      </c>
      <c r="AA296" s="18">
        <v>10755</v>
      </c>
      <c r="AB296" s="18">
        <v>59000000</v>
      </c>
      <c r="AC296" s="117">
        <f t="shared" si="103"/>
        <v>44.981624037011798</v>
      </c>
      <c r="AD296" s="48">
        <f t="shared" si="111"/>
        <v>44.981624037011798</v>
      </c>
      <c r="AE296" s="49">
        <v>0.3</v>
      </c>
      <c r="AF296" s="49">
        <f t="shared" si="104"/>
        <v>0.35681001233910081</v>
      </c>
      <c r="AG296" s="19">
        <v>26900</v>
      </c>
      <c r="AH296" s="19">
        <v>27550</v>
      </c>
      <c r="AI296" s="19">
        <v>7239332</v>
      </c>
      <c r="AJ296" s="119">
        <f t="shared" si="105"/>
        <v>561.92850315332703</v>
      </c>
      <c r="AK296" s="49">
        <f t="shared" si="112"/>
        <v>561.92850315332703</v>
      </c>
      <c r="AL296" s="82">
        <f t="shared" si="113"/>
        <v>0</v>
      </c>
      <c r="AM296" s="82">
        <f t="shared" si="114"/>
        <v>258707865738624.91</v>
      </c>
      <c r="AN296" s="81">
        <f t="shared" si="106"/>
        <v>314097244542687.75</v>
      </c>
      <c r="AO296" s="80">
        <f t="shared" si="92"/>
        <v>1214.1000956655228</v>
      </c>
      <c r="AP296" s="52">
        <f t="shared" si="107"/>
        <v>7.6220983300496754E-4</v>
      </c>
      <c r="AQ296" s="48">
        <f t="shared" si="93"/>
        <v>-1.1312217194570135E-2</v>
      </c>
      <c r="AR296" s="48">
        <f t="shared" si="94"/>
        <v>-9.852216748768473E-3</v>
      </c>
      <c r="AS296" s="48">
        <f t="shared" si="95"/>
        <v>-1.9967266775777415E-2</v>
      </c>
      <c r="AT296" s="48" t="e">
        <f>(#REF!-#REF!)/#REF!</f>
        <v>#REF!</v>
      </c>
    </row>
    <row r="297" spans="1:46" x14ac:dyDescent="0.3">
      <c r="A297" s="48">
        <v>20190319</v>
      </c>
      <c r="B297" s="48" t="s">
        <v>88</v>
      </c>
      <c r="C297" s="79">
        <v>0.3</v>
      </c>
      <c r="D297" s="79">
        <f t="shared" si="96"/>
        <v>0.29331851236126882</v>
      </c>
      <c r="E297" s="49">
        <v>43700</v>
      </c>
      <c r="F297" s="49">
        <v>43900</v>
      </c>
      <c r="G297" s="49">
        <v>5969782550</v>
      </c>
      <c r="H297" s="49">
        <f t="shared" si="97"/>
        <v>0.34599723907846203</v>
      </c>
      <c r="I297" s="49">
        <f t="shared" si="108"/>
        <v>0.34599723907846203</v>
      </c>
      <c r="J297" s="48">
        <v>0.15</v>
      </c>
      <c r="K297" s="48">
        <f t="shared" si="98"/>
        <v>0.11795651838762033</v>
      </c>
      <c r="L297" s="48">
        <v>201000</v>
      </c>
      <c r="M297" s="48">
        <v>203000</v>
      </c>
      <c r="N297" s="51">
        <v>125461438</v>
      </c>
      <c r="O297" s="48">
        <f t="shared" si="99"/>
        <v>1.4317653192252</v>
      </c>
      <c r="P297" s="48">
        <f t="shared" si="109"/>
        <v>1.4317653192252</v>
      </c>
      <c r="Q297" s="49">
        <v>0.15</v>
      </c>
      <c r="R297" s="49">
        <f t="shared" si="100"/>
        <v>0.14750970256958645</v>
      </c>
      <c r="S297" s="49">
        <v>299400</v>
      </c>
      <c r="T297" s="49">
        <v>289800</v>
      </c>
      <c r="U297" s="49">
        <v>15956260</v>
      </c>
      <c r="V297" s="49">
        <f t="shared" si="101"/>
        <v>9.8615979775870297</v>
      </c>
      <c r="W297" s="49">
        <f t="shared" si="110"/>
        <v>9.8615979775870297</v>
      </c>
      <c r="X297" s="48">
        <v>0.1</v>
      </c>
      <c r="Y297" s="76">
        <f t="shared" si="102"/>
        <v>9.2501383808582346E-2</v>
      </c>
      <c r="Z297" s="18">
        <v>10755</v>
      </c>
      <c r="AA297" s="18">
        <v>10775</v>
      </c>
      <c r="AB297" s="18">
        <v>59000000</v>
      </c>
      <c r="AC297" s="117">
        <f t="shared" si="103"/>
        <v>44.981624037011798</v>
      </c>
      <c r="AD297" s="48">
        <f t="shared" si="111"/>
        <v>44.981624037011798</v>
      </c>
      <c r="AE297" s="49">
        <v>0.3</v>
      </c>
      <c r="AF297" s="49">
        <f t="shared" si="104"/>
        <v>0.34871388287294214</v>
      </c>
      <c r="AG297" s="19">
        <v>27550</v>
      </c>
      <c r="AH297" s="19">
        <v>26500</v>
      </c>
      <c r="AI297" s="19">
        <v>7239332</v>
      </c>
      <c r="AJ297" s="119">
        <f t="shared" si="105"/>
        <v>561.92850315332703</v>
      </c>
      <c r="AK297" s="49">
        <f t="shared" si="112"/>
        <v>561.92850315332703</v>
      </c>
      <c r="AL297" s="82">
        <f t="shared" si="113"/>
        <v>0</v>
      </c>
      <c r="AM297" s="82">
        <f t="shared" si="114"/>
        <v>258707865738624.91</v>
      </c>
      <c r="AN297" s="81">
        <f t="shared" si="106"/>
        <v>309140704317508.5</v>
      </c>
      <c r="AO297" s="80">
        <f t="shared" si="92"/>
        <v>1194.9412648699147</v>
      </c>
      <c r="AP297" s="52">
        <f t="shared" si="107"/>
        <v>-1.5780272865480626E-2</v>
      </c>
      <c r="AQ297" s="48">
        <f t="shared" si="93"/>
        <v>4.5766590389016018E-3</v>
      </c>
      <c r="AR297" s="48">
        <f t="shared" si="94"/>
        <v>9.9502487562189053E-3</v>
      </c>
      <c r="AS297" s="48">
        <f t="shared" si="95"/>
        <v>-3.2064128256513023E-2</v>
      </c>
      <c r="AT297" s="48" t="e">
        <f>(#REF!-#REF!)/#REF!</f>
        <v>#REF!</v>
      </c>
    </row>
    <row r="298" spans="1:46" x14ac:dyDescent="0.3">
      <c r="A298" s="48">
        <v>20190320</v>
      </c>
      <c r="B298" s="48" t="s">
        <v>88</v>
      </c>
      <c r="C298" s="79">
        <v>0.3</v>
      </c>
      <c r="D298" s="79">
        <f t="shared" si="96"/>
        <v>0.29092440036646083</v>
      </c>
      <c r="E298" s="49">
        <v>43900</v>
      </c>
      <c r="F298" s="49">
        <v>44050</v>
      </c>
      <c r="G298" s="49">
        <v>5969782550</v>
      </c>
      <c r="H298" s="49">
        <f t="shared" si="97"/>
        <v>0.34599723907846203</v>
      </c>
      <c r="I298" s="49">
        <f t="shared" si="108"/>
        <v>0.32814958843811398</v>
      </c>
      <c r="J298" s="48">
        <v>0.15</v>
      </c>
      <c r="K298" s="48">
        <f t="shared" si="98"/>
        <v>0.11544662643985207</v>
      </c>
      <c r="L298" s="48">
        <v>203000</v>
      </c>
      <c r="M298" s="48">
        <v>201000</v>
      </c>
      <c r="N298" s="51">
        <v>125461438</v>
      </c>
      <c r="O298" s="48">
        <f t="shared" si="99"/>
        <v>1.4317653192252</v>
      </c>
      <c r="P298" s="48">
        <f t="shared" si="109"/>
        <v>1.35791025817166</v>
      </c>
      <c r="Q298" s="49">
        <v>0.15</v>
      </c>
      <c r="R298" s="49">
        <f t="shared" si="100"/>
        <v>0.14827284601854857</v>
      </c>
      <c r="S298" s="49">
        <v>289800</v>
      </c>
      <c r="T298" s="49">
        <v>294700</v>
      </c>
      <c r="U298" s="49">
        <v>15956260</v>
      </c>
      <c r="V298" s="49">
        <f t="shared" si="101"/>
        <v>9.8615979775870297</v>
      </c>
      <c r="W298" s="49">
        <f t="shared" si="110"/>
        <v>9.3529050298389205</v>
      </c>
      <c r="X298" s="48">
        <v>0.1</v>
      </c>
      <c r="Y298" s="76">
        <f t="shared" si="102"/>
        <v>9.1561242456752179E-2</v>
      </c>
      <c r="Z298" s="18">
        <v>10775</v>
      </c>
      <c r="AA298" s="18">
        <v>10790</v>
      </c>
      <c r="AB298" s="18">
        <v>77600000</v>
      </c>
      <c r="AC298" s="117">
        <f t="shared" si="103"/>
        <v>44.981624037011798</v>
      </c>
      <c r="AD298" s="48">
        <f t="shared" si="111"/>
        <v>32.435802871417998</v>
      </c>
      <c r="AE298" s="49">
        <v>0.3</v>
      </c>
      <c r="AF298" s="49">
        <f t="shared" si="104"/>
        <v>0.35379488471838638</v>
      </c>
      <c r="AG298" s="19">
        <v>26500</v>
      </c>
      <c r="AH298" s="19">
        <v>27200</v>
      </c>
      <c r="AI298" s="19">
        <v>7239332</v>
      </c>
      <c r="AJ298" s="119">
        <f t="shared" si="105"/>
        <v>561.92850315332703</v>
      </c>
      <c r="AK298" s="49">
        <f t="shared" si="112"/>
        <v>532.94242327637198</v>
      </c>
      <c r="AL298" s="82">
        <f t="shared" si="113"/>
        <v>1</v>
      </c>
      <c r="AM298" s="82">
        <f t="shared" si="114"/>
        <v>245362881778894.84</v>
      </c>
      <c r="AN298" s="81">
        <f t="shared" si="106"/>
        <v>296617070266142.56</v>
      </c>
      <c r="AO298" s="80">
        <f t="shared" si="92"/>
        <v>1208.8913698586025</v>
      </c>
      <c r="AP298" s="52">
        <f t="shared" si="107"/>
        <v>1.1674301824539034E-2</v>
      </c>
      <c r="AQ298" s="48">
        <f t="shared" si="93"/>
        <v>3.4168564920273349E-3</v>
      </c>
      <c r="AR298" s="48">
        <f t="shared" si="94"/>
        <v>-9.852216748768473E-3</v>
      </c>
      <c r="AS298" s="48">
        <f t="shared" si="95"/>
        <v>1.6908212560386472E-2</v>
      </c>
      <c r="AT298" s="48" t="e">
        <f>(#REF!-#REF!)/#REF!</f>
        <v>#REF!</v>
      </c>
    </row>
    <row r="299" spans="1:46" x14ac:dyDescent="0.3">
      <c r="A299" s="48">
        <v>20190321</v>
      </c>
      <c r="B299" s="48" t="s">
        <v>88</v>
      </c>
      <c r="C299" s="79">
        <v>0.3</v>
      </c>
      <c r="D299" s="79">
        <f t="shared" si="96"/>
        <v>0.30418395796258318</v>
      </c>
      <c r="E299" s="49">
        <v>44050</v>
      </c>
      <c r="F299" s="49">
        <v>45850</v>
      </c>
      <c r="G299" s="49">
        <v>5969782550</v>
      </c>
      <c r="H299" s="49">
        <f t="shared" si="97"/>
        <v>0.32814958843811398</v>
      </c>
      <c r="I299" s="49">
        <f t="shared" si="108"/>
        <v>0.32814958843811398</v>
      </c>
      <c r="J299" s="48">
        <v>0.15</v>
      </c>
      <c r="K299" s="48">
        <f t="shared" si="98"/>
        <v>0.11568107013426639</v>
      </c>
      <c r="L299" s="48">
        <v>201000</v>
      </c>
      <c r="M299" s="48">
        <v>200500</v>
      </c>
      <c r="N299" s="51">
        <v>125461438</v>
      </c>
      <c r="O299" s="48">
        <f t="shared" si="99"/>
        <v>1.35791025817166</v>
      </c>
      <c r="P299" s="48">
        <f t="shared" si="109"/>
        <v>1.35791025817166</v>
      </c>
      <c r="Q299" s="49">
        <v>0.15</v>
      </c>
      <c r="R299" s="49">
        <f t="shared" si="100"/>
        <v>0.1429300759137293</v>
      </c>
      <c r="S299" s="49">
        <v>294700</v>
      </c>
      <c r="T299" s="49">
        <v>282800</v>
      </c>
      <c r="U299" s="49">
        <v>15956260</v>
      </c>
      <c r="V299" s="49">
        <f t="shared" si="101"/>
        <v>9.3529050298389205</v>
      </c>
      <c r="W299" s="49">
        <f t="shared" si="110"/>
        <v>9.3529050298389205</v>
      </c>
      <c r="X299" s="48">
        <v>0.1</v>
      </c>
      <c r="Y299" s="76">
        <f t="shared" si="102"/>
        <v>9.2913637335323707E-2</v>
      </c>
      <c r="Z299" s="18">
        <v>10790</v>
      </c>
      <c r="AA299" s="18">
        <v>10900</v>
      </c>
      <c r="AB299" s="18">
        <v>77600000</v>
      </c>
      <c r="AC299" s="117">
        <f t="shared" si="103"/>
        <v>32.435802871417998</v>
      </c>
      <c r="AD299" s="48">
        <f t="shared" si="111"/>
        <v>32.435802871417998</v>
      </c>
      <c r="AE299" s="49">
        <v>0.3</v>
      </c>
      <c r="AF299" s="49">
        <f t="shared" si="104"/>
        <v>0.34429125865409743</v>
      </c>
      <c r="AG299" s="19">
        <v>27200</v>
      </c>
      <c r="AH299" s="19">
        <v>26350</v>
      </c>
      <c r="AI299" s="19">
        <v>7239332</v>
      </c>
      <c r="AJ299" s="119">
        <f t="shared" si="105"/>
        <v>532.94242327637198</v>
      </c>
      <c r="AK299" s="49">
        <f t="shared" si="112"/>
        <v>532.94242327637198</v>
      </c>
      <c r="AL299" s="82">
        <f t="shared" si="113"/>
        <v>0</v>
      </c>
      <c r="AM299" s="82">
        <f t="shared" si="114"/>
        <v>245362881778894.84</v>
      </c>
      <c r="AN299" s="81">
        <f t="shared" si="106"/>
        <v>295279576686315.25</v>
      </c>
      <c r="AO299" s="80">
        <f t="shared" si="92"/>
        <v>1203.4402862630302</v>
      </c>
      <c r="AP299" s="52">
        <f t="shared" si="107"/>
        <v>-4.509159161430595E-3</v>
      </c>
      <c r="AQ299" s="48">
        <f t="shared" si="93"/>
        <v>4.0862656072644721E-2</v>
      </c>
      <c r="AR299" s="48">
        <f t="shared" si="94"/>
        <v>-2.4875621890547263E-3</v>
      </c>
      <c r="AS299" s="48">
        <f t="shared" si="95"/>
        <v>-4.0380047505938245E-2</v>
      </c>
      <c r="AT299" s="48" t="e">
        <f>(#REF!-#REF!)/#REF!</f>
        <v>#REF!</v>
      </c>
    </row>
    <row r="300" spans="1:46" x14ac:dyDescent="0.3">
      <c r="A300" s="48">
        <v>20190322</v>
      </c>
      <c r="B300" s="48" t="s">
        <v>88</v>
      </c>
      <c r="C300" s="79">
        <v>0.3</v>
      </c>
      <c r="D300" s="79">
        <f t="shared" si="96"/>
        <v>0.30895087882391931</v>
      </c>
      <c r="E300" s="49">
        <v>45850</v>
      </c>
      <c r="F300" s="49">
        <v>46550</v>
      </c>
      <c r="G300" s="49">
        <v>5969782550</v>
      </c>
      <c r="H300" s="49">
        <f t="shared" si="97"/>
        <v>0.32814958843811398</v>
      </c>
      <c r="I300" s="49">
        <f t="shared" si="108"/>
        <v>0.32814958843811398</v>
      </c>
      <c r="J300" s="48">
        <v>0.15</v>
      </c>
      <c r="K300" s="48">
        <f t="shared" si="98"/>
        <v>0.11514991021334528</v>
      </c>
      <c r="L300" s="48">
        <v>200500</v>
      </c>
      <c r="M300" s="48">
        <v>199500</v>
      </c>
      <c r="N300" s="51">
        <v>125461438</v>
      </c>
      <c r="O300" s="48">
        <f t="shared" si="99"/>
        <v>1.35791025817166</v>
      </c>
      <c r="P300" s="48">
        <f t="shared" si="109"/>
        <v>1.35791025817166</v>
      </c>
      <c r="Q300" s="49">
        <v>0.15</v>
      </c>
      <c r="R300" s="49">
        <f t="shared" si="100"/>
        <v>0.14222853428493809</v>
      </c>
      <c r="S300" s="49">
        <v>282800</v>
      </c>
      <c r="T300" s="49">
        <v>281300</v>
      </c>
      <c r="U300" s="49">
        <v>15956260</v>
      </c>
      <c r="V300" s="49">
        <f t="shared" si="101"/>
        <v>9.3529050298389205</v>
      </c>
      <c r="W300" s="49">
        <f t="shared" si="110"/>
        <v>9.3529050298389205</v>
      </c>
      <c r="X300" s="48">
        <v>0.1</v>
      </c>
      <c r="Y300" s="76">
        <f t="shared" si="102"/>
        <v>9.3163799645354345E-2</v>
      </c>
      <c r="Z300" s="18">
        <v>10900</v>
      </c>
      <c r="AA300" s="18">
        <v>10925</v>
      </c>
      <c r="AB300" s="18">
        <v>77600000</v>
      </c>
      <c r="AC300" s="117">
        <f t="shared" si="103"/>
        <v>32.435802871417998</v>
      </c>
      <c r="AD300" s="48">
        <f t="shared" si="111"/>
        <v>32.435802871417998</v>
      </c>
      <c r="AE300" s="49">
        <v>0.3</v>
      </c>
      <c r="AF300" s="49">
        <f t="shared" si="104"/>
        <v>0.34050687703244292</v>
      </c>
      <c r="AG300" s="19">
        <v>26350</v>
      </c>
      <c r="AH300" s="19">
        <v>26050</v>
      </c>
      <c r="AI300" s="19">
        <v>7239332</v>
      </c>
      <c r="AJ300" s="119">
        <f t="shared" si="105"/>
        <v>532.94242327637198</v>
      </c>
      <c r="AK300" s="49">
        <f t="shared" si="112"/>
        <v>532.94242327637198</v>
      </c>
      <c r="AL300" s="82">
        <f t="shared" si="113"/>
        <v>0</v>
      </c>
      <c r="AM300" s="82">
        <f t="shared" si="114"/>
        <v>245362881778894.84</v>
      </c>
      <c r="AN300" s="81">
        <f t="shared" si="106"/>
        <v>295162123732702.12</v>
      </c>
      <c r="AO300" s="80">
        <f t="shared" si="92"/>
        <v>1202.9615954652959</v>
      </c>
      <c r="AP300" s="52">
        <f t="shared" si="107"/>
        <v>-3.9776863314154587E-4</v>
      </c>
      <c r="AQ300" s="48">
        <f t="shared" si="93"/>
        <v>1.5267175572519083E-2</v>
      </c>
      <c r="AR300" s="48">
        <f t="shared" si="94"/>
        <v>-4.9875311720698253E-3</v>
      </c>
      <c r="AS300" s="48">
        <f t="shared" si="95"/>
        <v>-5.3041018387553042E-3</v>
      </c>
      <c r="AT300" s="48" t="e">
        <f>(#REF!-#REF!)/#REF!</f>
        <v>#REF!</v>
      </c>
    </row>
    <row r="301" spans="1:46" x14ac:dyDescent="0.3">
      <c r="A301" s="48">
        <v>20190325</v>
      </c>
      <c r="B301" s="48" t="s">
        <v>88</v>
      </c>
      <c r="C301" s="79">
        <v>0.3</v>
      </c>
      <c r="D301" s="79">
        <f t="shared" si="96"/>
        <v>0.30421761977997663</v>
      </c>
      <c r="E301" s="49">
        <v>46550</v>
      </c>
      <c r="F301" s="49">
        <v>45500</v>
      </c>
      <c r="G301" s="49">
        <v>5969782550</v>
      </c>
      <c r="H301" s="49">
        <f t="shared" si="97"/>
        <v>0.32814958843811398</v>
      </c>
      <c r="I301" s="49">
        <f t="shared" si="108"/>
        <v>0.32814958843811398</v>
      </c>
      <c r="J301" s="48">
        <v>0.15</v>
      </c>
      <c r="K301" s="48">
        <f t="shared" si="98"/>
        <v>0.11513016092485739</v>
      </c>
      <c r="L301" s="48">
        <v>199500</v>
      </c>
      <c r="M301" s="48">
        <v>198000</v>
      </c>
      <c r="N301" s="51">
        <v>125461438</v>
      </c>
      <c r="O301" s="48">
        <f t="shared" si="99"/>
        <v>1.35791025817166</v>
      </c>
      <c r="P301" s="48">
        <f t="shared" si="109"/>
        <v>1.35791025817166</v>
      </c>
      <c r="Q301" s="49">
        <v>0.15</v>
      </c>
      <c r="R301" s="49">
        <f t="shared" si="100"/>
        <v>0.13828976991906319</v>
      </c>
      <c r="S301" s="49">
        <v>281300</v>
      </c>
      <c r="T301" s="49">
        <v>271500</v>
      </c>
      <c r="U301" s="49">
        <v>15956260</v>
      </c>
      <c r="V301" s="49">
        <f t="shared" si="101"/>
        <v>9.3529050298389205</v>
      </c>
      <c r="W301" s="49">
        <f t="shared" si="110"/>
        <v>9.3529050298389205</v>
      </c>
      <c r="X301" s="48">
        <v>0.1</v>
      </c>
      <c r="Y301" s="76">
        <f t="shared" si="102"/>
        <v>9.209239132291383E-2</v>
      </c>
      <c r="Z301" s="18">
        <v>10925</v>
      </c>
      <c r="AA301" s="18">
        <v>10720</v>
      </c>
      <c r="AB301" s="18">
        <v>77600000</v>
      </c>
      <c r="AC301" s="117">
        <f t="shared" si="103"/>
        <v>32.435802871417998</v>
      </c>
      <c r="AD301" s="48">
        <f t="shared" si="111"/>
        <v>32.435802871417998</v>
      </c>
      <c r="AE301" s="49">
        <v>0.3</v>
      </c>
      <c r="AF301" s="49">
        <f t="shared" si="104"/>
        <v>0.35027005805318895</v>
      </c>
      <c r="AG301" s="19">
        <v>26050</v>
      </c>
      <c r="AH301" s="19">
        <v>26600</v>
      </c>
      <c r="AI301" s="19">
        <v>7239332</v>
      </c>
      <c r="AJ301" s="119">
        <f t="shared" si="105"/>
        <v>532.94242327637198</v>
      </c>
      <c r="AK301" s="49">
        <f t="shared" si="112"/>
        <v>532.94242327637198</v>
      </c>
      <c r="AL301" s="82">
        <f t="shared" si="113"/>
        <v>0</v>
      </c>
      <c r="AM301" s="82">
        <f t="shared" si="114"/>
        <v>245362881778894.84</v>
      </c>
      <c r="AN301" s="81">
        <f t="shared" si="106"/>
        <v>292993110708144.25</v>
      </c>
      <c r="AO301" s="80">
        <f t="shared" si="92"/>
        <v>1194.121574477474</v>
      </c>
      <c r="AP301" s="52">
        <f t="shared" si="107"/>
        <v>-7.3485479679029951E-3</v>
      </c>
      <c r="AQ301" s="48">
        <f t="shared" si="93"/>
        <v>-2.2556390977443608E-2</v>
      </c>
      <c r="AR301" s="48">
        <f t="shared" si="94"/>
        <v>-7.5187969924812026E-3</v>
      </c>
      <c r="AS301" s="48">
        <f t="shared" si="95"/>
        <v>-3.4838250977603978E-2</v>
      </c>
      <c r="AT301" s="48" t="e">
        <f>(#REF!-#REF!)/#REF!</f>
        <v>#REF!</v>
      </c>
    </row>
    <row r="302" spans="1:46" x14ac:dyDescent="0.3">
      <c r="A302" s="48">
        <v>20190326</v>
      </c>
      <c r="B302" s="48" t="s">
        <v>88</v>
      </c>
      <c r="C302" s="79">
        <v>0.3</v>
      </c>
      <c r="D302" s="79">
        <f t="shared" si="96"/>
        <v>0.29247218533301478</v>
      </c>
      <c r="E302" s="49">
        <v>45500</v>
      </c>
      <c r="F302" s="49">
        <v>45250</v>
      </c>
      <c r="G302" s="49">
        <v>5969782550</v>
      </c>
      <c r="H302" s="49">
        <f t="shared" si="97"/>
        <v>0.32814958843811398</v>
      </c>
      <c r="I302" s="49">
        <f t="shared" si="108"/>
        <v>0.32814958843811398</v>
      </c>
      <c r="J302" s="48">
        <v>0.15</v>
      </c>
      <c r="K302" s="48">
        <f t="shared" si="98"/>
        <v>0.10820508598595212</v>
      </c>
      <c r="L302" s="48">
        <v>198000</v>
      </c>
      <c r="M302" s="48">
        <v>192500</v>
      </c>
      <c r="N302" s="51">
        <v>125461438</v>
      </c>
      <c r="O302" s="48">
        <f t="shared" si="99"/>
        <v>1.35791025817166</v>
      </c>
      <c r="P302" s="48">
        <f t="shared" si="109"/>
        <v>1.35791025817166</v>
      </c>
      <c r="Q302" s="49">
        <v>0.15</v>
      </c>
      <c r="R302" s="49">
        <f t="shared" si="100"/>
        <v>0.14097256030689578</v>
      </c>
      <c r="S302" s="49">
        <v>271500</v>
      </c>
      <c r="T302" s="49">
        <v>286300</v>
      </c>
      <c r="U302" s="49">
        <v>15956260</v>
      </c>
      <c r="V302" s="49">
        <f t="shared" si="101"/>
        <v>9.3529050298389205</v>
      </c>
      <c r="W302" s="49">
        <f t="shared" si="110"/>
        <v>9.3529050298389205</v>
      </c>
      <c r="X302" s="48">
        <v>0.1</v>
      </c>
      <c r="Y302" s="76">
        <f t="shared" si="102"/>
        <v>8.9192074550742767E-2</v>
      </c>
      <c r="Z302" s="18">
        <v>10720</v>
      </c>
      <c r="AA302" s="18">
        <v>10740</v>
      </c>
      <c r="AB302" s="18">
        <v>77600000</v>
      </c>
      <c r="AC302" s="117">
        <f t="shared" si="103"/>
        <v>32.435802871417998</v>
      </c>
      <c r="AD302" s="48">
        <f t="shared" si="111"/>
        <v>32.435802871417998</v>
      </c>
      <c r="AE302" s="49">
        <v>0.3</v>
      </c>
      <c r="AF302" s="49">
        <f t="shared" si="104"/>
        <v>0.36915809382339448</v>
      </c>
      <c r="AG302" s="19">
        <v>26600</v>
      </c>
      <c r="AH302" s="19">
        <v>29000</v>
      </c>
      <c r="AI302" s="19">
        <v>7239332</v>
      </c>
      <c r="AJ302" s="119">
        <f t="shared" si="105"/>
        <v>532.94242327637198</v>
      </c>
      <c r="AK302" s="49">
        <f t="shared" si="112"/>
        <v>532.94242327637198</v>
      </c>
      <c r="AL302" s="82">
        <f t="shared" si="113"/>
        <v>0</v>
      </c>
      <c r="AM302" s="82">
        <f t="shared" si="114"/>
        <v>245362881778894.84</v>
      </c>
      <c r="AN302" s="81">
        <f t="shared" si="106"/>
        <v>303084962520176.62</v>
      </c>
      <c r="AO302" s="80">
        <f t="shared" si="92"/>
        <v>1235.251886197266</v>
      </c>
      <c r="AP302" s="52">
        <f t="shared" si="107"/>
        <v>3.4443990125368799E-2</v>
      </c>
      <c r="AQ302" s="48">
        <f t="shared" si="93"/>
        <v>-5.4945054945054949E-3</v>
      </c>
      <c r="AR302" s="48">
        <f t="shared" si="94"/>
        <v>-2.7777777777777776E-2</v>
      </c>
      <c r="AS302" s="48">
        <f t="shared" si="95"/>
        <v>5.4511970534069983E-2</v>
      </c>
      <c r="AT302" s="48" t="e">
        <f>(#REF!-#REF!)/#REF!</f>
        <v>#REF!</v>
      </c>
    </row>
    <row r="303" spans="1:46" x14ac:dyDescent="0.3">
      <c r="A303" s="48">
        <v>20190327</v>
      </c>
      <c r="B303" s="48" t="s">
        <v>88</v>
      </c>
      <c r="C303" s="79">
        <v>0.3</v>
      </c>
      <c r="D303" s="79">
        <f t="shared" si="96"/>
        <v>0.2992529896049122</v>
      </c>
      <c r="E303" s="49">
        <v>45250</v>
      </c>
      <c r="F303" s="49">
        <v>45350</v>
      </c>
      <c r="G303" s="49">
        <v>5969782550</v>
      </c>
      <c r="H303" s="49">
        <f t="shared" si="97"/>
        <v>0.32814958843811398</v>
      </c>
      <c r="I303" s="49">
        <f t="shared" si="108"/>
        <v>0.32814958843811398</v>
      </c>
      <c r="J303" s="48">
        <v>0.15</v>
      </c>
      <c r="K303" s="48">
        <f t="shared" si="98"/>
        <v>0.10501788078644006</v>
      </c>
      <c r="L303" s="48">
        <v>192500</v>
      </c>
      <c r="M303" s="48">
        <v>183000</v>
      </c>
      <c r="N303" s="51">
        <v>125461438</v>
      </c>
      <c r="O303" s="48">
        <f t="shared" si="99"/>
        <v>1.35791025817166</v>
      </c>
      <c r="P303" s="48">
        <f t="shared" si="109"/>
        <v>1.35791025817166</v>
      </c>
      <c r="Q303" s="49">
        <v>0.15</v>
      </c>
      <c r="R303" s="49">
        <f t="shared" si="100"/>
        <v>0.13552778703273169</v>
      </c>
      <c r="S303" s="49">
        <v>286300</v>
      </c>
      <c r="T303" s="49">
        <v>269600</v>
      </c>
      <c r="U303" s="49">
        <v>15956260</v>
      </c>
      <c r="V303" s="49">
        <f t="shared" si="101"/>
        <v>9.3529050298389205</v>
      </c>
      <c r="W303" s="49">
        <f t="shared" si="110"/>
        <v>9.3529050298389205</v>
      </c>
      <c r="X303" s="48">
        <v>0.1</v>
      </c>
      <c r="Y303" s="76">
        <f t="shared" si="102"/>
        <v>9.0465215759210182E-2</v>
      </c>
      <c r="Z303" s="18">
        <v>10740</v>
      </c>
      <c r="AA303" s="18">
        <v>10670</v>
      </c>
      <c r="AB303" s="18">
        <v>77600000</v>
      </c>
      <c r="AC303" s="117">
        <f t="shared" si="103"/>
        <v>32.435802871417998</v>
      </c>
      <c r="AD303" s="48">
        <f t="shared" si="111"/>
        <v>32.435802871417998</v>
      </c>
      <c r="AE303" s="49">
        <v>0.3</v>
      </c>
      <c r="AF303" s="49">
        <f t="shared" si="104"/>
        <v>0.36973612681670576</v>
      </c>
      <c r="AG303" s="19">
        <v>29000</v>
      </c>
      <c r="AH303" s="19">
        <v>28450</v>
      </c>
      <c r="AI303" s="19">
        <v>7239332</v>
      </c>
      <c r="AJ303" s="119">
        <f t="shared" si="105"/>
        <v>532.94242327637198</v>
      </c>
      <c r="AK303" s="49">
        <f t="shared" si="112"/>
        <v>532.94242327637198</v>
      </c>
      <c r="AL303" s="82">
        <f t="shared" si="113"/>
        <v>0</v>
      </c>
      <c r="AM303" s="82">
        <f t="shared" si="114"/>
        <v>245362881778894.84</v>
      </c>
      <c r="AN303" s="81">
        <f t="shared" si="106"/>
        <v>296871953111733.87</v>
      </c>
      <c r="AO303" s="80">
        <f t="shared" si="92"/>
        <v>1209.9301693858311</v>
      </c>
      <c r="AP303" s="52">
        <f t="shared" si="107"/>
        <v>-2.0499233471634751E-2</v>
      </c>
      <c r="AQ303" s="48">
        <f t="shared" si="93"/>
        <v>2.2099447513812156E-3</v>
      </c>
      <c r="AR303" s="48">
        <f t="shared" si="94"/>
        <v>-4.9350649350649353E-2</v>
      </c>
      <c r="AS303" s="48">
        <f t="shared" si="95"/>
        <v>-5.8330422633601116E-2</v>
      </c>
      <c r="AT303" s="48" t="e">
        <f>(#REF!-#REF!)/#REF!</f>
        <v>#REF!</v>
      </c>
    </row>
    <row r="304" spans="1:46" x14ac:dyDescent="0.3">
      <c r="A304" s="48">
        <v>20190328</v>
      </c>
      <c r="B304" s="48" t="s">
        <v>88</v>
      </c>
      <c r="C304" s="79">
        <v>0.3</v>
      </c>
      <c r="D304" s="79">
        <f t="shared" si="96"/>
        <v>0.29277006399564348</v>
      </c>
      <c r="E304" s="49">
        <v>45350</v>
      </c>
      <c r="F304" s="49">
        <v>44850</v>
      </c>
      <c r="G304" s="49">
        <v>5969782550</v>
      </c>
      <c r="H304" s="49">
        <f t="shared" si="97"/>
        <v>0.32814958843811398</v>
      </c>
      <c r="I304" s="49">
        <f t="shared" si="108"/>
        <v>0.33041489489478598</v>
      </c>
      <c r="J304" s="48">
        <v>0.15</v>
      </c>
      <c r="K304" s="48">
        <f t="shared" si="98"/>
        <v>0.10246897230628799</v>
      </c>
      <c r="L304" s="48">
        <v>183000</v>
      </c>
      <c r="M304" s="48">
        <v>180500</v>
      </c>
      <c r="N304" s="51">
        <v>125461438</v>
      </c>
      <c r="O304" s="48">
        <f t="shared" si="99"/>
        <v>1.35791025817166</v>
      </c>
      <c r="P304" s="48">
        <f t="shared" si="109"/>
        <v>1.367284284481</v>
      </c>
      <c r="Q304" s="49">
        <v>0.15</v>
      </c>
      <c r="R304" s="49">
        <f t="shared" si="100"/>
        <v>0.13441802768341923</v>
      </c>
      <c r="S304" s="49">
        <v>269600</v>
      </c>
      <c r="T304" s="49">
        <v>270300</v>
      </c>
      <c r="U304" s="49">
        <v>15956260</v>
      </c>
      <c r="V304" s="49">
        <f t="shared" si="101"/>
        <v>9.3529050298389205</v>
      </c>
      <c r="W304" s="49">
        <f t="shared" si="110"/>
        <v>9.4174706940945896</v>
      </c>
      <c r="X304" s="48">
        <v>0.1</v>
      </c>
      <c r="Y304" s="76">
        <f t="shared" si="102"/>
        <v>8.9156596724652579E-2</v>
      </c>
      <c r="Z304" s="18">
        <v>10670</v>
      </c>
      <c r="AA304" s="18">
        <v>10630</v>
      </c>
      <c r="AB304" s="18">
        <v>67900000</v>
      </c>
      <c r="AC304" s="117">
        <f t="shared" si="103"/>
        <v>32.435802871417998</v>
      </c>
      <c r="AD304" s="48">
        <f t="shared" si="111"/>
        <v>37.325389828108001</v>
      </c>
      <c r="AE304" s="49">
        <v>0.3</v>
      </c>
      <c r="AF304" s="49">
        <f t="shared" si="104"/>
        <v>0.38118633928999673</v>
      </c>
      <c r="AG304" s="19">
        <v>28450</v>
      </c>
      <c r="AH304" s="19">
        <v>29650</v>
      </c>
      <c r="AI304" s="19">
        <v>7239332</v>
      </c>
      <c r="AJ304" s="119">
        <f t="shared" si="105"/>
        <v>532.94242327637198</v>
      </c>
      <c r="AK304" s="49">
        <f t="shared" si="112"/>
        <v>536.62147074441395</v>
      </c>
      <c r="AL304" s="82">
        <f t="shared" si="113"/>
        <v>1</v>
      </c>
      <c r="AM304" s="82">
        <f t="shared" si="114"/>
        <v>247056688932415.56</v>
      </c>
      <c r="AN304" s="81">
        <f t="shared" si="106"/>
        <v>302171784070723.69</v>
      </c>
      <c r="AO304" s="80">
        <f t="shared" si="92"/>
        <v>1223.0868363713289</v>
      </c>
      <c r="AP304" s="52">
        <f t="shared" si="107"/>
        <v>1.0873906047136808E-2</v>
      </c>
      <c r="AQ304" s="48">
        <f t="shared" si="93"/>
        <v>-1.1025358324145534E-2</v>
      </c>
      <c r="AR304" s="48">
        <f t="shared" si="94"/>
        <v>-1.3661202185792349E-2</v>
      </c>
      <c r="AS304" s="48">
        <f t="shared" si="95"/>
        <v>2.5964391691394658E-3</v>
      </c>
      <c r="AT304" s="48" t="e">
        <f>(#REF!-#REF!)/#REF!</f>
        <v>#REF!</v>
      </c>
    </row>
    <row r="305" spans="1:46" x14ac:dyDescent="0.3">
      <c r="A305" s="48">
        <v>20190329</v>
      </c>
      <c r="B305" s="48" t="s">
        <v>88</v>
      </c>
      <c r="C305" s="79">
        <v>0.3</v>
      </c>
      <c r="D305" s="79">
        <f t="shared" si="96"/>
        <v>0.28888902093983321</v>
      </c>
      <c r="E305" s="49">
        <v>44850</v>
      </c>
      <c r="F305" s="49">
        <v>44650</v>
      </c>
      <c r="G305" s="49">
        <v>5969782550</v>
      </c>
      <c r="H305" s="49">
        <f t="shared" si="97"/>
        <v>0.33041489489478598</v>
      </c>
      <c r="I305" s="49">
        <f t="shared" si="108"/>
        <v>0.33041489489478598</v>
      </c>
      <c r="J305" s="48">
        <v>0.15</v>
      </c>
      <c r="K305" s="48">
        <f t="shared" si="98"/>
        <v>0.10184485700151005</v>
      </c>
      <c r="L305" s="48">
        <v>180500</v>
      </c>
      <c r="M305" s="48">
        <v>181000</v>
      </c>
      <c r="N305" s="51">
        <v>125461438</v>
      </c>
      <c r="O305" s="48">
        <f t="shared" si="99"/>
        <v>1.367284284481</v>
      </c>
      <c r="P305" s="48">
        <f t="shared" si="109"/>
        <v>1.367284284481</v>
      </c>
      <c r="Q305" s="49">
        <v>0.15</v>
      </c>
      <c r="R305" s="49">
        <f t="shared" si="100"/>
        <v>0.13791278755508629</v>
      </c>
      <c r="S305" s="49">
        <v>270300</v>
      </c>
      <c r="T305" s="49">
        <v>279800</v>
      </c>
      <c r="U305" s="49">
        <v>15956260</v>
      </c>
      <c r="V305" s="49">
        <f t="shared" si="101"/>
        <v>9.4174706940945896</v>
      </c>
      <c r="W305" s="49">
        <f t="shared" si="110"/>
        <v>9.4174706940945896</v>
      </c>
      <c r="X305" s="48">
        <v>0.1</v>
      </c>
      <c r="Y305" s="76">
        <f t="shared" si="102"/>
        <v>8.9075392909609363E-2</v>
      </c>
      <c r="Z305" s="18">
        <v>10630</v>
      </c>
      <c r="AA305" s="18">
        <v>10715</v>
      </c>
      <c r="AB305" s="18">
        <v>67900000</v>
      </c>
      <c r="AC305" s="117">
        <f t="shared" si="103"/>
        <v>37.325389828108001</v>
      </c>
      <c r="AD305" s="48">
        <f t="shared" si="111"/>
        <v>37.325389828108001</v>
      </c>
      <c r="AE305" s="49">
        <v>0.3</v>
      </c>
      <c r="AF305" s="49">
        <f t="shared" si="104"/>
        <v>0.38227794159396111</v>
      </c>
      <c r="AG305" s="19">
        <v>29650</v>
      </c>
      <c r="AH305" s="19">
        <v>30000</v>
      </c>
      <c r="AI305" s="19">
        <v>7239332</v>
      </c>
      <c r="AJ305" s="119">
        <f t="shared" si="105"/>
        <v>536.62147074441395</v>
      </c>
      <c r="AK305" s="49">
        <f t="shared" si="112"/>
        <v>536.62147074441395</v>
      </c>
      <c r="AL305" s="82">
        <f t="shared" si="113"/>
        <v>0</v>
      </c>
      <c r="AM305" s="82">
        <f t="shared" si="114"/>
        <v>247056688932415.56</v>
      </c>
      <c r="AN305" s="81">
        <f t="shared" si="106"/>
        <v>304865692918270.25</v>
      </c>
      <c r="AO305" s="80">
        <f t="shared" si="92"/>
        <v>1233.9908473462494</v>
      </c>
      <c r="AP305" s="52">
        <f t="shared" si="107"/>
        <v>8.9151568397798399E-3</v>
      </c>
      <c r="AQ305" s="48">
        <f t="shared" si="93"/>
        <v>-4.459308807134894E-3</v>
      </c>
      <c r="AR305" s="48">
        <f t="shared" si="94"/>
        <v>2.7700831024930748E-3</v>
      </c>
      <c r="AS305" s="48">
        <f t="shared" si="95"/>
        <v>3.5146133925268219E-2</v>
      </c>
      <c r="AT305" s="48" t="e">
        <f>(#REF!-#REF!)/#REF!</f>
        <v>#REF!</v>
      </c>
    </row>
    <row r="306" spans="1:46" x14ac:dyDescent="0.3">
      <c r="A306" s="48">
        <v>20190401</v>
      </c>
      <c r="B306" s="48" t="s">
        <v>88</v>
      </c>
      <c r="C306" s="79">
        <v>0.3</v>
      </c>
      <c r="D306" s="79">
        <f t="shared" si="96"/>
        <v>0.29223749031899343</v>
      </c>
      <c r="E306" s="49">
        <v>44650</v>
      </c>
      <c r="F306" s="49">
        <v>45050</v>
      </c>
      <c r="G306" s="49">
        <v>5969782550</v>
      </c>
      <c r="H306" s="49">
        <f t="shared" si="97"/>
        <v>0.33041489489478598</v>
      </c>
      <c r="I306" s="49">
        <f t="shared" si="108"/>
        <v>0.33041489489478598</v>
      </c>
      <c r="J306" s="48">
        <v>0.15</v>
      </c>
      <c r="K306" s="48">
        <f t="shared" si="98"/>
        <v>0.10267470796806553</v>
      </c>
      <c r="L306" s="48">
        <v>181000</v>
      </c>
      <c r="M306" s="48">
        <v>182000</v>
      </c>
      <c r="N306" s="51">
        <v>125461438</v>
      </c>
      <c r="O306" s="48">
        <f t="shared" si="99"/>
        <v>1.367284284481</v>
      </c>
      <c r="P306" s="48">
        <f t="shared" si="109"/>
        <v>1.367284284481</v>
      </c>
      <c r="Q306" s="49">
        <v>0.15</v>
      </c>
      <c r="R306" s="49">
        <f t="shared" si="100"/>
        <v>0.13585108984909031</v>
      </c>
      <c r="S306" s="49">
        <v>279800</v>
      </c>
      <c r="T306" s="49">
        <v>274900</v>
      </c>
      <c r="U306" s="49">
        <v>15956260</v>
      </c>
      <c r="V306" s="49">
        <f t="shared" si="101"/>
        <v>9.4174706940945896</v>
      </c>
      <c r="W306" s="49">
        <f t="shared" si="110"/>
        <v>9.4174706940945896</v>
      </c>
      <c r="X306" s="48">
        <v>0.1</v>
      </c>
      <c r="Y306" s="76">
        <f t="shared" si="102"/>
        <v>9.0432985776092115E-2</v>
      </c>
      <c r="Z306" s="18">
        <v>10715</v>
      </c>
      <c r="AA306" s="18">
        <v>10850</v>
      </c>
      <c r="AB306" s="18">
        <v>67900000</v>
      </c>
      <c r="AC306" s="117">
        <f t="shared" si="103"/>
        <v>37.325389828108001</v>
      </c>
      <c r="AD306" s="48">
        <f t="shared" si="111"/>
        <v>37.325389828108001</v>
      </c>
      <c r="AE306" s="49">
        <v>0.3</v>
      </c>
      <c r="AF306" s="49">
        <f t="shared" si="104"/>
        <v>0.3788037260877587</v>
      </c>
      <c r="AG306" s="19">
        <v>30000</v>
      </c>
      <c r="AH306" s="19">
        <v>29650</v>
      </c>
      <c r="AI306" s="19">
        <v>7239332</v>
      </c>
      <c r="AJ306" s="119">
        <f t="shared" si="105"/>
        <v>536.62147074441395</v>
      </c>
      <c r="AK306" s="49">
        <f t="shared" si="112"/>
        <v>536.62147074441395</v>
      </c>
      <c r="AL306" s="82">
        <f t="shared" si="113"/>
        <v>0</v>
      </c>
      <c r="AM306" s="82">
        <f t="shared" si="114"/>
        <v>247056688932415.56</v>
      </c>
      <c r="AN306" s="81">
        <f t="shared" si="106"/>
        <v>304072394947777.06</v>
      </c>
      <c r="AO306" s="80">
        <f t="shared" si="92"/>
        <v>1230.7798516273267</v>
      </c>
      <c r="AP306" s="52">
        <f t="shared" si="107"/>
        <v>-2.6021228000419261E-3</v>
      </c>
      <c r="AQ306" s="48">
        <f t="shared" si="93"/>
        <v>8.9585666293393058E-3</v>
      </c>
      <c r="AR306" s="48">
        <f t="shared" si="94"/>
        <v>5.5248618784530384E-3</v>
      </c>
      <c r="AS306" s="48">
        <f t="shared" si="95"/>
        <v>-1.7512508934953538E-2</v>
      </c>
      <c r="AT306" s="48" t="e">
        <f>(#REF!-#REF!)/#REF!</f>
        <v>#REF!</v>
      </c>
    </row>
    <row r="307" spans="1:46" x14ac:dyDescent="0.3">
      <c r="A307" s="48">
        <v>20190402</v>
      </c>
      <c r="B307" s="48" t="s">
        <v>88</v>
      </c>
      <c r="C307" s="79">
        <v>0.3</v>
      </c>
      <c r="D307" s="79">
        <f t="shared" si="96"/>
        <v>0.294400072009455</v>
      </c>
      <c r="E307" s="49">
        <v>45050</v>
      </c>
      <c r="F307" s="49">
        <v>45750</v>
      </c>
      <c r="G307" s="49">
        <v>5969782550</v>
      </c>
      <c r="H307" s="49">
        <f t="shared" si="97"/>
        <v>0.33041489489478598</v>
      </c>
      <c r="I307" s="49">
        <f t="shared" si="108"/>
        <v>0.33041489489478598</v>
      </c>
      <c r="J307" s="48">
        <v>0.15</v>
      </c>
      <c r="K307" s="48">
        <f t="shared" si="98"/>
        <v>0.10632891162205572</v>
      </c>
      <c r="L307" s="48">
        <v>182000</v>
      </c>
      <c r="M307" s="48">
        <v>190000</v>
      </c>
      <c r="N307" s="51">
        <v>125461438</v>
      </c>
      <c r="O307" s="48">
        <f t="shared" si="99"/>
        <v>1.367284284481</v>
      </c>
      <c r="P307" s="48">
        <f t="shared" si="109"/>
        <v>1.367284284481</v>
      </c>
      <c r="Q307" s="49">
        <v>0.15</v>
      </c>
      <c r="R307" s="49">
        <f t="shared" si="100"/>
        <v>0.13579189070755029</v>
      </c>
      <c r="S307" s="49">
        <v>274900</v>
      </c>
      <c r="T307" s="49">
        <v>277000</v>
      </c>
      <c r="U307" s="49">
        <v>15956260</v>
      </c>
      <c r="V307" s="49">
        <f t="shared" si="101"/>
        <v>9.4174706940945896</v>
      </c>
      <c r="W307" s="49">
        <f t="shared" si="110"/>
        <v>9.4174706940945896</v>
      </c>
      <c r="X307" s="48">
        <v>0.1</v>
      </c>
      <c r="Y307" s="76">
        <f t="shared" si="102"/>
        <v>9.0245706875630605E-2</v>
      </c>
      <c r="Z307" s="18">
        <v>10850</v>
      </c>
      <c r="AA307" s="18">
        <v>10915</v>
      </c>
      <c r="AB307" s="18">
        <v>67900000</v>
      </c>
      <c r="AC307" s="117">
        <f t="shared" si="103"/>
        <v>37.325389828108001</v>
      </c>
      <c r="AD307" s="48">
        <f t="shared" si="111"/>
        <v>37.325389828108001</v>
      </c>
      <c r="AE307" s="49">
        <v>0.3</v>
      </c>
      <c r="AF307" s="49">
        <f t="shared" si="104"/>
        <v>0.37323341878530825</v>
      </c>
      <c r="AG307" s="19">
        <v>29650</v>
      </c>
      <c r="AH307" s="19">
        <v>29450</v>
      </c>
      <c r="AI307" s="19">
        <v>7239332</v>
      </c>
      <c r="AJ307" s="119">
        <f t="shared" si="105"/>
        <v>536.62147074441395</v>
      </c>
      <c r="AK307" s="49">
        <f t="shared" si="112"/>
        <v>536.62147074441395</v>
      </c>
      <c r="AL307" s="82">
        <f t="shared" si="113"/>
        <v>0</v>
      </c>
      <c r="AM307" s="82">
        <f t="shared" si="114"/>
        <v>247056688932415.56</v>
      </c>
      <c r="AN307" s="81">
        <f t="shared" si="106"/>
        <v>306528821513290.87</v>
      </c>
      <c r="AO307" s="80">
        <f t="shared" si="92"/>
        <v>1240.7226164888191</v>
      </c>
      <c r="AP307" s="52">
        <f t="shared" si="107"/>
        <v>8.0784267376055423E-3</v>
      </c>
      <c r="AQ307" s="48">
        <f t="shared" si="93"/>
        <v>1.5538290788013319E-2</v>
      </c>
      <c r="AR307" s="48">
        <f t="shared" si="94"/>
        <v>4.3956043956043959E-2</v>
      </c>
      <c r="AS307" s="48">
        <f t="shared" si="95"/>
        <v>7.6391415060021823E-3</v>
      </c>
      <c r="AT307" s="48" t="e">
        <f>(#REF!-#REF!)/#REF!</f>
        <v>#REF!</v>
      </c>
    </row>
    <row r="308" spans="1:46" x14ac:dyDescent="0.3">
      <c r="A308" s="48">
        <v>20190403</v>
      </c>
      <c r="B308" s="48" t="s">
        <v>88</v>
      </c>
      <c r="C308" s="79">
        <v>0.3</v>
      </c>
      <c r="D308" s="79">
        <f t="shared" si="96"/>
        <v>0.29069458152676403</v>
      </c>
      <c r="E308" s="49">
        <v>45750</v>
      </c>
      <c r="F308" s="49">
        <v>46600</v>
      </c>
      <c r="G308" s="49">
        <v>5969782550</v>
      </c>
      <c r="H308" s="49">
        <f t="shared" si="97"/>
        <v>0.33041489489478598</v>
      </c>
      <c r="I308" s="49">
        <f t="shared" si="108"/>
        <v>0.33041489489478598</v>
      </c>
      <c r="J308" s="48">
        <v>0.15</v>
      </c>
      <c r="K308" s="48">
        <f t="shared" si="98"/>
        <v>0.10497428938776583</v>
      </c>
      <c r="L308" s="48">
        <v>190000</v>
      </c>
      <c r="M308" s="48">
        <v>193500</v>
      </c>
      <c r="N308" s="51">
        <v>125461438</v>
      </c>
      <c r="O308" s="48">
        <f t="shared" si="99"/>
        <v>1.367284284481</v>
      </c>
      <c r="P308" s="48">
        <f t="shared" si="109"/>
        <v>1.367284284481</v>
      </c>
      <c r="Q308" s="49">
        <v>0.15</v>
      </c>
      <c r="R308" s="49">
        <f t="shared" si="100"/>
        <v>0.13282507963872001</v>
      </c>
      <c r="S308" s="49">
        <v>277000</v>
      </c>
      <c r="T308" s="49">
        <v>279500</v>
      </c>
      <c r="U308" s="49">
        <v>15956260</v>
      </c>
      <c r="V308" s="49">
        <f t="shared" si="101"/>
        <v>9.4174706940945896</v>
      </c>
      <c r="W308" s="49">
        <f t="shared" si="110"/>
        <v>9.4174706940945896</v>
      </c>
      <c r="X308" s="48">
        <v>0.1</v>
      </c>
      <c r="Y308" s="76">
        <f t="shared" si="102"/>
        <v>8.8806913818510372E-2</v>
      </c>
      <c r="Z308" s="18">
        <v>10915</v>
      </c>
      <c r="AA308" s="18">
        <v>11080</v>
      </c>
      <c r="AB308" s="18">
        <v>67900000</v>
      </c>
      <c r="AC308" s="117">
        <f t="shared" si="103"/>
        <v>37.325389828108001</v>
      </c>
      <c r="AD308" s="48">
        <f t="shared" si="111"/>
        <v>37.325389828108001</v>
      </c>
      <c r="AE308" s="49">
        <v>0.3</v>
      </c>
      <c r="AF308" s="49">
        <f t="shared" si="104"/>
        <v>0.38269913562823982</v>
      </c>
      <c r="AG308" s="19">
        <v>29450</v>
      </c>
      <c r="AH308" s="19">
        <v>31150</v>
      </c>
      <c r="AI308" s="19">
        <v>7239332</v>
      </c>
      <c r="AJ308" s="119">
        <f t="shared" si="105"/>
        <v>536.62147074441395</v>
      </c>
      <c r="AK308" s="49">
        <f t="shared" si="112"/>
        <v>536.62147074441395</v>
      </c>
      <c r="AL308" s="82">
        <f t="shared" si="113"/>
        <v>0</v>
      </c>
      <c r="AM308" s="82">
        <f t="shared" si="114"/>
        <v>247056688932415.56</v>
      </c>
      <c r="AN308" s="81">
        <f t="shared" si="106"/>
        <v>316203817616586.25</v>
      </c>
      <c r="AO308" s="80">
        <f t="shared" si="92"/>
        <v>1279.8836533549045</v>
      </c>
      <c r="AP308" s="52">
        <f t="shared" si="107"/>
        <v>3.1563087789041121E-2</v>
      </c>
      <c r="AQ308" s="48">
        <f t="shared" si="93"/>
        <v>1.8579234972677595E-2</v>
      </c>
      <c r="AR308" s="48">
        <f t="shared" si="94"/>
        <v>1.8421052631578946E-2</v>
      </c>
      <c r="AS308" s="48">
        <f t="shared" si="95"/>
        <v>9.0252707581227436E-3</v>
      </c>
      <c r="AT308" s="48" t="e">
        <f>(#REF!-#REF!)/#REF!</f>
        <v>#REF!</v>
      </c>
    </row>
    <row r="309" spans="1:46" x14ac:dyDescent="0.3">
      <c r="A309" s="48">
        <v>20190404</v>
      </c>
      <c r="B309" s="48" t="s">
        <v>88</v>
      </c>
      <c r="C309" s="79">
        <v>0.3</v>
      </c>
      <c r="D309" s="79">
        <f t="shared" si="96"/>
        <v>0.29322246084618236</v>
      </c>
      <c r="E309" s="49">
        <v>46600</v>
      </c>
      <c r="F309" s="49">
        <v>46950</v>
      </c>
      <c r="G309" s="49">
        <v>5969782550</v>
      </c>
      <c r="H309" s="49">
        <f t="shared" si="97"/>
        <v>0.33041489489478598</v>
      </c>
      <c r="I309" s="49">
        <f t="shared" si="108"/>
        <v>0.33041489489478598</v>
      </c>
      <c r="J309" s="48">
        <v>0.15</v>
      </c>
      <c r="K309" s="48">
        <f t="shared" si="98"/>
        <v>0.10455464348584323</v>
      </c>
      <c r="L309" s="48">
        <v>193500</v>
      </c>
      <c r="M309" s="48">
        <v>192500</v>
      </c>
      <c r="N309" s="51">
        <v>125461438</v>
      </c>
      <c r="O309" s="48">
        <f t="shared" si="99"/>
        <v>1.367284284481</v>
      </c>
      <c r="P309" s="48">
        <f t="shared" si="109"/>
        <v>1.367284284481</v>
      </c>
      <c r="Q309" s="49">
        <v>0.15</v>
      </c>
      <c r="R309" s="49">
        <f t="shared" si="100"/>
        <v>0.12984117171738008</v>
      </c>
      <c r="S309" s="49">
        <v>279500</v>
      </c>
      <c r="T309" s="49">
        <v>272900</v>
      </c>
      <c r="U309" s="49">
        <v>15956260</v>
      </c>
      <c r="V309" s="49">
        <f t="shared" si="101"/>
        <v>9.4174706940945896</v>
      </c>
      <c r="W309" s="49">
        <f t="shared" si="110"/>
        <v>9.4174706940945896</v>
      </c>
      <c r="X309" s="48">
        <v>0.1</v>
      </c>
      <c r="Y309" s="76">
        <f t="shared" si="102"/>
        <v>8.9232368849338051E-2</v>
      </c>
      <c r="Z309" s="18">
        <v>11080</v>
      </c>
      <c r="AA309" s="18">
        <v>11120</v>
      </c>
      <c r="AB309" s="18">
        <v>67900000</v>
      </c>
      <c r="AC309" s="117">
        <f t="shared" si="103"/>
        <v>37.325389828108001</v>
      </c>
      <c r="AD309" s="48">
        <f t="shared" si="111"/>
        <v>37.325389828108001</v>
      </c>
      <c r="AE309" s="49">
        <v>0.3</v>
      </c>
      <c r="AF309" s="49">
        <f t="shared" si="104"/>
        <v>0.38314935510125636</v>
      </c>
      <c r="AG309" s="19">
        <v>31150</v>
      </c>
      <c r="AH309" s="19">
        <v>31150</v>
      </c>
      <c r="AI309" s="19">
        <v>7239332</v>
      </c>
      <c r="AJ309" s="119">
        <f t="shared" si="105"/>
        <v>536.62147074441395</v>
      </c>
      <c r="AK309" s="49">
        <f t="shared" si="112"/>
        <v>536.62147074441395</v>
      </c>
      <c r="AL309" s="82">
        <f t="shared" si="113"/>
        <v>0</v>
      </c>
      <c r="AM309" s="82">
        <f t="shared" si="114"/>
        <v>247056688932415.56</v>
      </c>
      <c r="AN309" s="81">
        <f t="shared" si="106"/>
        <v>315832262466518.12</v>
      </c>
      <c r="AO309" s="80">
        <f t="shared" si="92"/>
        <v>1278.3797266582678</v>
      </c>
      <c r="AP309" s="52">
        <f t="shared" si="107"/>
        <v>-1.1750495388346239E-3</v>
      </c>
      <c r="AQ309" s="48">
        <f t="shared" si="93"/>
        <v>7.5107296137339056E-3</v>
      </c>
      <c r="AR309" s="48">
        <f t="shared" si="94"/>
        <v>-5.1679586563307496E-3</v>
      </c>
      <c r="AS309" s="48">
        <f t="shared" si="95"/>
        <v>-2.3613595706618962E-2</v>
      </c>
      <c r="AT309" s="48" t="e">
        <f>(#REF!-#REF!)/#REF!</f>
        <v>#REF!</v>
      </c>
    </row>
    <row r="310" spans="1:46" x14ac:dyDescent="0.3">
      <c r="A310" s="48">
        <v>20190405</v>
      </c>
      <c r="B310" s="48" t="s">
        <v>88</v>
      </c>
      <c r="C310" s="79">
        <v>0.3</v>
      </c>
      <c r="D310" s="79">
        <f t="shared" si="96"/>
        <v>0.29763005722085861</v>
      </c>
      <c r="E310" s="49">
        <v>46950</v>
      </c>
      <c r="F310" s="49">
        <v>46850</v>
      </c>
      <c r="G310" s="49">
        <v>5969782550</v>
      </c>
      <c r="H310" s="49">
        <f t="shared" si="97"/>
        <v>0.33041489489478598</v>
      </c>
      <c r="I310" s="49">
        <f t="shared" si="108"/>
        <v>0.33041489489478598</v>
      </c>
      <c r="J310" s="48">
        <v>0.15</v>
      </c>
      <c r="K310" s="48">
        <f t="shared" si="98"/>
        <v>0.10607654729648155</v>
      </c>
      <c r="L310" s="48">
        <v>192500</v>
      </c>
      <c r="M310" s="48">
        <v>192000</v>
      </c>
      <c r="N310" s="51">
        <v>125461438</v>
      </c>
      <c r="O310" s="48">
        <f t="shared" si="99"/>
        <v>1.367284284481</v>
      </c>
      <c r="P310" s="48">
        <f t="shared" si="109"/>
        <v>1.367284284481</v>
      </c>
      <c r="Q310" s="49">
        <v>0.15</v>
      </c>
      <c r="R310" s="49">
        <f t="shared" si="100"/>
        <v>0.12829926638669142</v>
      </c>
      <c r="S310" s="49">
        <v>272900</v>
      </c>
      <c r="T310" s="49">
        <v>265100</v>
      </c>
      <c r="U310" s="49">
        <v>15956260</v>
      </c>
      <c r="V310" s="49">
        <f t="shared" si="101"/>
        <v>9.4174706940945896</v>
      </c>
      <c r="W310" s="49">
        <f t="shared" si="110"/>
        <v>9.4174706940945896</v>
      </c>
      <c r="X310" s="48">
        <v>0.1</v>
      </c>
      <c r="Y310" s="76">
        <f t="shared" si="102"/>
        <v>9.0766999128816278E-2</v>
      </c>
      <c r="Z310" s="18">
        <v>11120</v>
      </c>
      <c r="AA310" s="18">
        <v>11120</v>
      </c>
      <c r="AB310" s="18">
        <v>67900000</v>
      </c>
      <c r="AC310" s="117">
        <f t="shared" si="103"/>
        <v>37.325389828108001</v>
      </c>
      <c r="AD310" s="48">
        <f t="shared" si="111"/>
        <v>37.325389828108001</v>
      </c>
      <c r="AE310" s="49">
        <v>0.3</v>
      </c>
      <c r="AF310" s="49">
        <f t="shared" si="104"/>
        <v>0.37722712996715213</v>
      </c>
      <c r="AG310" s="19">
        <v>31150</v>
      </c>
      <c r="AH310" s="19">
        <v>30150</v>
      </c>
      <c r="AI310" s="19">
        <v>7239332</v>
      </c>
      <c r="AJ310" s="119">
        <f t="shared" si="105"/>
        <v>536.62147074441395</v>
      </c>
      <c r="AK310" s="49">
        <f t="shared" si="112"/>
        <v>536.62147074441395</v>
      </c>
      <c r="AL310" s="82">
        <f t="shared" si="113"/>
        <v>0</v>
      </c>
      <c r="AM310" s="82">
        <f t="shared" si="114"/>
        <v>247056688932415.56</v>
      </c>
      <c r="AN310" s="81">
        <f t="shared" si="106"/>
        <v>310492372882536.5</v>
      </c>
      <c r="AO310" s="80">
        <f t="shared" si="92"/>
        <v>1256.7657011200142</v>
      </c>
      <c r="AP310" s="52">
        <f t="shared" si="107"/>
        <v>-1.6907359439087371E-2</v>
      </c>
      <c r="AQ310" s="48">
        <f t="shared" si="93"/>
        <v>-2.1299254526091589E-3</v>
      </c>
      <c r="AR310" s="48">
        <f t="shared" si="94"/>
        <v>-2.5974025974025974E-3</v>
      </c>
      <c r="AS310" s="48">
        <f t="shared" si="95"/>
        <v>-2.8581898131183583E-2</v>
      </c>
      <c r="AT310" s="48" t="e">
        <f>(#REF!-#REF!)/#REF!</f>
        <v>#REF!</v>
      </c>
    </row>
    <row r="311" spans="1:46" x14ac:dyDescent="0.3">
      <c r="A311" s="48">
        <v>20190408</v>
      </c>
      <c r="B311" s="48" t="s">
        <v>88</v>
      </c>
      <c r="C311" s="79">
        <v>0.3</v>
      </c>
      <c r="D311" s="79">
        <f t="shared" si="96"/>
        <v>0.29774092527463464</v>
      </c>
      <c r="E311" s="49">
        <v>46850</v>
      </c>
      <c r="F311" s="49">
        <v>46650</v>
      </c>
      <c r="G311" s="49">
        <v>5969782550</v>
      </c>
      <c r="H311" s="49">
        <f t="shared" si="97"/>
        <v>0.33041489489478598</v>
      </c>
      <c r="I311" s="49">
        <f t="shared" si="108"/>
        <v>0.33041489489478598</v>
      </c>
      <c r="J311" s="48">
        <v>0.15</v>
      </c>
      <c r="K311" s="48">
        <f t="shared" si="98"/>
        <v>0.1085137073588448</v>
      </c>
      <c r="L311" s="48">
        <v>192000</v>
      </c>
      <c r="M311" s="48">
        <v>195500</v>
      </c>
      <c r="N311" s="51">
        <v>125461438</v>
      </c>
      <c r="O311" s="48">
        <f t="shared" si="99"/>
        <v>1.367284284481</v>
      </c>
      <c r="P311" s="48">
        <f t="shared" si="109"/>
        <v>1.367284284481</v>
      </c>
      <c r="Q311" s="49">
        <v>0.15</v>
      </c>
      <c r="R311" s="49">
        <f t="shared" si="100"/>
        <v>0.13186326458399503</v>
      </c>
      <c r="S311" s="49">
        <v>265100</v>
      </c>
      <c r="T311" s="49">
        <v>271200</v>
      </c>
      <c r="U311" s="49">
        <v>15956260</v>
      </c>
      <c r="V311" s="49">
        <f t="shared" si="101"/>
        <v>9.4174706940945896</v>
      </c>
      <c r="W311" s="49">
        <f t="shared" si="110"/>
        <v>9.4174706940945896</v>
      </c>
      <c r="X311" s="48">
        <v>0.1</v>
      </c>
      <c r="Y311" s="76">
        <f t="shared" si="102"/>
        <v>9.1067087234673869E-2</v>
      </c>
      <c r="Z311" s="18">
        <v>11120</v>
      </c>
      <c r="AA311" s="18">
        <v>11105</v>
      </c>
      <c r="AB311" s="18">
        <v>67900000</v>
      </c>
      <c r="AC311" s="117">
        <f t="shared" si="103"/>
        <v>37.325389828108001</v>
      </c>
      <c r="AD311" s="48">
        <f t="shared" si="111"/>
        <v>37.325389828108001</v>
      </c>
      <c r="AE311" s="49">
        <v>0.3</v>
      </c>
      <c r="AF311" s="49">
        <f t="shared" si="104"/>
        <v>0.37081501554785151</v>
      </c>
      <c r="AG311" s="19">
        <v>30150</v>
      </c>
      <c r="AH311" s="19">
        <v>29500</v>
      </c>
      <c r="AI311" s="19">
        <v>7239332</v>
      </c>
      <c r="AJ311" s="119">
        <f t="shared" si="105"/>
        <v>536.62147074441395</v>
      </c>
      <c r="AK311" s="49">
        <f t="shared" si="112"/>
        <v>536.62147074441395</v>
      </c>
      <c r="AL311" s="82">
        <f t="shared" si="113"/>
        <v>0</v>
      </c>
      <c r="AM311" s="82">
        <f t="shared" si="114"/>
        <v>247056688932415.56</v>
      </c>
      <c r="AN311" s="81">
        <f t="shared" si="106"/>
        <v>309051775828373.5</v>
      </c>
      <c r="AO311" s="80">
        <f t="shared" si="92"/>
        <v>1250.9346626632612</v>
      </c>
      <c r="AP311" s="52">
        <f t="shared" si="107"/>
        <v>-4.6397180091376613E-3</v>
      </c>
      <c r="AQ311" s="48">
        <f t="shared" si="93"/>
        <v>-4.2689434364994666E-3</v>
      </c>
      <c r="AR311" s="48">
        <f t="shared" si="94"/>
        <v>1.8229166666666668E-2</v>
      </c>
      <c r="AS311" s="48">
        <f t="shared" si="95"/>
        <v>2.3010184835910975E-2</v>
      </c>
      <c r="AT311" s="48" t="e">
        <f>(#REF!-#REF!)/#REF!</f>
        <v>#REF!</v>
      </c>
    </row>
    <row r="312" spans="1:46" x14ac:dyDescent="0.3">
      <c r="A312" s="48">
        <v>20190409</v>
      </c>
      <c r="B312" s="48" t="s">
        <v>88</v>
      </c>
      <c r="C312" s="79">
        <v>0.3</v>
      </c>
      <c r="D312" s="79">
        <f t="shared" si="96"/>
        <v>0.29613478264689191</v>
      </c>
      <c r="E312" s="49">
        <v>46650</v>
      </c>
      <c r="F312" s="49">
        <v>46650</v>
      </c>
      <c r="G312" s="49">
        <v>5969782550</v>
      </c>
      <c r="H312" s="49">
        <f t="shared" si="97"/>
        <v>0.33041489489478598</v>
      </c>
      <c r="I312" s="49">
        <f t="shared" si="108"/>
        <v>0.33041489489478598</v>
      </c>
      <c r="J312" s="48">
        <v>0.15</v>
      </c>
      <c r="K312" s="48">
        <f t="shared" si="98"/>
        <v>0.11289690572081862</v>
      </c>
      <c r="L312" s="48">
        <v>195500</v>
      </c>
      <c r="M312" s="48">
        <v>204500</v>
      </c>
      <c r="N312" s="51">
        <v>125461438</v>
      </c>
      <c r="O312" s="48">
        <f t="shared" si="99"/>
        <v>1.367284284481</v>
      </c>
      <c r="P312" s="48">
        <f t="shared" si="109"/>
        <v>1.367284284481</v>
      </c>
      <c r="Q312" s="49">
        <v>0.15</v>
      </c>
      <c r="R312" s="49">
        <f t="shared" si="100"/>
        <v>0.13100685783548893</v>
      </c>
      <c r="S312" s="49">
        <v>271200</v>
      </c>
      <c r="T312" s="49">
        <v>270900</v>
      </c>
      <c r="U312" s="49">
        <v>15956260</v>
      </c>
      <c r="V312" s="49">
        <f t="shared" si="101"/>
        <v>9.4174706940945896</v>
      </c>
      <c r="W312" s="49">
        <f t="shared" si="110"/>
        <v>9.4174706940945896</v>
      </c>
      <c r="X312" s="48">
        <v>0.1</v>
      </c>
      <c r="Y312" s="76">
        <f t="shared" si="102"/>
        <v>9.1146773953317342E-2</v>
      </c>
      <c r="Z312" s="18">
        <v>11105</v>
      </c>
      <c r="AA312" s="18">
        <v>11175</v>
      </c>
      <c r="AB312" s="18">
        <v>67900000</v>
      </c>
      <c r="AC312" s="117">
        <f t="shared" si="103"/>
        <v>37.325389828108001</v>
      </c>
      <c r="AD312" s="48">
        <f t="shared" si="111"/>
        <v>37.325389828108001</v>
      </c>
      <c r="AE312" s="49">
        <v>0.3</v>
      </c>
      <c r="AF312" s="49">
        <f t="shared" si="104"/>
        <v>0.36881467984348326</v>
      </c>
      <c r="AG312" s="19">
        <v>29500</v>
      </c>
      <c r="AH312" s="19">
        <v>29500</v>
      </c>
      <c r="AI312" s="19">
        <v>7239332</v>
      </c>
      <c r="AJ312" s="119">
        <f t="shared" si="105"/>
        <v>536.62147074441395</v>
      </c>
      <c r="AK312" s="49">
        <f t="shared" si="112"/>
        <v>536.62147074441395</v>
      </c>
      <c r="AL312" s="82">
        <f t="shared" si="113"/>
        <v>0</v>
      </c>
      <c r="AM312" s="82">
        <f t="shared" si="114"/>
        <v>247056688932415.56</v>
      </c>
      <c r="AN312" s="81">
        <f t="shared" si="106"/>
        <v>310727976195317.31</v>
      </c>
      <c r="AO312" s="80">
        <f t="shared" si="92"/>
        <v>1257.7193418159973</v>
      </c>
      <c r="AP312" s="52">
        <f t="shared" si="107"/>
        <v>5.4236878673514346E-3</v>
      </c>
      <c r="AQ312" s="48">
        <f t="shared" si="93"/>
        <v>0</v>
      </c>
      <c r="AR312" s="48">
        <f t="shared" si="94"/>
        <v>4.6035805626598467E-2</v>
      </c>
      <c r="AS312" s="48">
        <f t="shared" si="95"/>
        <v>-1.1061946902654867E-3</v>
      </c>
      <c r="AT312" s="48" t="e">
        <f>(#REF!-#REF!)/#REF!</f>
        <v>#REF!</v>
      </c>
    </row>
    <row r="313" spans="1:46" x14ac:dyDescent="0.3">
      <c r="A313" s="48">
        <v>20190410</v>
      </c>
      <c r="B313" s="48" t="s">
        <v>88</v>
      </c>
      <c r="C313" s="79">
        <v>0.3</v>
      </c>
      <c r="D313" s="79">
        <f t="shared" si="96"/>
        <v>0.29337586356686834</v>
      </c>
      <c r="E313" s="49">
        <v>46650</v>
      </c>
      <c r="F313" s="49">
        <v>46700</v>
      </c>
      <c r="G313" s="49">
        <v>5969782550</v>
      </c>
      <c r="H313" s="49">
        <f t="shared" si="97"/>
        <v>0.33041489489478598</v>
      </c>
      <c r="I313" s="49">
        <f t="shared" si="108"/>
        <v>0.33041489489478598</v>
      </c>
      <c r="J313" s="48">
        <v>0.15</v>
      </c>
      <c r="K313" s="48">
        <f t="shared" si="98"/>
        <v>0.11227169533324222</v>
      </c>
      <c r="L313" s="48">
        <v>204500</v>
      </c>
      <c r="M313" s="48">
        <v>205500</v>
      </c>
      <c r="N313" s="51">
        <v>125461438</v>
      </c>
      <c r="O313" s="48">
        <f t="shared" si="99"/>
        <v>1.367284284481</v>
      </c>
      <c r="P313" s="48">
        <f t="shared" si="109"/>
        <v>1.367284284481</v>
      </c>
      <c r="Q313" s="49">
        <v>0.15</v>
      </c>
      <c r="R313" s="49">
        <f t="shared" si="100"/>
        <v>0.13304530365418946</v>
      </c>
      <c r="S313" s="49">
        <v>270900</v>
      </c>
      <c r="T313" s="49">
        <v>278000</v>
      </c>
      <c r="U313" s="49">
        <v>15956260</v>
      </c>
      <c r="V313" s="49">
        <f t="shared" si="101"/>
        <v>9.4174706940945896</v>
      </c>
      <c r="W313" s="49">
        <f t="shared" si="110"/>
        <v>9.4174706940945896</v>
      </c>
      <c r="X313" s="48">
        <v>0.1</v>
      </c>
      <c r="Y313" s="76">
        <f t="shared" si="102"/>
        <v>8.9514840888565345E-2</v>
      </c>
      <c r="Z313" s="18">
        <v>11175</v>
      </c>
      <c r="AA313" s="18">
        <v>11090</v>
      </c>
      <c r="AB313" s="18">
        <v>67900000</v>
      </c>
      <c r="AC313" s="117">
        <f t="shared" si="103"/>
        <v>37.325389828108001</v>
      </c>
      <c r="AD313" s="48">
        <f t="shared" si="111"/>
        <v>37.325389828108001</v>
      </c>
      <c r="AE313" s="49">
        <v>0.3</v>
      </c>
      <c r="AF313" s="49">
        <f t="shared" si="104"/>
        <v>0.37179229655713453</v>
      </c>
      <c r="AG313" s="19">
        <v>29500</v>
      </c>
      <c r="AH313" s="19">
        <v>30050</v>
      </c>
      <c r="AI313" s="19">
        <v>7239332</v>
      </c>
      <c r="AJ313" s="119">
        <f t="shared" si="105"/>
        <v>536.62147074441395</v>
      </c>
      <c r="AK313" s="49">
        <f t="shared" si="112"/>
        <v>536.62147074441395</v>
      </c>
      <c r="AL313" s="82">
        <f t="shared" si="113"/>
        <v>0</v>
      </c>
      <c r="AM313" s="82">
        <f t="shared" si="114"/>
        <v>247056688932415.56</v>
      </c>
      <c r="AN313" s="81">
        <f t="shared" si="106"/>
        <v>313986248993531.5</v>
      </c>
      <c r="AO313" s="80">
        <f t="shared" si="92"/>
        <v>1270.9077028042948</v>
      </c>
      <c r="AP313" s="52">
        <f t="shared" si="107"/>
        <v>1.0485933188603979E-2</v>
      </c>
      <c r="AQ313" s="48">
        <f t="shared" si="93"/>
        <v>1.0718113612004287E-3</v>
      </c>
      <c r="AR313" s="48">
        <f t="shared" si="94"/>
        <v>4.8899755501222494E-3</v>
      </c>
      <c r="AS313" s="48">
        <f t="shared" si="95"/>
        <v>2.6208933185677373E-2</v>
      </c>
      <c r="AT313" s="48" t="e">
        <f>(#REF!-#REF!)/#REF!</f>
        <v>#REF!</v>
      </c>
    </row>
    <row r="314" spans="1:46" x14ac:dyDescent="0.3">
      <c r="A314" s="48">
        <v>20190411</v>
      </c>
      <c r="B314" s="48" t="s">
        <v>88</v>
      </c>
      <c r="C314" s="79">
        <v>0.3</v>
      </c>
      <c r="D314" s="79">
        <f t="shared" si="96"/>
        <v>0.2918333765538878</v>
      </c>
      <c r="E314" s="49">
        <v>46700</v>
      </c>
      <c r="F314" s="49">
        <v>46250</v>
      </c>
      <c r="G314" s="49">
        <v>5969782550</v>
      </c>
      <c r="H314" s="49">
        <f t="shared" si="97"/>
        <v>0.33041489489478598</v>
      </c>
      <c r="I314" s="49">
        <f t="shared" si="108"/>
        <v>0.33041489489478598</v>
      </c>
      <c r="J314" s="48">
        <v>0.15</v>
      </c>
      <c r="K314" s="48">
        <f t="shared" si="98"/>
        <v>0.11551178024122773</v>
      </c>
      <c r="L314" s="48">
        <v>205500</v>
      </c>
      <c r="M314" s="48">
        <v>210500</v>
      </c>
      <c r="N314" s="51">
        <v>125461438</v>
      </c>
      <c r="O314" s="48">
        <f t="shared" si="99"/>
        <v>1.367284284481</v>
      </c>
      <c r="P314" s="48">
        <f t="shared" si="109"/>
        <v>1.367284284481</v>
      </c>
      <c r="Q314" s="49">
        <v>0.15</v>
      </c>
      <c r="R314" s="49">
        <f t="shared" si="100"/>
        <v>0.13387382595569247</v>
      </c>
      <c r="S314" s="49">
        <v>278000</v>
      </c>
      <c r="T314" s="49">
        <v>278500</v>
      </c>
      <c r="U314" s="49">
        <v>15956260</v>
      </c>
      <c r="V314" s="49">
        <f t="shared" si="101"/>
        <v>9.4174706940945896</v>
      </c>
      <c r="W314" s="49">
        <f t="shared" si="110"/>
        <v>9.4174706940945896</v>
      </c>
      <c r="X314" s="48">
        <v>0.1</v>
      </c>
      <c r="Y314" s="76">
        <f t="shared" si="102"/>
        <v>9.0315941016589005E-2</v>
      </c>
      <c r="Z314" s="18">
        <v>11090</v>
      </c>
      <c r="AA314" s="18">
        <v>11140</v>
      </c>
      <c r="AB314" s="18">
        <v>67900000</v>
      </c>
      <c r="AC314" s="117">
        <f t="shared" si="103"/>
        <v>37.325389828108001</v>
      </c>
      <c r="AD314" s="48">
        <f t="shared" si="111"/>
        <v>37.325389828108001</v>
      </c>
      <c r="AE314" s="49">
        <v>0.3</v>
      </c>
      <c r="AF314" s="49">
        <f t="shared" si="104"/>
        <v>0.36846507623260305</v>
      </c>
      <c r="AG314" s="19">
        <v>30050</v>
      </c>
      <c r="AH314" s="19">
        <v>29650</v>
      </c>
      <c r="AI314" s="19">
        <v>7239332</v>
      </c>
      <c r="AJ314" s="119">
        <f t="shared" si="105"/>
        <v>536.62147074441395</v>
      </c>
      <c r="AK314" s="49">
        <f t="shared" si="112"/>
        <v>536.62147074441395</v>
      </c>
      <c r="AL314" s="82">
        <f t="shared" si="113"/>
        <v>0</v>
      </c>
      <c r="AM314" s="82">
        <f t="shared" si="114"/>
        <v>247056688932415.56</v>
      </c>
      <c r="AN314" s="81">
        <f t="shared" si="106"/>
        <v>312604270082665.31</v>
      </c>
      <c r="AO314" s="80">
        <f t="shared" si="92"/>
        <v>1265.3139303108721</v>
      </c>
      <c r="AP314" s="52">
        <f t="shared" si="107"/>
        <v>-4.4013994730536504E-3</v>
      </c>
      <c r="AQ314" s="48">
        <f t="shared" si="93"/>
        <v>-9.6359743040685224E-3</v>
      </c>
      <c r="AR314" s="48">
        <f t="shared" si="94"/>
        <v>2.4330900243309004E-2</v>
      </c>
      <c r="AS314" s="48">
        <f t="shared" si="95"/>
        <v>1.7985611510791368E-3</v>
      </c>
      <c r="AT314" s="48" t="e">
        <f>(#REF!-#REF!)/#REF!</f>
        <v>#REF!</v>
      </c>
    </row>
    <row r="315" spans="1:46" x14ac:dyDescent="0.3">
      <c r="A315" s="48">
        <v>20190412</v>
      </c>
      <c r="B315" s="48" t="s">
        <v>88</v>
      </c>
      <c r="C315" s="79">
        <v>0.3</v>
      </c>
      <c r="D315" s="79">
        <f t="shared" si="96"/>
        <v>0.29812101479654973</v>
      </c>
      <c r="E315" s="49">
        <v>46250</v>
      </c>
      <c r="F315" s="49">
        <v>46850</v>
      </c>
      <c r="G315" s="49">
        <v>5969782550</v>
      </c>
      <c r="H315" s="49">
        <f t="shared" si="97"/>
        <v>0.33041489489478598</v>
      </c>
      <c r="I315" s="49">
        <f t="shared" si="108"/>
        <v>0.33041489489478598</v>
      </c>
      <c r="J315" s="48">
        <v>0.15</v>
      </c>
      <c r="K315" s="48">
        <f t="shared" si="98"/>
        <v>0.11565921379391256</v>
      </c>
      <c r="L315" s="48">
        <v>210500</v>
      </c>
      <c r="M315" s="48">
        <v>209000</v>
      </c>
      <c r="N315" s="51">
        <v>125461438</v>
      </c>
      <c r="O315" s="48">
        <f t="shared" si="99"/>
        <v>1.367284284481</v>
      </c>
      <c r="P315" s="48">
        <f t="shared" si="109"/>
        <v>1.367284284481</v>
      </c>
      <c r="Q315" s="49">
        <v>0.15</v>
      </c>
      <c r="R315" s="49">
        <f t="shared" si="100"/>
        <v>0.13287377814212456</v>
      </c>
      <c r="S315" s="49">
        <v>278500</v>
      </c>
      <c r="T315" s="49">
        <v>274100</v>
      </c>
      <c r="U315" s="49">
        <v>15956260</v>
      </c>
      <c r="V315" s="49">
        <f t="shared" si="101"/>
        <v>9.4174706940945896</v>
      </c>
      <c r="W315" s="49">
        <f t="shared" si="110"/>
        <v>9.4174706940945896</v>
      </c>
      <c r="X315" s="48">
        <v>0.1</v>
      </c>
      <c r="Y315" s="76">
        <f t="shared" si="102"/>
        <v>9.1162003348956022E-2</v>
      </c>
      <c r="Z315" s="18">
        <v>11140</v>
      </c>
      <c r="AA315" s="18">
        <v>11150</v>
      </c>
      <c r="AB315" s="18">
        <v>67900000</v>
      </c>
      <c r="AC315" s="117">
        <f t="shared" si="103"/>
        <v>37.325389828108001</v>
      </c>
      <c r="AD315" s="48">
        <f t="shared" si="111"/>
        <v>37.325389828108001</v>
      </c>
      <c r="AE315" s="49">
        <v>0.3</v>
      </c>
      <c r="AF315" s="49">
        <f t="shared" si="104"/>
        <v>0.36218398991845707</v>
      </c>
      <c r="AG315" s="19">
        <v>29650</v>
      </c>
      <c r="AH315" s="19">
        <v>28900</v>
      </c>
      <c r="AI315" s="19">
        <v>7239332</v>
      </c>
      <c r="AJ315" s="119">
        <f t="shared" si="105"/>
        <v>536.62147074441395</v>
      </c>
      <c r="AK315" s="49">
        <f t="shared" si="112"/>
        <v>536.62147074441395</v>
      </c>
      <c r="AL315" s="82">
        <f t="shared" si="113"/>
        <v>0</v>
      </c>
      <c r="AM315" s="82">
        <f t="shared" si="114"/>
        <v>247056688932415.56</v>
      </c>
      <c r="AN315" s="81">
        <f t="shared" si="106"/>
        <v>309981041661002.06</v>
      </c>
      <c r="AO315" s="80">
        <f t="shared" si="92"/>
        <v>1254.6960092458778</v>
      </c>
      <c r="AP315" s="52">
        <f t="shared" si="107"/>
        <v>-8.3915309953045726E-3</v>
      </c>
      <c r="AQ315" s="48">
        <f t="shared" si="93"/>
        <v>1.2972972972972972E-2</v>
      </c>
      <c r="AR315" s="48">
        <f t="shared" si="94"/>
        <v>-7.1258907363420431E-3</v>
      </c>
      <c r="AS315" s="48">
        <f t="shared" si="95"/>
        <v>-1.5798922800718134E-2</v>
      </c>
      <c r="AT315" s="48" t="e">
        <f>(#REF!-#REF!)/#REF!</f>
        <v>#REF!</v>
      </c>
    </row>
    <row r="316" spans="1:46" x14ac:dyDescent="0.3">
      <c r="A316" s="48">
        <v>20190415</v>
      </c>
      <c r="B316" s="48" t="s">
        <v>88</v>
      </c>
      <c r="C316" s="79">
        <v>0.3</v>
      </c>
      <c r="D316" s="79">
        <f t="shared" si="96"/>
        <v>0.30644359352442757</v>
      </c>
      <c r="E316" s="49">
        <v>46850</v>
      </c>
      <c r="F316" s="49">
        <v>47050</v>
      </c>
      <c r="G316" s="49">
        <v>5969782550</v>
      </c>
      <c r="H316" s="49">
        <f t="shared" si="97"/>
        <v>0.33041489489478598</v>
      </c>
      <c r="I316" s="49">
        <f t="shared" si="108"/>
        <v>0.33041489489478598</v>
      </c>
      <c r="J316" s="48">
        <v>0.15</v>
      </c>
      <c r="K316" s="48">
        <f t="shared" si="98"/>
        <v>0.11526734402187286</v>
      </c>
      <c r="L316" s="48">
        <v>209000</v>
      </c>
      <c r="M316" s="48">
        <v>203500</v>
      </c>
      <c r="N316" s="51">
        <v>125461438</v>
      </c>
      <c r="O316" s="48">
        <f t="shared" si="99"/>
        <v>1.367284284481</v>
      </c>
      <c r="P316" s="48">
        <f t="shared" si="109"/>
        <v>1.367284284481</v>
      </c>
      <c r="Q316" s="49">
        <v>0.15</v>
      </c>
      <c r="R316" s="49">
        <f t="shared" si="100"/>
        <v>0.13317437980309649</v>
      </c>
      <c r="S316" s="49">
        <v>274100</v>
      </c>
      <c r="T316" s="49">
        <v>268400</v>
      </c>
      <c r="U316" s="49">
        <v>15956260</v>
      </c>
      <c r="V316" s="49">
        <f t="shared" si="101"/>
        <v>9.4174706940945896</v>
      </c>
      <c r="W316" s="49">
        <f t="shared" si="110"/>
        <v>9.4174706940945896</v>
      </c>
      <c r="X316" s="48">
        <v>0.1</v>
      </c>
      <c r="Y316" s="76">
        <f t="shared" si="102"/>
        <v>9.3643363144329708E-2</v>
      </c>
      <c r="Z316" s="18">
        <v>11150</v>
      </c>
      <c r="AA316" s="18">
        <v>11190</v>
      </c>
      <c r="AB316" s="18">
        <v>67900000</v>
      </c>
      <c r="AC316" s="117">
        <f t="shared" si="103"/>
        <v>37.325389828108001</v>
      </c>
      <c r="AD316" s="48">
        <f t="shared" si="111"/>
        <v>37.325389828108001</v>
      </c>
      <c r="AE316" s="49">
        <v>0.3</v>
      </c>
      <c r="AF316" s="49">
        <f t="shared" si="104"/>
        <v>0.35147131950627336</v>
      </c>
      <c r="AG316" s="19">
        <v>28900</v>
      </c>
      <c r="AH316" s="19">
        <v>27400</v>
      </c>
      <c r="AI316" s="19">
        <v>7239332</v>
      </c>
      <c r="AJ316" s="119">
        <f t="shared" si="105"/>
        <v>536.62147074441395</v>
      </c>
      <c r="AK316" s="49">
        <f t="shared" si="112"/>
        <v>536.62147074441395</v>
      </c>
      <c r="AL316" s="82">
        <f t="shared" si="113"/>
        <v>0</v>
      </c>
      <c r="AM316" s="82">
        <f t="shared" si="114"/>
        <v>247056688932415.56</v>
      </c>
      <c r="AN316" s="81">
        <f t="shared" si="106"/>
        <v>302849743585950.37</v>
      </c>
      <c r="AO316" s="80">
        <f t="shared" si="92"/>
        <v>1225.8309819281901</v>
      </c>
      <c r="AP316" s="52">
        <f t="shared" si="107"/>
        <v>-2.3005594267440702E-2</v>
      </c>
      <c r="AQ316" s="48">
        <f t="shared" si="93"/>
        <v>4.2689434364994666E-3</v>
      </c>
      <c r="AR316" s="48">
        <f t="shared" si="94"/>
        <v>-2.6315789473684209E-2</v>
      </c>
      <c r="AS316" s="48">
        <f t="shared" si="95"/>
        <v>-2.0795330171470266E-2</v>
      </c>
      <c r="AT316" s="48" t="e">
        <f>(#REF!-#REF!)/#REF!</f>
        <v>#REF!</v>
      </c>
    </row>
    <row r="317" spans="1:46" x14ac:dyDescent="0.3">
      <c r="A317" s="48">
        <v>20190416</v>
      </c>
      <c r="B317" s="48" t="s">
        <v>88</v>
      </c>
      <c r="C317" s="79">
        <v>0.3</v>
      </c>
      <c r="D317" s="79">
        <f t="shared" si="96"/>
        <v>0.3028301504445583</v>
      </c>
      <c r="E317" s="49">
        <v>47050</v>
      </c>
      <c r="F317" s="49">
        <v>47250</v>
      </c>
      <c r="G317" s="49">
        <v>5969782550</v>
      </c>
      <c r="H317" s="49">
        <f t="shared" si="97"/>
        <v>0.33041489489478598</v>
      </c>
      <c r="I317" s="49">
        <f t="shared" si="108"/>
        <v>0.33041489489478598</v>
      </c>
      <c r="J317" s="48">
        <v>0.15</v>
      </c>
      <c r="K317" s="48">
        <f t="shared" si="98"/>
        <v>0.11593420505408814</v>
      </c>
      <c r="L317" s="48">
        <v>203500</v>
      </c>
      <c r="M317" s="48">
        <v>208000</v>
      </c>
      <c r="N317" s="51">
        <v>125461438</v>
      </c>
      <c r="O317" s="48">
        <f t="shared" si="99"/>
        <v>1.367284284481</v>
      </c>
      <c r="P317" s="48">
        <f t="shared" si="109"/>
        <v>1.367284284481</v>
      </c>
      <c r="Q317" s="49">
        <v>0.15</v>
      </c>
      <c r="R317" s="49">
        <f t="shared" si="100"/>
        <v>0.13192584874222596</v>
      </c>
      <c r="S317" s="49">
        <v>268400</v>
      </c>
      <c r="T317" s="49">
        <v>270200</v>
      </c>
      <c r="U317" s="49">
        <v>15956260</v>
      </c>
      <c r="V317" s="49">
        <f t="shared" si="101"/>
        <v>9.4174706940945896</v>
      </c>
      <c r="W317" s="49">
        <f t="shared" si="110"/>
        <v>9.4174706940945896</v>
      </c>
      <c r="X317" s="48">
        <v>0.1</v>
      </c>
      <c r="Y317" s="76">
        <f t="shared" si="102"/>
        <v>9.2723899476536142E-2</v>
      </c>
      <c r="Z317" s="18">
        <v>11190</v>
      </c>
      <c r="AA317" s="18">
        <v>11260</v>
      </c>
      <c r="AB317" s="18">
        <v>67900000</v>
      </c>
      <c r="AC317" s="117">
        <f t="shared" si="103"/>
        <v>37.325389828108001</v>
      </c>
      <c r="AD317" s="48">
        <f t="shared" si="111"/>
        <v>37.325389828108001</v>
      </c>
      <c r="AE317" s="49">
        <v>0.3</v>
      </c>
      <c r="AF317" s="49">
        <f t="shared" si="104"/>
        <v>0.35658589628259157</v>
      </c>
      <c r="AG317" s="19">
        <v>27400</v>
      </c>
      <c r="AH317" s="19">
        <v>28250</v>
      </c>
      <c r="AI317" s="19">
        <v>7239332</v>
      </c>
      <c r="AJ317" s="119">
        <f t="shared" si="105"/>
        <v>536.62147074441395</v>
      </c>
      <c r="AK317" s="49">
        <f t="shared" si="112"/>
        <v>536.62147074441395</v>
      </c>
      <c r="AL317" s="82">
        <f t="shared" si="113"/>
        <v>0</v>
      </c>
      <c r="AM317" s="82">
        <f t="shared" si="114"/>
        <v>247056688932415.56</v>
      </c>
      <c r="AN317" s="81">
        <f t="shared" si="106"/>
        <v>307766134251727.25</v>
      </c>
      <c r="AO317" s="80">
        <f t="shared" si="92"/>
        <v>1245.7308303679213</v>
      </c>
      <c r="AP317" s="52">
        <f t="shared" si="107"/>
        <v>1.623376202193012E-2</v>
      </c>
      <c r="AQ317" s="48">
        <f t="shared" si="93"/>
        <v>4.2507970244420826E-3</v>
      </c>
      <c r="AR317" s="48">
        <f t="shared" si="94"/>
        <v>2.2113022113022112E-2</v>
      </c>
      <c r="AS317" s="48">
        <f t="shared" si="95"/>
        <v>6.7064083457526085E-3</v>
      </c>
      <c r="AT317" s="48" t="e">
        <f>(#REF!-#REF!)/#REF!</f>
        <v>#REF!</v>
      </c>
    </row>
    <row r="318" spans="1:46" x14ac:dyDescent="0.3">
      <c r="A318" s="48">
        <v>20190417</v>
      </c>
      <c r="B318" s="48" t="s">
        <v>88</v>
      </c>
      <c r="C318" s="79">
        <v>0.3</v>
      </c>
      <c r="D318" s="79">
        <f t="shared" si="96"/>
        <v>0.30258947739654846</v>
      </c>
      <c r="E318" s="49">
        <v>47250</v>
      </c>
      <c r="F318" s="49">
        <v>47050</v>
      </c>
      <c r="G318" s="49">
        <v>5969782550</v>
      </c>
      <c r="H318" s="49">
        <f t="shared" si="97"/>
        <v>0.33041489489478598</v>
      </c>
      <c r="I318" s="49">
        <f t="shared" si="108"/>
        <v>0.33041489489478598</v>
      </c>
      <c r="J318" s="48">
        <v>0.15</v>
      </c>
      <c r="K318" s="48">
        <f t="shared" si="98"/>
        <v>0.11661413813365576</v>
      </c>
      <c r="L318" s="48">
        <v>208000</v>
      </c>
      <c r="M318" s="48">
        <v>208500</v>
      </c>
      <c r="N318" s="51">
        <v>125461438</v>
      </c>
      <c r="O318" s="48">
        <f t="shared" si="99"/>
        <v>1.367284284481</v>
      </c>
      <c r="P318" s="48">
        <f t="shared" si="109"/>
        <v>1.367284284481</v>
      </c>
      <c r="Q318" s="49">
        <v>0.15</v>
      </c>
      <c r="R318" s="49">
        <f t="shared" si="100"/>
        <v>0.13056857358159737</v>
      </c>
      <c r="S318" s="49">
        <v>270200</v>
      </c>
      <c r="T318" s="49">
        <v>266500</v>
      </c>
      <c r="U318" s="49">
        <v>15956260</v>
      </c>
      <c r="V318" s="49">
        <f t="shared" si="101"/>
        <v>9.4174706940945896</v>
      </c>
      <c r="W318" s="49">
        <f t="shared" si="110"/>
        <v>9.4174706940945896</v>
      </c>
      <c r="X318" s="48">
        <v>0.1</v>
      </c>
      <c r="Y318" s="76">
        <f t="shared" si="102"/>
        <v>9.304404475563921E-2</v>
      </c>
      <c r="Z318" s="18">
        <v>11260</v>
      </c>
      <c r="AA318" s="18">
        <v>11260</v>
      </c>
      <c r="AB318" s="18">
        <v>67900000</v>
      </c>
      <c r="AC318" s="117">
        <f t="shared" si="103"/>
        <v>37.325389828108001</v>
      </c>
      <c r="AD318" s="48">
        <f t="shared" si="111"/>
        <v>37.325389828108001</v>
      </c>
      <c r="AE318" s="49">
        <v>0.3</v>
      </c>
      <c r="AF318" s="49">
        <f t="shared" si="104"/>
        <v>0.35718376613255931</v>
      </c>
      <c r="AG318" s="19">
        <v>28250</v>
      </c>
      <c r="AH318" s="19">
        <v>28200</v>
      </c>
      <c r="AI318" s="19">
        <v>7239332</v>
      </c>
      <c r="AJ318" s="119">
        <f t="shared" si="105"/>
        <v>536.62147074441395</v>
      </c>
      <c r="AK318" s="49">
        <f t="shared" si="112"/>
        <v>536.62147074441395</v>
      </c>
      <c r="AL318" s="82">
        <f t="shared" si="113"/>
        <v>0</v>
      </c>
      <c r="AM318" s="82">
        <f t="shared" si="114"/>
        <v>247056688932415.56</v>
      </c>
      <c r="AN318" s="81">
        <f t="shared" si="106"/>
        <v>306707174753489</v>
      </c>
      <c r="AO318" s="80">
        <f t="shared" si="92"/>
        <v>1241.4445286983967</v>
      </c>
      <c r="AP318" s="52">
        <f t="shared" si="107"/>
        <v>-3.4407927981188985E-3</v>
      </c>
      <c r="AQ318" s="48">
        <f t="shared" si="93"/>
        <v>-4.2328042328042331E-3</v>
      </c>
      <c r="AR318" s="48">
        <f t="shared" si="94"/>
        <v>2.403846153846154E-3</v>
      </c>
      <c r="AS318" s="48">
        <f t="shared" si="95"/>
        <v>-1.3693560325684678E-2</v>
      </c>
      <c r="AT318" s="48" t="e">
        <f>(#REF!-#REF!)/#REF!</f>
        <v>#REF!</v>
      </c>
    </row>
    <row r="319" spans="1:46" x14ac:dyDescent="0.3">
      <c r="A319" s="48">
        <v>20190418</v>
      </c>
      <c r="B319" s="48" t="s">
        <v>88</v>
      </c>
      <c r="C319" s="79">
        <v>0.3</v>
      </c>
      <c r="D319" s="79">
        <f t="shared" si="96"/>
        <v>0.30452441862863533</v>
      </c>
      <c r="E319" s="49">
        <v>47050</v>
      </c>
      <c r="F319" s="49">
        <v>45600</v>
      </c>
      <c r="G319" s="49">
        <v>5969782550</v>
      </c>
      <c r="H319" s="49">
        <f t="shared" si="97"/>
        <v>0.33041489489478598</v>
      </c>
      <c r="I319" s="49">
        <f t="shared" si="108"/>
        <v>0.33041489489478598</v>
      </c>
      <c r="J319" s="48">
        <v>0.15</v>
      </c>
      <c r="K319" s="48">
        <f t="shared" si="98"/>
        <v>0.11818779975797805</v>
      </c>
      <c r="L319" s="48">
        <v>208500</v>
      </c>
      <c r="M319" s="48">
        <v>203500</v>
      </c>
      <c r="N319" s="51">
        <v>125461438</v>
      </c>
      <c r="O319" s="48">
        <f t="shared" si="99"/>
        <v>1.367284284481</v>
      </c>
      <c r="P319" s="48">
        <f t="shared" si="109"/>
        <v>1.367284284481</v>
      </c>
      <c r="Q319" s="49">
        <v>0.15</v>
      </c>
      <c r="R319" s="49">
        <f t="shared" si="100"/>
        <v>0.13100315835832932</v>
      </c>
      <c r="S319" s="49">
        <v>266500</v>
      </c>
      <c r="T319" s="49">
        <v>257500</v>
      </c>
      <c r="U319" s="49">
        <v>15956260</v>
      </c>
      <c r="V319" s="49">
        <f t="shared" si="101"/>
        <v>9.4174706940945896</v>
      </c>
      <c r="W319" s="49">
        <f t="shared" si="110"/>
        <v>9.4174706940945896</v>
      </c>
      <c r="X319" s="48">
        <v>0.1</v>
      </c>
      <c r="Y319" s="76">
        <f t="shared" si="102"/>
        <v>9.5114991849334599E-2</v>
      </c>
      <c r="Z319" s="18">
        <v>11260</v>
      </c>
      <c r="AA319" s="18">
        <v>11085</v>
      </c>
      <c r="AB319" s="18">
        <v>67900000</v>
      </c>
      <c r="AC319" s="117">
        <f t="shared" si="103"/>
        <v>37.325389828108001</v>
      </c>
      <c r="AD319" s="48">
        <f t="shared" si="111"/>
        <v>37.325389828108001</v>
      </c>
      <c r="AE319" s="49">
        <v>0.3</v>
      </c>
      <c r="AF319" s="49">
        <f t="shared" si="104"/>
        <v>0.35116963140572272</v>
      </c>
      <c r="AG319" s="19">
        <v>28200</v>
      </c>
      <c r="AH319" s="19">
        <v>26700</v>
      </c>
      <c r="AI319" s="19">
        <v>7239332</v>
      </c>
      <c r="AJ319" s="119">
        <f t="shared" si="105"/>
        <v>536.62147074441395</v>
      </c>
      <c r="AK319" s="49">
        <f t="shared" si="112"/>
        <v>536.62147074441395</v>
      </c>
      <c r="AL319" s="82">
        <f t="shared" si="113"/>
        <v>0</v>
      </c>
      <c r="AM319" s="82">
        <f t="shared" si="114"/>
        <v>247056688932415.56</v>
      </c>
      <c r="AN319" s="81">
        <f t="shared" si="106"/>
        <v>295366236213406.44</v>
      </c>
      <c r="AO319" s="80">
        <f t="shared" si="92"/>
        <v>1195.5403332318049</v>
      </c>
      <c r="AP319" s="52">
        <f t="shared" si="107"/>
        <v>-3.697643705008747E-2</v>
      </c>
      <c r="AQ319" s="48">
        <f t="shared" si="93"/>
        <v>-3.0818278427205102E-2</v>
      </c>
      <c r="AR319" s="48">
        <f t="shared" si="94"/>
        <v>-2.3980815347721823E-2</v>
      </c>
      <c r="AS319" s="48">
        <f t="shared" si="95"/>
        <v>-3.3771106941838651E-2</v>
      </c>
      <c r="AT319" s="48" t="e">
        <f>(#REF!-#REF!)/#REF!</f>
        <v>#REF!</v>
      </c>
    </row>
    <row r="320" spans="1:46" x14ac:dyDescent="0.3">
      <c r="A320" s="48">
        <v>20190419</v>
      </c>
      <c r="B320" s="48" t="s">
        <v>88</v>
      </c>
      <c r="C320" s="79">
        <v>0.3</v>
      </c>
      <c r="D320" s="79">
        <f t="shared" si="96"/>
        <v>0.29804169849637552</v>
      </c>
      <c r="E320" s="49">
        <v>45600</v>
      </c>
      <c r="F320" s="49">
        <v>45300</v>
      </c>
      <c r="G320" s="49">
        <v>5969782550</v>
      </c>
      <c r="H320" s="49">
        <f t="shared" si="97"/>
        <v>0.33041489489478598</v>
      </c>
      <c r="I320" s="49">
        <f t="shared" si="108"/>
        <v>0.33041489489478598</v>
      </c>
      <c r="J320" s="48">
        <v>0.15</v>
      </c>
      <c r="K320" s="48">
        <f t="shared" si="98"/>
        <v>0.12473440948158476</v>
      </c>
      <c r="L320" s="48">
        <v>203500</v>
      </c>
      <c r="M320" s="48">
        <v>218000</v>
      </c>
      <c r="N320" s="51">
        <v>125461438</v>
      </c>
      <c r="O320" s="48">
        <f t="shared" si="99"/>
        <v>1.367284284481</v>
      </c>
      <c r="P320" s="48">
        <f t="shared" si="109"/>
        <v>1.367284284481</v>
      </c>
      <c r="Q320" s="49">
        <v>0.15</v>
      </c>
      <c r="R320" s="49">
        <f t="shared" si="100"/>
        <v>0.13106833232814757</v>
      </c>
      <c r="S320" s="49">
        <v>257500</v>
      </c>
      <c r="T320" s="49">
        <v>261500</v>
      </c>
      <c r="U320" s="49">
        <v>15956260</v>
      </c>
      <c r="V320" s="49">
        <f t="shared" si="101"/>
        <v>9.4174706940945896</v>
      </c>
      <c r="W320" s="49">
        <f t="shared" si="110"/>
        <v>9.4174706940945896</v>
      </c>
      <c r="X320" s="48">
        <v>0.1</v>
      </c>
      <c r="Y320" s="76">
        <f t="shared" si="102"/>
        <v>9.3706673832346279E-2</v>
      </c>
      <c r="Z320" s="18">
        <v>11085</v>
      </c>
      <c r="AA320" s="18">
        <v>11085</v>
      </c>
      <c r="AB320" s="18">
        <v>67900000</v>
      </c>
      <c r="AC320" s="117">
        <f t="shared" si="103"/>
        <v>37.325389828108001</v>
      </c>
      <c r="AD320" s="48">
        <f t="shared" si="111"/>
        <v>37.325389828108001</v>
      </c>
      <c r="AE320" s="49">
        <v>0.3</v>
      </c>
      <c r="AF320" s="49">
        <f t="shared" si="104"/>
        <v>0.35244888586154599</v>
      </c>
      <c r="AG320" s="19">
        <v>26700</v>
      </c>
      <c r="AH320" s="19">
        <v>27200</v>
      </c>
      <c r="AI320" s="19">
        <v>7239332</v>
      </c>
      <c r="AJ320" s="119">
        <f t="shared" si="105"/>
        <v>536.62147074441395</v>
      </c>
      <c r="AK320" s="49">
        <f t="shared" si="112"/>
        <v>536.62147074441395</v>
      </c>
      <c r="AL320" s="82">
        <f t="shared" si="113"/>
        <v>0</v>
      </c>
      <c r="AM320" s="82">
        <f t="shared" si="114"/>
        <v>247056688932415.56</v>
      </c>
      <c r="AN320" s="81">
        <f t="shared" si="106"/>
        <v>299805296688582.37</v>
      </c>
      <c r="AO320" s="80">
        <f t="shared" si="92"/>
        <v>1213.5081142069246</v>
      </c>
      <c r="AP320" s="52">
        <f t="shared" si="107"/>
        <v>1.502900443897939E-2</v>
      </c>
      <c r="AQ320" s="48">
        <f t="shared" si="93"/>
        <v>-6.5789473684210523E-3</v>
      </c>
      <c r="AR320" s="48">
        <f t="shared" si="94"/>
        <v>7.125307125307126E-2</v>
      </c>
      <c r="AS320" s="48">
        <f t="shared" si="95"/>
        <v>1.5533980582524271E-2</v>
      </c>
      <c r="AT320" s="48" t="e">
        <f>(#REF!-#REF!)/#REF!</f>
        <v>#REF!</v>
      </c>
    </row>
    <row r="321" spans="1:46" x14ac:dyDescent="0.3">
      <c r="A321" s="48">
        <v>20190422</v>
      </c>
      <c r="B321" s="48" t="s">
        <v>88</v>
      </c>
      <c r="C321" s="79">
        <v>0.3</v>
      </c>
      <c r="D321" s="79">
        <f t="shared" si="96"/>
        <v>0.30090234961046269</v>
      </c>
      <c r="E321" s="49">
        <v>45300</v>
      </c>
      <c r="F321" s="49">
        <v>45350</v>
      </c>
      <c r="G321" s="49">
        <v>5969782550</v>
      </c>
      <c r="H321" s="49">
        <f t="shared" si="97"/>
        <v>0.33041489489478598</v>
      </c>
      <c r="I321" s="49">
        <f t="shared" si="108"/>
        <v>0.33041489489478598</v>
      </c>
      <c r="J321" s="48">
        <v>0.15</v>
      </c>
      <c r="K321" s="48">
        <f t="shared" si="98"/>
        <v>0.12723536365340468</v>
      </c>
      <c r="L321" s="48">
        <v>218000</v>
      </c>
      <c r="M321" s="48">
        <v>220500</v>
      </c>
      <c r="N321" s="51">
        <v>125461438</v>
      </c>
      <c r="O321" s="48">
        <f t="shared" si="99"/>
        <v>1.367284284481</v>
      </c>
      <c r="P321" s="48">
        <f t="shared" si="109"/>
        <v>1.367284284481</v>
      </c>
      <c r="Q321" s="49">
        <v>0.15</v>
      </c>
      <c r="R321" s="49">
        <f t="shared" si="100"/>
        <v>0.13106841786670367</v>
      </c>
      <c r="S321" s="49">
        <v>261500</v>
      </c>
      <c r="T321" s="49">
        <v>259300</v>
      </c>
      <c r="U321" s="49">
        <v>15956260</v>
      </c>
      <c r="V321" s="49">
        <f t="shared" si="101"/>
        <v>9.4174706940945896</v>
      </c>
      <c r="W321" s="49">
        <f t="shared" si="110"/>
        <v>9.4174706940945896</v>
      </c>
      <c r="X321" s="48">
        <v>0.1</v>
      </c>
      <c r="Y321" s="76">
        <f t="shared" si="102"/>
        <v>9.4501778632048727E-2</v>
      </c>
      <c r="Z321" s="18">
        <v>11085</v>
      </c>
      <c r="AA321" s="18">
        <v>11085</v>
      </c>
      <c r="AB321" s="18">
        <v>67900000</v>
      </c>
      <c r="AC321" s="117">
        <f t="shared" si="103"/>
        <v>37.325389828108001</v>
      </c>
      <c r="AD321" s="48">
        <f t="shared" si="111"/>
        <v>37.325389828108001</v>
      </c>
      <c r="AE321" s="49">
        <v>0.3</v>
      </c>
      <c r="AF321" s="49">
        <f t="shared" si="104"/>
        <v>0.34629209023738028</v>
      </c>
      <c r="AG321" s="19">
        <v>27200</v>
      </c>
      <c r="AH321" s="19">
        <v>26500</v>
      </c>
      <c r="AI321" s="19">
        <v>7239332</v>
      </c>
      <c r="AJ321" s="119">
        <f t="shared" si="105"/>
        <v>536.62147074441395</v>
      </c>
      <c r="AK321" s="49">
        <f t="shared" si="112"/>
        <v>536.62147074441395</v>
      </c>
      <c r="AL321" s="82">
        <f t="shared" si="113"/>
        <v>0</v>
      </c>
      <c r="AM321" s="82">
        <f t="shared" si="114"/>
        <v>247056688932415.56</v>
      </c>
      <c r="AN321" s="81">
        <f t="shared" si="106"/>
        <v>297282840139891.87</v>
      </c>
      <c r="AO321" s="80">
        <f t="shared" si="92"/>
        <v>1203.2980828186201</v>
      </c>
      <c r="AP321" s="52">
        <f t="shared" si="107"/>
        <v>-8.4136490467368423E-3</v>
      </c>
      <c r="AQ321" s="48">
        <f t="shared" si="93"/>
        <v>1.1037527593818985E-3</v>
      </c>
      <c r="AR321" s="48">
        <f t="shared" si="94"/>
        <v>1.1467889908256881E-2</v>
      </c>
      <c r="AS321" s="48">
        <f t="shared" si="95"/>
        <v>-8.4130019120458883E-3</v>
      </c>
      <c r="AT321" s="48" t="e">
        <f>(#REF!-#REF!)/#REF!</f>
        <v>#REF!</v>
      </c>
    </row>
    <row r="322" spans="1:46" x14ac:dyDescent="0.3">
      <c r="A322" s="48">
        <v>20190423</v>
      </c>
      <c r="B322" s="48" t="s">
        <v>88</v>
      </c>
      <c r="C322" s="79">
        <v>0.3</v>
      </c>
      <c r="D322" s="79">
        <f t="shared" si="96"/>
        <v>0.29616082882553446</v>
      </c>
      <c r="E322" s="49">
        <v>45350</v>
      </c>
      <c r="F322" s="49">
        <v>45200</v>
      </c>
      <c r="G322" s="49">
        <v>5969782550</v>
      </c>
      <c r="H322" s="49">
        <f t="shared" si="97"/>
        <v>0.33041489489478598</v>
      </c>
      <c r="I322" s="49">
        <f t="shared" si="108"/>
        <v>0.33041489489478598</v>
      </c>
      <c r="J322" s="48">
        <v>0.15</v>
      </c>
      <c r="K322" s="48">
        <f t="shared" si="98"/>
        <v>0.12621584134105238</v>
      </c>
      <c r="L322" s="48">
        <v>220500</v>
      </c>
      <c r="M322" s="48">
        <v>221500</v>
      </c>
      <c r="N322" s="51">
        <v>125461438</v>
      </c>
      <c r="O322" s="48">
        <f t="shared" si="99"/>
        <v>1.367284284481</v>
      </c>
      <c r="P322" s="48">
        <f t="shared" si="109"/>
        <v>1.367284284481</v>
      </c>
      <c r="Q322" s="49">
        <v>0.15</v>
      </c>
      <c r="R322" s="49">
        <f t="shared" si="100"/>
        <v>0.12943119219869964</v>
      </c>
      <c r="S322" s="49">
        <v>259300</v>
      </c>
      <c r="T322" s="49">
        <v>259300</v>
      </c>
      <c r="U322" s="49">
        <v>15956260</v>
      </c>
      <c r="V322" s="49">
        <f t="shared" si="101"/>
        <v>9.4174706940945896</v>
      </c>
      <c r="W322" s="49">
        <f t="shared" si="110"/>
        <v>9.4174706940945896</v>
      </c>
      <c r="X322" s="48">
        <v>0.1</v>
      </c>
      <c r="Y322" s="76">
        <f t="shared" si="102"/>
        <v>9.3321320821031464E-2</v>
      </c>
      <c r="Z322" s="18">
        <v>11085</v>
      </c>
      <c r="AA322" s="18">
        <v>11085</v>
      </c>
      <c r="AB322" s="18">
        <v>67900000</v>
      </c>
      <c r="AC322" s="117">
        <f t="shared" si="103"/>
        <v>37.325389828108001</v>
      </c>
      <c r="AD322" s="48">
        <f t="shared" si="111"/>
        <v>37.325389828108001</v>
      </c>
      <c r="AE322" s="49">
        <v>0.3</v>
      </c>
      <c r="AF322" s="49">
        <f t="shared" si="104"/>
        <v>0.35487081681368216</v>
      </c>
      <c r="AG322" s="19">
        <v>26500</v>
      </c>
      <c r="AH322" s="19">
        <v>27500</v>
      </c>
      <c r="AI322" s="19">
        <v>7239332</v>
      </c>
      <c r="AJ322" s="119">
        <f t="shared" si="105"/>
        <v>536.62147074441395</v>
      </c>
      <c r="AK322" s="49">
        <f t="shared" si="112"/>
        <v>536.62147074441395</v>
      </c>
      <c r="AL322" s="82">
        <f t="shared" si="113"/>
        <v>0</v>
      </c>
      <c r="AM322" s="82">
        <f t="shared" si="114"/>
        <v>247056688932415.56</v>
      </c>
      <c r="AN322" s="81">
        <f t="shared" si="106"/>
        <v>301043286816354.31</v>
      </c>
      <c r="AO322" s="80">
        <f t="shared" si="92"/>
        <v>1218.5190699236937</v>
      </c>
      <c r="AP322" s="52">
        <f t="shared" si="107"/>
        <v>1.2649390306863776E-2</v>
      </c>
      <c r="AQ322" s="48">
        <f t="shared" si="93"/>
        <v>-3.3076074972436605E-3</v>
      </c>
      <c r="AR322" s="48">
        <f t="shared" si="94"/>
        <v>4.5351473922902496E-3</v>
      </c>
      <c r="AS322" s="48">
        <f t="shared" si="95"/>
        <v>0</v>
      </c>
      <c r="AT322" s="48" t="e">
        <f>(#REF!-#REF!)/#REF!</f>
        <v>#REF!</v>
      </c>
    </row>
    <row r="323" spans="1:46" s="73" customFormat="1" x14ac:dyDescent="0.3">
      <c r="A323" s="48">
        <v>20190424</v>
      </c>
      <c r="B323" s="48" t="s">
        <v>88</v>
      </c>
      <c r="C323" s="79">
        <v>0.3</v>
      </c>
      <c r="D323" s="79">
        <f t="shared" si="96"/>
        <v>0.29656785660501495</v>
      </c>
      <c r="E323" s="49">
        <v>45200</v>
      </c>
      <c r="F323" s="49">
        <v>44750</v>
      </c>
      <c r="G323" s="49">
        <v>5969782550</v>
      </c>
      <c r="H323" s="49">
        <f t="shared" si="97"/>
        <v>0.33041489489478598</v>
      </c>
      <c r="I323" s="49">
        <f t="shared" si="108"/>
        <v>0.33285346015324302</v>
      </c>
      <c r="J323" s="48">
        <v>0.15</v>
      </c>
      <c r="K323" s="48">
        <f t="shared" si="98"/>
        <v>0.12564305462476311</v>
      </c>
      <c r="L323" s="48">
        <v>221500</v>
      </c>
      <c r="M323" s="48">
        <v>218000</v>
      </c>
      <c r="N323" s="51">
        <v>127953489</v>
      </c>
      <c r="O323" s="48">
        <f t="shared" si="99"/>
        <v>1.367284284481</v>
      </c>
      <c r="P323" s="48">
        <f t="shared" si="109"/>
        <v>1.3505491988037901</v>
      </c>
      <c r="Q323" s="49">
        <v>0.15</v>
      </c>
      <c r="R323" s="49">
        <f t="shared" si="100"/>
        <v>0.13071045966234132</v>
      </c>
      <c r="S323" s="49">
        <v>259300</v>
      </c>
      <c r="T323" s="49">
        <v>258900</v>
      </c>
      <c r="U323" s="49">
        <v>15956260</v>
      </c>
      <c r="V323" s="49">
        <f t="shared" si="101"/>
        <v>9.4174706940945896</v>
      </c>
      <c r="W323" s="49">
        <f t="shared" si="110"/>
        <v>9.4869745730419108</v>
      </c>
      <c r="X323" s="48">
        <v>0.1</v>
      </c>
      <c r="Y323" s="76">
        <f t="shared" si="102"/>
        <v>9.3367487513620506E-2</v>
      </c>
      <c r="Z323" s="18">
        <v>11085</v>
      </c>
      <c r="AA323" s="18">
        <v>10965</v>
      </c>
      <c r="AB323" s="18">
        <v>67900000</v>
      </c>
      <c r="AC323" s="117">
        <f t="shared" si="103"/>
        <v>37.325389828108001</v>
      </c>
      <c r="AD323" s="48">
        <f t="shared" si="111"/>
        <v>37.600862878202101</v>
      </c>
      <c r="AE323" s="49">
        <v>0.3</v>
      </c>
      <c r="AF323" s="49">
        <f t="shared" si="104"/>
        <v>0.35371114159426026</v>
      </c>
      <c r="AG323" s="19">
        <v>27500</v>
      </c>
      <c r="AH323" s="19">
        <v>27100</v>
      </c>
      <c r="AI323" s="19">
        <v>7239332</v>
      </c>
      <c r="AJ323" s="119">
        <f t="shared" si="105"/>
        <v>536.62147074441395</v>
      </c>
      <c r="AK323" s="49">
        <f t="shared" si="112"/>
        <v>540.58190502179798</v>
      </c>
      <c r="AL323" s="82">
        <f t="shared" si="113"/>
        <v>1</v>
      </c>
      <c r="AM323" s="82">
        <f t="shared" si="114"/>
        <v>248880044561379.91</v>
      </c>
      <c r="AN323" s="81">
        <f t="shared" si="106"/>
        <v>299833772746805.62</v>
      </c>
      <c r="AO323" s="80">
        <f t="shared" ref="AO323:AO380" si="115">AN323/AM323*1000</f>
        <v>1204.7320759493809</v>
      </c>
      <c r="AP323" s="52">
        <f t="shared" si="107"/>
        <v>-1.1314549205353108E-2</v>
      </c>
      <c r="AQ323" s="48">
        <f t="shared" ref="AQ323:AQ380" si="116">(F323-E323)/E323</f>
        <v>-9.9557522123893804E-3</v>
      </c>
      <c r="AR323" s="48">
        <f t="shared" ref="AR323:AR380" si="117">(M323-L323)/L323</f>
        <v>-1.580135440180587E-2</v>
      </c>
      <c r="AS323" s="48">
        <f t="shared" ref="AS323:AS380" si="118">(T323-S323)/S323</f>
        <v>-1.5426147319706903E-3</v>
      </c>
      <c r="AT323" s="48" t="e">
        <f>(#REF!-#REF!)/#REF!</f>
        <v>#REF!</v>
      </c>
    </row>
    <row r="324" spans="1:46" x14ac:dyDescent="0.3">
      <c r="A324" s="48">
        <v>20190425</v>
      </c>
      <c r="B324" s="48" t="s">
        <v>88</v>
      </c>
      <c r="C324" s="79">
        <v>0.3</v>
      </c>
      <c r="D324" s="79">
        <f t="shared" ref="D324:D380" si="119">F324*G324*I324/AN324</f>
        <v>0.30290122378280698</v>
      </c>
      <c r="E324" s="49">
        <v>44750</v>
      </c>
      <c r="F324" s="49">
        <v>44650</v>
      </c>
      <c r="G324" s="49">
        <v>5969782550</v>
      </c>
      <c r="H324" s="49">
        <f t="shared" ref="H324:H380" si="120">I323</f>
        <v>0.33285346015324302</v>
      </c>
      <c r="I324" s="49">
        <f t="shared" si="108"/>
        <v>0.33285346015324302</v>
      </c>
      <c r="J324" s="48">
        <v>0.15</v>
      </c>
      <c r="K324" s="48">
        <f t="shared" ref="K324:K380" si="121">M324*N324*P324/AN324</f>
        <v>0.12477882465233825</v>
      </c>
      <c r="L324" s="48">
        <v>218000</v>
      </c>
      <c r="M324" s="48">
        <v>211500</v>
      </c>
      <c r="N324" s="51">
        <v>127953489</v>
      </c>
      <c r="O324" s="48">
        <f t="shared" ref="O324:O380" si="122">P323</f>
        <v>1.3505491988037901</v>
      </c>
      <c r="P324" s="48">
        <f t="shared" si="109"/>
        <v>1.3505491988037901</v>
      </c>
      <c r="Q324" s="49">
        <v>0.15</v>
      </c>
      <c r="R324" s="49">
        <f t="shared" ref="R324:R380" si="123">T324*U324*W324/AN324</f>
        <v>0.1313718645022236</v>
      </c>
      <c r="S324" s="49">
        <v>258900</v>
      </c>
      <c r="T324" s="49">
        <v>254200</v>
      </c>
      <c r="U324" s="49">
        <v>15956260</v>
      </c>
      <c r="V324" s="49">
        <f t="shared" ref="V324:V380" si="124">W323</f>
        <v>9.4869745730419108</v>
      </c>
      <c r="W324" s="49">
        <f t="shared" si="110"/>
        <v>9.4869745730419108</v>
      </c>
      <c r="X324" s="48">
        <v>0.1</v>
      </c>
      <c r="Y324" s="76">
        <f t="shared" ref="Y324:Y380" si="125">AA324*AB324*AD324/AN324</f>
        <v>9.5574976136311357E-2</v>
      </c>
      <c r="Z324" s="18">
        <v>10965</v>
      </c>
      <c r="AA324" s="18">
        <v>10965</v>
      </c>
      <c r="AB324" s="18">
        <v>67900000</v>
      </c>
      <c r="AC324" s="117">
        <f t="shared" ref="AC324:AC380" si="126">AD323</f>
        <v>37.600862878202101</v>
      </c>
      <c r="AD324" s="48">
        <f t="shared" si="111"/>
        <v>37.600862878202101</v>
      </c>
      <c r="AE324" s="49">
        <v>0.3</v>
      </c>
      <c r="AF324" s="49">
        <f t="shared" ref="AF324:AF380" si="127">AH324*AI324*AK324/AN324</f>
        <v>0.34537311092631978</v>
      </c>
      <c r="AG324" s="19">
        <v>27100</v>
      </c>
      <c r="AH324" s="19">
        <v>25850</v>
      </c>
      <c r="AI324" s="19">
        <v>7239332</v>
      </c>
      <c r="AJ324" s="119">
        <f t="shared" ref="AJ324:AJ380" si="128">AK323</f>
        <v>540.58190502179798</v>
      </c>
      <c r="AK324" s="49">
        <f t="shared" si="112"/>
        <v>540.58190502179798</v>
      </c>
      <c r="AL324" s="82">
        <f t="shared" si="113"/>
        <v>0</v>
      </c>
      <c r="AM324" s="82">
        <f t="shared" si="114"/>
        <v>248880044561379.91</v>
      </c>
      <c r="AN324" s="81">
        <f t="shared" ref="AN324:AN380" si="129">F324*G324*I324+M324*N324*P324+T324*U324*W324+AA324*AB324*AD324+AH324*AI324*AK324</f>
        <v>292908532806457</v>
      </c>
      <c r="AO324" s="80">
        <f t="shared" si="115"/>
        <v>1176.9064623990719</v>
      </c>
      <c r="AP324" s="52">
        <f t="shared" ref="AP324:AP380" si="130">(AO324-AO323)/AO323</f>
        <v>-2.3096930932449262E-2</v>
      </c>
      <c r="AQ324" s="48">
        <f t="shared" si="116"/>
        <v>-2.2346368715083797E-3</v>
      </c>
      <c r="AR324" s="48">
        <f t="shared" si="117"/>
        <v>-2.9816513761467892E-2</v>
      </c>
      <c r="AS324" s="48">
        <f t="shared" si="118"/>
        <v>-1.8153727307840865E-2</v>
      </c>
      <c r="AT324" s="48" t="e">
        <f>(#REF!-#REF!)/#REF!</f>
        <v>#REF!</v>
      </c>
    </row>
    <row r="325" spans="1:46" x14ac:dyDescent="0.3">
      <c r="A325" s="48">
        <v>20190426</v>
      </c>
      <c r="B325" s="48" t="s">
        <v>88</v>
      </c>
      <c r="C325" s="79">
        <v>0.3</v>
      </c>
      <c r="D325" s="79">
        <f t="shared" si="119"/>
        <v>0.30208760640428278</v>
      </c>
      <c r="E325" s="49">
        <v>44650</v>
      </c>
      <c r="F325" s="49">
        <v>44850</v>
      </c>
      <c r="G325" s="49">
        <v>5969782550</v>
      </c>
      <c r="H325" s="49">
        <f t="shared" si="120"/>
        <v>0.33285346015324302</v>
      </c>
      <c r="I325" s="49">
        <f t="shared" ref="I325:I380" si="131">IF(B325="Y",ROUND(C325*(E325*G325+L325*N325+S325*U325+Z325*AB325+AG325*AI325)/(E325*G325),17),IF(AL325=0,H325,ROUND(F324*G324*I324/AN324*(E325*G325+L325*N325+S325*U325+Z325*AB325+AG325*AI325)/(E325*G325),17)))</f>
        <v>0.33285346015324302</v>
      </c>
      <c r="J325" s="48">
        <v>0.15</v>
      </c>
      <c r="K325" s="48">
        <f t="shared" si="121"/>
        <v>0.12418160700378565</v>
      </c>
      <c r="L325" s="48">
        <v>211500</v>
      </c>
      <c r="M325" s="48">
        <v>212000</v>
      </c>
      <c r="N325" s="51">
        <v>127953489</v>
      </c>
      <c r="O325" s="48">
        <f t="shared" si="122"/>
        <v>1.3505491988037901</v>
      </c>
      <c r="P325" s="48">
        <f t="shared" ref="P325:P380" si="132">IF(B325="Y",ROUND(J325*(E325*G325+L325*N325+S325*U325+Z325*AB325+AG325*AI325)/(L325*N325),17),IF(AL325=0,O325,ROUND(M324*N324*P324/AN324*(E325*G325+L325*N325+S325*U325+Z325*AB325+AG325*AI325)/(L325*N325),17)))</f>
        <v>1.3505491988037901</v>
      </c>
      <c r="Q325" s="49">
        <v>0.15</v>
      </c>
      <c r="R325" s="49">
        <f t="shared" si="123"/>
        <v>0.13043473483380336</v>
      </c>
      <c r="S325" s="49">
        <v>254200</v>
      </c>
      <c r="T325" s="49">
        <v>254200</v>
      </c>
      <c r="U325" s="49">
        <v>15956260</v>
      </c>
      <c r="V325" s="49">
        <f t="shared" si="124"/>
        <v>9.4869745730419108</v>
      </c>
      <c r="W325" s="49">
        <f t="shared" ref="W325:W380" si="133">IF(B325="Y",ROUND(Q325*(E325*G325+L325*N325+S325*U325+Z325*AB325+AG325*AI325)/(S325*U325),17),IF(AL325=0,V325,ROUND(T324*U324*W324/AN324*(E325*G325+L325*N325+S325*U325+Z325*AB325+AG325*AI325)/(S325*U325),17)))</f>
        <v>9.4869745730419108</v>
      </c>
      <c r="X325" s="48">
        <v>0.1</v>
      </c>
      <c r="Y325" s="76">
        <f t="shared" si="125"/>
        <v>9.4417219944597217E-2</v>
      </c>
      <c r="Z325" s="18">
        <v>10965</v>
      </c>
      <c r="AA325" s="18">
        <v>10910</v>
      </c>
      <c r="AB325" s="18">
        <v>67900000</v>
      </c>
      <c r="AC325" s="117">
        <f t="shared" si="126"/>
        <v>37.600862878202101</v>
      </c>
      <c r="AD325" s="48">
        <f t="shared" ref="AD325:AD380" si="134">IFERROR(IF(B325="Y",ROUND(X325*(E325*G325+L325*N325+S325*U325+Z325*AB325+AG325*AI325)/(Z325*AB325),17),IF(AL325=0,AC325,ROUND(AA324*AB324*AD324/AN324*(E325*G325+L325*N325+S325*U325+Z325*AB325+AG325*AI325)/(Z325*AB325),17))),0)</f>
        <v>37.600862878202101</v>
      </c>
      <c r="AE325" s="49">
        <v>0.3</v>
      </c>
      <c r="AF325" s="49">
        <f t="shared" si="127"/>
        <v>0.34887883181353097</v>
      </c>
      <c r="AG325" s="19">
        <v>25850</v>
      </c>
      <c r="AH325" s="19">
        <v>26300</v>
      </c>
      <c r="AI325" s="19">
        <v>7239332</v>
      </c>
      <c r="AJ325" s="119">
        <f t="shared" si="128"/>
        <v>540.58190502179798</v>
      </c>
      <c r="AK325" s="49">
        <f t="shared" ref="AK325:AK380" si="135">IFERROR(IF(B325="Y",ROUND(AE325*(E325*G325+L325*N325+S325*U325+Z325*AB325+AG325*AI325)/(AG325*AI325),17),IF(AL325=0,AJ325,ROUND(AH324*AI324*AK324/AN324*(E325*G325+L325*N325+S325*U325+Z325*AB325+AG325*AI325)/(AG325*AI325),17))),0)</f>
        <v>540.58190502179798</v>
      </c>
      <c r="AL325" s="82">
        <f t="shared" ref="AL325:AL380" si="136">IF(AN324&lt;&gt;(E325*G325*H325+L325*N325*O325+S325*U325*V325+Z325*AB325*AC325+AG325*AI325*AJ325),1,0)</f>
        <v>0</v>
      </c>
      <c r="AM325" s="82">
        <f t="shared" ref="AM325:AM380" si="137">IF(AND(AL325=0,B325="N"),AM324,AM324*(E325*G325*I325+L325*N325*P325+S325*U325*W325+Z325*AB325*AD325+AG325*AI325*AK325)/AN324)</f>
        <v>248880044561379.91</v>
      </c>
      <c r="AN325" s="81">
        <f t="shared" si="129"/>
        <v>295012982028331.25</v>
      </c>
      <c r="AO325" s="80">
        <f t="shared" si="115"/>
        <v>1185.3621392115022</v>
      </c>
      <c r="AP325" s="52">
        <f t="shared" si="130"/>
        <v>7.1846634227785266E-3</v>
      </c>
      <c r="AQ325" s="48">
        <f t="shared" si="116"/>
        <v>4.4792833146696529E-3</v>
      </c>
      <c r="AR325" s="48">
        <f t="shared" si="117"/>
        <v>2.3640661938534278E-3</v>
      </c>
      <c r="AS325" s="48">
        <f t="shared" si="118"/>
        <v>0</v>
      </c>
      <c r="AT325" s="48" t="e">
        <f>(#REF!-#REF!)/#REF!</f>
        <v>#REF!</v>
      </c>
    </row>
    <row r="326" spans="1:46" x14ac:dyDescent="0.3">
      <c r="A326" s="48">
        <v>20190429</v>
      </c>
      <c r="B326" s="48" t="s">
        <v>88</v>
      </c>
      <c r="C326" s="79">
        <v>0.3</v>
      </c>
      <c r="D326" s="79">
        <f t="shared" si="119"/>
        <v>0.30297909729447936</v>
      </c>
      <c r="E326" s="49">
        <v>44850</v>
      </c>
      <c r="F326" s="49">
        <v>46150</v>
      </c>
      <c r="G326" s="49">
        <v>5969782550</v>
      </c>
      <c r="H326" s="49">
        <f t="shared" si="120"/>
        <v>0.33285346015324302</v>
      </c>
      <c r="I326" s="49">
        <f t="shared" si="131"/>
        <v>0.33285346015324302</v>
      </c>
      <c r="J326" s="48">
        <v>0.15</v>
      </c>
      <c r="K326" s="48">
        <f t="shared" si="121"/>
        <v>0.1233234504049579</v>
      </c>
      <c r="L326" s="48">
        <v>212000</v>
      </c>
      <c r="M326" s="48">
        <v>216000</v>
      </c>
      <c r="N326" s="51">
        <v>127953489</v>
      </c>
      <c r="O326" s="48">
        <f t="shared" si="122"/>
        <v>1.3505491988037901</v>
      </c>
      <c r="P326" s="48">
        <f t="shared" si="132"/>
        <v>1.3505491988037901</v>
      </c>
      <c r="Q326" s="49">
        <v>0.15</v>
      </c>
      <c r="R326" s="49">
        <f t="shared" si="123"/>
        <v>0.12923517165322757</v>
      </c>
      <c r="S326" s="49">
        <v>254200</v>
      </c>
      <c r="T326" s="49">
        <v>258400</v>
      </c>
      <c r="U326" s="49">
        <v>15956260</v>
      </c>
      <c r="V326" s="49">
        <f t="shared" si="124"/>
        <v>9.4869745730419108</v>
      </c>
      <c r="W326" s="49">
        <f t="shared" si="133"/>
        <v>9.4869745730419108</v>
      </c>
      <c r="X326" s="48">
        <v>0.1</v>
      </c>
      <c r="Y326" s="76">
        <f t="shared" si="125"/>
        <v>9.3420178835511972E-2</v>
      </c>
      <c r="Z326" s="18">
        <v>10910</v>
      </c>
      <c r="AA326" s="18">
        <v>11075</v>
      </c>
      <c r="AB326" s="18">
        <v>67900000</v>
      </c>
      <c r="AC326" s="117">
        <f t="shared" si="126"/>
        <v>37.600862878202101</v>
      </c>
      <c r="AD326" s="48">
        <f t="shared" si="134"/>
        <v>37.600862878202101</v>
      </c>
      <c r="AE326" s="49">
        <v>0.3</v>
      </c>
      <c r="AF326" s="49">
        <f t="shared" si="127"/>
        <v>0.35104210181182316</v>
      </c>
      <c r="AG326" s="19">
        <v>26300</v>
      </c>
      <c r="AH326" s="19">
        <v>27150</v>
      </c>
      <c r="AI326" s="19">
        <v>7239332</v>
      </c>
      <c r="AJ326" s="119">
        <f t="shared" si="128"/>
        <v>540.58190502179798</v>
      </c>
      <c r="AK326" s="49">
        <f t="shared" si="135"/>
        <v>540.58190502179798</v>
      </c>
      <c r="AL326" s="82">
        <f t="shared" si="136"/>
        <v>0</v>
      </c>
      <c r="AM326" s="82">
        <f t="shared" si="137"/>
        <v>248880044561379.91</v>
      </c>
      <c r="AN326" s="81">
        <f t="shared" si="129"/>
        <v>302670870794650.56</v>
      </c>
      <c r="AO326" s="80">
        <f t="shared" si="115"/>
        <v>1216.1315356884893</v>
      </c>
      <c r="AP326" s="52">
        <f t="shared" si="130"/>
        <v>2.5957802648779393E-2</v>
      </c>
      <c r="AQ326" s="48">
        <f t="shared" si="116"/>
        <v>2.8985507246376812E-2</v>
      </c>
      <c r="AR326" s="48">
        <f t="shared" si="117"/>
        <v>1.8867924528301886E-2</v>
      </c>
      <c r="AS326" s="48">
        <f t="shared" si="118"/>
        <v>1.6522423288749016E-2</v>
      </c>
      <c r="AT326" s="48" t="e">
        <f>(#REF!-#REF!)/#REF!</f>
        <v>#REF!</v>
      </c>
    </row>
    <row r="327" spans="1:46" x14ac:dyDescent="0.3">
      <c r="A327" s="48">
        <v>20190430</v>
      </c>
      <c r="B327" s="48" t="s">
        <v>88</v>
      </c>
      <c r="C327" s="79">
        <v>0.3</v>
      </c>
      <c r="D327" s="79">
        <f t="shared" si="119"/>
        <v>0.30300261273853807</v>
      </c>
      <c r="E327" s="49">
        <v>46150</v>
      </c>
      <c r="F327" s="49">
        <v>45850</v>
      </c>
      <c r="G327" s="49">
        <v>5969782550</v>
      </c>
      <c r="H327" s="49">
        <f t="shared" si="120"/>
        <v>0.33285346015324302</v>
      </c>
      <c r="I327" s="49">
        <f t="shared" si="131"/>
        <v>0.33285346015324302</v>
      </c>
      <c r="J327" s="48">
        <v>0.15</v>
      </c>
      <c r="K327" s="48">
        <f t="shared" si="121"/>
        <v>0.12184111040898234</v>
      </c>
      <c r="L327" s="48">
        <v>216000</v>
      </c>
      <c r="M327" s="48">
        <v>212000</v>
      </c>
      <c r="N327" s="51">
        <v>127953489</v>
      </c>
      <c r="O327" s="48">
        <f t="shared" si="122"/>
        <v>1.3505491988037901</v>
      </c>
      <c r="P327" s="48">
        <f t="shared" si="132"/>
        <v>1.3505491988037901</v>
      </c>
      <c r="Q327" s="49">
        <v>0.15</v>
      </c>
      <c r="R327" s="49">
        <f t="shared" si="123"/>
        <v>0.13104741366957837</v>
      </c>
      <c r="S327" s="49">
        <v>258400</v>
      </c>
      <c r="T327" s="49">
        <v>260300</v>
      </c>
      <c r="U327" s="49">
        <v>15956260</v>
      </c>
      <c r="V327" s="49">
        <f t="shared" si="124"/>
        <v>9.4869745730419108</v>
      </c>
      <c r="W327" s="49">
        <f t="shared" si="133"/>
        <v>9.4869745730419108</v>
      </c>
      <c r="X327" s="48">
        <v>0.1</v>
      </c>
      <c r="Y327" s="76">
        <f t="shared" si="125"/>
        <v>9.3996276848769697E-2</v>
      </c>
      <c r="Z327" s="18">
        <v>11075</v>
      </c>
      <c r="AA327" s="18">
        <v>11070</v>
      </c>
      <c r="AB327" s="18">
        <v>67900000</v>
      </c>
      <c r="AC327" s="117">
        <f t="shared" si="126"/>
        <v>37.600862878202101</v>
      </c>
      <c r="AD327" s="48">
        <f t="shared" si="134"/>
        <v>37.600862878202101</v>
      </c>
      <c r="AE327" s="49">
        <v>0.3</v>
      </c>
      <c r="AF327" s="49">
        <f t="shared" si="127"/>
        <v>0.35011258633413145</v>
      </c>
      <c r="AG327" s="19">
        <v>27150</v>
      </c>
      <c r="AH327" s="19">
        <v>26900</v>
      </c>
      <c r="AI327" s="19">
        <v>7239332</v>
      </c>
      <c r="AJ327" s="119">
        <f t="shared" si="128"/>
        <v>540.58190502179798</v>
      </c>
      <c r="AK327" s="49">
        <f t="shared" si="135"/>
        <v>540.58190502179798</v>
      </c>
      <c r="AL327" s="82">
        <f t="shared" si="136"/>
        <v>0</v>
      </c>
      <c r="AM327" s="82">
        <f t="shared" si="137"/>
        <v>248880044561379.91</v>
      </c>
      <c r="AN327" s="81">
        <f t="shared" si="129"/>
        <v>300680009171652.31</v>
      </c>
      <c r="AO327" s="80">
        <f t="shared" si="115"/>
        <v>1208.1322538396496</v>
      </c>
      <c r="AP327" s="52">
        <f t="shared" si="130"/>
        <v>-6.5776452744571437E-3</v>
      </c>
      <c r="AQ327" s="48">
        <f t="shared" si="116"/>
        <v>-6.5005417118093175E-3</v>
      </c>
      <c r="AR327" s="48">
        <f t="shared" si="117"/>
        <v>-1.8518518518518517E-2</v>
      </c>
      <c r="AS327" s="48">
        <f t="shared" si="118"/>
        <v>7.3529411764705881E-3</v>
      </c>
      <c r="AT327" s="48" t="e">
        <f>(#REF!-#REF!)/#REF!</f>
        <v>#REF!</v>
      </c>
    </row>
    <row r="328" spans="1:46" x14ac:dyDescent="0.3">
      <c r="A328" s="48">
        <v>20190502</v>
      </c>
      <c r="B328" s="48" t="s">
        <v>88</v>
      </c>
      <c r="C328" s="79">
        <v>0.3</v>
      </c>
      <c r="D328" s="79">
        <f t="shared" si="119"/>
        <v>0.30677213554597965</v>
      </c>
      <c r="E328" s="49">
        <v>45850</v>
      </c>
      <c r="F328" s="49">
        <v>45900</v>
      </c>
      <c r="G328" s="49">
        <v>5969782550</v>
      </c>
      <c r="H328" s="49">
        <f t="shared" si="120"/>
        <v>0.33285346015324302</v>
      </c>
      <c r="I328" s="49">
        <f t="shared" si="131"/>
        <v>0.33285346015324302</v>
      </c>
      <c r="J328" s="48">
        <v>0.15</v>
      </c>
      <c r="K328" s="48">
        <f t="shared" si="121"/>
        <v>0.12031631542166876</v>
      </c>
      <c r="L328" s="48">
        <v>212000</v>
      </c>
      <c r="M328" s="48">
        <v>207000</v>
      </c>
      <c r="N328" s="51">
        <v>127953489</v>
      </c>
      <c r="O328" s="48">
        <f t="shared" si="122"/>
        <v>1.3505491988037901</v>
      </c>
      <c r="P328" s="48">
        <f t="shared" si="132"/>
        <v>1.3505491988037901</v>
      </c>
      <c r="Q328" s="49">
        <v>0.15</v>
      </c>
      <c r="R328" s="49">
        <f t="shared" si="123"/>
        <v>0.12718705483841317</v>
      </c>
      <c r="S328" s="49">
        <v>260300</v>
      </c>
      <c r="T328" s="49">
        <v>249800</v>
      </c>
      <c r="U328" s="49">
        <v>15956260</v>
      </c>
      <c r="V328" s="49">
        <f t="shared" si="124"/>
        <v>9.4869745730419108</v>
      </c>
      <c r="W328" s="49">
        <f t="shared" si="133"/>
        <v>9.4869745730419108</v>
      </c>
      <c r="X328" s="48">
        <v>0.1</v>
      </c>
      <c r="Y328" s="76">
        <f t="shared" si="125"/>
        <v>9.4933166818878048E-2</v>
      </c>
      <c r="Z328" s="18">
        <v>11070</v>
      </c>
      <c r="AA328" s="18">
        <v>11055</v>
      </c>
      <c r="AB328" s="18">
        <v>67900000</v>
      </c>
      <c r="AC328" s="117">
        <f t="shared" si="126"/>
        <v>37.600862878202101</v>
      </c>
      <c r="AD328" s="48">
        <f t="shared" si="134"/>
        <v>37.600862878202101</v>
      </c>
      <c r="AE328" s="49">
        <v>0.3</v>
      </c>
      <c r="AF328" s="49">
        <f t="shared" si="127"/>
        <v>0.35079132737506047</v>
      </c>
      <c r="AG328" s="19">
        <v>26900</v>
      </c>
      <c r="AH328" s="19">
        <v>26650</v>
      </c>
      <c r="AI328" s="19">
        <v>7239332</v>
      </c>
      <c r="AJ328" s="119">
        <f t="shared" si="128"/>
        <v>540.58190502179798</v>
      </c>
      <c r="AK328" s="49">
        <f t="shared" si="135"/>
        <v>540.58190502179798</v>
      </c>
      <c r="AL328" s="82">
        <f t="shared" si="136"/>
        <v>0</v>
      </c>
      <c r="AM328" s="82">
        <f t="shared" si="137"/>
        <v>248880044561379.91</v>
      </c>
      <c r="AN328" s="81">
        <f t="shared" si="129"/>
        <v>297309210805081.62</v>
      </c>
      <c r="AO328" s="80">
        <f t="shared" si="115"/>
        <v>1194.588386260747</v>
      </c>
      <c r="AP328" s="52">
        <f t="shared" si="130"/>
        <v>-1.1210583556442477E-2</v>
      </c>
      <c r="AQ328" s="48">
        <f t="shared" si="116"/>
        <v>1.0905125408942203E-3</v>
      </c>
      <c r="AR328" s="48">
        <f t="shared" si="117"/>
        <v>-2.358490566037736E-2</v>
      </c>
      <c r="AS328" s="48">
        <f t="shared" si="118"/>
        <v>-4.0338071456012294E-2</v>
      </c>
      <c r="AT328" s="48" t="e">
        <f>(#REF!-#REF!)/#REF!</f>
        <v>#REF!</v>
      </c>
    </row>
    <row r="329" spans="1:46" x14ac:dyDescent="0.3">
      <c r="A329" s="48">
        <v>20190503</v>
      </c>
      <c r="B329" s="48" t="s">
        <v>88</v>
      </c>
      <c r="C329" s="79">
        <v>0.3</v>
      </c>
      <c r="D329" s="79">
        <f t="shared" si="119"/>
        <v>0.30148479412228341</v>
      </c>
      <c r="E329" s="49">
        <v>45900</v>
      </c>
      <c r="F329" s="49">
        <v>45300</v>
      </c>
      <c r="G329" s="49">
        <v>5969782550</v>
      </c>
      <c r="H329" s="49">
        <f t="shared" si="120"/>
        <v>0.33285346015324302</v>
      </c>
      <c r="I329" s="49">
        <f t="shared" si="131"/>
        <v>0.33285346015324302</v>
      </c>
      <c r="J329" s="48">
        <v>0.15</v>
      </c>
      <c r="K329" s="48">
        <f t="shared" si="121"/>
        <v>0.11836177708673147</v>
      </c>
      <c r="L329" s="48">
        <v>207000</v>
      </c>
      <c r="M329" s="48">
        <v>204500</v>
      </c>
      <c r="N329" s="51">
        <v>127953489</v>
      </c>
      <c r="O329" s="48">
        <f t="shared" si="122"/>
        <v>1.3505491988037901</v>
      </c>
      <c r="P329" s="48">
        <f t="shared" si="132"/>
        <v>1.3505491988037901</v>
      </c>
      <c r="Q329" s="49">
        <v>0.15</v>
      </c>
      <c r="R329" s="49">
        <f t="shared" si="123"/>
        <v>0.12573788305731032</v>
      </c>
      <c r="S329" s="49">
        <v>249800</v>
      </c>
      <c r="T329" s="49">
        <v>248000</v>
      </c>
      <c r="U329" s="49">
        <v>15956260</v>
      </c>
      <c r="V329" s="49">
        <f t="shared" si="124"/>
        <v>9.4869745730419108</v>
      </c>
      <c r="W329" s="49">
        <f t="shared" si="133"/>
        <v>9.4869745730419108</v>
      </c>
      <c r="X329" s="48">
        <v>0.1</v>
      </c>
      <c r="Y329" s="76">
        <f t="shared" si="125"/>
        <v>9.4618187923413755E-2</v>
      </c>
      <c r="Z329" s="18">
        <v>11055</v>
      </c>
      <c r="AA329" s="18">
        <v>11065</v>
      </c>
      <c r="AB329" s="18">
        <v>67900000</v>
      </c>
      <c r="AC329" s="117">
        <f t="shared" si="126"/>
        <v>37.600862878202101</v>
      </c>
      <c r="AD329" s="48">
        <f t="shared" si="134"/>
        <v>37.600862878202101</v>
      </c>
      <c r="AE329" s="49">
        <v>0.3</v>
      </c>
      <c r="AF329" s="49">
        <f t="shared" si="127"/>
        <v>0.35979735781026118</v>
      </c>
      <c r="AG329" s="19">
        <v>26650</v>
      </c>
      <c r="AH329" s="19">
        <v>27450</v>
      </c>
      <c r="AI329" s="19">
        <v>7239332</v>
      </c>
      <c r="AJ329" s="119">
        <f t="shared" si="128"/>
        <v>540.58190502179798</v>
      </c>
      <c r="AK329" s="49">
        <f t="shared" si="135"/>
        <v>540.58190502179798</v>
      </c>
      <c r="AL329" s="82">
        <f t="shared" si="136"/>
        <v>0</v>
      </c>
      <c r="AM329" s="82">
        <f t="shared" si="137"/>
        <v>248880044561379.91</v>
      </c>
      <c r="AN329" s="81">
        <f t="shared" si="129"/>
        <v>298568768986659.87</v>
      </c>
      <c r="AO329" s="80">
        <f t="shared" si="115"/>
        <v>1199.6492909379301</v>
      </c>
      <c r="AP329" s="52">
        <f t="shared" si="130"/>
        <v>4.2365259326055654E-3</v>
      </c>
      <c r="AQ329" s="48">
        <f t="shared" si="116"/>
        <v>-1.3071895424836602E-2</v>
      </c>
      <c r="AR329" s="48">
        <f t="shared" si="117"/>
        <v>-1.2077294685990338E-2</v>
      </c>
      <c r="AS329" s="48">
        <f t="shared" si="118"/>
        <v>-7.2057646116893519E-3</v>
      </c>
      <c r="AT329" s="48" t="e">
        <f>(#REF!-#REF!)/#REF!</f>
        <v>#REF!</v>
      </c>
    </row>
    <row r="330" spans="1:46" x14ac:dyDescent="0.3">
      <c r="A330" s="48">
        <v>20190507</v>
      </c>
      <c r="B330" s="48" t="s">
        <v>88</v>
      </c>
      <c r="C330" s="79">
        <v>0.3</v>
      </c>
      <c r="D330" s="79">
        <f t="shared" si="119"/>
        <v>0.30257706602962353</v>
      </c>
      <c r="E330" s="49">
        <v>45300</v>
      </c>
      <c r="F330" s="49">
        <v>44850</v>
      </c>
      <c r="G330" s="49">
        <v>5969782550</v>
      </c>
      <c r="H330" s="49">
        <f t="shared" si="120"/>
        <v>0.33285346015324302</v>
      </c>
      <c r="I330" s="49">
        <f t="shared" si="131"/>
        <v>0.33285346015324302</v>
      </c>
      <c r="J330" s="48">
        <v>0.15</v>
      </c>
      <c r="K330" s="48">
        <f t="shared" si="121"/>
        <v>0.12056918916105863</v>
      </c>
      <c r="L330" s="48">
        <v>204500</v>
      </c>
      <c r="M330" s="48">
        <v>205500</v>
      </c>
      <c r="N330" s="51">
        <v>127953489</v>
      </c>
      <c r="O330" s="48">
        <f t="shared" si="122"/>
        <v>1.3505491988037901</v>
      </c>
      <c r="P330" s="48">
        <f t="shared" si="132"/>
        <v>1.3505491988037901</v>
      </c>
      <c r="Q330" s="49">
        <v>0.15</v>
      </c>
      <c r="R330" s="49">
        <f t="shared" si="123"/>
        <v>0.12309100865770808</v>
      </c>
      <c r="S330" s="49">
        <v>248000</v>
      </c>
      <c r="T330" s="49">
        <v>239500</v>
      </c>
      <c r="U330" s="49">
        <v>15956260</v>
      </c>
      <c r="V330" s="49">
        <f t="shared" si="124"/>
        <v>9.4869745730419108</v>
      </c>
      <c r="W330" s="49">
        <f t="shared" si="133"/>
        <v>9.4869745730419108</v>
      </c>
      <c r="X330" s="48">
        <v>0.1</v>
      </c>
      <c r="Y330" s="76">
        <f t="shared" si="125"/>
        <v>9.4353494810387725E-2</v>
      </c>
      <c r="Z330" s="18">
        <v>11065</v>
      </c>
      <c r="AA330" s="18">
        <v>10885</v>
      </c>
      <c r="AB330" s="18">
        <v>67900000</v>
      </c>
      <c r="AC330" s="117">
        <f t="shared" si="126"/>
        <v>37.600862878202101</v>
      </c>
      <c r="AD330" s="48">
        <f t="shared" si="134"/>
        <v>37.600862878202101</v>
      </c>
      <c r="AE330" s="49">
        <v>0.3</v>
      </c>
      <c r="AF330" s="49">
        <f t="shared" si="127"/>
        <v>0.35940924134122199</v>
      </c>
      <c r="AG330" s="19">
        <v>27450</v>
      </c>
      <c r="AH330" s="19">
        <v>27050</v>
      </c>
      <c r="AI330" s="19">
        <v>7239332</v>
      </c>
      <c r="AJ330" s="119">
        <f t="shared" si="128"/>
        <v>540.58190502179798</v>
      </c>
      <c r="AK330" s="49">
        <f t="shared" si="135"/>
        <v>540.58190502179798</v>
      </c>
      <c r="AL330" s="82">
        <f t="shared" si="136"/>
        <v>0</v>
      </c>
      <c r="AM330" s="82">
        <f t="shared" si="137"/>
        <v>248880044561379.91</v>
      </c>
      <c r="AN330" s="81">
        <f t="shared" si="129"/>
        <v>294535758339341.87</v>
      </c>
      <c r="AO330" s="80">
        <f t="shared" si="115"/>
        <v>1183.4446544656662</v>
      </c>
      <c r="AP330" s="52">
        <f t="shared" si="130"/>
        <v>-1.3507811486800901E-2</v>
      </c>
      <c r="AQ330" s="48">
        <f t="shared" si="116"/>
        <v>-9.9337748344370865E-3</v>
      </c>
      <c r="AR330" s="48">
        <f t="shared" si="117"/>
        <v>4.8899755501222494E-3</v>
      </c>
      <c r="AS330" s="48">
        <f t="shared" si="118"/>
        <v>-3.4274193548387094E-2</v>
      </c>
      <c r="AT330" s="48" t="e">
        <f>(#REF!-#REF!)/#REF!</f>
        <v>#REF!</v>
      </c>
    </row>
    <row r="331" spans="1:46" x14ac:dyDescent="0.3">
      <c r="A331" s="48">
        <v>20190508</v>
      </c>
      <c r="B331" s="48" t="s">
        <v>88</v>
      </c>
      <c r="C331" s="79">
        <v>0.3</v>
      </c>
      <c r="D331" s="79">
        <f t="shared" si="119"/>
        <v>0.30210737249875275</v>
      </c>
      <c r="E331" s="49">
        <v>44850</v>
      </c>
      <c r="F331" s="49">
        <v>44250</v>
      </c>
      <c r="G331" s="49">
        <v>5969782550</v>
      </c>
      <c r="H331" s="49">
        <f t="shared" si="120"/>
        <v>0.33285346015324302</v>
      </c>
      <c r="I331" s="49">
        <f t="shared" si="131"/>
        <v>0.33285346015324302</v>
      </c>
      <c r="J331" s="48">
        <v>0.15</v>
      </c>
      <c r="K331" s="48">
        <f t="shared" si="121"/>
        <v>0.12201432704255508</v>
      </c>
      <c r="L331" s="48">
        <v>205500</v>
      </c>
      <c r="M331" s="48">
        <v>205500</v>
      </c>
      <c r="N331" s="51">
        <v>127953489</v>
      </c>
      <c r="O331" s="48">
        <f t="shared" si="122"/>
        <v>1.3505491988037901</v>
      </c>
      <c r="P331" s="48">
        <f t="shared" si="132"/>
        <v>1.3505491988037901</v>
      </c>
      <c r="Q331" s="49">
        <v>0.15</v>
      </c>
      <c r="R331" s="49">
        <f t="shared" si="123"/>
        <v>0.12030147001743091</v>
      </c>
      <c r="S331" s="49">
        <v>239500</v>
      </c>
      <c r="T331" s="49">
        <v>231300</v>
      </c>
      <c r="U331" s="49">
        <v>15956260</v>
      </c>
      <c r="V331" s="49">
        <f t="shared" si="124"/>
        <v>9.4869745730419108</v>
      </c>
      <c r="W331" s="49">
        <f t="shared" si="133"/>
        <v>9.4869745730419108</v>
      </c>
      <c r="X331" s="48">
        <v>0.1</v>
      </c>
      <c r="Y331" s="76">
        <f t="shared" si="125"/>
        <v>9.5221249054210727E-2</v>
      </c>
      <c r="Z331" s="18">
        <v>10885</v>
      </c>
      <c r="AA331" s="18">
        <v>10855</v>
      </c>
      <c r="AB331" s="18">
        <v>67900000</v>
      </c>
      <c r="AC331" s="117">
        <f t="shared" si="126"/>
        <v>37.600862878202101</v>
      </c>
      <c r="AD331" s="48">
        <f t="shared" si="134"/>
        <v>37.600862878202101</v>
      </c>
      <c r="AE331" s="49">
        <v>0.3</v>
      </c>
      <c r="AF331" s="49">
        <f t="shared" si="127"/>
        <v>0.36035558138705048</v>
      </c>
      <c r="AG331" s="19">
        <v>27050</v>
      </c>
      <c r="AH331" s="19">
        <v>26800</v>
      </c>
      <c r="AI331" s="19">
        <v>7239332</v>
      </c>
      <c r="AJ331" s="119">
        <f t="shared" si="128"/>
        <v>540.58190502179798</v>
      </c>
      <c r="AK331" s="49">
        <f t="shared" si="135"/>
        <v>540.58190502179798</v>
      </c>
      <c r="AL331" s="82">
        <f t="shared" si="136"/>
        <v>0</v>
      </c>
      <c r="AM331" s="82">
        <f t="shared" si="137"/>
        <v>248880044561379.91</v>
      </c>
      <c r="AN331" s="81">
        <f t="shared" si="129"/>
        <v>291047276354082.75</v>
      </c>
      <c r="AO331" s="80">
        <f t="shared" si="115"/>
        <v>1169.4279341158804</v>
      </c>
      <c r="AP331" s="52">
        <f t="shared" si="130"/>
        <v>-1.1844001573621943E-2</v>
      </c>
      <c r="AQ331" s="48">
        <f t="shared" si="116"/>
        <v>-1.3377926421404682E-2</v>
      </c>
      <c r="AR331" s="48">
        <f t="shared" si="117"/>
        <v>0</v>
      </c>
      <c r="AS331" s="48">
        <f t="shared" si="118"/>
        <v>-3.4237995824634652E-2</v>
      </c>
      <c r="AT331" s="48" t="e">
        <f>(#REF!-#REF!)/#REF!</f>
        <v>#REF!</v>
      </c>
    </row>
    <row r="332" spans="1:46" x14ac:dyDescent="0.3">
      <c r="A332" s="48">
        <v>20190509</v>
      </c>
      <c r="B332" s="48" t="s">
        <v>88</v>
      </c>
      <c r="C332" s="79">
        <v>0.3</v>
      </c>
      <c r="D332" s="79">
        <f t="shared" si="119"/>
        <v>0.29938770011707277</v>
      </c>
      <c r="E332" s="49">
        <v>44250</v>
      </c>
      <c r="F332" s="49">
        <v>42450</v>
      </c>
      <c r="G332" s="49">
        <v>5969782550</v>
      </c>
      <c r="H332" s="49">
        <f t="shared" si="120"/>
        <v>0.33285346015324302</v>
      </c>
      <c r="I332" s="49">
        <f t="shared" si="131"/>
        <v>0.33285346015324302</v>
      </c>
      <c r="J332" s="48">
        <v>0.15</v>
      </c>
      <c r="K332" s="48">
        <f t="shared" si="121"/>
        <v>0.12880315712346088</v>
      </c>
      <c r="L332" s="48">
        <v>205500</v>
      </c>
      <c r="M332" s="48">
        <v>210000</v>
      </c>
      <c r="N332" s="51">
        <v>127953489</v>
      </c>
      <c r="O332" s="48">
        <f t="shared" si="122"/>
        <v>1.3505491988037901</v>
      </c>
      <c r="P332" s="48">
        <f t="shared" si="132"/>
        <v>1.3505491988037901</v>
      </c>
      <c r="Q332" s="49">
        <v>0.15</v>
      </c>
      <c r="R332" s="49">
        <f t="shared" si="123"/>
        <v>0.1225543687873865</v>
      </c>
      <c r="S332" s="49">
        <v>231300</v>
      </c>
      <c r="T332" s="49">
        <v>228100</v>
      </c>
      <c r="U332" s="49">
        <v>15956260</v>
      </c>
      <c r="V332" s="49">
        <f t="shared" si="124"/>
        <v>9.4869745730419108</v>
      </c>
      <c r="W332" s="49">
        <f t="shared" si="133"/>
        <v>9.4869745730419108</v>
      </c>
      <c r="X332" s="48">
        <v>0.1</v>
      </c>
      <c r="Y332" s="76">
        <f t="shared" si="125"/>
        <v>9.5057797004074379E-2</v>
      </c>
      <c r="Z332" s="18">
        <v>10855</v>
      </c>
      <c r="AA332" s="18">
        <v>10490</v>
      </c>
      <c r="AB332" s="18">
        <v>67900000</v>
      </c>
      <c r="AC332" s="117">
        <f t="shared" si="126"/>
        <v>37.600862878202101</v>
      </c>
      <c r="AD332" s="48">
        <f t="shared" si="134"/>
        <v>37.600862878202101</v>
      </c>
      <c r="AE332" s="49">
        <v>0.3</v>
      </c>
      <c r="AF332" s="49">
        <f t="shared" si="127"/>
        <v>0.35419697696800545</v>
      </c>
      <c r="AG332" s="19">
        <v>26800</v>
      </c>
      <c r="AH332" s="19">
        <v>25500</v>
      </c>
      <c r="AI332" s="19">
        <v>7239332</v>
      </c>
      <c r="AJ332" s="119">
        <f t="shared" si="128"/>
        <v>540.58190502179798</v>
      </c>
      <c r="AK332" s="49">
        <f t="shared" si="135"/>
        <v>540.58190502179798</v>
      </c>
      <c r="AL332" s="82">
        <f t="shared" si="136"/>
        <v>0</v>
      </c>
      <c r="AM332" s="82">
        <f t="shared" si="137"/>
        <v>248880044561379.91</v>
      </c>
      <c r="AN332" s="81">
        <f t="shared" si="129"/>
        <v>281744423363524.31</v>
      </c>
      <c r="AO332" s="80">
        <f t="shared" si="115"/>
        <v>1132.0490715117951</v>
      </c>
      <c r="AP332" s="52">
        <f t="shared" si="130"/>
        <v>-3.1963374153829084E-2</v>
      </c>
      <c r="AQ332" s="48">
        <f t="shared" si="116"/>
        <v>-4.0677966101694912E-2</v>
      </c>
      <c r="AR332" s="48">
        <f t="shared" si="117"/>
        <v>2.1897810218978103E-2</v>
      </c>
      <c r="AS332" s="48">
        <f t="shared" si="118"/>
        <v>-1.3834846519671422E-2</v>
      </c>
      <c r="AT332" s="48" t="e">
        <f>(#REF!-#REF!)/#REF!</f>
        <v>#REF!</v>
      </c>
    </row>
    <row r="333" spans="1:46" x14ac:dyDescent="0.3">
      <c r="A333" s="48">
        <v>20190510</v>
      </c>
      <c r="B333" s="48" t="s">
        <v>88</v>
      </c>
      <c r="C333" s="79">
        <v>0.3</v>
      </c>
      <c r="D333" s="79">
        <f t="shared" si="119"/>
        <v>0.30455526125172677</v>
      </c>
      <c r="E333" s="49">
        <v>42450</v>
      </c>
      <c r="F333" s="49">
        <v>42900</v>
      </c>
      <c r="G333" s="49">
        <v>5969782550</v>
      </c>
      <c r="H333" s="49">
        <f t="shared" si="120"/>
        <v>0.33285346015324302</v>
      </c>
      <c r="I333" s="49">
        <f t="shared" si="131"/>
        <v>0.33285346015324302</v>
      </c>
      <c r="J333" s="48">
        <v>0.15</v>
      </c>
      <c r="K333" s="48">
        <f t="shared" si="121"/>
        <v>0.12440413582693145</v>
      </c>
      <c r="L333" s="48">
        <v>210000</v>
      </c>
      <c r="M333" s="48">
        <v>201500</v>
      </c>
      <c r="N333" s="51">
        <v>127953489</v>
      </c>
      <c r="O333" s="48">
        <f t="shared" si="122"/>
        <v>1.3505491988037901</v>
      </c>
      <c r="P333" s="48">
        <f t="shared" si="132"/>
        <v>1.3505491988037901</v>
      </c>
      <c r="Q333" s="49">
        <v>0.15</v>
      </c>
      <c r="R333" s="49">
        <f t="shared" si="123"/>
        <v>0.12195584318294929</v>
      </c>
      <c r="S333" s="49">
        <v>228100</v>
      </c>
      <c r="T333" s="49">
        <v>225500</v>
      </c>
      <c r="U333" s="49">
        <v>15956260</v>
      </c>
      <c r="V333" s="49">
        <f t="shared" si="124"/>
        <v>9.4869745730419108</v>
      </c>
      <c r="W333" s="49">
        <f t="shared" si="133"/>
        <v>9.4869745730419108</v>
      </c>
      <c r="X333" s="48">
        <v>0.1</v>
      </c>
      <c r="Y333" s="76">
        <f t="shared" si="125"/>
        <v>9.6049074152459876E-2</v>
      </c>
      <c r="Z333" s="18">
        <v>10490</v>
      </c>
      <c r="AA333" s="18">
        <v>10530</v>
      </c>
      <c r="AB333" s="18">
        <v>67900000</v>
      </c>
      <c r="AC333" s="117">
        <f t="shared" si="126"/>
        <v>37.600862878202101</v>
      </c>
      <c r="AD333" s="48">
        <f t="shared" si="134"/>
        <v>37.600862878202101</v>
      </c>
      <c r="AE333" s="49">
        <v>0.3</v>
      </c>
      <c r="AF333" s="49">
        <f t="shared" si="127"/>
        <v>0.35303568558593262</v>
      </c>
      <c r="AG333" s="19">
        <v>25500</v>
      </c>
      <c r="AH333" s="19">
        <v>25250</v>
      </c>
      <c r="AI333" s="19">
        <v>7239332</v>
      </c>
      <c r="AJ333" s="119">
        <f t="shared" si="128"/>
        <v>540.58190502179798</v>
      </c>
      <c r="AK333" s="49">
        <f t="shared" si="135"/>
        <v>540.58190502179798</v>
      </c>
      <c r="AL333" s="82">
        <f t="shared" si="136"/>
        <v>0</v>
      </c>
      <c r="AM333" s="82">
        <f t="shared" si="137"/>
        <v>248880044561379.91</v>
      </c>
      <c r="AN333" s="81">
        <f t="shared" si="129"/>
        <v>279899919743355.12</v>
      </c>
      <c r="AO333" s="80">
        <f t="shared" si="115"/>
        <v>1124.6378561071213</v>
      </c>
      <c r="AP333" s="52">
        <f t="shared" si="130"/>
        <v>-6.5467262781961659E-3</v>
      </c>
      <c r="AQ333" s="48">
        <f t="shared" si="116"/>
        <v>1.0600706713780919E-2</v>
      </c>
      <c r="AR333" s="48">
        <f t="shared" si="117"/>
        <v>-4.0476190476190478E-2</v>
      </c>
      <c r="AS333" s="48">
        <f t="shared" si="118"/>
        <v>-1.1398509425690487E-2</v>
      </c>
      <c r="AT333" s="48" t="e">
        <f>(#REF!-#REF!)/#REF!</f>
        <v>#REF!</v>
      </c>
    </row>
    <row r="334" spans="1:46" x14ac:dyDescent="0.3">
      <c r="A334" s="48">
        <v>20190513</v>
      </c>
      <c r="B334" s="48" t="s">
        <v>88</v>
      </c>
      <c r="C334" s="79">
        <v>0.3</v>
      </c>
      <c r="D334" s="79">
        <f t="shared" si="119"/>
        <v>0.30631012733212026</v>
      </c>
      <c r="E334" s="49">
        <v>42900</v>
      </c>
      <c r="F334" s="49">
        <v>42650</v>
      </c>
      <c r="G334" s="49">
        <v>5969782550</v>
      </c>
      <c r="H334" s="49">
        <f t="shared" si="120"/>
        <v>0.33285346015324302</v>
      </c>
      <c r="I334" s="49">
        <f t="shared" si="131"/>
        <v>0.33285346015324302</v>
      </c>
      <c r="J334" s="48">
        <v>0.15</v>
      </c>
      <c r="K334" s="48">
        <f t="shared" si="121"/>
        <v>0.12148226483912568</v>
      </c>
      <c r="L334" s="48">
        <v>201500</v>
      </c>
      <c r="M334" s="48">
        <v>194500</v>
      </c>
      <c r="N334" s="51">
        <v>127953489</v>
      </c>
      <c r="O334" s="48">
        <f t="shared" si="122"/>
        <v>1.3505491988037901</v>
      </c>
      <c r="P334" s="48">
        <f t="shared" si="132"/>
        <v>1.3505491988037901</v>
      </c>
      <c r="Q334" s="49">
        <v>0.15</v>
      </c>
      <c r="R334" s="49">
        <f t="shared" si="123"/>
        <v>0.12239271174633194</v>
      </c>
      <c r="S334" s="49">
        <v>225500</v>
      </c>
      <c r="T334" s="49">
        <v>223700</v>
      </c>
      <c r="U334" s="49">
        <v>15956260</v>
      </c>
      <c r="V334" s="49">
        <f t="shared" si="124"/>
        <v>9.4869745730419108</v>
      </c>
      <c r="W334" s="49">
        <f t="shared" si="133"/>
        <v>9.4869745730419108</v>
      </c>
      <c r="X334" s="48">
        <v>0.1</v>
      </c>
      <c r="Y334" s="76">
        <f t="shared" si="125"/>
        <v>9.6199847033768715E-2</v>
      </c>
      <c r="Z334" s="18">
        <v>10530</v>
      </c>
      <c r="AA334" s="18">
        <v>10425</v>
      </c>
      <c r="AB334" s="18">
        <v>67900000</v>
      </c>
      <c r="AC334" s="117">
        <f t="shared" si="126"/>
        <v>37.600862878202101</v>
      </c>
      <c r="AD334" s="48">
        <f t="shared" si="134"/>
        <v>37.600862878202101</v>
      </c>
      <c r="AE334" s="49">
        <v>0.3</v>
      </c>
      <c r="AF334" s="49">
        <f t="shared" si="127"/>
        <v>0.35361504904865343</v>
      </c>
      <c r="AG334" s="19">
        <v>25250</v>
      </c>
      <c r="AH334" s="19">
        <v>25000</v>
      </c>
      <c r="AI334" s="19">
        <v>7239332</v>
      </c>
      <c r="AJ334" s="119">
        <f t="shared" si="128"/>
        <v>540.58190502179798</v>
      </c>
      <c r="AK334" s="49">
        <f t="shared" si="135"/>
        <v>540.58190502179798</v>
      </c>
      <c r="AL334" s="82">
        <f t="shared" si="136"/>
        <v>0</v>
      </c>
      <c r="AM334" s="82">
        <f t="shared" si="137"/>
        <v>248880044561379.91</v>
      </c>
      <c r="AN334" s="81">
        <f t="shared" si="129"/>
        <v>276674585412427.94</v>
      </c>
      <c r="AO334" s="80">
        <f t="shared" si="115"/>
        <v>1111.6784630123016</v>
      </c>
      <c r="AP334" s="52">
        <f t="shared" si="130"/>
        <v>-1.1523169902601351E-2</v>
      </c>
      <c r="AQ334" s="48">
        <f t="shared" si="116"/>
        <v>-5.8275058275058279E-3</v>
      </c>
      <c r="AR334" s="48">
        <f t="shared" si="117"/>
        <v>-3.4739454094292806E-2</v>
      </c>
      <c r="AS334" s="48">
        <f t="shared" si="118"/>
        <v>-7.9822616407982262E-3</v>
      </c>
      <c r="AT334" s="48" t="e">
        <f>(#REF!-#REF!)/#REF!</f>
        <v>#REF!</v>
      </c>
    </row>
    <row r="335" spans="1:46" x14ac:dyDescent="0.3">
      <c r="A335" s="48">
        <v>20190514</v>
      </c>
      <c r="B335" s="48" t="s">
        <v>88</v>
      </c>
      <c r="C335" s="79">
        <v>0.3</v>
      </c>
      <c r="D335" s="79">
        <f t="shared" si="119"/>
        <v>0.30498464525391661</v>
      </c>
      <c r="E335" s="49">
        <v>42650</v>
      </c>
      <c r="F335" s="49">
        <v>42650</v>
      </c>
      <c r="G335" s="49">
        <v>5969782550</v>
      </c>
      <c r="H335" s="49">
        <f t="shared" si="120"/>
        <v>0.33285346015324302</v>
      </c>
      <c r="I335" s="49">
        <f t="shared" si="131"/>
        <v>0.33285346015324302</v>
      </c>
      <c r="J335" s="48">
        <v>0.15</v>
      </c>
      <c r="K335" s="48">
        <f t="shared" si="121"/>
        <v>0.12157846481259016</v>
      </c>
      <c r="L335" s="48">
        <v>194500</v>
      </c>
      <c r="M335" s="48">
        <v>195500</v>
      </c>
      <c r="N335" s="51">
        <v>127953489</v>
      </c>
      <c r="O335" s="48">
        <f t="shared" si="122"/>
        <v>1.3505491988037901</v>
      </c>
      <c r="P335" s="48">
        <f t="shared" si="132"/>
        <v>1.3505491988037901</v>
      </c>
      <c r="Q335" s="49">
        <v>0.15</v>
      </c>
      <c r="R335" s="49">
        <f t="shared" si="123"/>
        <v>0.12284365746804521</v>
      </c>
      <c r="S335" s="49">
        <v>223700</v>
      </c>
      <c r="T335" s="49">
        <v>225500</v>
      </c>
      <c r="U335" s="49">
        <v>15956260</v>
      </c>
      <c r="V335" s="49">
        <f t="shared" si="124"/>
        <v>9.4869745730419108</v>
      </c>
      <c r="W335" s="49">
        <f t="shared" si="133"/>
        <v>9.4869745730419108</v>
      </c>
      <c r="X335" s="48">
        <v>0.1</v>
      </c>
      <c r="Y335" s="76">
        <f t="shared" si="125"/>
        <v>9.5691687029425529E-2</v>
      </c>
      <c r="Z335" s="18">
        <v>10425</v>
      </c>
      <c r="AA335" s="18">
        <v>10415</v>
      </c>
      <c r="AB335" s="18">
        <v>67900000</v>
      </c>
      <c r="AC335" s="117">
        <f t="shared" si="126"/>
        <v>37.600862878202101</v>
      </c>
      <c r="AD335" s="48">
        <f t="shared" si="134"/>
        <v>37.600862878202101</v>
      </c>
      <c r="AE335" s="49">
        <v>0.3</v>
      </c>
      <c r="AF335" s="49">
        <f t="shared" si="127"/>
        <v>0.35490154543602248</v>
      </c>
      <c r="AG335" s="19">
        <v>25000</v>
      </c>
      <c r="AH335" s="19">
        <v>25200</v>
      </c>
      <c r="AI335" s="19">
        <v>7239332</v>
      </c>
      <c r="AJ335" s="119">
        <f t="shared" si="128"/>
        <v>540.58190502179798</v>
      </c>
      <c r="AK335" s="49">
        <f t="shared" si="135"/>
        <v>540.58190502179798</v>
      </c>
      <c r="AL335" s="82">
        <f t="shared" si="136"/>
        <v>0</v>
      </c>
      <c r="AM335" s="82">
        <f t="shared" si="137"/>
        <v>248880044561379.91</v>
      </c>
      <c r="AN335" s="81">
        <f t="shared" si="129"/>
        <v>277877030224537.34</v>
      </c>
      <c r="AO335" s="80">
        <f t="shared" si="115"/>
        <v>1116.5098861753299</v>
      </c>
      <c r="AP335" s="52">
        <f t="shared" si="130"/>
        <v>4.3460616750069323E-3</v>
      </c>
      <c r="AQ335" s="48">
        <f t="shared" si="116"/>
        <v>0</v>
      </c>
      <c r="AR335" s="48">
        <f t="shared" si="117"/>
        <v>5.1413881748071976E-3</v>
      </c>
      <c r="AS335" s="48">
        <f t="shared" si="118"/>
        <v>8.0464908359409917E-3</v>
      </c>
      <c r="AT335" s="48" t="e">
        <f>(#REF!-#REF!)/#REF!</f>
        <v>#REF!</v>
      </c>
    </row>
    <row r="336" spans="1:46" x14ac:dyDescent="0.3">
      <c r="A336" s="48">
        <v>20190515</v>
      </c>
      <c r="B336" s="48" t="s">
        <v>88</v>
      </c>
      <c r="C336" s="79">
        <v>0.3</v>
      </c>
      <c r="D336" s="79">
        <f t="shared" si="119"/>
        <v>0.29828220263275385</v>
      </c>
      <c r="E336" s="49">
        <v>42650</v>
      </c>
      <c r="F336" s="49">
        <v>42550</v>
      </c>
      <c r="G336" s="49">
        <v>5969782550</v>
      </c>
      <c r="H336" s="49">
        <f t="shared" si="120"/>
        <v>0.33285346015324302</v>
      </c>
      <c r="I336" s="49">
        <f t="shared" si="131"/>
        <v>0.33285346015324302</v>
      </c>
      <c r="J336" s="48">
        <v>0.15</v>
      </c>
      <c r="K336" s="48">
        <f t="shared" si="121"/>
        <v>0.11949089179471455</v>
      </c>
      <c r="L336" s="48">
        <v>195500</v>
      </c>
      <c r="M336" s="48">
        <v>196000</v>
      </c>
      <c r="N336" s="51">
        <v>127953489</v>
      </c>
      <c r="O336" s="48">
        <f t="shared" si="122"/>
        <v>1.3505491988037901</v>
      </c>
      <c r="P336" s="48">
        <f t="shared" si="132"/>
        <v>1.3505491988037901</v>
      </c>
      <c r="Q336" s="49">
        <v>0.15</v>
      </c>
      <c r="R336" s="49">
        <f t="shared" si="123"/>
        <v>0.12784954177613669</v>
      </c>
      <c r="S336" s="49">
        <v>225500</v>
      </c>
      <c r="T336" s="49">
        <v>239400</v>
      </c>
      <c r="U336" s="49">
        <v>15956260</v>
      </c>
      <c r="V336" s="49">
        <f t="shared" si="124"/>
        <v>9.4869745730419108</v>
      </c>
      <c r="W336" s="49">
        <f t="shared" si="133"/>
        <v>9.4869745730419108</v>
      </c>
      <c r="X336" s="48">
        <v>0.1</v>
      </c>
      <c r="Y336" s="76">
        <f t="shared" si="125"/>
        <v>9.4033862017895167E-2</v>
      </c>
      <c r="Z336" s="18">
        <v>10415</v>
      </c>
      <c r="AA336" s="18">
        <v>10440</v>
      </c>
      <c r="AB336" s="18">
        <v>67900000</v>
      </c>
      <c r="AC336" s="117">
        <f t="shared" si="126"/>
        <v>37.600862878202101</v>
      </c>
      <c r="AD336" s="48">
        <f t="shared" si="134"/>
        <v>37.600862878202101</v>
      </c>
      <c r="AE336" s="49">
        <v>0.3</v>
      </c>
      <c r="AF336" s="49">
        <f t="shared" si="127"/>
        <v>0.36034350177849978</v>
      </c>
      <c r="AG336" s="19">
        <v>25200</v>
      </c>
      <c r="AH336" s="19">
        <v>26100</v>
      </c>
      <c r="AI336" s="19">
        <v>7239332</v>
      </c>
      <c r="AJ336" s="119">
        <f t="shared" si="128"/>
        <v>540.58190502179798</v>
      </c>
      <c r="AK336" s="49">
        <f t="shared" si="135"/>
        <v>540.58190502179798</v>
      </c>
      <c r="AL336" s="82">
        <f t="shared" si="136"/>
        <v>0</v>
      </c>
      <c r="AM336" s="82">
        <f t="shared" si="137"/>
        <v>248880044561379.91</v>
      </c>
      <c r="AN336" s="81">
        <f t="shared" si="129"/>
        <v>283454797045089.12</v>
      </c>
      <c r="AO336" s="80">
        <f t="shared" si="115"/>
        <v>1138.9213528334219</v>
      </c>
      <c r="AP336" s="52">
        <f t="shared" si="130"/>
        <v>2.0072788369894116E-2</v>
      </c>
      <c r="AQ336" s="48">
        <f t="shared" si="116"/>
        <v>-2.3446658851113715E-3</v>
      </c>
      <c r="AR336" s="48">
        <f t="shared" si="117"/>
        <v>2.5575447570332483E-3</v>
      </c>
      <c r="AS336" s="48">
        <f t="shared" si="118"/>
        <v>6.1640798226164077E-2</v>
      </c>
      <c r="AT336" s="48" t="e">
        <f>(#REF!-#REF!)/#REF!</f>
        <v>#REF!</v>
      </c>
    </row>
    <row r="337" spans="1:46" x14ac:dyDescent="0.3">
      <c r="A337" s="48">
        <v>20190516</v>
      </c>
      <c r="B337" s="48" t="s">
        <v>88</v>
      </c>
      <c r="C337" s="79">
        <v>0.3</v>
      </c>
      <c r="D337" s="79">
        <f t="shared" si="119"/>
        <v>0.29795314132023959</v>
      </c>
      <c r="E337" s="49">
        <v>42550</v>
      </c>
      <c r="F337" s="49">
        <v>41550</v>
      </c>
      <c r="G337" s="49">
        <v>5969782550</v>
      </c>
      <c r="H337" s="49">
        <f t="shared" si="120"/>
        <v>0.33285346015324302</v>
      </c>
      <c r="I337" s="49">
        <f t="shared" si="131"/>
        <v>0.33285346015324302</v>
      </c>
      <c r="J337" s="48">
        <v>0.15</v>
      </c>
      <c r="K337" s="48">
        <f t="shared" si="121"/>
        <v>0.12254354768597925</v>
      </c>
      <c r="L337" s="48">
        <v>196000</v>
      </c>
      <c r="M337" s="48">
        <v>196500</v>
      </c>
      <c r="N337" s="51">
        <v>127953489</v>
      </c>
      <c r="O337" s="48">
        <f t="shared" si="122"/>
        <v>1.3505491988037901</v>
      </c>
      <c r="P337" s="48">
        <f t="shared" si="132"/>
        <v>1.3505491988037901</v>
      </c>
      <c r="Q337" s="49">
        <v>0.15</v>
      </c>
      <c r="R337" s="49">
        <f t="shared" si="123"/>
        <v>0.12253311291052614</v>
      </c>
      <c r="S337" s="49">
        <v>239400</v>
      </c>
      <c r="T337" s="49">
        <v>224300</v>
      </c>
      <c r="U337" s="49">
        <v>15956260</v>
      </c>
      <c r="V337" s="49">
        <f t="shared" si="124"/>
        <v>9.4869745730419108</v>
      </c>
      <c r="W337" s="49">
        <f t="shared" si="133"/>
        <v>9.4869745730419108</v>
      </c>
      <c r="X337" s="48">
        <v>0.1</v>
      </c>
      <c r="Y337" s="76">
        <f t="shared" si="125"/>
        <v>9.4716589662432613E-2</v>
      </c>
      <c r="Z337" s="18">
        <v>10440</v>
      </c>
      <c r="AA337" s="18">
        <v>10280</v>
      </c>
      <c r="AB337" s="18">
        <v>67900000</v>
      </c>
      <c r="AC337" s="117">
        <f t="shared" si="126"/>
        <v>37.600862878202101</v>
      </c>
      <c r="AD337" s="48">
        <f t="shared" si="134"/>
        <v>37.600862878202101</v>
      </c>
      <c r="AE337" s="49">
        <v>0.3</v>
      </c>
      <c r="AF337" s="49">
        <f t="shared" si="127"/>
        <v>0.36225360842082255</v>
      </c>
      <c r="AG337" s="19">
        <v>26100</v>
      </c>
      <c r="AH337" s="19">
        <v>25650</v>
      </c>
      <c r="AI337" s="19">
        <v>7239332</v>
      </c>
      <c r="AJ337" s="119">
        <f t="shared" si="128"/>
        <v>540.58190502179798</v>
      </c>
      <c r="AK337" s="49">
        <f t="shared" si="135"/>
        <v>540.58190502179798</v>
      </c>
      <c r="AL337" s="82">
        <f t="shared" si="136"/>
        <v>0</v>
      </c>
      <c r="AM337" s="82">
        <f t="shared" si="137"/>
        <v>248880044561379.91</v>
      </c>
      <c r="AN337" s="81">
        <f t="shared" si="129"/>
        <v>277098801729233.75</v>
      </c>
      <c r="AO337" s="80">
        <f t="shared" si="115"/>
        <v>1113.3829641407606</v>
      </c>
      <c r="AP337" s="52">
        <f t="shared" si="130"/>
        <v>-2.2423311872348889E-2</v>
      </c>
      <c r="AQ337" s="48">
        <f t="shared" si="116"/>
        <v>-2.3501762632197415E-2</v>
      </c>
      <c r="AR337" s="48">
        <f t="shared" si="117"/>
        <v>2.5510204081632651E-3</v>
      </c>
      <c r="AS337" s="48">
        <f t="shared" si="118"/>
        <v>-6.3074352548036755E-2</v>
      </c>
      <c r="AT337" s="48" t="e">
        <f>(#REF!-#REF!)/#REF!</f>
        <v>#REF!</v>
      </c>
    </row>
    <row r="338" spans="1:46" s="73" customFormat="1" x14ac:dyDescent="0.3">
      <c r="A338" s="48">
        <v>20190517</v>
      </c>
      <c r="B338" s="48" t="s">
        <v>88</v>
      </c>
      <c r="C338" s="79">
        <v>0.3</v>
      </c>
      <c r="D338" s="79">
        <f t="shared" si="119"/>
        <v>0.29744870169014848</v>
      </c>
      <c r="E338" s="49">
        <v>41550</v>
      </c>
      <c r="F338" s="49">
        <v>41200</v>
      </c>
      <c r="G338" s="49">
        <v>5969782550</v>
      </c>
      <c r="H338" s="49">
        <f t="shared" si="120"/>
        <v>0.33285346015324302</v>
      </c>
      <c r="I338" s="49">
        <f t="shared" si="131"/>
        <v>0.33360423409343998</v>
      </c>
      <c r="J338" s="48">
        <v>0.15</v>
      </c>
      <c r="K338" s="48">
        <f t="shared" si="121"/>
        <v>0.12274747789257234</v>
      </c>
      <c r="L338" s="48">
        <v>196500</v>
      </c>
      <c r="M338" s="48">
        <v>195500</v>
      </c>
      <c r="N338" s="51">
        <v>128329070</v>
      </c>
      <c r="O338" s="48">
        <f t="shared" si="122"/>
        <v>1.3505491988037901</v>
      </c>
      <c r="P338" s="48">
        <f t="shared" si="132"/>
        <v>1.3496338845862199</v>
      </c>
      <c r="Q338" s="49">
        <v>0.15</v>
      </c>
      <c r="R338" s="49">
        <f t="shared" si="123"/>
        <v>0.12237483793662859</v>
      </c>
      <c r="S338" s="49">
        <v>224300</v>
      </c>
      <c r="T338" s="49">
        <v>222500</v>
      </c>
      <c r="U338" s="49">
        <v>15956260</v>
      </c>
      <c r="V338" s="49">
        <f t="shared" si="124"/>
        <v>9.4869745730419108</v>
      </c>
      <c r="W338" s="49">
        <f t="shared" si="133"/>
        <v>9.5083730986197104</v>
      </c>
      <c r="X338" s="48">
        <v>0.1</v>
      </c>
      <c r="Y338" s="76">
        <f t="shared" si="125"/>
        <v>9.4849309980188215E-2</v>
      </c>
      <c r="Z338" s="18">
        <v>10280</v>
      </c>
      <c r="AA338" s="18">
        <v>10225</v>
      </c>
      <c r="AB338" s="18">
        <v>67900000</v>
      </c>
      <c r="AC338" s="117">
        <f t="shared" si="126"/>
        <v>37.600862878202101</v>
      </c>
      <c r="AD338" s="48">
        <f t="shared" si="134"/>
        <v>37.685674218198002</v>
      </c>
      <c r="AE338" s="49">
        <v>0.3</v>
      </c>
      <c r="AF338" s="49">
        <f t="shared" si="127"/>
        <v>0.3625796725004623</v>
      </c>
      <c r="AG338" s="19">
        <v>25650</v>
      </c>
      <c r="AH338" s="19">
        <v>25500</v>
      </c>
      <c r="AI338" s="19">
        <v>7239332</v>
      </c>
      <c r="AJ338" s="119">
        <f t="shared" si="128"/>
        <v>540.58190502179798</v>
      </c>
      <c r="AK338" s="49">
        <f t="shared" si="135"/>
        <v>541.801224798872</v>
      </c>
      <c r="AL338" s="82">
        <f t="shared" si="136"/>
        <v>1</v>
      </c>
      <c r="AM338" s="82">
        <f t="shared" si="137"/>
        <v>249441410670074.5</v>
      </c>
      <c r="AN338" s="81">
        <f t="shared" si="129"/>
        <v>275851407748670.75</v>
      </c>
      <c r="AO338" s="80">
        <f t="shared" si="115"/>
        <v>1105.8765543686234</v>
      </c>
      <c r="AP338" s="52">
        <f t="shared" si="130"/>
        <v>-6.7419836784822565E-3</v>
      </c>
      <c r="AQ338" s="48">
        <f t="shared" si="116"/>
        <v>-8.4235860409145602E-3</v>
      </c>
      <c r="AR338" s="48">
        <f t="shared" si="117"/>
        <v>-5.0890585241730284E-3</v>
      </c>
      <c r="AS338" s="48">
        <f t="shared" si="118"/>
        <v>-8.024966562639322E-3</v>
      </c>
      <c r="AT338" s="48" t="e">
        <f>(#REF!-#REF!)/#REF!</f>
        <v>#REF!</v>
      </c>
    </row>
    <row r="339" spans="1:46" x14ac:dyDescent="0.3">
      <c r="A339" s="48">
        <v>20190520</v>
      </c>
      <c r="B339" s="48" t="s">
        <v>88</v>
      </c>
      <c r="C339" s="79">
        <v>0.3</v>
      </c>
      <c r="D339" s="79">
        <f t="shared" si="119"/>
        <v>0.30420316977868989</v>
      </c>
      <c r="E339" s="49">
        <v>41200</v>
      </c>
      <c r="F339" s="49">
        <v>42000</v>
      </c>
      <c r="G339" s="49">
        <v>5969782550</v>
      </c>
      <c r="H339" s="49">
        <f t="shared" si="120"/>
        <v>0.33360423409343998</v>
      </c>
      <c r="I339" s="49">
        <f t="shared" si="131"/>
        <v>0.33360423409343998</v>
      </c>
      <c r="J339" s="48">
        <v>0.15</v>
      </c>
      <c r="K339" s="48">
        <f t="shared" si="121"/>
        <v>0.11841950679731658</v>
      </c>
      <c r="L339" s="48">
        <v>195500</v>
      </c>
      <c r="M339" s="48">
        <v>188000</v>
      </c>
      <c r="N339" s="51">
        <v>128329070</v>
      </c>
      <c r="O339" s="48">
        <f t="shared" si="122"/>
        <v>1.3496338845862199</v>
      </c>
      <c r="P339" s="48">
        <f t="shared" si="132"/>
        <v>1.3496338845862199</v>
      </c>
      <c r="Q339" s="49">
        <v>0.15</v>
      </c>
      <c r="R339" s="49">
        <f t="shared" si="123"/>
        <v>0.11692103580170859</v>
      </c>
      <c r="S339" s="49">
        <v>222500</v>
      </c>
      <c r="T339" s="49">
        <v>211900</v>
      </c>
      <c r="U339" s="49">
        <v>15956260</v>
      </c>
      <c r="V339" s="49">
        <f t="shared" si="124"/>
        <v>9.5083730986197104</v>
      </c>
      <c r="W339" s="49">
        <f t="shared" si="133"/>
        <v>9.5083730986197104</v>
      </c>
      <c r="X339" s="48">
        <v>0.1</v>
      </c>
      <c r="Y339" s="76">
        <f t="shared" si="125"/>
        <v>9.5993024288196685E-2</v>
      </c>
      <c r="Z339" s="18">
        <v>10225</v>
      </c>
      <c r="AA339" s="18">
        <v>10315</v>
      </c>
      <c r="AB339" s="18">
        <v>67900000</v>
      </c>
      <c r="AC339" s="117">
        <f t="shared" si="126"/>
        <v>37.685674218198002</v>
      </c>
      <c r="AD339" s="48">
        <f t="shared" si="134"/>
        <v>37.685674218198002</v>
      </c>
      <c r="AE339" s="49">
        <v>0.3</v>
      </c>
      <c r="AF339" s="49">
        <f t="shared" si="127"/>
        <v>0.36446326333408835</v>
      </c>
      <c r="AG339" s="19">
        <v>25500</v>
      </c>
      <c r="AH339" s="19">
        <v>25550</v>
      </c>
      <c r="AI339" s="19">
        <v>7239332</v>
      </c>
      <c r="AJ339" s="119">
        <f t="shared" si="128"/>
        <v>541.801224798872</v>
      </c>
      <c r="AK339" s="49">
        <f t="shared" si="135"/>
        <v>541.801224798872</v>
      </c>
      <c r="AL339" s="82">
        <f t="shared" si="136"/>
        <v>0</v>
      </c>
      <c r="AM339" s="82">
        <f t="shared" si="137"/>
        <v>249441410670074.5</v>
      </c>
      <c r="AN339" s="81">
        <f t="shared" si="129"/>
        <v>274963863602512.37</v>
      </c>
      <c r="AO339" s="80">
        <f t="shared" si="115"/>
        <v>1102.3184276575284</v>
      </c>
      <c r="AP339" s="52">
        <f t="shared" si="130"/>
        <v>-3.2174718751735946E-3</v>
      </c>
      <c r="AQ339" s="48">
        <f t="shared" si="116"/>
        <v>1.9417475728155338E-2</v>
      </c>
      <c r="AR339" s="48">
        <f t="shared" si="117"/>
        <v>-3.8363171355498722E-2</v>
      </c>
      <c r="AS339" s="48">
        <f t="shared" si="118"/>
        <v>-4.7640449438202247E-2</v>
      </c>
      <c r="AT339" s="48" t="e">
        <f>(#REF!-#REF!)/#REF!</f>
        <v>#REF!</v>
      </c>
    </row>
    <row r="340" spans="1:46" x14ac:dyDescent="0.3">
      <c r="A340" s="48">
        <v>20190521</v>
      </c>
      <c r="B340" s="48" t="s">
        <v>88</v>
      </c>
      <c r="C340" s="79">
        <v>0.3</v>
      </c>
      <c r="D340" s="79">
        <f t="shared" si="119"/>
        <v>0.3152320798495879</v>
      </c>
      <c r="E340" s="49">
        <v>42000</v>
      </c>
      <c r="F340" s="49">
        <v>43150</v>
      </c>
      <c r="G340" s="49">
        <v>5969782550</v>
      </c>
      <c r="H340" s="49">
        <f t="shared" si="120"/>
        <v>0.33360423409343998</v>
      </c>
      <c r="I340" s="49">
        <f t="shared" si="131"/>
        <v>0.33360423409343998</v>
      </c>
      <c r="J340" s="48">
        <v>0.15</v>
      </c>
      <c r="K340" s="48">
        <f t="shared" si="121"/>
        <v>0.11499504731195956</v>
      </c>
      <c r="L340" s="48">
        <v>188000</v>
      </c>
      <c r="M340" s="48">
        <v>181000</v>
      </c>
      <c r="N340" s="51">
        <v>128329070</v>
      </c>
      <c r="O340" s="48">
        <f t="shared" si="122"/>
        <v>1.3496338845862199</v>
      </c>
      <c r="P340" s="48">
        <f t="shared" si="132"/>
        <v>1.3496338845862199</v>
      </c>
      <c r="Q340" s="49">
        <v>0.15</v>
      </c>
      <c r="R340" s="49">
        <f t="shared" si="123"/>
        <v>0.11921099876809375</v>
      </c>
      <c r="S340" s="49">
        <v>211900</v>
      </c>
      <c r="T340" s="49">
        <v>214200</v>
      </c>
      <c r="U340" s="49">
        <v>15956260</v>
      </c>
      <c r="V340" s="49">
        <f t="shared" si="124"/>
        <v>9.5083730986197104</v>
      </c>
      <c r="W340" s="49">
        <f t="shared" si="133"/>
        <v>9.5083730986197104</v>
      </c>
      <c r="X340" s="48">
        <v>0.1</v>
      </c>
      <c r="Y340" s="76">
        <f t="shared" si="125"/>
        <v>9.7338435407198567E-2</v>
      </c>
      <c r="Z340" s="18">
        <v>10315</v>
      </c>
      <c r="AA340" s="18">
        <v>10370</v>
      </c>
      <c r="AB340" s="18">
        <v>67900000</v>
      </c>
      <c r="AC340" s="117">
        <f t="shared" si="126"/>
        <v>37.685674218198002</v>
      </c>
      <c r="AD340" s="48">
        <f t="shared" si="134"/>
        <v>37.685674218198002</v>
      </c>
      <c r="AE340" s="49">
        <v>0.3</v>
      </c>
      <c r="AF340" s="49">
        <f t="shared" si="127"/>
        <v>0.35322343866316031</v>
      </c>
      <c r="AG340" s="19">
        <v>25550</v>
      </c>
      <c r="AH340" s="19">
        <v>24550</v>
      </c>
      <c r="AI340" s="19">
        <v>7239332</v>
      </c>
      <c r="AJ340" s="119">
        <f t="shared" si="128"/>
        <v>541.801224798872</v>
      </c>
      <c r="AK340" s="49">
        <f t="shared" si="135"/>
        <v>541.801224798872</v>
      </c>
      <c r="AL340" s="82">
        <f t="shared" si="136"/>
        <v>0</v>
      </c>
      <c r="AM340" s="82">
        <f t="shared" si="137"/>
        <v>249441410670074.5</v>
      </c>
      <c r="AN340" s="81">
        <f t="shared" si="129"/>
        <v>272609168994078.94</v>
      </c>
      <c r="AO340" s="80">
        <f t="shared" si="115"/>
        <v>1092.8785571800965</v>
      </c>
      <c r="AP340" s="52">
        <f t="shared" si="130"/>
        <v>-8.5636511561291827E-3</v>
      </c>
      <c r="AQ340" s="48">
        <f t="shared" si="116"/>
        <v>2.7380952380952381E-2</v>
      </c>
      <c r="AR340" s="48">
        <f t="shared" si="117"/>
        <v>-3.7234042553191488E-2</v>
      </c>
      <c r="AS340" s="48">
        <f t="shared" si="118"/>
        <v>1.0854176498348278E-2</v>
      </c>
      <c r="AT340" s="48" t="e">
        <f>(#REF!-#REF!)/#REF!</f>
        <v>#REF!</v>
      </c>
    </row>
    <row r="341" spans="1:46" x14ac:dyDescent="0.3">
      <c r="A341" s="48">
        <v>20190522</v>
      </c>
      <c r="B341" s="48" t="s">
        <v>88</v>
      </c>
      <c r="C341" s="79">
        <v>0.3</v>
      </c>
      <c r="D341" s="79">
        <f t="shared" si="119"/>
        <v>0.31480869054443228</v>
      </c>
      <c r="E341" s="49">
        <v>43150</v>
      </c>
      <c r="F341" s="49">
        <v>43500</v>
      </c>
      <c r="G341" s="49">
        <v>5969782550</v>
      </c>
      <c r="H341" s="49">
        <f t="shared" si="120"/>
        <v>0.33360423409343998</v>
      </c>
      <c r="I341" s="49">
        <f t="shared" si="131"/>
        <v>0.33360423409343998</v>
      </c>
      <c r="J341" s="48">
        <v>0.15</v>
      </c>
      <c r="K341" s="48">
        <f t="shared" si="121"/>
        <v>0.11611939929179074</v>
      </c>
      <c r="L341" s="48">
        <v>181000</v>
      </c>
      <c r="M341" s="48">
        <v>184500</v>
      </c>
      <c r="N341" s="51">
        <v>128329070</v>
      </c>
      <c r="O341" s="48">
        <f t="shared" si="122"/>
        <v>1.3496338845862199</v>
      </c>
      <c r="P341" s="48">
        <f t="shared" si="132"/>
        <v>1.3496338845862199</v>
      </c>
      <c r="Q341" s="49">
        <v>0.15</v>
      </c>
      <c r="R341" s="49">
        <f t="shared" si="123"/>
        <v>0.11825840173377364</v>
      </c>
      <c r="S341" s="49">
        <v>214200</v>
      </c>
      <c r="T341" s="49">
        <v>214500</v>
      </c>
      <c r="U341" s="49">
        <v>15956260</v>
      </c>
      <c r="V341" s="49">
        <f t="shared" si="124"/>
        <v>9.5083730986197104</v>
      </c>
      <c r="W341" s="49">
        <f t="shared" si="133"/>
        <v>9.5083730986197104</v>
      </c>
      <c r="X341" s="48">
        <v>0.1</v>
      </c>
      <c r="Y341" s="76">
        <f t="shared" si="125"/>
        <v>9.5914150740163823E-2</v>
      </c>
      <c r="Z341" s="18">
        <v>10370</v>
      </c>
      <c r="AA341" s="18">
        <v>10315</v>
      </c>
      <c r="AB341" s="18">
        <v>67900000</v>
      </c>
      <c r="AC341" s="117">
        <f t="shared" si="126"/>
        <v>37.685674218198002</v>
      </c>
      <c r="AD341" s="48">
        <f t="shared" si="134"/>
        <v>37.685674218198002</v>
      </c>
      <c r="AE341" s="49">
        <v>0.3</v>
      </c>
      <c r="AF341" s="49">
        <f t="shared" si="127"/>
        <v>0.35489935768983949</v>
      </c>
      <c r="AG341" s="19">
        <v>24550</v>
      </c>
      <c r="AH341" s="19">
        <v>24900</v>
      </c>
      <c r="AI341" s="19">
        <v>7239332</v>
      </c>
      <c r="AJ341" s="119">
        <f t="shared" si="128"/>
        <v>541.801224798872</v>
      </c>
      <c r="AK341" s="49">
        <f t="shared" si="135"/>
        <v>541.801224798872</v>
      </c>
      <c r="AL341" s="82">
        <f t="shared" si="136"/>
        <v>0</v>
      </c>
      <c r="AM341" s="82">
        <f t="shared" si="137"/>
        <v>249441410670074.5</v>
      </c>
      <c r="AN341" s="81">
        <f t="shared" si="129"/>
        <v>275189975967953.69</v>
      </c>
      <c r="AO341" s="80">
        <f t="shared" si="115"/>
        <v>1103.2249025080109</v>
      </c>
      <c r="AP341" s="52">
        <f t="shared" si="130"/>
        <v>9.4670585857321316E-3</v>
      </c>
      <c r="AQ341" s="48">
        <f t="shared" si="116"/>
        <v>8.1112398609501733E-3</v>
      </c>
      <c r="AR341" s="48">
        <f t="shared" si="117"/>
        <v>1.9337016574585635E-2</v>
      </c>
      <c r="AS341" s="48">
        <f t="shared" si="118"/>
        <v>1.4005602240896359E-3</v>
      </c>
      <c r="AT341" s="48" t="e">
        <f>(#REF!-#REF!)/#REF!</f>
        <v>#REF!</v>
      </c>
    </row>
    <row r="342" spans="1:46" x14ac:dyDescent="0.3">
      <c r="A342" s="48">
        <v>20190523</v>
      </c>
      <c r="B342" s="48" t="s">
        <v>88</v>
      </c>
      <c r="C342" s="79">
        <v>0.3</v>
      </c>
      <c r="D342" s="79">
        <f t="shared" si="119"/>
        <v>0.32111482252646112</v>
      </c>
      <c r="E342" s="49">
        <v>43500</v>
      </c>
      <c r="F342" s="49">
        <v>43850</v>
      </c>
      <c r="G342" s="49">
        <v>5969782550</v>
      </c>
      <c r="H342" s="49">
        <f t="shared" si="120"/>
        <v>0.33360423409343998</v>
      </c>
      <c r="I342" s="49">
        <f t="shared" si="131"/>
        <v>0.33360423409343998</v>
      </c>
      <c r="J342" s="48">
        <v>0.15</v>
      </c>
      <c r="K342" s="48">
        <f t="shared" si="121"/>
        <v>0.1149526309320706</v>
      </c>
      <c r="L342" s="48">
        <v>184500</v>
      </c>
      <c r="M342" s="48">
        <v>180500</v>
      </c>
      <c r="N342" s="51">
        <v>128329070</v>
      </c>
      <c r="O342" s="48">
        <f t="shared" si="122"/>
        <v>1.3496338845862199</v>
      </c>
      <c r="P342" s="48">
        <f t="shared" si="132"/>
        <v>1.3496338845862199</v>
      </c>
      <c r="Q342" s="49">
        <v>0.15</v>
      </c>
      <c r="R342" s="49">
        <f t="shared" si="123"/>
        <v>0.11352785215642239</v>
      </c>
      <c r="S342" s="49">
        <v>214500</v>
      </c>
      <c r="T342" s="49">
        <v>203500</v>
      </c>
      <c r="U342" s="49">
        <v>15956260</v>
      </c>
      <c r="V342" s="49">
        <f t="shared" si="124"/>
        <v>9.5083730986197104</v>
      </c>
      <c r="W342" s="49">
        <f t="shared" si="133"/>
        <v>9.5083730986197104</v>
      </c>
      <c r="X342" s="48">
        <v>0.1</v>
      </c>
      <c r="Y342" s="76">
        <f t="shared" si="125"/>
        <v>9.7054568924416024E-2</v>
      </c>
      <c r="Z342" s="18">
        <v>10315</v>
      </c>
      <c r="AA342" s="18">
        <v>10315</v>
      </c>
      <c r="AB342" s="18">
        <v>67900000</v>
      </c>
      <c r="AC342" s="117">
        <f t="shared" si="126"/>
        <v>37.685674218198002</v>
      </c>
      <c r="AD342" s="48">
        <f t="shared" si="134"/>
        <v>37.685674218198002</v>
      </c>
      <c r="AE342" s="49">
        <v>0.3</v>
      </c>
      <c r="AF342" s="49">
        <f t="shared" si="127"/>
        <v>0.35335012546062988</v>
      </c>
      <c r="AG342" s="19">
        <v>24900</v>
      </c>
      <c r="AH342" s="19">
        <v>24500</v>
      </c>
      <c r="AI342" s="19">
        <v>7239332</v>
      </c>
      <c r="AJ342" s="119">
        <f t="shared" si="128"/>
        <v>541.801224798872</v>
      </c>
      <c r="AK342" s="49">
        <f t="shared" si="135"/>
        <v>541.801224798872</v>
      </c>
      <c r="AL342" s="82">
        <f t="shared" si="136"/>
        <v>0</v>
      </c>
      <c r="AM342" s="82">
        <f t="shared" si="137"/>
        <v>249441410670074.5</v>
      </c>
      <c r="AN342" s="81">
        <f t="shared" si="129"/>
        <v>271956417195855.25</v>
      </c>
      <c r="AO342" s="80">
        <f t="shared" si="115"/>
        <v>1090.2617029999096</v>
      </c>
      <c r="AP342" s="52">
        <f t="shared" si="130"/>
        <v>-1.175027818773078E-2</v>
      </c>
      <c r="AQ342" s="48">
        <f t="shared" si="116"/>
        <v>8.0459770114942528E-3</v>
      </c>
      <c r="AR342" s="48">
        <f t="shared" si="117"/>
        <v>-2.1680216802168022E-2</v>
      </c>
      <c r="AS342" s="48">
        <f t="shared" si="118"/>
        <v>-5.128205128205128E-2</v>
      </c>
      <c r="AT342" s="48" t="e">
        <f>(#REF!-#REF!)/#REF!</f>
        <v>#REF!</v>
      </c>
    </row>
    <row r="343" spans="1:46" x14ac:dyDescent="0.3">
      <c r="A343" s="48">
        <v>20190524</v>
      </c>
      <c r="B343" s="48" t="s">
        <v>88</v>
      </c>
      <c r="C343" s="79">
        <v>0.3</v>
      </c>
      <c r="D343" s="79">
        <f t="shared" si="119"/>
        <v>0.3162891577173893</v>
      </c>
      <c r="E343" s="49">
        <v>43850</v>
      </c>
      <c r="F343" s="49">
        <v>42700</v>
      </c>
      <c r="G343" s="49">
        <v>5969782550</v>
      </c>
      <c r="H343" s="49">
        <f t="shared" si="120"/>
        <v>0.33360423409343998</v>
      </c>
      <c r="I343" s="49">
        <f t="shared" si="131"/>
        <v>0.33360423409343998</v>
      </c>
      <c r="J343" s="48">
        <v>0.15</v>
      </c>
      <c r="K343" s="48">
        <f t="shared" si="121"/>
        <v>0.11659661937547078</v>
      </c>
      <c r="L343" s="48">
        <v>180500</v>
      </c>
      <c r="M343" s="48">
        <v>181000</v>
      </c>
      <c r="N343" s="51">
        <v>128329070</v>
      </c>
      <c r="O343" s="48">
        <f t="shared" si="122"/>
        <v>1.3496338845862199</v>
      </c>
      <c r="P343" s="48">
        <f t="shared" si="132"/>
        <v>1.3496338845862199</v>
      </c>
      <c r="Q343" s="49">
        <v>0.15</v>
      </c>
      <c r="R343" s="49">
        <f t="shared" si="123"/>
        <v>0.11934770004862404</v>
      </c>
      <c r="S343" s="49">
        <v>203500</v>
      </c>
      <c r="T343" s="49">
        <v>211500</v>
      </c>
      <c r="U343" s="49">
        <v>15956260</v>
      </c>
      <c r="V343" s="49">
        <f t="shared" si="124"/>
        <v>9.5083730986197104</v>
      </c>
      <c r="W343" s="49">
        <f t="shared" si="133"/>
        <v>9.5083730986197104</v>
      </c>
      <c r="X343" s="48">
        <v>0.1</v>
      </c>
      <c r="Y343" s="76">
        <f t="shared" si="125"/>
        <v>9.7647198513970884E-2</v>
      </c>
      <c r="Z343" s="18">
        <v>10315</v>
      </c>
      <c r="AA343" s="18">
        <v>10260</v>
      </c>
      <c r="AB343" s="18">
        <v>67900000</v>
      </c>
      <c r="AC343" s="117">
        <f t="shared" si="126"/>
        <v>37.685674218198002</v>
      </c>
      <c r="AD343" s="48">
        <f t="shared" si="134"/>
        <v>37.685674218198002</v>
      </c>
      <c r="AE343" s="49">
        <v>0.3</v>
      </c>
      <c r="AF343" s="49">
        <f t="shared" si="127"/>
        <v>0.35011932434454518</v>
      </c>
      <c r="AG343" s="19">
        <v>24500</v>
      </c>
      <c r="AH343" s="19">
        <v>24000</v>
      </c>
      <c r="AI343" s="19">
        <v>7239332</v>
      </c>
      <c r="AJ343" s="119">
        <f t="shared" si="128"/>
        <v>541.801224798872</v>
      </c>
      <c r="AK343" s="49">
        <f t="shared" si="135"/>
        <v>541.801224798872</v>
      </c>
      <c r="AL343" s="82">
        <f t="shared" si="136"/>
        <v>0</v>
      </c>
      <c r="AM343" s="82">
        <f t="shared" si="137"/>
        <v>249441410670074.5</v>
      </c>
      <c r="AN343" s="81">
        <f t="shared" si="129"/>
        <v>268864607345066.19</v>
      </c>
      <c r="AO343" s="80">
        <f t="shared" si="115"/>
        <v>1077.8667688849866</v>
      </c>
      <c r="AP343" s="52">
        <f t="shared" si="130"/>
        <v>-1.1368769609000948E-2</v>
      </c>
      <c r="AQ343" s="48">
        <f t="shared" si="116"/>
        <v>-2.6225769669327253E-2</v>
      </c>
      <c r="AR343" s="48">
        <f t="shared" si="117"/>
        <v>2.7700831024930748E-3</v>
      </c>
      <c r="AS343" s="48">
        <f t="shared" si="118"/>
        <v>3.9312039312039311E-2</v>
      </c>
      <c r="AT343" s="48" t="e">
        <f>(#REF!-#REF!)/#REF!</f>
        <v>#REF!</v>
      </c>
    </row>
    <row r="344" spans="1:46" x14ac:dyDescent="0.3">
      <c r="A344" s="48">
        <v>20190527</v>
      </c>
      <c r="B344" s="48" t="s">
        <v>88</v>
      </c>
      <c r="C344" s="79">
        <v>0.3</v>
      </c>
      <c r="D344" s="79">
        <f t="shared" si="119"/>
        <v>0.31993541429316386</v>
      </c>
      <c r="E344" s="49">
        <v>42700</v>
      </c>
      <c r="F344" s="49">
        <v>42650</v>
      </c>
      <c r="G344" s="49">
        <v>5969782550</v>
      </c>
      <c r="H344" s="49">
        <f t="shared" si="120"/>
        <v>0.33360423409343998</v>
      </c>
      <c r="I344" s="49">
        <f t="shared" si="131"/>
        <v>0.33360423409343998</v>
      </c>
      <c r="J344" s="48">
        <v>0.15</v>
      </c>
      <c r="K344" s="48">
        <f t="shared" si="121"/>
        <v>0.11351244610652779</v>
      </c>
      <c r="L344" s="48">
        <v>181000</v>
      </c>
      <c r="M344" s="48">
        <v>174000</v>
      </c>
      <c r="N344" s="51">
        <v>128329070</v>
      </c>
      <c r="O344" s="48">
        <f t="shared" si="122"/>
        <v>1.3496338845862199</v>
      </c>
      <c r="P344" s="48">
        <f t="shared" si="132"/>
        <v>1.3496338845862199</v>
      </c>
      <c r="Q344" s="49">
        <v>0.15</v>
      </c>
      <c r="R344" s="49">
        <f t="shared" si="123"/>
        <v>0.12086509691410016</v>
      </c>
      <c r="S344" s="49">
        <v>211500</v>
      </c>
      <c r="T344" s="49">
        <v>211500</v>
      </c>
      <c r="U344" s="49">
        <v>15956260</v>
      </c>
      <c r="V344" s="49">
        <f t="shared" si="124"/>
        <v>9.5083730986197104</v>
      </c>
      <c r="W344" s="49">
        <f t="shared" si="133"/>
        <v>9.5083730986197104</v>
      </c>
      <c r="X344" s="48">
        <v>0.1</v>
      </c>
      <c r="Y344" s="76">
        <f t="shared" si="125"/>
        <v>9.8503162378813527E-2</v>
      </c>
      <c r="Z344" s="18">
        <v>10260</v>
      </c>
      <c r="AA344" s="18">
        <v>10220</v>
      </c>
      <c r="AB344" s="18">
        <v>67900000</v>
      </c>
      <c r="AC344" s="117">
        <f t="shared" si="126"/>
        <v>37.685674218198002</v>
      </c>
      <c r="AD344" s="48">
        <f t="shared" si="134"/>
        <v>37.685674218198002</v>
      </c>
      <c r="AE344" s="49">
        <v>0.3</v>
      </c>
      <c r="AF344" s="49">
        <f t="shared" si="127"/>
        <v>0.34718388030739472</v>
      </c>
      <c r="AG344" s="19">
        <v>24000</v>
      </c>
      <c r="AH344" s="19">
        <v>23500</v>
      </c>
      <c r="AI344" s="19">
        <v>7239332</v>
      </c>
      <c r="AJ344" s="119">
        <f t="shared" si="128"/>
        <v>541.801224798872</v>
      </c>
      <c r="AK344" s="49">
        <f t="shared" si="135"/>
        <v>541.801224798872</v>
      </c>
      <c r="AL344" s="82">
        <f t="shared" si="136"/>
        <v>0</v>
      </c>
      <c r="AM344" s="82">
        <f t="shared" si="137"/>
        <v>249441410670074.5</v>
      </c>
      <c r="AN344" s="81">
        <f t="shared" si="129"/>
        <v>265489155516215.84</v>
      </c>
      <c r="AO344" s="80">
        <f t="shared" si="115"/>
        <v>1064.3347261508516</v>
      </c>
      <c r="AP344" s="52">
        <f t="shared" si="130"/>
        <v>-1.2554466957111474E-2</v>
      </c>
      <c r="AQ344" s="48">
        <f t="shared" si="116"/>
        <v>-1.17096018735363E-3</v>
      </c>
      <c r="AR344" s="48">
        <f t="shared" si="117"/>
        <v>-3.8674033149171269E-2</v>
      </c>
      <c r="AS344" s="48">
        <f t="shared" si="118"/>
        <v>0</v>
      </c>
      <c r="AT344" s="48" t="e">
        <f>(#REF!-#REF!)/#REF!</f>
        <v>#REF!</v>
      </c>
    </row>
    <row r="345" spans="1:46" x14ac:dyDescent="0.3">
      <c r="A345" s="48">
        <v>20190528</v>
      </c>
      <c r="B345" s="48" t="s">
        <v>88</v>
      </c>
      <c r="C345" s="79">
        <v>0.3</v>
      </c>
      <c r="D345" s="79">
        <f t="shared" si="119"/>
        <v>0.31747625212648639</v>
      </c>
      <c r="E345" s="49">
        <v>42650</v>
      </c>
      <c r="F345" s="49">
        <v>42550</v>
      </c>
      <c r="G345" s="49">
        <v>5969782550</v>
      </c>
      <c r="H345" s="49">
        <f t="shared" si="120"/>
        <v>0.33360423409343998</v>
      </c>
      <c r="I345" s="49">
        <f t="shared" si="131"/>
        <v>0.33360423409343998</v>
      </c>
      <c r="J345" s="48">
        <v>0.15</v>
      </c>
      <c r="K345" s="48">
        <f t="shared" si="121"/>
        <v>0.1206911925458158</v>
      </c>
      <c r="L345" s="48">
        <v>174000</v>
      </c>
      <c r="M345" s="48">
        <v>186000</v>
      </c>
      <c r="N345" s="51">
        <v>128329070</v>
      </c>
      <c r="O345" s="48">
        <f t="shared" si="122"/>
        <v>1.3496338845862199</v>
      </c>
      <c r="P345" s="48">
        <f t="shared" si="132"/>
        <v>1.3496338845862199</v>
      </c>
      <c r="Q345" s="49">
        <v>0.15</v>
      </c>
      <c r="R345" s="49">
        <f t="shared" si="123"/>
        <v>0.12402626899718674</v>
      </c>
      <c r="S345" s="49">
        <v>211500</v>
      </c>
      <c r="T345" s="49">
        <v>218200</v>
      </c>
      <c r="U345" s="49">
        <v>15956260</v>
      </c>
      <c r="V345" s="49">
        <f t="shared" si="124"/>
        <v>9.5083730986197104</v>
      </c>
      <c r="W345" s="49">
        <f t="shared" si="133"/>
        <v>9.5083730986197104</v>
      </c>
      <c r="X345" s="48">
        <v>0.1</v>
      </c>
      <c r="Y345" s="76">
        <f t="shared" si="125"/>
        <v>9.8359211506381203E-2</v>
      </c>
      <c r="Z345" s="18">
        <v>10220</v>
      </c>
      <c r="AA345" s="18">
        <v>10260</v>
      </c>
      <c r="AB345" s="18">
        <v>67900000</v>
      </c>
      <c r="AC345" s="117">
        <f t="shared" si="126"/>
        <v>37.685674218198002</v>
      </c>
      <c r="AD345" s="48">
        <f t="shared" si="134"/>
        <v>37.685674218198002</v>
      </c>
      <c r="AE345" s="49">
        <v>0.3</v>
      </c>
      <c r="AF345" s="49">
        <f t="shared" si="127"/>
        <v>0.33944707482412989</v>
      </c>
      <c r="AG345" s="19">
        <v>23500</v>
      </c>
      <c r="AH345" s="19">
        <v>23100</v>
      </c>
      <c r="AI345" s="19">
        <v>7239332</v>
      </c>
      <c r="AJ345" s="119">
        <f t="shared" si="128"/>
        <v>541.801224798872</v>
      </c>
      <c r="AK345" s="49">
        <f t="shared" si="135"/>
        <v>541.801224798872</v>
      </c>
      <c r="AL345" s="82">
        <f t="shared" si="136"/>
        <v>0</v>
      </c>
      <c r="AM345" s="82">
        <f t="shared" si="137"/>
        <v>249441410670074.5</v>
      </c>
      <c r="AN345" s="81">
        <f t="shared" si="129"/>
        <v>266918321982494.25</v>
      </c>
      <c r="AO345" s="80">
        <f t="shared" si="115"/>
        <v>1070.0641936937077</v>
      </c>
      <c r="AP345" s="52">
        <f t="shared" si="130"/>
        <v>5.383144420718705E-3</v>
      </c>
      <c r="AQ345" s="48">
        <f t="shared" si="116"/>
        <v>-2.3446658851113715E-3</v>
      </c>
      <c r="AR345" s="48">
        <f t="shared" si="117"/>
        <v>6.8965517241379309E-2</v>
      </c>
      <c r="AS345" s="48">
        <f t="shared" si="118"/>
        <v>3.1678486997635931E-2</v>
      </c>
      <c r="AT345" s="48" t="e">
        <f>(#REF!-#REF!)/#REF!</f>
        <v>#REF!</v>
      </c>
    </row>
    <row r="346" spans="1:46" x14ac:dyDescent="0.3">
      <c r="A346" s="48">
        <v>20190529</v>
      </c>
      <c r="B346" s="48" t="s">
        <v>88</v>
      </c>
      <c r="C346" s="79">
        <v>0.3</v>
      </c>
      <c r="D346" s="79">
        <f t="shared" si="119"/>
        <v>0.32105949875281004</v>
      </c>
      <c r="E346" s="49">
        <v>42550</v>
      </c>
      <c r="F346" s="49">
        <v>41800</v>
      </c>
      <c r="G346" s="49">
        <v>5969782550</v>
      </c>
      <c r="H346" s="49">
        <f t="shared" si="120"/>
        <v>0.33360423409343998</v>
      </c>
      <c r="I346" s="49">
        <f t="shared" si="131"/>
        <v>0.33360423409343998</v>
      </c>
      <c r="J346" s="48">
        <v>0.15</v>
      </c>
      <c r="K346" s="48">
        <f t="shared" si="121"/>
        <v>0.12390935877757228</v>
      </c>
      <c r="L346" s="48">
        <v>186000</v>
      </c>
      <c r="M346" s="48">
        <v>185500</v>
      </c>
      <c r="N346" s="51">
        <v>128329070</v>
      </c>
      <c r="O346" s="48">
        <f t="shared" si="122"/>
        <v>1.3496338845862199</v>
      </c>
      <c r="P346" s="48">
        <f t="shared" si="132"/>
        <v>1.3496338845862199</v>
      </c>
      <c r="Q346" s="49">
        <v>0.15</v>
      </c>
      <c r="R346" s="49">
        <f t="shared" si="123"/>
        <v>0.10994697231218145</v>
      </c>
      <c r="S346" s="49">
        <v>218200</v>
      </c>
      <c r="T346" s="49">
        <v>187900</v>
      </c>
      <c r="U346" s="49">
        <v>15956260</v>
      </c>
      <c r="V346" s="49">
        <f t="shared" si="124"/>
        <v>9.5083730986197104</v>
      </c>
      <c r="W346" s="49">
        <f t="shared" si="133"/>
        <v>9.5083730986197104</v>
      </c>
      <c r="X346" s="48">
        <v>0.1</v>
      </c>
      <c r="Y346" s="76">
        <f t="shared" si="125"/>
        <v>9.9428364065641567E-2</v>
      </c>
      <c r="Z346" s="18">
        <v>10260</v>
      </c>
      <c r="AA346" s="18">
        <v>10075</v>
      </c>
      <c r="AB346" s="18">
        <v>67900000</v>
      </c>
      <c r="AC346" s="117">
        <f t="shared" si="126"/>
        <v>37.685674218198002</v>
      </c>
      <c r="AD346" s="48">
        <f t="shared" si="134"/>
        <v>37.685674218198002</v>
      </c>
      <c r="AE346" s="49">
        <v>0.3</v>
      </c>
      <c r="AF346" s="49">
        <f t="shared" si="127"/>
        <v>0.34565580609179458</v>
      </c>
      <c r="AG346" s="19">
        <v>23100</v>
      </c>
      <c r="AH346" s="19">
        <v>22850</v>
      </c>
      <c r="AI346" s="19">
        <v>7239332</v>
      </c>
      <c r="AJ346" s="119">
        <f t="shared" si="128"/>
        <v>541.801224798872</v>
      </c>
      <c r="AK346" s="49">
        <f t="shared" si="135"/>
        <v>541.801224798872</v>
      </c>
      <c r="AL346" s="82">
        <f t="shared" si="136"/>
        <v>0</v>
      </c>
      <c r="AM346" s="82">
        <f t="shared" si="137"/>
        <v>249441410670074.5</v>
      </c>
      <c r="AN346" s="81">
        <f t="shared" si="129"/>
        <v>259287048845464.34</v>
      </c>
      <c r="AO346" s="80">
        <f t="shared" si="115"/>
        <v>1039.4707444483315</v>
      </c>
      <c r="AP346" s="52">
        <f t="shared" si="130"/>
        <v>-2.8590293391438499E-2</v>
      </c>
      <c r="AQ346" s="48">
        <f t="shared" si="116"/>
        <v>-1.7626321974148061E-2</v>
      </c>
      <c r="AR346" s="48">
        <f t="shared" si="117"/>
        <v>-2.6881720430107529E-3</v>
      </c>
      <c r="AS346" s="48">
        <f t="shared" si="118"/>
        <v>-0.13886342804766269</v>
      </c>
      <c r="AT346" s="48" t="e">
        <f>(#REF!-#REF!)/#REF!</f>
        <v>#REF!</v>
      </c>
    </row>
    <row r="347" spans="1:46" x14ac:dyDescent="0.3">
      <c r="A347" s="48">
        <v>20190530</v>
      </c>
      <c r="B347" s="48" t="s">
        <v>88</v>
      </c>
      <c r="C347" s="79">
        <v>0.3</v>
      </c>
      <c r="D347" s="79">
        <f t="shared" si="119"/>
        <v>0.32700714577237522</v>
      </c>
      <c r="E347" s="49">
        <v>41800</v>
      </c>
      <c r="F347" s="49">
        <v>42550</v>
      </c>
      <c r="G347" s="49">
        <v>5969782550</v>
      </c>
      <c r="H347" s="49">
        <f t="shared" si="120"/>
        <v>0.33360423409343998</v>
      </c>
      <c r="I347" s="49">
        <f t="shared" si="131"/>
        <v>0.35637236041814002</v>
      </c>
      <c r="J347" s="48">
        <v>0.15</v>
      </c>
      <c r="K347" s="48">
        <f t="shared" si="121"/>
        <v>0.12431443967830121</v>
      </c>
      <c r="L347" s="48">
        <v>185500</v>
      </c>
      <c r="M347" s="48">
        <v>186000</v>
      </c>
      <c r="N347" s="51">
        <v>128329070</v>
      </c>
      <c r="O347" s="48">
        <f t="shared" si="122"/>
        <v>1.3496338845862199</v>
      </c>
      <c r="P347" s="48">
        <f t="shared" si="132"/>
        <v>1.4417449300585801</v>
      </c>
      <c r="Q347" s="49">
        <v>0.15</v>
      </c>
      <c r="R347" s="49">
        <f t="shared" si="123"/>
        <v>0.1075509095669533</v>
      </c>
      <c r="S347" s="49">
        <v>187900</v>
      </c>
      <c r="T347" s="49">
        <v>183700</v>
      </c>
      <c r="U347" s="49">
        <v>15956260</v>
      </c>
      <c r="V347" s="49">
        <f t="shared" si="124"/>
        <v>9.5083730986197104</v>
      </c>
      <c r="W347" s="49">
        <f t="shared" si="133"/>
        <v>10.1573092263042</v>
      </c>
      <c r="X347" s="48">
        <v>0.1</v>
      </c>
      <c r="Y347" s="76">
        <f t="shared" si="125"/>
        <v>0.10057144947360319</v>
      </c>
      <c r="Z347" s="18">
        <v>10075</v>
      </c>
      <c r="AA347" s="18">
        <v>10185</v>
      </c>
      <c r="AB347" s="18">
        <v>47400000</v>
      </c>
      <c r="AC347" s="117">
        <f t="shared" si="126"/>
        <v>37.685674218198002</v>
      </c>
      <c r="AD347" s="48">
        <f t="shared" si="134"/>
        <v>57.668702680821397</v>
      </c>
      <c r="AE347" s="49">
        <v>0.3</v>
      </c>
      <c r="AF347" s="49">
        <f t="shared" si="127"/>
        <v>0.34055605550876705</v>
      </c>
      <c r="AG347" s="19">
        <v>22850</v>
      </c>
      <c r="AH347" s="19">
        <v>22500</v>
      </c>
      <c r="AI347" s="19">
        <v>7239332</v>
      </c>
      <c r="AJ347" s="119">
        <f t="shared" si="128"/>
        <v>541.801224798872</v>
      </c>
      <c r="AK347" s="49">
        <f t="shared" si="135"/>
        <v>578.77856941387597</v>
      </c>
      <c r="AL347" s="82">
        <f t="shared" si="136"/>
        <v>1</v>
      </c>
      <c r="AM347" s="82">
        <f t="shared" si="137"/>
        <v>266465515787267.87</v>
      </c>
      <c r="AN347" s="81">
        <f t="shared" si="129"/>
        <v>276824705920389</v>
      </c>
      <c r="AO347" s="80">
        <f t="shared" si="115"/>
        <v>1038.8762879973983</v>
      </c>
      <c r="AP347" s="52">
        <f t="shared" si="130"/>
        <v>-5.7188377268730566E-4</v>
      </c>
      <c r="AQ347" s="48">
        <f t="shared" si="116"/>
        <v>1.7942583732057416E-2</v>
      </c>
      <c r="AR347" s="48">
        <f t="shared" si="117"/>
        <v>2.6954177897574125E-3</v>
      </c>
      <c r="AS347" s="48">
        <f t="shared" si="118"/>
        <v>-2.2352315061202766E-2</v>
      </c>
      <c r="AT347" s="48" t="e">
        <f>(#REF!-#REF!)/#REF!</f>
        <v>#REF!</v>
      </c>
    </row>
    <row r="348" spans="1:46" x14ac:dyDescent="0.3">
      <c r="A348" s="48">
        <v>20190531</v>
      </c>
      <c r="B348" s="48" t="s">
        <v>88</v>
      </c>
      <c r="C348" s="79">
        <v>0.3</v>
      </c>
      <c r="D348" s="79">
        <f t="shared" si="119"/>
        <v>0.31998880386491957</v>
      </c>
      <c r="E348" s="49">
        <v>42550</v>
      </c>
      <c r="F348" s="49">
        <v>42500</v>
      </c>
      <c r="G348" s="49">
        <v>5969782550</v>
      </c>
      <c r="H348" s="49">
        <f t="shared" si="120"/>
        <v>0.35637236041814002</v>
      </c>
      <c r="I348" s="49">
        <f t="shared" si="131"/>
        <v>0.35637236041814002</v>
      </c>
      <c r="J348" s="48">
        <v>0.15</v>
      </c>
      <c r="K348" s="48">
        <f t="shared" si="121"/>
        <v>0.12440860144448146</v>
      </c>
      <c r="L348" s="48">
        <v>186000</v>
      </c>
      <c r="M348" s="48">
        <v>190000</v>
      </c>
      <c r="N348" s="51">
        <v>128329070</v>
      </c>
      <c r="O348" s="48">
        <f t="shared" si="122"/>
        <v>1.4417449300585801</v>
      </c>
      <c r="P348" s="48">
        <f t="shared" si="132"/>
        <v>1.4417449300585801</v>
      </c>
      <c r="Q348" s="49">
        <v>0.15</v>
      </c>
      <c r="R348" s="49">
        <f t="shared" si="123"/>
        <v>0.11173315400762905</v>
      </c>
      <c r="S348" s="49">
        <v>183700</v>
      </c>
      <c r="T348" s="49">
        <v>194800</v>
      </c>
      <c r="U348" s="49">
        <v>15956260</v>
      </c>
      <c r="V348" s="49">
        <f t="shared" si="124"/>
        <v>10.1573092263042</v>
      </c>
      <c r="W348" s="49">
        <f t="shared" si="133"/>
        <v>10.1573092263042</v>
      </c>
      <c r="X348" s="48">
        <v>0.1</v>
      </c>
      <c r="Y348" s="76">
        <f t="shared" si="125"/>
        <v>9.9109164080594683E-2</v>
      </c>
      <c r="Z348" s="18">
        <v>10185</v>
      </c>
      <c r="AA348" s="18">
        <v>10245</v>
      </c>
      <c r="AB348" s="18">
        <v>47400000</v>
      </c>
      <c r="AC348" s="117">
        <f t="shared" si="126"/>
        <v>57.668702680821397</v>
      </c>
      <c r="AD348" s="48">
        <f t="shared" si="134"/>
        <v>57.668702680821397</v>
      </c>
      <c r="AE348" s="49">
        <v>0.3</v>
      </c>
      <c r="AF348" s="49">
        <f t="shared" si="127"/>
        <v>0.34476027660237529</v>
      </c>
      <c r="AG348" s="19">
        <v>22500</v>
      </c>
      <c r="AH348" s="19">
        <v>23250</v>
      </c>
      <c r="AI348" s="19">
        <v>7239332</v>
      </c>
      <c r="AJ348" s="119">
        <f t="shared" si="128"/>
        <v>578.77856941387597</v>
      </c>
      <c r="AK348" s="49">
        <f t="shared" si="135"/>
        <v>578.77856941387597</v>
      </c>
      <c r="AL348" s="82">
        <f t="shared" si="136"/>
        <v>0</v>
      </c>
      <c r="AM348" s="82">
        <f t="shared" si="137"/>
        <v>266465515787267.87</v>
      </c>
      <c r="AN348" s="81">
        <f t="shared" si="129"/>
        <v>282563897846707.44</v>
      </c>
      <c r="AO348" s="80">
        <f t="shared" si="115"/>
        <v>1060.4145043379333</v>
      </c>
      <c r="AP348" s="52">
        <f t="shared" si="130"/>
        <v>2.0732224413412458E-2</v>
      </c>
      <c r="AQ348" s="48">
        <f t="shared" si="116"/>
        <v>-1.1750881316098707E-3</v>
      </c>
      <c r="AR348" s="48">
        <f t="shared" si="117"/>
        <v>2.1505376344086023E-2</v>
      </c>
      <c r="AS348" s="48">
        <f t="shared" si="118"/>
        <v>6.0424605334784977E-2</v>
      </c>
      <c r="AT348" s="48" t="e">
        <f>(#REF!-#REF!)/#REF!</f>
        <v>#REF!</v>
      </c>
    </row>
    <row r="349" spans="1:46" x14ac:dyDescent="0.3">
      <c r="A349" s="48">
        <v>20190603</v>
      </c>
      <c r="B349" s="48" t="s">
        <v>88</v>
      </c>
      <c r="C349" s="79">
        <v>0.3</v>
      </c>
      <c r="D349" s="79">
        <f t="shared" si="119"/>
        <v>0.32676162433051442</v>
      </c>
      <c r="E349" s="49">
        <v>42500</v>
      </c>
      <c r="F349" s="49">
        <v>43800</v>
      </c>
      <c r="G349" s="49">
        <v>5969782550</v>
      </c>
      <c r="H349" s="49">
        <f t="shared" si="120"/>
        <v>0.35637236041814002</v>
      </c>
      <c r="I349" s="49">
        <f t="shared" si="131"/>
        <v>0.35637236041814002</v>
      </c>
      <c r="J349" s="48">
        <v>0.15</v>
      </c>
      <c r="K349" s="48">
        <f t="shared" si="121"/>
        <v>0.12521754903735299</v>
      </c>
      <c r="L349" s="48">
        <v>190000</v>
      </c>
      <c r="M349" s="48">
        <v>193000</v>
      </c>
      <c r="N349" s="51">
        <v>128329070</v>
      </c>
      <c r="O349" s="48">
        <f t="shared" si="122"/>
        <v>1.4417449300585801</v>
      </c>
      <c r="P349" s="48">
        <f t="shared" si="132"/>
        <v>1.4417449300585801</v>
      </c>
      <c r="Q349" s="49">
        <v>0.15</v>
      </c>
      <c r="R349" s="49">
        <f t="shared" si="123"/>
        <v>0.10809726380984618</v>
      </c>
      <c r="S349" s="49">
        <v>194800</v>
      </c>
      <c r="T349" s="49">
        <v>190200</v>
      </c>
      <c r="U349" s="49">
        <v>15956260</v>
      </c>
      <c r="V349" s="49">
        <f t="shared" si="124"/>
        <v>10.1573092263042</v>
      </c>
      <c r="W349" s="49">
        <f t="shared" si="133"/>
        <v>10.1573092263042</v>
      </c>
      <c r="X349" s="48">
        <v>0.1</v>
      </c>
      <c r="Y349" s="76">
        <f t="shared" si="125"/>
        <v>9.9784632633212592E-2</v>
      </c>
      <c r="Z349" s="18">
        <v>10245</v>
      </c>
      <c r="AA349" s="18">
        <v>10410</v>
      </c>
      <c r="AB349" s="18">
        <v>47400000</v>
      </c>
      <c r="AC349" s="117">
        <f t="shared" si="126"/>
        <v>57.668702680821397</v>
      </c>
      <c r="AD349" s="48">
        <f t="shared" si="134"/>
        <v>57.668702680821397</v>
      </c>
      <c r="AE349" s="49">
        <v>0.3</v>
      </c>
      <c r="AF349" s="49">
        <f t="shared" si="127"/>
        <v>0.34013893018907393</v>
      </c>
      <c r="AG349" s="19">
        <v>23250</v>
      </c>
      <c r="AH349" s="19">
        <v>23150</v>
      </c>
      <c r="AI349" s="19">
        <v>7239332</v>
      </c>
      <c r="AJ349" s="119">
        <f t="shared" si="128"/>
        <v>578.77856941387597</v>
      </c>
      <c r="AK349" s="49">
        <f t="shared" si="135"/>
        <v>578.77856941387597</v>
      </c>
      <c r="AL349" s="82">
        <f t="shared" si="136"/>
        <v>0</v>
      </c>
      <c r="AM349" s="82">
        <f t="shared" si="137"/>
        <v>266465515787267.87</v>
      </c>
      <c r="AN349" s="81">
        <f t="shared" si="129"/>
        <v>285171151986955.87</v>
      </c>
      <c r="AO349" s="80">
        <f t="shared" si="115"/>
        <v>1070.1990880299184</v>
      </c>
      <c r="AP349" s="52">
        <f t="shared" si="130"/>
        <v>9.227131137831841E-3</v>
      </c>
      <c r="AQ349" s="48">
        <f t="shared" si="116"/>
        <v>3.0588235294117649E-2</v>
      </c>
      <c r="AR349" s="48">
        <f t="shared" si="117"/>
        <v>1.5789473684210527E-2</v>
      </c>
      <c r="AS349" s="48">
        <f t="shared" si="118"/>
        <v>-2.3613963039014373E-2</v>
      </c>
      <c r="AT349" s="48" t="e">
        <f>(#REF!-#REF!)/#REF!</f>
        <v>#REF!</v>
      </c>
    </row>
    <row r="350" spans="1:46" x14ac:dyDescent="0.3">
      <c r="A350" s="48">
        <v>20190604</v>
      </c>
      <c r="B350" s="48" t="s">
        <v>88</v>
      </c>
      <c r="C350" s="79">
        <v>0.3</v>
      </c>
      <c r="D350" s="79">
        <f t="shared" si="119"/>
        <v>0.32489904386656177</v>
      </c>
      <c r="E350" s="49">
        <v>43800</v>
      </c>
      <c r="F350" s="49">
        <v>43450</v>
      </c>
      <c r="G350" s="49">
        <v>5969782550</v>
      </c>
      <c r="H350" s="49">
        <f t="shared" si="120"/>
        <v>0.35637236041814002</v>
      </c>
      <c r="I350" s="49">
        <f t="shared" si="131"/>
        <v>0.35637236041814002</v>
      </c>
      <c r="J350" s="48">
        <v>0.15</v>
      </c>
      <c r="K350" s="48">
        <f t="shared" si="121"/>
        <v>0.12713243588977793</v>
      </c>
      <c r="L350" s="48">
        <v>193000</v>
      </c>
      <c r="M350" s="48">
        <v>195500</v>
      </c>
      <c r="N350" s="51">
        <v>128329070</v>
      </c>
      <c r="O350" s="48">
        <f t="shared" si="122"/>
        <v>1.4417449300585801</v>
      </c>
      <c r="P350" s="48">
        <f t="shared" si="132"/>
        <v>1.4417449300585801</v>
      </c>
      <c r="Q350" s="49">
        <v>0.15</v>
      </c>
      <c r="R350" s="49">
        <f t="shared" si="123"/>
        <v>0.10658097595469924</v>
      </c>
      <c r="S350" s="49">
        <v>190200</v>
      </c>
      <c r="T350" s="49">
        <v>187100</v>
      </c>
      <c r="U350" s="49">
        <v>15956260</v>
      </c>
      <c r="V350" s="49">
        <f t="shared" si="124"/>
        <v>10.1573092263042</v>
      </c>
      <c r="W350" s="49">
        <f t="shared" si="133"/>
        <v>10.1573092263042</v>
      </c>
      <c r="X350" s="48">
        <v>0.1</v>
      </c>
      <c r="Y350" s="76">
        <f t="shared" si="125"/>
        <v>9.97268274928374E-2</v>
      </c>
      <c r="Z350" s="18">
        <v>10410</v>
      </c>
      <c r="AA350" s="18">
        <v>10380</v>
      </c>
      <c r="AB350" s="18">
        <v>47400000</v>
      </c>
      <c r="AC350" s="117">
        <f t="shared" si="126"/>
        <v>57.668702680821397</v>
      </c>
      <c r="AD350" s="48">
        <f t="shared" si="134"/>
        <v>57.668702680821397</v>
      </c>
      <c r="AE350" s="49">
        <v>0.3</v>
      </c>
      <c r="AF350" s="49">
        <f t="shared" si="127"/>
        <v>0.34166071679612381</v>
      </c>
      <c r="AG350" s="19">
        <v>23150</v>
      </c>
      <c r="AH350" s="19">
        <v>23200</v>
      </c>
      <c r="AI350" s="19">
        <v>7239332</v>
      </c>
      <c r="AJ350" s="119">
        <f t="shared" si="128"/>
        <v>578.77856941387597</v>
      </c>
      <c r="AK350" s="49">
        <f t="shared" si="135"/>
        <v>578.77856941387597</v>
      </c>
      <c r="AL350" s="82">
        <f t="shared" si="136"/>
        <v>0</v>
      </c>
      <c r="AM350" s="82">
        <f t="shared" si="137"/>
        <v>266465515787267.87</v>
      </c>
      <c r="AN350" s="81">
        <f t="shared" si="129"/>
        <v>284514151875874.69</v>
      </c>
      <c r="AO350" s="80">
        <f t="shared" si="115"/>
        <v>1067.7334777645897</v>
      </c>
      <c r="AP350" s="52">
        <f t="shared" si="130"/>
        <v>-2.3038799910281272E-3</v>
      </c>
      <c r="AQ350" s="48">
        <f t="shared" si="116"/>
        <v>-7.9908675799086754E-3</v>
      </c>
      <c r="AR350" s="48">
        <f t="shared" si="117"/>
        <v>1.2953367875647668E-2</v>
      </c>
      <c r="AS350" s="48">
        <f t="shared" si="118"/>
        <v>-1.6298633017875919E-2</v>
      </c>
      <c r="AT350" s="48" t="e">
        <f>(#REF!-#REF!)/#REF!</f>
        <v>#REF!</v>
      </c>
    </row>
    <row r="351" spans="1:46" x14ac:dyDescent="0.3">
      <c r="A351" s="48">
        <v>20190605</v>
      </c>
      <c r="B351" s="48" t="s">
        <v>88</v>
      </c>
      <c r="C351" s="79">
        <v>0.3</v>
      </c>
      <c r="D351" s="79">
        <f t="shared" si="119"/>
        <v>0.32883773996667254</v>
      </c>
      <c r="E351" s="49">
        <v>43450</v>
      </c>
      <c r="F351" s="49">
        <v>43900</v>
      </c>
      <c r="G351" s="49">
        <v>5969782550</v>
      </c>
      <c r="H351" s="49">
        <f t="shared" si="120"/>
        <v>0.35637236041814002</v>
      </c>
      <c r="I351" s="49">
        <f t="shared" si="131"/>
        <v>0.35637236041814002</v>
      </c>
      <c r="J351" s="48">
        <v>0.15</v>
      </c>
      <c r="K351" s="48">
        <f t="shared" si="121"/>
        <v>0.12768037803973314</v>
      </c>
      <c r="L351" s="48">
        <v>195500</v>
      </c>
      <c r="M351" s="48">
        <v>196000</v>
      </c>
      <c r="N351" s="51">
        <v>128329070</v>
      </c>
      <c r="O351" s="48">
        <f t="shared" si="122"/>
        <v>1.4417449300585801</v>
      </c>
      <c r="P351" s="48">
        <f t="shared" si="132"/>
        <v>1.4417449300585801</v>
      </c>
      <c r="Q351" s="49">
        <v>0.15</v>
      </c>
      <c r="R351" s="49">
        <f t="shared" si="123"/>
        <v>0.10722379328681246</v>
      </c>
      <c r="S351" s="49">
        <v>187100</v>
      </c>
      <c r="T351" s="49">
        <v>187900</v>
      </c>
      <c r="U351" s="49">
        <v>15956260</v>
      </c>
      <c r="V351" s="49">
        <f t="shared" si="124"/>
        <v>10.1573092263042</v>
      </c>
      <c r="W351" s="49">
        <f t="shared" si="133"/>
        <v>10.1573092263042</v>
      </c>
      <c r="X351" s="48">
        <v>0.1</v>
      </c>
      <c r="Y351" s="76">
        <f t="shared" si="125"/>
        <v>9.9901149518140275E-2</v>
      </c>
      <c r="Z351" s="18">
        <v>10380</v>
      </c>
      <c r="AA351" s="18">
        <v>10380</v>
      </c>
      <c r="AB351" s="18">
        <v>47400000</v>
      </c>
      <c r="AC351" s="117">
        <f t="shared" si="126"/>
        <v>57.668702680821397</v>
      </c>
      <c r="AD351" s="48">
        <f t="shared" si="134"/>
        <v>57.668702680821397</v>
      </c>
      <c r="AE351" s="49">
        <v>0.3</v>
      </c>
      <c r="AF351" s="49">
        <f t="shared" si="127"/>
        <v>0.33635693918864162</v>
      </c>
      <c r="AG351" s="19">
        <v>23200</v>
      </c>
      <c r="AH351" s="19">
        <v>22800</v>
      </c>
      <c r="AI351" s="19">
        <v>7239332</v>
      </c>
      <c r="AJ351" s="119">
        <f t="shared" si="128"/>
        <v>578.77856941387597</v>
      </c>
      <c r="AK351" s="49">
        <f t="shared" si="135"/>
        <v>578.77856941387597</v>
      </c>
      <c r="AL351" s="82">
        <f t="shared" si="136"/>
        <v>0</v>
      </c>
      <c r="AM351" s="82">
        <f t="shared" si="137"/>
        <v>266465515787267.87</v>
      </c>
      <c r="AN351" s="81">
        <f t="shared" si="129"/>
        <v>284017690289380.87</v>
      </c>
      <c r="AO351" s="80">
        <f t="shared" si="115"/>
        <v>1065.8703414220613</v>
      </c>
      <c r="AP351" s="52">
        <f t="shared" si="130"/>
        <v>-1.7449451397075666E-3</v>
      </c>
      <c r="AQ351" s="48">
        <f t="shared" si="116"/>
        <v>1.0356731875719217E-2</v>
      </c>
      <c r="AR351" s="48">
        <f t="shared" si="117"/>
        <v>2.5575447570332483E-3</v>
      </c>
      <c r="AS351" s="48">
        <f t="shared" si="118"/>
        <v>4.27578834847675E-3</v>
      </c>
      <c r="AT351" s="48" t="e">
        <f>(#REF!-#REF!)/#REF!</f>
        <v>#REF!</v>
      </c>
    </row>
    <row r="352" spans="1:46" x14ac:dyDescent="0.3">
      <c r="A352" s="48">
        <v>20190607</v>
      </c>
      <c r="B352" s="48" t="s">
        <v>88</v>
      </c>
      <c r="C352" s="79">
        <v>0.3</v>
      </c>
      <c r="D352" s="79">
        <f t="shared" si="119"/>
        <v>0.32987307365378721</v>
      </c>
      <c r="E352" s="49">
        <v>43900</v>
      </c>
      <c r="F352" s="49">
        <v>44200</v>
      </c>
      <c r="G352" s="49">
        <v>5969782550</v>
      </c>
      <c r="H352" s="49">
        <f t="shared" si="120"/>
        <v>0.35637236041814002</v>
      </c>
      <c r="I352" s="49">
        <f t="shared" si="131"/>
        <v>0.365186256850484</v>
      </c>
      <c r="J352" s="48">
        <v>0.15</v>
      </c>
      <c r="K352" s="48">
        <f t="shared" si="121"/>
        <v>0.12753756074299194</v>
      </c>
      <c r="L352" s="48">
        <v>196000</v>
      </c>
      <c r="M352" s="48">
        <v>196500</v>
      </c>
      <c r="N352" s="51">
        <v>128329070</v>
      </c>
      <c r="O352" s="48">
        <f t="shared" si="122"/>
        <v>1.4417449300585801</v>
      </c>
      <c r="P352" s="48">
        <f t="shared" si="132"/>
        <v>1.4774025508698101</v>
      </c>
      <c r="Q352" s="49">
        <v>0.15</v>
      </c>
      <c r="R352" s="49">
        <f t="shared" si="123"/>
        <v>0.10842328054929207</v>
      </c>
      <c r="S352" s="49">
        <v>187900</v>
      </c>
      <c r="T352" s="49">
        <v>190700</v>
      </c>
      <c r="U352" s="49">
        <v>15956260</v>
      </c>
      <c r="V352" s="49">
        <f t="shared" si="124"/>
        <v>10.1573092263042</v>
      </c>
      <c r="W352" s="49">
        <f t="shared" si="133"/>
        <v>10.4085225118881</v>
      </c>
      <c r="X352" s="48">
        <v>0.1</v>
      </c>
      <c r="Y352" s="76">
        <f t="shared" si="125"/>
        <v>9.9775216722798474E-2</v>
      </c>
      <c r="Z352" s="18">
        <v>10380</v>
      </c>
      <c r="AA352" s="18">
        <v>10405</v>
      </c>
      <c r="AB352" s="18">
        <v>62900000</v>
      </c>
      <c r="AC352" s="117">
        <f t="shared" si="126"/>
        <v>57.668702680821397</v>
      </c>
      <c r="AD352" s="48">
        <f t="shared" si="134"/>
        <v>44.5326243721954</v>
      </c>
      <c r="AE352" s="49">
        <v>0.3</v>
      </c>
      <c r="AF352" s="49">
        <f t="shared" si="127"/>
        <v>0.33439086833113024</v>
      </c>
      <c r="AG352" s="19">
        <v>22800</v>
      </c>
      <c r="AH352" s="19">
        <v>22750</v>
      </c>
      <c r="AI352" s="19">
        <v>7239332</v>
      </c>
      <c r="AJ352" s="119">
        <f t="shared" si="128"/>
        <v>578.77856941387597</v>
      </c>
      <c r="AK352" s="49">
        <f t="shared" si="135"/>
        <v>593.09307562891695</v>
      </c>
      <c r="AL352" s="82">
        <f t="shared" si="136"/>
        <v>1</v>
      </c>
      <c r="AM352" s="82">
        <f t="shared" si="137"/>
        <v>273055812117164.03</v>
      </c>
      <c r="AN352" s="81">
        <f t="shared" si="129"/>
        <v>292111288023097.87</v>
      </c>
      <c r="AO352" s="80">
        <f t="shared" si="115"/>
        <v>1069.7860109923513</v>
      </c>
      <c r="AP352" s="52">
        <f t="shared" si="130"/>
        <v>3.6736828281250327E-3</v>
      </c>
      <c r="AQ352" s="48">
        <f t="shared" si="116"/>
        <v>6.8337129840546698E-3</v>
      </c>
      <c r="AR352" s="48">
        <f t="shared" si="117"/>
        <v>2.5510204081632651E-3</v>
      </c>
      <c r="AS352" s="48">
        <f t="shared" si="118"/>
        <v>1.4901543374135177E-2</v>
      </c>
      <c r="AT352" s="48" t="e">
        <f>(#REF!-#REF!)/#REF!</f>
        <v>#REF!</v>
      </c>
    </row>
    <row r="353" spans="1:46" s="47" customFormat="1" x14ac:dyDescent="0.3">
      <c r="A353" s="48">
        <v>20190610</v>
      </c>
      <c r="B353" s="48" t="s">
        <v>88</v>
      </c>
      <c r="C353" s="79">
        <v>0.3</v>
      </c>
      <c r="D353" s="79">
        <f t="shared" si="119"/>
        <v>0.33369934131374113</v>
      </c>
      <c r="E353" s="49">
        <v>44200</v>
      </c>
      <c r="F353" s="49">
        <v>44800</v>
      </c>
      <c r="G353" s="49">
        <v>5969782550</v>
      </c>
      <c r="H353" s="49">
        <f t="shared" si="120"/>
        <v>0.365186256850484</v>
      </c>
      <c r="I353" s="49">
        <f t="shared" si="131"/>
        <v>0.36622897400253901</v>
      </c>
      <c r="J353" s="48">
        <v>0.15</v>
      </c>
      <c r="K353" s="48">
        <f t="shared" si="121"/>
        <v>0.1285845533208817</v>
      </c>
      <c r="L353" s="48">
        <v>196500</v>
      </c>
      <c r="M353" s="48">
        <v>198500</v>
      </c>
      <c r="N353" s="51">
        <v>128329070</v>
      </c>
      <c r="O353" s="48">
        <f t="shared" si="122"/>
        <v>1.4774025508698101</v>
      </c>
      <c r="P353" s="48">
        <f t="shared" si="132"/>
        <v>1.4816209817427799</v>
      </c>
      <c r="Q353" s="49">
        <v>0.15</v>
      </c>
      <c r="R353" s="49">
        <f t="shared" si="123"/>
        <v>0.10838219827355101</v>
      </c>
      <c r="S353" s="49">
        <v>190700</v>
      </c>
      <c r="T353" s="49">
        <v>191000</v>
      </c>
      <c r="U353" s="49">
        <v>15956260</v>
      </c>
      <c r="V353" s="49">
        <f t="shared" si="124"/>
        <v>10.4085225118881</v>
      </c>
      <c r="W353" s="49">
        <f t="shared" si="133"/>
        <v>10.438241989954699</v>
      </c>
      <c r="X353" s="48">
        <v>0.1</v>
      </c>
      <c r="Y353" s="76">
        <f t="shared" si="125"/>
        <v>0.10072921221035498</v>
      </c>
      <c r="Z353" s="18">
        <v>10405</v>
      </c>
      <c r="AA353" s="18">
        <v>10525</v>
      </c>
      <c r="AB353" s="18">
        <v>62900000</v>
      </c>
      <c r="AC353" s="117">
        <f t="shared" si="126"/>
        <v>44.5326243721954</v>
      </c>
      <c r="AD353" s="48">
        <f t="shared" si="134"/>
        <v>44.659778476129603</v>
      </c>
      <c r="AE353" s="49">
        <v>0.3</v>
      </c>
      <c r="AF353" s="49">
        <f t="shared" si="127"/>
        <v>0.32860469488147126</v>
      </c>
      <c r="AG353" s="19">
        <v>22750</v>
      </c>
      <c r="AH353" s="19">
        <v>22400</v>
      </c>
      <c r="AI353" s="19">
        <v>7339332</v>
      </c>
      <c r="AJ353" s="119">
        <f t="shared" si="128"/>
        <v>593.09307562891695</v>
      </c>
      <c r="AK353" s="49">
        <f t="shared" si="135"/>
        <v>586.68243930520703</v>
      </c>
      <c r="AL353" s="82">
        <f t="shared" si="136"/>
        <v>1</v>
      </c>
      <c r="AM353" s="82">
        <f t="shared" si="137"/>
        <v>273835469000252.69</v>
      </c>
      <c r="AN353" s="81">
        <f t="shared" si="129"/>
        <v>293517417116999.37</v>
      </c>
      <c r="AO353" s="80">
        <f t="shared" si="115"/>
        <v>1071.8750868490615</v>
      </c>
      <c r="AP353" s="52">
        <f t="shared" si="130"/>
        <v>1.9527978822347493E-3</v>
      </c>
      <c r="AQ353" s="48">
        <f t="shared" si="116"/>
        <v>1.3574660633484163E-2</v>
      </c>
      <c r="AR353" s="48">
        <f t="shared" si="117"/>
        <v>1.0178117048346057E-2</v>
      </c>
      <c r="AS353" s="48">
        <f t="shared" si="118"/>
        <v>1.5731515469323545E-3</v>
      </c>
      <c r="AT353" s="48" t="e">
        <f>(#REF!-#REF!)/#REF!</f>
        <v>#REF!</v>
      </c>
    </row>
    <row r="354" spans="1:46" x14ac:dyDescent="0.3">
      <c r="A354" s="48">
        <v>20190611</v>
      </c>
      <c r="B354" s="48" t="s">
        <v>88</v>
      </c>
      <c r="C354" s="79">
        <v>0.3</v>
      </c>
      <c r="D354" s="79">
        <f t="shared" si="119"/>
        <v>0.32873398952992927</v>
      </c>
      <c r="E354" s="49">
        <v>44800</v>
      </c>
      <c r="F354" s="49">
        <v>44850</v>
      </c>
      <c r="G354" s="49">
        <v>5969782550</v>
      </c>
      <c r="H354" s="49">
        <f t="shared" si="120"/>
        <v>0.36622897400253901</v>
      </c>
      <c r="I354" s="49">
        <f t="shared" si="131"/>
        <v>0.37038246998587299</v>
      </c>
      <c r="J354" s="48">
        <v>0.15</v>
      </c>
      <c r="K354" s="48">
        <f t="shared" si="121"/>
        <v>0.12876104316517101</v>
      </c>
      <c r="L354" s="48">
        <v>198500</v>
      </c>
      <c r="M354" s="48">
        <v>202000</v>
      </c>
      <c r="N354" s="51">
        <v>128329070</v>
      </c>
      <c r="O354" s="48">
        <f t="shared" si="122"/>
        <v>1.4816209817427799</v>
      </c>
      <c r="P354" s="48">
        <f t="shared" si="132"/>
        <v>1.4984244223041201</v>
      </c>
      <c r="Q354" s="49">
        <v>0.15</v>
      </c>
      <c r="R354" s="49">
        <f t="shared" si="123"/>
        <v>0.11022410067395051</v>
      </c>
      <c r="S354" s="49">
        <v>191000</v>
      </c>
      <c r="T354" s="49">
        <v>197400</v>
      </c>
      <c r="U354" s="49">
        <v>15956260</v>
      </c>
      <c r="V354" s="49">
        <f t="shared" si="124"/>
        <v>10.438241989954699</v>
      </c>
      <c r="W354" s="49">
        <f t="shared" si="133"/>
        <v>10.5566247484364</v>
      </c>
      <c r="X354" s="48">
        <v>0.1</v>
      </c>
      <c r="Y354" s="76">
        <f t="shared" si="125"/>
        <v>9.9543555264725858E-2</v>
      </c>
      <c r="Z354" s="18">
        <v>10525</v>
      </c>
      <c r="AA354" s="18">
        <v>10570</v>
      </c>
      <c r="AB354" s="18">
        <v>67900000</v>
      </c>
      <c r="AC354" s="117">
        <f t="shared" si="126"/>
        <v>44.659778476129603</v>
      </c>
      <c r="AD354" s="48">
        <f t="shared" si="134"/>
        <v>41.840335563935099</v>
      </c>
      <c r="AE354" s="49">
        <v>0.3</v>
      </c>
      <c r="AF354" s="49">
        <f t="shared" si="127"/>
        <v>0.33273731136622342</v>
      </c>
      <c r="AG354" s="19">
        <v>22400</v>
      </c>
      <c r="AH354" s="19">
        <v>23050</v>
      </c>
      <c r="AI354" s="19">
        <v>7339332</v>
      </c>
      <c r="AJ354" s="119">
        <f t="shared" si="128"/>
        <v>586.68243930520703</v>
      </c>
      <c r="AK354" s="49">
        <f t="shared" si="135"/>
        <v>593.33615413425196</v>
      </c>
      <c r="AL354" s="82">
        <f t="shared" si="136"/>
        <v>1</v>
      </c>
      <c r="AM354" s="82">
        <f t="shared" si="137"/>
        <v>276941106733271.06</v>
      </c>
      <c r="AN354" s="81">
        <f t="shared" si="129"/>
        <v>301666283421202.37</v>
      </c>
      <c r="AO354" s="80">
        <f t="shared" si="115"/>
        <v>1089.2795474806301</v>
      </c>
      <c r="AP354" s="52">
        <f t="shared" si="130"/>
        <v>1.6237396358125638E-2</v>
      </c>
      <c r="AQ354" s="48">
        <f t="shared" si="116"/>
        <v>1.1160714285714285E-3</v>
      </c>
      <c r="AR354" s="48">
        <f t="shared" si="117"/>
        <v>1.7632241813602016E-2</v>
      </c>
      <c r="AS354" s="48">
        <f t="shared" si="118"/>
        <v>3.3507853403141365E-2</v>
      </c>
      <c r="AT354" s="48" t="e">
        <f>(#REF!-#REF!)/#REF!</f>
        <v>#REF!</v>
      </c>
    </row>
    <row r="355" spans="1:46" x14ac:dyDescent="0.3">
      <c r="A355" s="48">
        <v>20190612</v>
      </c>
      <c r="B355" s="48" t="s">
        <v>88</v>
      </c>
      <c r="C355" s="79">
        <v>0.3</v>
      </c>
      <c r="D355" s="79">
        <f t="shared" si="119"/>
        <v>0.32915185751153814</v>
      </c>
      <c r="E355" s="49">
        <v>44850</v>
      </c>
      <c r="F355" s="49">
        <v>44600</v>
      </c>
      <c r="G355" s="49">
        <v>5969782550</v>
      </c>
      <c r="H355" s="49">
        <f t="shared" si="120"/>
        <v>0.37038246998587299</v>
      </c>
      <c r="I355" s="49">
        <f t="shared" si="131"/>
        <v>0.37038246998587299</v>
      </c>
      <c r="J355" s="48">
        <v>0.15</v>
      </c>
      <c r="K355" s="48">
        <f t="shared" si="121"/>
        <v>0.13093102658749917</v>
      </c>
      <c r="L355" s="48">
        <v>202000</v>
      </c>
      <c r="M355" s="48">
        <v>204000</v>
      </c>
      <c r="N355" s="51">
        <v>128329070</v>
      </c>
      <c r="O355" s="48">
        <f t="shared" si="122"/>
        <v>1.4984244223041201</v>
      </c>
      <c r="P355" s="48">
        <f t="shared" si="132"/>
        <v>1.4984244223041201</v>
      </c>
      <c r="Q355" s="49">
        <v>0.15</v>
      </c>
      <c r="R355" s="49">
        <f t="shared" si="123"/>
        <v>0.10794683989149992</v>
      </c>
      <c r="S355" s="49">
        <v>197400</v>
      </c>
      <c r="T355" s="49">
        <v>192000</v>
      </c>
      <c r="U355" s="49">
        <v>15956260</v>
      </c>
      <c r="V355" s="49">
        <f t="shared" si="124"/>
        <v>10.5566247484364</v>
      </c>
      <c r="W355" s="49">
        <f t="shared" si="133"/>
        <v>10.5566247484364</v>
      </c>
      <c r="X355" s="48">
        <v>0.1</v>
      </c>
      <c r="Y355" s="76">
        <f t="shared" si="125"/>
        <v>9.9849482939977363E-2</v>
      </c>
      <c r="Z355" s="18">
        <v>10570</v>
      </c>
      <c r="AA355" s="18">
        <v>10530</v>
      </c>
      <c r="AB355" s="18">
        <v>67900000</v>
      </c>
      <c r="AC355" s="117">
        <f t="shared" si="126"/>
        <v>41.840335563935099</v>
      </c>
      <c r="AD355" s="48">
        <f t="shared" si="134"/>
        <v>41.840335563935099</v>
      </c>
      <c r="AE355" s="49">
        <v>0.3</v>
      </c>
      <c r="AF355" s="49">
        <f t="shared" si="127"/>
        <v>0.33212079306948533</v>
      </c>
      <c r="AG355" s="19">
        <v>23050</v>
      </c>
      <c r="AH355" s="19">
        <v>22850</v>
      </c>
      <c r="AI355" s="19">
        <v>7339332</v>
      </c>
      <c r="AJ355" s="119">
        <f t="shared" si="128"/>
        <v>593.33615413425196</v>
      </c>
      <c r="AK355" s="49">
        <f t="shared" si="135"/>
        <v>593.33615413425196</v>
      </c>
      <c r="AL355" s="82">
        <f t="shared" si="136"/>
        <v>0</v>
      </c>
      <c r="AM355" s="82">
        <f t="shared" si="137"/>
        <v>276941106733271.06</v>
      </c>
      <c r="AN355" s="81">
        <f t="shared" si="129"/>
        <v>299603915043148.31</v>
      </c>
      <c r="AO355" s="80">
        <f t="shared" si="115"/>
        <v>1081.8325909692574</v>
      </c>
      <c r="AP355" s="52">
        <f t="shared" si="130"/>
        <v>-6.8365889441297373E-3</v>
      </c>
      <c r="AQ355" s="48">
        <f t="shared" si="116"/>
        <v>-5.5741360089186179E-3</v>
      </c>
      <c r="AR355" s="48">
        <f t="shared" si="117"/>
        <v>9.9009900990099011E-3</v>
      </c>
      <c r="AS355" s="48">
        <f t="shared" si="118"/>
        <v>-2.7355623100303952E-2</v>
      </c>
      <c r="AT355" s="48" t="e">
        <f>(#REF!-#REF!)/#REF!</f>
        <v>#REF!</v>
      </c>
    </row>
    <row r="356" spans="1:46" x14ac:dyDescent="0.3">
      <c r="A356" s="48">
        <v>20190613</v>
      </c>
      <c r="B356" s="48" t="s">
        <v>88</v>
      </c>
      <c r="C356" s="79">
        <v>0.3</v>
      </c>
      <c r="D356" s="79">
        <f t="shared" si="119"/>
        <v>0.31742703397395183</v>
      </c>
      <c r="E356" s="49">
        <v>44600</v>
      </c>
      <c r="F356" s="49">
        <v>43750</v>
      </c>
      <c r="G356" s="49">
        <v>5969782550</v>
      </c>
      <c r="H356" s="49">
        <f t="shared" si="120"/>
        <v>0.37038246998587299</v>
      </c>
      <c r="I356" s="49">
        <f t="shared" si="131"/>
        <v>0.37038246998587299</v>
      </c>
      <c r="J356" s="48">
        <v>0.15</v>
      </c>
      <c r="K356" s="48">
        <f t="shared" si="121"/>
        <v>0.13061322511521983</v>
      </c>
      <c r="L356" s="48">
        <v>204000</v>
      </c>
      <c r="M356" s="48">
        <v>207000</v>
      </c>
      <c r="N356" s="51">
        <v>128329070</v>
      </c>
      <c r="O356" s="48">
        <f t="shared" si="122"/>
        <v>1.4984244223041201</v>
      </c>
      <c r="P356" s="48">
        <f t="shared" si="132"/>
        <v>1.4984244223041201</v>
      </c>
      <c r="Q356" s="49">
        <v>0.15</v>
      </c>
      <c r="R356" s="49">
        <f t="shared" si="123"/>
        <v>0.10546090086759521</v>
      </c>
      <c r="S356" s="49">
        <v>192000</v>
      </c>
      <c r="T356" s="49">
        <v>190800</v>
      </c>
      <c r="U356" s="49">
        <v>15956260</v>
      </c>
      <c r="V356" s="49">
        <f t="shared" si="124"/>
        <v>10.5566247484364</v>
      </c>
      <c r="W356" s="49">
        <f t="shared" si="133"/>
        <v>10.5566247484364</v>
      </c>
      <c r="X356" s="48">
        <v>0.1</v>
      </c>
      <c r="Y356" s="76">
        <f t="shared" si="125"/>
        <v>9.783726285277286E-2</v>
      </c>
      <c r="Z356" s="18">
        <v>10530</v>
      </c>
      <c r="AA356" s="18">
        <v>10495</v>
      </c>
      <c r="AB356" s="18">
        <v>67900000</v>
      </c>
      <c r="AC356" s="117">
        <f t="shared" si="126"/>
        <v>41.840335563935099</v>
      </c>
      <c r="AD356" s="48">
        <f t="shared" si="134"/>
        <v>41.840335563935099</v>
      </c>
      <c r="AE356" s="49">
        <v>0.3</v>
      </c>
      <c r="AF356" s="49">
        <f t="shared" si="127"/>
        <v>0.34866157719046037</v>
      </c>
      <c r="AG356" s="19">
        <v>22850</v>
      </c>
      <c r="AH356" s="19">
        <v>24400</v>
      </c>
      <c r="AI356" s="19">
        <v>7339332</v>
      </c>
      <c r="AJ356" s="119">
        <f t="shared" si="128"/>
        <v>593.33615413425196</v>
      </c>
      <c r="AK356" s="49">
        <f t="shared" si="135"/>
        <v>593.33615413425196</v>
      </c>
      <c r="AL356" s="82">
        <f t="shared" si="136"/>
        <v>0</v>
      </c>
      <c r="AM356" s="82">
        <f t="shared" si="137"/>
        <v>276941106733271.06</v>
      </c>
      <c r="AN356" s="81">
        <f t="shared" si="129"/>
        <v>304749556324475.06</v>
      </c>
      <c r="AO356" s="80">
        <f t="shared" si="115"/>
        <v>1100.4128636561961</v>
      </c>
      <c r="AP356" s="52">
        <f t="shared" si="130"/>
        <v>1.7174813221602019E-2</v>
      </c>
      <c r="AQ356" s="48">
        <f t="shared" si="116"/>
        <v>-1.905829596412556E-2</v>
      </c>
      <c r="AR356" s="48">
        <f t="shared" si="117"/>
        <v>1.4705882352941176E-2</v>
      </c>
      <c r="AS356" s="48">
        <f t="shared" si="118"/>
        <v>-6.2500000000000003E-3</v>
      </c>
      <c r="AT356" s="48" t="e">
        <f>(#REF!-#REF!)/#REF!</f>
        <v>#REF!</v>
      </c>
    </row>
    <row r="357" spans="1:46" x14ac:dyDescent="0.3">
      <c r="A357" s="48">
        <v>20190614</v>
      </c>
      <c r="B357" s="48" t="s">
        <v>88</v>
      </c>
      <c r="C357" s="79">
        <v>0.3</v>
      </c>
      <c r="D357" s="79">
        <f t="shared" si="119"/>
        <v>0.31915433195788495</v>
      </c>
      <c r="E357" s="49">
        <v>43750</v>
      </c>
      <c r="F357" s="49">
        <v>44000</v>
      </c>
      <c r="G357" s="49">
        <v>5969782550</v>
      </c>
      <c r="H357" s="49">
        <f t="shared" si="120"/>
        <v>0.37038246998587299</v>
      </c>
      <c r="I357" s="49">
        <f t="shared" si="131"/>
        <v>0.37038246998587299</v>
      </c>
      <c r="J357" s="48">
        <v>0.15</v>
      </c>
      <c r="K357" s="48">
        <f t="shared" si="121"/>
        <v>0.12679294187950993</v>
      </c>
      <c r="L357" s="48">
        <v>207000</v>
      </c>
      <c r="M357" s="48">
        <v>201000</v>
      </c>
      <c r="N357" s="51">
        <v>128329070</v>
      </c>
      <c r="O357" s="48">
        <f t="shared" si="122"/>
        <v>1.4984244223041201</v>
      </c>
      <c r="P357" s="48">
        <f t="shared" si="132"/>
        <v>1.4984244223041201</v>
      </c>
      <c r="Q357" s="49">
        <v>0.15</v>
      </c>
      <c r="R357" s="49">
        <f t="shared" si="123"/>
        <v>0.10537704427966489</v>
      </c>
      <c r="S357" s="49">
        <v>190800</v>
      </c>
      <c r="T357" s="49">
        <v>190700</v>
      </c>
      <c r="U357" s="49">
        <v>15956260</v>
      </c>
      <c r="V357" s="49">
        <f t="shared" si="124"/>
        <v>10.5566247484364</v>
      </c>
      <c r="W357" s="49">
        <f t="shared" si="133"/>
        <v>10.5566247484364</v>
      </c>
      <c r="X357" s="48">
        <v>0.1</v>
      </c>
      <c r="Y357" s="76">
        <f t="shared" si="125"/>
        <v>9.7251546895030905E-2</v>
      </c>
      <c r="Z357" s="18">
        <v>10495</v>
      </c>
      <c r="AA357" s="18">
        <v>10435</v>
      </c>
      <c r="AB357" s="18">
        <v>67900000</v>
      </c>
      <c r="AC357" s="117">
        <f t="shared" si="126"/>
        <v>41.840335563935099</v>
      </c>
      <c r="AD357" s="48">
        <f t="shared" si="134"/>
        <v>41.840335563935099</v>
      </c>
      <c r="AE357" s="49">
        <v>0.3</v>
      </c>
      <c r="AF357" s="49">
        <f t="shared" si="127"/>
        <v>0.35142413498790925</v>
      </c>
      <c r="AG357" s="19">
        <v>24400</v>
      </c>
      <c r="AH357" s="19">
        <v>24600</v>
      </c>
      <c r="AI357" s="19">
        <v>7339332</v>
      </c>
      <c r="AJ357" s="119">
        <f t="shared" si="128"/>
        <v>593.33615413425196</v>
      </c>
      <c r="AK357" s="49">
        <f t="shared" si="135"/>
        <v>593.33615413425196</v>
      </c>
      <c r="AL357" s="82">
        <f t="shared" si="136"/>
        <v>0</v>
      </c>
      <c r="AM357" s="82">
        <f t="shared" si="137"/>
        <v>276941106733271.06</v>
      </c>
      <c r="AN357" s="81">
        <f t="shared" si="129"/>
        <v>304832219803085.12</v>
      </c>
      <c r="AO357" s="80">
        <f t="shared" si="115"/>
        <v>1100.7113512284643</v>
      </c>
      <c r="AP357" s="52">
        <f t="shared" si="130"/>
        <v>2.7125052980246086E-4</v>
      </c>
      <c r="AQ357" s="48">
        <f t="shared" si="116"/>
        <v>5.7142857142857143E-3</v>
      </c>
      <c r="AR357" s="48">
        <f t="shared" si="117"/>
        <v>-2.8985507246376812E-2</v>
      </c>
      <c r="AS357" s="48">
        <f t="shared" si="118"/>
        <v>-5.2410901467505244E-4</v>
      </c>
      <c r="AT357" s="48" t="e">
        <f>(#REF!-#REF!)/#REF!</f>
        <v>#REF!</v>
      </c>
    </row>
    <row r="358" spans="1:46" x14ac:dyDescent="0.3">
      <c r="A358" s="48">
        <v>20190617</v>
      </c>
      <c r="B358" s="48" t="s">
        <v>88</v>
      </c>
      <c r="C358" s="79">
        <v>0.3</v>
      </c>
      <c r="D358" s="79">
        <f t="shared" si="119"/>
        <v>0.32119427404019418</v>
      </c>
      <c r="E358" s="49">
        <v>44000</v>
      </c>
      <c r="F358" s="49">
        <v>43900</v>
      </c>
      <c r="G358" s="49">
        <v>5969782550</v>
      </c>
      <c r="H358" s="49">
        <f t="shared" si="120"/>
        <v>0.37038246998587299</v>
      </c>
      <c r="I358" s="49">
        <f t="shared" si="131"/>
        <v>0.37038246998587299</v>
      </c>
      <c r="J358" s="48">
        <v>0.15</v>
      </c>
      <c r="K358" s="48">
        <f t="shared" si="121"/>
        <v>0.13043918881512559</v>
      </c>
      <c r="L358" s="48">
        <v>201000</v>
      </c>
      <c r="M358" s="48">
        <v>205000</v>
      </c>
      <c r="N358" s="51">
        <v>128329070</v>
      </c>
      <c r="O358" s="48">
        <f t="shared" si="122"/>
        <v>1.4984244223041201</v>
      </c>
      <c r="P358" s="48">
        <f t="shared" si="132"/>
        <v>1.4984244223041201</v>
      </c>
      <c r="Q358" s="49">
        <v>0.15</v>
      </c>
      <c r="R358" s="49">
        <f t="shared" si="123"/>
        <v>0.10606920535841824</v>
      </c>
      <c r="S358" s="49">
        <v>190700</v>
      </c>
      <c r="T358" s="49">
        <v>190300</v>
      </c>
      <c r="U358" s="49">
        <v>15956260</v>
      </c>
      <c r="V358" s="49">
        <f t="shared" si="124"/>
        <v>10.5566247484364</v>
      </c>
      <c r="W358" s="49">
        <f t="shared" si="133"/>
        <v>10.5566247484364</v>
      </c>
      <c r="X358" s="48">
        <v>0.1</v>
      </c>
      <c r="Y358" s="76">
        <f t="shared" si="125"/>
        <v>9.7908082697136856E-2</v>
      </c>
      <c r="Z358" s="18">
        <v>10435</v>
      </c>
      <c r="AA358" s="18">
        <v>10415</v>
      </c>
      <c r="AB358" s="18">
        <v>67900000</v>
      </c>
      <c r="AC358" s="117">
        <f t="shared" si="126"/>
        <v>41.840335563935099</v>
      </c>
      <c r="AD358" s="48">
        <f t="shared" si="134"/>
        <v>41.840335563935099</v>
      </c>
      <c r="AE358" s="49">
        <v>0.3</v>
      </c>
      <c r="AF358" s="49">
        <f t="shared" si="127"/>
        <v>0.34438924908912516</v>
      </c>
      <c r="AG358" s="19">
        <v>24600</v>
      </c>
      <c r="AH358" s="19">
        <v>23900</v>
      </c>
      <c r="AI358" s="19">
        <v>7339332</v>
      </c>
      <c r="AJ358" s="119">
        <f t="shared" si="128"/>
        <v>593.33615413425196</v>
      </c>
      <c r="AK358" s="49">
        <f t="shared" si="135"/>
        <v>593.33615413425196</v>
      </c>
      <c r="AL358" s="82">
        <f t="shared" si="136"/>
        <v>0</v>
      </c>
      <c r="AM358" s="82">
        <f t="shared" si="137"/>
        <v>276941106733271.06</v>
      </c>
      <c r="AN358" s="81">
        <f t="shared" si="129"/>
        <v>302207794581453.31</v>
      </c>
      <c r="AO358" s="80">
        <f t="shared" si="115"/>
        <v>1091.2348771412878</v>
      </c>
      <c r="AP358" s="52">
        <f t="shared" si="130"/>
        <v>-8.609408885081573E-3</v>
      </c>
      <c r="AQ358" s="48">
        <f t="shared" si="116"/>
        <v>-2.2727272727272726E-3</v>
      </c>
      <c r="AR358" s="48">
        <f t="shared" si="117"/>
        <v>1.9900497512437811E-2</v>
      </c>
      <c r="AS358" s="48">
        <f t="shared" si="118"/>
        <v>-2.097535395909806E-3</v>
      </c>
      <c r="AT358" s="48" t="e">
        <f>(#REF!-#REF!)/#REF!</f>
        <v>#REF!</v>
      </c>
    </row>
    <row r="359" spans="1:46" x14ac:dyDescent="0.3">
      <c r="A359" s="48">
        <v>20190618</v>
      </c>
      <c r="B359" s="48" t="s">
        <v>88</v>
      </c>
      <c r="C359" s="79">
        <v>0.3</v>
      </c>
      <c r="D359" s="79">
        <f t="shared" si="119"/>
        <v>0.32902080490933638</v>
      </c>
      <c r="E359" s="49">
        <v>43900</v>
      </c>
      <c r="F359" s="49">
        <v>44350</v>
      </c>
      <c r="G359" s="49">
        <v>5969782550</v>
      </c>
      <c r="H359" s="49">
        <f t="shared" si="120"/>
        <v>0.37038246998587299</v>
      </c>
      <c r="I359" s="49">
        <f t="shared" si="131"/>
        <v>0.37038246998587299</v>
      </c>
      <c r="J359" s="48">
        <v>0.15</v>
      </c>
      <c r="K359" s="48">
        <f t="shared" si="121"/>
        <v>0.134197376395536</v>
      </c>
      <c r="L359" s="48">
        <v>205000</v>
      </c>
      <c r="M359" s="48">
        <v>208000</v>
      </c>
      <c r="N359" s="51">
        <v>128329070</v>
      </c>
      <c r="O359" s="48">
        <f t="shared" si="122"/>
        <v>1.4984244223041201</v>
      </c>
      <c r="P359" s="48">
        <f t="shared" si="132"/>
        <v>1.4984244223041201</v>
      </c>
      <c r="Q359" s="49">
        <v>0.15</v>
      </c>
      <c r="R359" s="49">
        <f t="shared" si="123"/>
        <v>0.10472549176172861</v>
      </c>
      <c r="S359" s="49">
        <v>190300</v>
      </c>
      <c r="T359" s="49">
        <v>185300</v>
      </c>
      <c r="U359" s="49">
        <v>15956260</v>
      </c>
      <c r="V359" s="49">
        <f t="shared" si="124"/>
        <v>10.5566247484364</v>
      </c>
      <c r="W359" s="49">
        <f t="shared" si="133"/>
        <v>10.5566247484364</v>
      </c>
      <c r="X359" s="48">
        <v>0.1</v>
      </c>
      <c r="Y359" s="76">
        <f t="shared" si="125"/>
        <v>9.9657450126707958E-2</v>
      </c>
      <c r="Z359" s="18">
        <v>10415</v>
      </c>
      <c r="AA359" s="18">
        <v>10455</v>
      </c>
      <c r="AB359" s="18">
        <v>67900000</v>
      </c>
      <c r="AC359" s="117">
        <f t="shared" si="126"/>
        <v>41.840335563935099</v>
      </c>
      <c r="AD359" s="48">
        <f t="shared" si="134"/>
        <v>41.840335563935099</v>
      </c>
      <c r="AE359" s="49">
        <v>0.3</v>
      </c>
      <c r="AF359" s="49">
        <f t="shared" si="127"/>
        <v>0.33239887680669111</v>
      </c>
      <c r="AG359" s="19">
        <v>23900</v>
      </c>
      <c r="AH359" s="19">
        <v>22750</v>
      </c>
      <c r="AI359" s="19">
        <v>7339332</v>
      </c>
      <c r="AJ359" s="119">
        <f t="shared" si="128"/>
        <v>593.33615413425196</v>
      </c>
      <c r="AK359" s="49">
        <f t="shared" si="135"/>
        <v>593.33615413425196</v>
      </c>
      <c r="AL359" s="82">
        <f t="shared" si="136"/>
        <v>0</v>
      </c>
      <c r="AM359" s="82">
        <f t="shared" si="137"/>
        <v>276941106733271.06</v>
      </c>
      <c r="AN359" s="81">
        <f t="shared" si="129"/>
        <v>298043187511094.06</v>
      </c>
      <c r="AO359" s="80">
        <f t="shared" si="115"/>
        <v>1076.1969973570842</v>
      </c>
      <c r="AP359" s="52">
        <f t="shared" si="130"/>
        <v>-1.3780607730939087E-2</v>
      </c>
      <c r="AQ359" s="48">
        <f t="shared" si="116"/>
        <v>1.0250569476082005E-2</v>
      </c>
      <c r="AR359" s="48">
        <f t="shared" si="117"/>
        <v>1.4634146341463415E-2</v>
      </c>
      <c r="AS359" s="48">
        <f t="shared" si="118"/>
        <v>-2.6274303730951128E-2</v>
      </c>
      <c r="AT359" s="48" t="e">
        <f>(#REF!-#REF!)/#REF!</f>
        <v>#REF!</v>
      </c>
    </row>
    <row r="360" spans="1:46" x14ac:dyDescent="0.3">
      <c r="A360" s="48">
        <v>20190619</v>
      </c>
      <c r="B360" s="48" t="s">
        <v>88</v>
      </c>
      <c r="C360" s="79">
        <v>0.3</v>
      </c>
      <c r="D360" s="79">
        <f t="shared" si="119"/>
        <v>0.3303588147728585</v>
      </c>
      <c r="E360" s="49">
        <v>44350</v>
      </c>
      <c r="F360" s="49">
        <v>45350</v>
      </c>
      <c r="G360" s="49">
        <v>5969782550</v>
      </c>
      <c r="H360" s="49">
        <f t="shared" si="120"/>
        <v>0.37038246998587299</v>
      </c>
      <c r="I360" s="49">
        <f t="shared" si="131"/>
        <v>0.37038246998587299</v>
      </c>
      <c r="J360" s="48">
        <v>0.15</v>
      </c>
      <c r="K360" s="48">
        <f t="shared" si="121"/>
        <v>0.13398924305868665</v>
      </c>
      <c r="L360" s="48">
        <v>208000</v>
      </c>
      <c r="M360" s="48">
        <v>211500</v>
      </c>
      <c r="N360" s="51">
        <v>128329070</v>
      </c>
      <c r="O360" s="48">
        <f t="shared" si="122"/>
        <v>1.4984244223041201</v>
      </c>
      <c r="P360" s="48">
        <f t="shared" si="132"/>
        <v>1.4984244223041201</v>
      </c>
      <c r="Q360" s="49">
        <v>0.15</v>
      </c>
      <c r="R360" s="49">
        <f t="shared" si="123"/>
        <v>0.10627341561357401</v>
      </c>
      <c r="S360" s="49">
        <v>185300</v>
      </c>
      <c r="T360" s="49">
        <v>191500</v>
      </c>
      <c r="U360" s="49">
        <v>15956260</v>
      </c>
      <c r="V360" s="49">
        <f t="shared" si="124"/>
        <v>10.5566247484364</v>
      </c>
      <c r="W360" s="49">
        <f t="shared" si="133"/>
        <v>10.5566247484364</v>
      </c>
      <c r="X360" s="48">
        <v>0.1</v>
      </c>
      <c r="Y360" s="76">
        <f t="shared" si="125"/>
        <v>9.9400626614275178E-2</v>
      </c>
      <c r="Z360" s="18">
        <v>10455</v>
      </c>
      <c r="AA360" s="18">
        <v>10620</v>
      </c>
      <c r="AB360" s="18">
        <v>67900000</v>
      </c>
      <c r="AC360" s="117">
        <f t="shared" si="126"/>
        <v>41.840335563935099</v>
      </c>
      <c r="AD360" s="48">
        <f t="shared" si="134"/>
        <v>41.840335563935099</v>
      </c>
      <c r="AE360" s="49">
        <v>0.3</v>
      </c>
      <c r="AF360" s="49">
        <f t="shared" si="127"/>
        <v>0.32997789994060561</v>
      </c>
      <c r="AG360" s="19">
        <v>22750</v>
      </c>
      <c r="AH360" s="19">
        <v>23000</v>
      </c>
      <c r="AI360" s="19">
        <v>7339332</v>
      </c>
      <c r="AJ360" s="119">
        <f t="shared" si="128"/>
        <v>593.33615413425196</v>
      </c>
      <c r="AK360" s="49">
        <f t="shared" si="135"/>
        <v>593.33615413425196</v>
      </c>
      <c r="AL360" s="82">
        <f t="shared" si="136"/>
        <v>0</v>
      </c>
      <c r="AM360" s="82">
        <f t="shared" si="137"/>
        <v>276941106733271.06</v>
      </c>
      <c r="AN360" s="81">
        <f t="shared" si="129"/>
        <v>303529095561551.94</v>
      </c>
      <c r="AO360" s="80">
        <f t="shared" si="115"/>
        <v>1096.0059311595387</v>
      </c>
      <c r="AP360" s="52">
        <f t="shared" si="130"/>
        <v>1.8406419875823008E-2</v>
      </c>
      <c r="AQ360" s="48">
        <f t="shared" si="116"/>
        <v>2.2547914317925591E-2</v>
      </c>
      <c r="AR360" s="48">
        <f t="shared" si="117"/>
        <v>1.6826923076923076E-2</v>
      </c>
      <c r="AS360" s="48">
        <f t="shared" si="118"/>
        <v>3.3459255261737722E-2</v>
      </c>
      <c r="AT360" s="48" t="e">
        <f>(#REF!-#REF!)/#REF!</f>
        <v>#REF!</v>
      </c>
    </row>
    <row r="361" spans="1:46" x14ac:dyDescent="0.3">
      <c r="A361" s="48">
        <v>20190620</v>
      </c>
      <c r="B361" s="48" t="s">
        <v>88</v>
      </c>
      <c r="C361" s="79">
        <v>0.3</v>
      </c>
      <c r="D361" s="79">
        <f t="shared" si="119"/>
        <v>0.3258574056230194</v>
      </c>
      <c r="E361" s="49">
        <v>45350</v>
      </c>
      <c r="F361" s="49">
        <v>45500</v>
      </c>
      <c r="G361" s="49">
        <v>5969782550</v>
      </c>
      <c r="H361" s="49">
        <f t="shared" si="120"/>
        <v>0.37038246998587299</v>
      </c>
      <c r="I361" s="49">
        <f t="shared" si="131"/>
        <v>0.37038246998587299</v>
      </c>
      <c r="J361" s="48">
        <v>0.15</v>
      </c>
      <c r="K361" s="48">
        <f t="shared" si="121"/>
        <v>0.13328489254914075</v>
      </c>
      <c r="L361" s="48">
        <v>211500</v>
      </c>
      <c r="M361" s="48">
        <v>214000</v>
      </c>
      <c r="N361" s="51">
        <v>128329070</v>
      </c>
      <c r="O361" s="48">
        <f t="shared" si="122"/>
        <v>1.4984244223041201</v>
      </c>
      <c r="P361" s="48">
        <f t="shared" si="132"/>
        <v>1.4984244223041201</v>
      </c>
      <c r="Q361" s="49">
        <v>0.15</v>
      </c>
      <c r="R361" s="49">
        <f t="shared" si="123"/>
        <v>0.1065530032021027</v>
      </c>
      <c r="S361" s="49">
        <v>191500</v>
      </c>
      <c r="T361" s="49">
        <v>195300</v>
      </c>
      <c r="U361" s="49">
        <v>15956260</v>
      </c>
      <c r="V361" s="49">
        <f t="shared" si="124"/>
        <v>10.5566247484364</v>
      </c>
      <c r="W361" s="49">
        <f t="shared" si="133"/>
        <v>10.5566247484364</v>
      </c>
      <c r="X361" s="48">
        <v>0.1</v>
      </c>
      <c r="Y361" s="76">
        <f t="shared" si="125"/>
        <v>9.7907018226419978E-2</v>
      </c>
      <c r="Z361" s="18">
        <v>10620</v>
      </c>
      <c r="AA361" s="18">
        <v>10640</v>
      </c>
      <c r="AB361" s="18">
        <v>67900000</v>
      </c>
      <c r="AC361" s="117">
        <f t="shared" si="126"/>
        <v>41.840335563935099</v>
      </c>
      <c r="AD361" s="48">
        <f t="shared" si="134"/>
        <v>41.840335563935099</v>
      </c>
      <c r="AE361" s="49">
        <v>0.3</v>
      </c>
      <c r="AF361" s="49">
        <f t="shared" si="127"/>
        <v>0.33639768039931717</v>
      </c>
      <c r="AG361" s="19">
        <v>23000</v>
      </c>
      <c r="AH361" s="19">
        <v>23850</v>
      </c>
      <c r="AI361" s="19">
        <v>7339332</v>
      </c>
      <c r="AJ361" s="119">
        <f t="shared" si="128"/>
        <v>593.33615413425196</v>
      </c>
      <c r="AK361" s="49">
        <f t="shared" si="135"/>
        <v>593.33615413425196</v>
      </c>
      <c r="AL361" s="82">
        <f t="shared" si="136"/>
        <v>0</v>
      </c>
      <c r="AM361" s="82">
        <f t="shared" si="137"/>
        <v>276941106733271.06</v>
      </c>
      <c r="AN361" s="81">
        <f t="shared" si="129"/>
        <v>308739884205986.31</v>
      </c>
      <c r="AO361" s="80">
        <f t="shared" si="115"/>
        <v>1114.8214428973936</v>
      </c>
      <c r="AP361" s="52">
        <f t="shared" si="130"/>
        <v>1.7167344813498114E-2</v>
      </c>
      <c r="AQ361" s="48">
        <f t="shared" si="116"/>
        <v>3.3076074972436605E-3</v>
      </c>
      <c r="AR361" s="48">
        <f t="shared" si="117"/>
        <v>1.1820330969267139E-2</v>
      </c>
      <c r="AS361" s="48">
        <f t="shared" si="118"/>
        <v>1.9843342036553524E-2</v>
      </c>
      <c r="AT361" s="48" t="e">
        <f>(#REF!-#REF!)/#REF!</f>
        <v>#REF!</v>
      </c>
    </row>
    <row r="362" spans="1:46" x14ac:dyDescent="0.3">
      <c r="A362" s="48">
        <v>20190621</v>
      </c>
      <c r="B362" s="48" t="s">
        <v>88</v>
      </c>
      <c r="C362" s="79">
        <v>0.3</v>
      </c>
      <c r="D362" s="79">
        <f t="shared" si="119"/>
        <v>0.32911662326229935</v>
      </c>
      <c r="E362" s="49">
        <v>45500</v>
      </c>
      <c r="F362" s="49">
        <v>45700</v>
      </c>
      <c r="G362" s="49">
        <v>5969782550</v>
      </c>
      <c r="H362" s="49">
        <f t="shared" si="120"/>
        <v>0.37038246998587299</v>
      </c>
      <c r="I362" s="49">
        <f t="shared" si="131"/>
        <v>0.37038246998587299</v>
      </c>
      <c r="J362" s="48">
        <v>0.15</v>
      </c>
      <c r="K362" s="48">
        <f t="shared" si="121"/>
        <v>0.1330894121679414</v>
      </c>
      <c r="L362" s="48">
        <v>214000</v>
      </c>
      <c r="M362" s="48">
        <v>212500</v>
      </c>
      <c r="N362" s="51">
        <v>128329070</v>
      </c>
      <c r="O362" s="48">
        <f t="shared" si="122"/>
        <v>1.4984244223041201</v>
      </c>
      <c r="P362" s="48">
        <f t="shared" si="132"/>
        <v>1.4984244223041201</v>
      </c>
      <c r="Q362" s="49">
        <v>0.15</v>
      </c>
      <c r="R362" s="49">
        <f t="shared" si="123"/>
        <v>0.10522755366323254</v>
      </c>
      <c r="S362" s="49">
        <v>195300</v>
      </c>
      <c r="T362" s="49">
        <v>191800</v>
      </c>
      <c r="U362" s="49">
        <v>15956260</v>
      </c>
      <c r="V362" s="49">
        <f t="shared" si="124"/>
        <v>10.5566247484364</v>
      </c>
      <c r="W362" s="49">
        <f t="shared" si="133"/>
        <v>10.5566247484364</v>
      </c>
      <c r="X362" s="48">
        <v>0.1</v>
      </c>
      <c r="Y362" s="76">
        <f t="shared" si="125"/>
        <v>9.8546050561192908E-2</v>
      </c>
      <c r="Z362" s="18">
        <v>10640</v>
      </c>
      <c r="AA362" s="18">
        <v>10650</v>
      </c>
      <c r="AB362" s="18">
        <v>67900000</v>
      </c>
      <c r="AC362" s="117">
        <f t="shared" si="126"/>
        <v>41.840335563935099</v>
      </c>
      <c r="AD362" s="48">
        <f t="shared" si="134"/>
        <v>41.840335563935099</v>
      </c>
      <c r="AE362" s="49">
        <v>0.3</v>
      </c>
      <c r="AF362" s="49">
        <f t="shared" si="127"/>
        <v>0.33402036034533372</v>
      </c>
      <c r="AG362" s="19">
        <v>23850</v>
      </c>
      <c r="AH362" s="19">
        <v>23550</v>
      </c>
      <c r="AI362" s="19">
        <v>7339332</v>
      </c>
      <c r="AJ362" s="119">
        <f t="shared" si="128"/>
        <v>593.33615413425196</v>
      </c>
      <c r="AK362" s="49">
        <f t="shared" si="135"/>
        <v>593.33615413425196</v>
      </c>
      <c r="AL362" s="82">
        <f t="shared" si="136"/>
        <v>0</v>
      </c>
      <c r="AM362" s="82">
        <f t="shared" si="137"/>
        <v>276941106733271.06</v>
      </c>
      <c r="AN362" s="81">
        <f t="shared" si="129"/>
        <v>307026115057126.37</v>
      </c>
      <c r="AO362" s="80">
        <f t="shared" si="115"/>
        <v>1108.6332349817283</v>
      </c>
      <c r="AP362" s="52">
        <f t="shared" si="130"/>
        <v>-5.550851174500479E-3</v>
      </c>
      <c r="AQ362" s="48">
        <f t="shared" si="116"/>
        <v>4.3956043956043956E-3</v>
      </c>
      <c r="AR362" s="48">
        <f t="shared" si="117"/>
        <v>-7.0093457943925233E-3</v>
      </c>
      <c r="AS362" s="48">
        <f t="shared" si="118"/>
        <v>-1.7921146953405017E-2</v>
      </c>
      <c r="AT362" s="48" t="e">
        <f>(#REF!-#REF!)/#REF!</f>
        <v>#REF!</v>
      </c>
    </row>
    <row r="363" spans="1:46" x14ac:dyDescent="0.3">
      <c r="A363" s="48">
        <v>20190624</v>
      </c>
      <c r="B363" s="48" t="s">
        <v>88</v>
      </c>
      <c r="C363" s="79">
        <v>0.3</v>
      </c>
      <c r="D363" s="79">
        <f t="shared" si="119"/>
        <v>0.33166041401167839</v>
      </c>
      <c r="E363" s="49">
        <v>45700</v>
      </c>
      <c r="F363" s="49">
        <v>45500</v>
      </c>
      <c r="G363" s="49">
        <v>5969782550</v>
      </c>
      <c r="H363" s="49">
        <f t="shared" si="120"/>
        <v>0.37038246998587299</v>
      </c>
      <c r="I363" s="49">
        <f t="shared" si="131"/>
        <v>0.37038246998587299</v>
      </c>
      <c r="J363" s="48">
        <v>0.15</v>
      </c>
      <c r="K363" s="48">
        <f t="shared" si="121"/>
        <v>0.1321719371596265</v>
      </c>
      <c r="L363" s="48">
        <v>212500</v>
      </c>
      <c r="M363" s="48">
        <v>208500</v>
      </c>
      <c r="N363" s="51">
        <v>128329070</v>
      </c>
      <c r="O363" s="48">
        <f t="shared" si="122"/>
        <v>1.4984244223041201</v>
      </c>
      <c r="P363" s="48">
        <f t="shared" si="132"/>
        <v>1.4984244223041201</v>
      </c>
      <c r="Q363" s="49">
        <v>0.15</v>
      </c>
      <c r="R363" s="49">
        <f t="shared" si="123"/>
        <v>0.1076731215070804</v>
      </c>
      <c r="S363" s="49">
        <v>191800</v>
      </c>
      <c r="T363" s="49">
        <v>193900</v>
      </c>
      <c r="U363" s="49">
        <v>15956260</v>
      </c>
      <c r="V363" s="49">
        <f t="shared" si="124"/>
        <v>10.5566247484364</v>
      </c>
      <c r="W363" s="49">
        <f t="shared" si="133"/>
        <v>10.5566247484364</v>
      </c>
      <c r="X363" s="48">
        <v>0.1</v>
      </c>
      <c r="Y363" s="76">
        <f t="shared" si="125"/>
        <v>9.974424495204777E-2</v>
      </c>
      <c r="Z363" s="18">
        <v>10650</v>
      </c>
      <c r="AA363" s="18">
        <v>10650</v>
      </c>
      <c r="AB363" s="18">
        <v>67900000</v>
      </c>
      <c r="AC363" s="117">
        <f t="shared" si="126"/>
        <v>41.840335563935099</v>
      </c>
      <c r="AD363" s="48">
        <f t="shared" si="134"/>
        <v>41.840335563935099</v>
      </c>
      <c r="AE363" s="49">
        <v>0.3</v>
      </c>
      <c r="AF363" s="49">
        <f t="shared" si="127"/>
        <v>0.32875028236956683</v>
      </c>
      <c r="AG363" s="19">
        <v>23550</v>
      </c>
      <c r="AH363" s="19">
        <v>22900</v>
      </c>
      <c r="AI363" s="19">
        <v>7339332</v>
      </c>
      <c r="AJ363" s="119">
        <f t="shared" si="128"/>
        <v>593.33615413425196</v>
      </c>
      <c r="AK363" s="49">
        <f t="shared" si="135"/>
        <v>593.33615413425196</v>
      </c>
      <c r="AL363" s="82">
        <f t="shared" si="136"/>
        <v>0</v>
      </c>
      <c r="AM363" s="82">
        <f t="shared" si="137"/>
        <v>276941106733271.06</v>
      </c>
      <c r="AN363" s="81">
        <f t="shared" si="129"/>
        <v>303337912604100</v>
      </c>
      <c r="AO363" s="80">
        <f t="shared" si="115"/>
        <v>1095.3155932039094</v>
      </c>
      <c r="AP363" s="52">
        <f t="shared" si="130"/>
        <v>-1.2012666910566079E-2</v>
      </c>
      <c r="AQ363" s="48">
        <f t="shared" si="116"/>
        <v>-4.3763676148796497E-3</v>
      </c>
      <c r="AR363" s="48">
        <f t="shared" si="117"/>
        <v>-1.8823529411764704E-2</v>
      </c>
      <c r="AS363" s="48">
        <f t="shared" si="118"/>
        <v>1.0948905109489052E-2</v>
      </c>
      <c r="AT363" s="48" t="e">
        <f>(#REF!-#REF!)/#REF!</f>
        <v>#REF!</v>
      </c>
    </row>
    <row r="364" spans="1:46" x14ac:dyDescent="0.3">
      <c r="A364" s="48">
        <v>20190625</v>
      </c>
      <c r="B364" s="48" t="s">
        <v>88</v>
      </c>
      <c r="C364" s="79">
        <v>0.3</v>
      </c>
      <c r="D364" s="79">
        <f t="shared" si="119"/>
        <v>0.3311000413997629</v>
      </c>
      <c r="E364" s="49">
        <v>45500</v>
      </c>
      <c r="F364" s="49">
        <v>45600</v>
      </c>
      <c r="G364" s="49">
        <v>5969782550</v>
      </c>
      <c r="H364" s="49">
        <f t="shared" si="120"/>
        <v>0.37038246998587299</v>
      </c>
      <c r="I364" s="49">
        <f t="shared" si="131"/>
        <v>0.37038246998587299</v>
      </c>
      <c r="J364" s="48">
        <v>0.15</v>
      </c>
      <c r="K364" s="48">
        <f t="shared" si="121"/>
        <v>0.13134352913717412</v>
      </c>
      <c r="L364" s="48">
        <v>208500</v>
      </c>
      <c r="M364" s="48">
        <v>208000</v>
      </c>
      <c r="N364" s="51">
        <v>128329070</v>
      </c>
      <c r="O364" s="48">
        <f t="shared" si="122"/>
        <v>1.4984244223041201</v>
      </c>
      <c r="P364" s="48">
        <f t="shared" si="132"/>
        <v>1.4984244223041201</v>
      </c>
      <c r="Q364" s="49">
        <v>0.15</v>
      </c>
      <c r="R364" s="49">
        <f t="shared" si="123"/>
        <v>0.10786393417699756</v>
      </c>
      <c r="S364" s="49">
        <v>193900</v>
      </c>
      <c r="T364" s="49">
        <v>195000</v>
      </c>
      <c r="U364" s="49">
        <v>15956260</v>
      </c>
      <c r="V364" s="49">
        <f t="shared" si="124"/>
        <v>10.5566247484364</v>
      </c>
      <c r="W364" s="49">
        <f t="shared" si="133"/>
        <v>10.5566247484364</v>
      </c>
      <c r="X364" s="48">
        <v>0.1</v>
      </c>
      <c r="Y364" s="76">
        <f t="shared" si="125"/>
        <v>9.9357349522319602E-2</v>
      </c>
      <c r="Z364" s="18">
        <v>10650</v>
      </c>
      <c r="AA364" s="18">
        <v>10650</v>
      </c>
      <c r="AB364" s="18">
        <v>67900000</v>
      </c>
      <c r="AC364" s="117">
        <f t="shared" si="126"/>
        <v>41.840335563935099</v>
      </c>
      <c r="AD364" s="48">
        <f t="shared" si="134"/>
        <v>41.840335563935099</v>
      </c>
      <c r="AE364" s="49">
        <v>0.3</v>
      </c>
      <c r="AF364" s="49">
        <f t="shared" si="127"/>
        <v>0.33033514576374573</v>
      </c>
      <c r="AG364" s="19">
        <v>22900</v>
      </c>
      <c r="AH364" s="19">
        <v>23100</v>
      </c>
      <c r="AI364" s="19">
        <v>7339332</v>
      </c>
      <c r="AJ364" s="119">
        <f t="shared" si="128"/>
        <v>593.33615413425196</v>
      </c>
      <c r="AK364" s="49">
        <f t="shared" si="135"/>
        <v>593.33615413425196</v>
      </c>
      <c r="AL364" s="82">
        <f t="shared" si="136"/>
        <v>0</v>
      </c>
      <c r="AM364" s="82">
        <f t="shared" si="137"/>
        <v>276941106733271.06</v>
      </c>
      <c r="AN364" s="81">
        <f t="shared" si="129"/>
        <v>304519104057113.19</v>
      </c>
      <c r="AO364" s="80">
        <f t="shared" si="115"/>
        <v>1099.5807290912692</v>
      </c>
      <c r="AP364" s="52">
        <f t="shared" si="130"/>
        <v>3.8939789717443822E-3</v>
      </c>
      <c r="AQ364" s="48">
        <f t="shared" si="116"/>
        <v>2.1978021978021978E-3</v>
      </c>
      <c r="AR364" s="48">
        <f t="shared" si="117"/>
        <v>-2.3980815347721821E-3</v>
      </c>
      <c r="AS364" s="48">
        <f t="shared" si="118"/>
        <v>5.6730273336771534E-3</v>
      </c>
      <c r="AT364" s="48" t="e">
        <f>(#REF!-#REF!)/#REF!</f>
        <v>#REF!</v>
      </c>
    </row>
    <row r="365" spans="1:46" x14ac:dyDescent="0.3">
      <c r="A365" s="48">
        <v>20190626</v>
      </c>
      <c r="B365" s="48" t="s">
        <v>88</v>
      </c>
      <c r="C365" s="79">
        <v>0.3</v>
      </c>
      <c r="D365" s="79">
        <f t="shared" si="119"/>
        <v>0.32858696632302936</v>
      </c>
      <c r="E365" s="49">
        <v>45600</v>
      </c>
      <c r="F365" s="49">
        <v>45700</v>
      </c>
      <c r="G365" s="49">
        <v>5969782550</v>
      </c>
      <c r="H365" s="49">
        <f t="shared" si="120"/>
        <v>0.37038246998587299</v>
      </c>
      <c r="I365" s="49">
        <f t="shared" si="131"/>
        <v>0.37038246998587299</v>
      </c>
      <c r="J365" s="48">
        <v>0.15</v>
      </c>
      <c r="K365" s="48">
        <f t="shared" si="121"/>
        <v>0.1316246371354764</v>
      </c>
      <c r="L365" s="48">
        <v>208000</v>
      </c>
      <c r="M365" s="48">
        <v>210500</v>
      </c>
      <c r="N365" s="51">
        <v>128329070</v>
      </c>
      <c r="O365" s="48">
        <f t="shared" si="122"/>
        <v>1.4984244223041201</v>
      </c>
      <c r="P365" s="48">
        <f t="shared" si="132"/>
        <v>1.4984244223041201</v>
      </c>
      <c r="Q365" s="49">
        <v>0.15</v>
      </c>
      <c r="R365" s="49">
        <f t="shared" si="123"/>
        <v>0.11141209326353978</v>
      </c>
      <c r="S365" s="49">
        <v>195000</v>
      </c>
      <c r="T365" s="49">
        <v>203400</v>
      </c>
      <c r="U365" s="49">
        <v>15956260</v>
      </c>
      <c r="V365" s="49">
        <f t="shared" si="124"/>
        <v>10.5566247484364</v>
      </c>
      <c r="W365" s="49">
        <f t="shared" si="133"/>
        <v>10.5566247484364</v>
      </c>
      <c r="X365" s="48">
        <v>0.1</v>
      </c>
      <c r="Y365" s="76">
        <f t="shared" si="125"/>
        <v>9.8433648834895096E-2</v>
      </c>
      <c r="Z365" s="18">
        <v>10650</v>
      </c>
      <c r="AA365" s="18">
        <v>10655</v>
      </c>
      <c r="AB365" s="18">
        <v>67900000</v>
      </c>
      <c r="AC365" s="117">
        <f t="shared" si="126"/>
        <v>41.840335563935099</v>
      </c>
      <c r="AD365" s="48">
        <f t="shared" si="134"/>
        <v>41.840335563935099</v>
      </c>
      <c r="AE365" s="49">
        <v>0.3</v>
      </c>
      <c r="AF365" s="49">
        <f t="shared" si="127"/>
        <v>0.32994265444305931</v>
      </c>
      <c r="AG365" s="19">
        <v>23100</v>
      </c>
      <c r="AH365" s="19">
        <v>23300</v>
      </c>
      <c r="AI365" s="19">
        <v>7339332</v>
      </c>
      <c r="AJ365" s="119">
        <f t="shared" si="128"/>
        <v>593.33615413425196</v>
      </c>
      <c r="AK365" s="49">
        <f t="shared" si="135"/>
        <v>593.33615413425196</v>
      </c>
      <c r="AL365" s="82">
        <f t="shared" si="136"/>
        <v>0</v>
      </c>
      <c r="AM365" s="82">
        <f t="shared" si="137"/>
        <v>276941106733271.06</v>
      </c>
      <c r="AN365" s="81">
        <f t="shared" si="129"/>
        <v>307521017561011</v>
      </c>
      <c r="AO365" s="80">
        <f t="shared" si="115"/>
        <v>1110.4202665629996</v>
      </c>
      <c r="AP365" s="52">
        <f t="shared" si="130"/>
        <v>9.857882359113888E-3</v>
      </c>
      <c r="AQ365" s="48">
        <f t="shared" si="116"/>
        <v>2.1929824561403508E-3</v>
      </c>
      <c r="AR365" s="48">
        <f t="shared" si="117"/>
        <v>1.201923076923077E-2</v>
      </c>
      <c r="AS365" s="48">
        <f t="shared" si="118"/>
        <v>4.3076923076923075E-2</v>
      </c>
      <c r="AT365" s="48" t="e">
        <f>(#REF!-#REF!)/#REF!</f>
        <v>#REF!</v>
      </c>
    </row>
    <row r="366" spans="1:46" x14ac:dyDescent="0.3">
      <c r="A366" s="48">
        <v>20190627</v>
      </c>
      <c r="B366" s="48" t="s">
        <v>88</v>
      </c>
      <c r="C366" s="79">
        <v>0.3</v>
      </c>
      <c r="D366" s="79">
        <f t="shared" si="119"/>
        <v>0.33767223547457964</v>
      </c>
      <c r="E366" s="49">
        <v>45700</v>
      </c>
      <c r="F366" s="49">
        <v>46500</v>
      </c>
      <c r="G366" s="49">
        <v>5969782550</v>
      </c>
      <c r="H366" s="49">
        <f t="shared" si="120"/>
        <v>0.37038246998587299</v>
      </c>
      <c r="I366" s="49">
        <f t="shared" si="131"/>
        <v>0.37038246998587299</v>
      </c>
      <c r="J366" s="48">
        <v>0.15</v>
      </c>
      <c r="K366" s="48">
        <f t="shared" si="121"/>
        <v>0.12883193256613348</v>
      </c>
      <c r="L366" s="48">
        <v>210500</v>
      </c>
      <c r="M366" s="48">
        <v>204000</v>
      </c>
      <c r="N366" s="51">
        <v>128329070</v>
      </c>
      <c r="O366" s="48">
        <f t="shared" si="122"/>
        <v>1.4984244223041201</v>
      </c>
      <c r="P366" s="48">
        <f t="shared" si="132"/>
        <v>1.4984244223041201</v>
      </c>
      <c r="Q366" s="49">
        <v>0.15</v>
      </c>
      <c r="R366" s="49">
        <f t="shared" si="123"/>
        <v>0.10688008115679277</v>
      </c>
      <c r="S366" s="49">
        <v>203400</v>
      </c>
      <c r="T366" s="49">
        <v>193200</v>
      </c>
      <c r="U366" s="49">
        <v>15956260</v>
      </c>
      <c r="V366" s="49">
        <f t="shared" si="124"/>
        <v>10.5566247484364</v>
      </c>
      <c r="W366" s="49">
        <f t="shared" si="133"/>
        <v>10.5566247484364</v>
      </c>
      <c r="X366" s="48">
        <v>0.1</v>
      </c>
      <c r="Y366" s="76">
        <f t="shared" si="125"/>
        <v>0.10053462826195843</v>
      </c>
      <c r="Z366" s="18">
        <v>10655</v>
      </c>
      <c r="AA366" s="18">
        <v>10775</v>
      </c>
      <c r="AB366" s="18">
        <v>67900000</v>
      </c>
      <c r="AC366" s="117">
        <f t="shared" si="126"/>
        <v>41.840335563935099</v>
      </c>
      <c r="AD366" s="48">
        <f t="shared" si="134"/>
        <v>41.840335563935099</v>
      </c>
      <c r="AE366" s="49">
        <v>0.3</v>
      </c>
      <c r="AF366" s="49">
        <f t="shared" si="127"/>
        <v>0.32608112254053551</v>
      </c>
      <c r="AG366" s="19">
        <v>23300</v>
      </c>
      <c r="AH366" s="19">
        <v>22800</v>
      </c>
      <c r="AI366" s="19">
        <v>7339332</v>
      </c>
      <c r="AJ366" s="119">
        <f t="shared" si="128"/>
        <v>593.33615413425196</v>
      </c>
      <c r="AK366" s="49">
        <f t="shared" si="135"/>
        <v>593.33615413425196</v>
      </c>
      <c r="AL366" s="82">
        <f t="shared" si="136"/>
        <v>0</v>
      </c>
      <c r="AM366" s="82">
        <f t="shared" si="137"/>
        <v>276941106733271.06</v>
      </c>
      <c r="AN366" s="81">
        <f t="shared" si="129"/>
        <v>304485443825013</v>
      </c>
      <c r="AO366" s="80">
        <f t="shared" si="115"/>
        <v>1099.4591861665035</v>
      </c>
      <c r="AP366" s="52">
        <f t="shared" si="130"/>
        <v>-9.8711098190085098E-3</v>
      </c>
      <c r="AQ366" s="48">
        <f t="shared" si="116"/>
        <v>1.7505470459518599E-2</v>
      </c>
      <c r="AR366" s="48">
        <f t="shared" si="117"/>
        <v>-3.0878859857482184E-2</v>
      </c>
      <c r="AS366" s="48">
        <f t="shared" si="118"/>
        <v>-5.0147492625368731E-2</v>
      </c>
      <c r="AT366" s="48" t="e">
        <f>(#REF!-#REF!)/#REF!</f>
        <v>#REF!</v>
      </c>
    </row>
    <row r="367" spans="1:46" s="73" customFormat="1" x14ac:dyDescent="0.3">
      <c r="A367" s="48">
        <v>20190628</v>
      </c>
      <c r="B367" s="48" t="s">
        <v>88</v>
      </c>
      <c r="C367" s="79">
        <v>0.3</v>
      </c>
      <c r="D367" s="79">
        <f t="shared" si="119"/>
        <v>0.34394980840577755</v>
      </c>
      <c r="E367" s="49">
        <v>46500</v>
      </c>
      <c r="F367" s="49">
        <v>47000</v>
      </c>
      <c r="G367" s="49">
        <v>5969782550</v>
      </c>
      <c r="H367" s="49">
        <f t="shared" si="120"/>
        <v>0.37038246998587299</v>
      </c>
      <c r="I367" s="49">
        <f t="shared" si="131"/>
        <v>0.37429063729510498</v>
      </c>
      <c r="J367" s="48">
        <v>0.15</v>
      </c>
      <c r="K367" s="48">
        <f t="shared" si="121"/>
        <v>0.13078561959263163</v>
      </c>
      <c r="L367" s="48">
        <v>204000</v>
      </c>
      <c r="M367" s="48">
        <v>205500</v>
      </c>
      <c r="N367" s="51">
        <v>128329070</v>
      </c>
      <c r="O367" s="48">
        <f t="shared" si="122"/>
        <v>1.4984244223041201</v>
      </c>
      <c r="P367" s="48">
        <f t="shared" si="132"/>
        <v>1.5142353578023</v>
      </c>
      <c r="Q367" s="49">
        <v>0.15</v>
      </c>
      <c r="R367" s="49">
        <f t="shared" si="123"/>
        <v>9.5779116365470762E-2</v>
      </c>
      <c r="S367" s="49">
        <v>189600</v>
      </c>
      <c r="T367" s="49">
        <v>168600</v>
      </c>
      <c r="U367" s="49">
        <v>15956260</v>
      </c>
      <c r="V367" s="49">
        <f t="shared" si="124"/>
        <v>10.5566247484364</v>
      </c>
      <c r="W367" s="49">
        <f t="shared" si="133"/>
        <v>10.870572409790899</v>
      </c>
      <c r="X367" s="48">
        <v>0.1</v>
      </c>
      <c r="Y367" s="76">
        <f t="shared" si="125"/>
        <v>0.10159632124636592</v>
      </c>
      <c r="Z367" s="18">
        <v>10775</v>
      </c>
      <c r="AA367" s="18">
        <v>10805</v>
      </c>
      <c r="AB367" s="18">
        <v>67900000</v>
      </c>
      <c r="AC367" s="117">
        <f t="shared" si="126"/>
        <v>41.840335563935099</v>
      </c>
      <c r="AD367" s="48">
        <f t="shared" si="134"/>
        <v>42.281822526491702</v>
      </c>
      <c r="AE367" s="49">
        <v>0.3</v>
      </c>
      <c r="AF367" s="49">
        <f t="shared" si="127"/>
        <v>0.32788913438975426</v>
      </c>
      <c r="AG367" s="19">
        <v>22800</v>
      </c>
      <c r="AH367" s="19">
        <v>22750</v>
      </c>
      <c r="AI367" s="19">
        <v>7339332</v>
      </c>
      <c r="AJ367" s="119">
        <f t="shared" si="128"/>
        <v>593.33615413425196</v>
      </c>
      <c r="AK367" s="49">
        <f t="shared" si="135"/>
        <v>599.59686339800703</v>
      </c>
      <c r="AL367" s="82">
        <f t="shared" si="136"/>
        <v>1</v>
      </c>
      <c r="AM367" s="82">
        <f t="shared" si="137"/>
        <v>279863308153761.59</v>
      </c>
      <c r="AN367" s="81">
        <f t="shared" si="129"/>
        <v>305330551277064.44</v>
      </c>
      <c r="AO367" s="80">
        <f t="shared" si="115"/>
        <v>1090.9988640215413</v>
      </c>
      <c r="AP367" s="52">
        <f t="shared" si="130"/>
        <v>-7.6949851812698191E-3</v>
      </c>
      <c r="AQ367" s="48">
        <f t="shared" si="116"/>
        <v>1.0752688172043012E-2</v>
      </c>
      <c r="AR367" s="48">
        <f t="shared" si="117"/>
        <v>7.3529411764705881E-3</v>
      </c>
      <c r="AS367" s="48">
        <f t="shared" si="118"/>
        <v>-0.11075949367088607</v>
      </c>
      <c r="AT367" s="48" t="e">
        <f>(#REF!-#REF!)/#REF!</f>
        <v>#REF!</v>
      </c>
    </row>
    <row r="368" spans="1:46" s="129" customFormat="1" x14ac:dyDescent="0.3">
      <c r="A368" s="121">
        <v>20190701</v>
      </c>
      <c r="B368" s="121" t="s">
        <v>89</v>
      </c>
      <c r="C368" s="122">
        <v>0.2</v>
      </c>
      <c r="D368" s="122">
        <f t="shared" si="119"/>
        <v>0.19596125964690028</v>
      </c>
      <c r="E368" s="121">
        <v>47000</v>
      </c>
      <c r="F368" s="121">
        <v>46600</v>
      </c>
      <c r="G368" s="121">
        <v>5969782550</v>
      </c>
      <c r="H368" s="121">
        <f t="shared" si="120"/>
        <v>0.37429063729510498</v>
      </c>
      <c r="I368" s="123">
        <f t="shared" si="131"/>
        <v>0.22135754660583001</v>
      </c>
      <c r="J368" s="123">
        <v>0.2</v>
      </c>
      <c r="K368" s="123">
        <f t="shared" si="121"/>
        <v>0.20004775062478222</v>
      </c>
      <c r="L368" s="121">
        <v>205500</v>
      </c>
      <c r="M368" s="121">
        <v>208000</v>
      </c>
      <c r="N368" s="124">
        <v>128329070</v>
      </c>
      <c r="O368" s="121">
        <f t="shared" si="122"/>
        <v>1.5142353578023</v>
      </c>
      <c r="P368" s="123">
        <f t="shared" si="132"/>
        <v>2.3551242792495199</v>
      </c>
      <c r="Q368" s="123">
        <v>0.2</v>
      </c>
      <c r="R368" s="123">
        <f t="shared" si="123"/>
        <v>0.21217937620802768</v>
      </c>
      <c r="S368" s="121">
        <v>168600</v>
      </c>
      <c r="T368" s="121">
        <v>181000</v>
      </c>
      <c r="U368" s="121">
        <v>15956260</v>
      </c>
      <c r="V368" s="121">
        <f t="shared" si="124"/>
        <v>10.870572409790899</v>
      </c>
      <c r="W368" s="123">
        <f t="shared" si="133"/>
        <v>23.0867089663485</v>
      </c>
      <c r="X368" s="123">
        <v>0.2</v>
      </c>
      <c r="Y368" s="130">
        <f t="shared" si="125"/>
        <v>0.19764333054515723</v>
      </c>
      <c r="Z368" s="131">
        <v>10805</v>
      </c>
      <c r="AA368" s="131">
        <v>10805</v>
      </c>
      <c r="AB368" s="131">
        <v>67900000</v>
      </c>
      <c r="AC368" s="132">
        <f t="shared" si="126"/>
        <v>42.281822526491702</v>
      </c>
      <c r="AD368" s="123">
        <f t="shared" si="134"/>
        <v>84.655690677759907</v>
      </c>
      <c r="AE368" s="123">
        <v>0.2</v>
      </c>
      <c r="AF368" s="123">
        <f t="shared" si="127"/>
        <v>0.19416828297513264</v>
      </c>
      <c r="AG368" s="131">
        <v>22750</v>
      </c>
      <c r="AH368" s="131">
        <v>22350</v>
      </c>
      <c r="AI368" s="131">
        <v>7339332</v>
      </c>
      <c r="AJ368" s="132">
        <f t="shared" si="128"/>
        <v>599.59686339800703</v>
      </c>
      <c r="AK368" s="123">
        <f t="shared" si="135"/>
        <v>371.97415687673799</v>
      </c>
      <c r="AL368" s="125">
        <f t="shared" si="136"/>
        <v>0</v>
      </c>
      <c r="AM368" s="125">
        <f t="shared" si="137"/>
        <v>284640313308216.69</v>
      </c>
      <c r="AN368" s="126">
        <f t="shared" si="129"/>
        <v>314245117826576.75</v>
      </c>
      <c r="AO368" s="127">
        <f t="shared" si="115"/>
        <v>1104.0077709804343</v>
      </c>
      <c r="AP368" s="128">
        <f t="shared" si="130"/>
        <v>1.1923850141273994E-2</v>
      </c>
      <c r="AQ368" s="121">
        <f t="shared" si="116"/>
        <v>-8.5106382978723406E-3</v>
      </c>
      <c r="AR368" s="121">
        <f t="shared" si="117"/>
        <v>1.2165450121654502E-2</v>
      </c>
      <c r="AS368" s="121">
        <f t="shared" si="118"/>
        <v>7.354685646500593E-2</v>
      </c>
      <c r="AT368" s="121" t="e">
        <f>(#REF!-#REF!)/#REF!</f>
        <v>#REF!</v>
      </c>
    </row>
    <row r="369" spans="1:46" x14ac:dyDescent="0.3">
      <c r="A369" s="48">
        <v>20190702</v>
      </c>
      <c r="B369" s="48" t="s">
        <v>88</v>
      </c>
      <c r="C369" s="79">
        <v>0.2</v>
      </c>
      <c r="D369" s="79">
        <f t="shared" si="119"/>
        <v>0.19645683219723592</v>
      </c>
      <c r="E369" s="49">
        <v>46600</v>
      </c>
      <c r="F369" s="49">
        <v>46250</v>
      </c>
      <c r="G369" s="49">
        <v>5969782550</v>
      </c>
      <c r="H369" s="49">
        <f t="shared" si="120"/>
        <v>0.22135754660583001</v>
      </c>
      <c r="I369" s="49">
        <f t="shared" si="131"/>
        <v>0.22135754660583001</v>
      </c>
      <c r="J369" s="48">
        <v>0.2</v>
      </c>
      <c r="K369" s="48">
        <f t="shared" si="121"/>
        <v>0.19915687020139383</v>
      </c>
      <c r="L369" s="48">
        <v>208000</v>
      </c>
      <c r="M369" s="48">
        <v>205000</v>
      </c>
      <c r="N369" s="51">
        <v>128329070</v>
      </c>
      <c r="O369" s="48">
        <f t="shared" si="122"/>
        <v>2.3551242792495199</v>
      </c>
      <c r="P369" s="48">
        <f t="shared" si="132"/>
        <v>2.3551242792495199</v>
      </c>
      <c r="Q369" s="49">
        <v>0.2</v>
      </c>
      <c r="R369" s="49">
        <f t="shared" si="123"/>
        <v>0.21112858189811923</v>
      </c>
      <c r="S369" s="49">
        <v>181000</v>
      </c>
      <c r="T369" s="49">
        <v>178300</v>
      </c>
      <c r="U369" s="49">
        <v>15956260</v>
      </c>
      <c r="V369" s="49">
        <f t="shared" si="124"/>
        <v>23.0867089663485</v>
      </c>
      <c r="W369" s="49">
        <f t="shared" si="133"/>
        <v>23.0867089663485</v>
      </c>
      <c r="X369" s="48">
        <v>0.2</v>
      </c>
      <c r="Y369" s="76">
        <f t="shared" si="125"/>
        <v>0.19844162188480488</v>
      </c>
      <c r="Z369" s="18">
        <v>10805</v>
      </c>
      <c r="AA369" s="18">
        <v>10740</v>
      </c>
      <c r="AB369" s="18">
        <v>67900000</v>
      </c>
      <c r="AC369" s="117">
        <f t="shared" si="126"/>
        <v>84.655690677759907</v>
      </c>
      <c r="AD369" s="48">
        <f t="shared" si="134"/>
        <v>84.655690677759907</v>
      </c>
      <c r="AE369" s="49">
        <v>0.2</v>
      </c>
      <c r="AF369" s="49">
        <f t="shared" si="127"/>
        <v>0.19481609381844622</v>
      </c>
      <c r="AG369" s="19">
        <v>22350</v>
      </c>
      <c r="AH369" s="19">
        <v>22200</v>
      </c>
      <c r="AI369" s="19">
        <v>7339332</v>
      </c>
      <c r="AJ369" s="119">
        <f t="shared" si="128"/>
        <v>371.97415687673799</v>
      </c>
      <c r="AK369" s="49">
        <f t="shared" si="135"/>
        <v>371.97415687673799</v>
      </c>
      <c r="AL369" s="82">
        <f t="shared" si="136"/>
        <v>0</v>
      </c>
      <c r="AM369" s="82">
        <f t="shared" si="137"/>
        <v>284640313308216.69</v>
      </c>
      <c r="AN369" s="81">
        <f t="shared" si="129"/>
        <v>311098161855534</v>
      </c>
      <c r="AO369" s="80">
        <f t="shared" si="115"/>
        <v>1092.9518670065122</v>
      </c>
      <c r="AP369" s="52">
        <f t="shared" si="130"/>
        <v>-1.001433528325957E-2</v>
      </c>
      <c r="AQ369" s="48">
        <f t="shared" si="116"/>
        <v>-7.5107296137339056E-3</v>
      </c>
      <c r="AR369" s="48">
        <f t="shared" si="117"/>
        <v>-1.4423076923076924E-2</v>
      </c>
      <c r="AS369" s="48">
        <f t="shared" si="118"/>
        <v>-1.4917127071823204E-2</v>
      </c>
      <c r="AT369" s="48" t="e">
        <f>(#REF!-#REF!)/#REF!</f>
        <v>#REF!</v>
      </c>
    </row>
    <row r="370" spans="1:46" x14ac:dyDescent="0.3">
      <c r="A370" s="48">
        <v>20190703</v>
      </c>
      <c r="B370" s="48" t="s">
        <v>88</v>
      </c>
      <c r="C370" s="79">
        <v>0.2</v>
      </c>
      <c r="D370" s="79">
        <f t="shared" si="119"/>
        <v>0.19310435042286486</v>
      </c>
      <c r="E370" s="49">
        <v>46250</v>
      </c>
      <c r="F370" s="49">
        <v>45400</v>
      </c>
      <c r="G370" s="49">
        <v>5969782550</v>
      </c>
      <c r="H370" s="49">
        <f t="shared" si="120"/>
        <v>0.22135754660583001</v>
      </c>
      <c r="I370" s="49">
        <f t="shared" si="131"/>
        <v>0.22135754660583001</v>
      </c>
      <c r="J370" s="48">
        <v>0.2</v>
      </c>
      <c r="K370" s="48">
        <f t="shared" si="121"/>
        <v>0.2003961886013679</v>
      </c>
      <c r="L370" s="48">
        <v>205000</v>
      </c>
      <c r="M370" s="48">
        <v>206000</v>
      </c>
      <c r="N370" s="51">
        <v>128329070</v>
      </c>
      <c r="O370" s="48">
        <f t="shared" si="122"/>
        <v>2.3551242792495199</v>
      </c>
      <c r="P370" s="48">
        <f t="shared" si="132"/>
        <v>2.3551242792495199</v>
      </c>
      <c r="Q370" s="49">
        <v>0.2</v>
      </c>
      <c r="R370" s="49">
        <f t="shared" si="123"/>
        <v>0.21923677453606344</v>
      </c>
      <c r="S370" s="49">
        <v>178300</v>
      </c>
      <c r="T370" s="49">
        <v>184900</v>
      </c>
      <c r="U370" s="49">
        <v>15956260</v>
      </c>
      <c r="V370" s="49">
        <f t="shared" si="124"/>
        <v>23.0867089663485</v>
      </c>
      <c r="W370" s="49">
        <f t="shared" si="133"/>
        <v>23.0867089663485</v>
      </c>
      <c r="X370" s="48">
        <v>0.2</v>
      </c>
      <c r="Y370" s="76">
        <f t="shared" si="125"/>
        <v>0.19657950205060534</v>
      </c>
      <c r="Z370" s="18">
        <v>10740</v>
      </c>
      <c r="AA370" s="18">
        <v>10625</v>
      </c>
      <c r="AB370" s="18">
        <v>67900000</v>
      </c>
      <c r="AC370" s="117">
        <f t="shared" si="126"/>
        <v>84.655690677759907</v>
      </c>
      <c r="AD370" s="48">
        <f t="shared" si="134"/>
        <v>84.655690677759907</v>
      </c>
      <c r="AE370" s="49">
        <v>0.2</v>
      </c>
      <c r="AF370" s="49">
        <f t="shared" si="127"/>
        <v>0.19068318438909843</v>
      </c>
      <c r="AG370" s="19">
        <v>22200</v>
      </c>
      <c r="AH370" s="19">
        <v>21700</v>
      </c>
      <c r="AI370" s="19">
        <v>7339332</v>
      </c>
      <c r="AJ370" s="119">
        <f t="shared" si="128"/>
        <v>371.97415687673799</v>
      </c>
      <c r="AK370" s="49">
        <f t="shared" si="135"/>
        <v>371.97415687673799</v>
      </c>
      <c r="AL370" s="82">
        <f t="shared" si="136"/>
        <v>0</v>
      </c>
      <c r="AM370" s="82">
        <f t="shared" si="137"/>
        <v>284640313308216.69</v>
      </c>
      <c r="AN370" s="81">
        <f t="shared" si="129"/>
        <v>310682391634170.62</v>
      </c>
      <c r="AO370" s="80">
        <f t="shared" si="115"/>
        <v>1091.491180652808</v>
      </c>
      <c r="AP370" s="52">
        <f t="shared" si="130"/>
        <v>-1.3364599098996746E-3</v>
      </c>
      <c r="AQ370" s="48">
        <f t="shared" si="116"/>
        <v>-1.8378378378378378E-2</v>
      </c>
      <c r="AR370" s="48">
        <f t="shared" si="117"/>
        <v>4.8780487804878049E-3</v>
      </c>
      <c r="AS370" s="48">
        <f t="shared" si="118"/>
        <v>3.7016264722378012E-2</v>
      </c>
      <c r="AT370" s="48" t="e">
        <f>(#REF!-#REF!)/#REF!</f>
        <v>#REF!</v>
      </c>
    </row>
    <row r="371" spans="1:46" x14ac:dyDescent="0.3">
      <c r="A371" s="48">
        <v>20190704</v>
      </c>
      <c r="B371" s="48" t="s">
        <v>88</v>
      </c>
      <c r="C371" s="79">
        <v>0.2</v>
      </c>
      <c r="D371" s="79">
        <f t="shared" si="119"/>
        <v>0.19694863583977859</v>
      </c>
      <c r="E371" s="49">
        <v>45400</v>
      </c>
      <c r="F371" s="49">
        <v>46000</v>
      </c>
      <c r="G371" s="49">
        <v>5969782550</v>
      </c>
      <c r="H371" s="49">
        <f t="shared" si="120"/>
        <v>0.22135754660583001</v>
      </c>
      <c r="I371" s="49">
        <f t="shared" si="131"/>
        <v>0.22135754660583001</v>
      </c>
      <c r="J371" s="48">
        <v>0.2</v>
      </c>
      <c r="K371" s="48">
        <f t="shared" si="121"/>
        <v>0.19927168385587296</v>
      </c>
      <c r="L371" s="48">
        <v>206000</v>
      </c>
      <c r="M371" s="48">
        <v>203500</v>
      </c>
      <c r="N371" s="51">
        <v>128329070</v>
      </c>
      <c r="O371" s="48">
        <f t="shared" si="122"/>
        <v>2.3551242792495199</v>
      </c>
      <c r="P371" s="48">
        <f t="shared" si="132"/>
        <v>2.3551242792495199</v>
      </c>
      <c r="Q371" s="49">
        <v>0.2</v>
      </c>
      <c r="R371" s="49">
        <f t="shared" si="123"/>
        <v>0.21793962846254972</v>
      </c>
      <c r="S371" s="49">
        <v>184900</v>
      </c>
      <c r="T371" s="49">
        <v>182600</v>
      </c>
      <c r="U371" s="49">
        <v>15956260</v>
      </c>
      <c r="V371" s="49">
        <f t="shared" si="124"/>
        <v>23.0867089663485</v>
      </c>
      <c r="W371" s="49">
        <f t="shared" si="133"/>
        <v>23.0867089663485</v>
      </c>
      <c r="X371" s="48">
        <v>0.2</v>
      </c>
      <c r="Y371" s="76">
        <f t="shared" si="125"/>
        <v>0.19787784444095849</v>
      </c>
      <c r="Z371" s="18">
        <v>10625</v>
      </c>
      <c r="AA371" s="18">
        <v>10625</v>
      </c>
      <c r="AB371" s="18">
        <v>67900000</v>
      </c>
      <c r="AC371" s="117">
        <f t="shared" si="126"/>
        <v>84.655690677759907</v>
      </c>
      <c r="AD371" s="48">
        <f t="shared" si="134"/>
        <v>84.655690677759907</v>
      </c>
      <c r="AE371" s="49">
        <v>0.2</v>
      </c>
      <c r="AF371" s="49">
        <f t="shared" si="127"/>
        <v>0.18796220740084024</v>
      </c>
      <c r="AG371" s="19">
        <v>21700</v>
      </c>
      <c r="AH371" s="19">
        <v>21250</v>
      </c>
      <c r="AI371" s="19">
        <v>7339332</v>
      </c>
      <c r="AJ371" s="119">
        <f t="shared" si="128"/>
        <v>371.97415687673799</v>
      </c>
      <c r="AK371" s="49">
        <f t="shared" si="135"/>
        <v>371.97415687673799</v>
      </c>
      <c r="AL371" s="82">
        <f t="shared" si="136"/>
        <v>0</v>
      </c>
      <c r="AM371" s="82">
        <f t="shared" si="137"/>
        <v>284640313308216.69</v>
      </c>
      <c r="AN371" s="81">
        <f t="shared" si="129"/>
        <v>308643901068768.81</v>
      </c>
      <c r="AO371" s="80">
        <f t="shared" si="115"/>
        <v>1084.3295437725308</v>
      </c>
      <c r="AP371" s="52">
        <f t="shared" si="130"/>
        <v>-6.5613327961055422E-3</v>
      </c>
      <c r="AQ371" s="48">
        <f t="shared" si="116"/>
        <v>1.3215859030837005E-2</v>
      </c>
      <c r="AR371" s="48">
        <f t="shared" si="117"/>
        <v>-1.2135922330097087E-2</v>
      </c>
      <c r="AS371" s="48">
        <f t="shared" si="118"/>
        <v>-1.2439156300703082E-2</v>
      </c>
      <c r="AT371" s="48" t="e">
        <f>(#REF!-#REF!)/#REF!</f>
        <v>#REF!</v>
      </c>
    </row>
    <row r="372" spans="1:46" x14ac:dyDescent="0.3">
      <c r="A372" s="48">
        <v>20190705</v>
      </c>
      <c r="B372" s="48" t="s">
        <v>88</v>
      </c>
      <c r="C372" s="79">
        <v>0.2</v>
      </c>
      <c r="D372" s="79">
        <f t="shared" si="119"/>
        <v>0.19291788110158828</v>
      </c>
      <c r="E372" s="49">
        <v>46000</v>
      </c>
      <c r="F372" s="49">
        <v>45650</v>
      </c>
      <c r="G372" s="49">
        <v>5969782550</v>
      </c>
      <c r="H372" s="49">
        <f t="shared" si="120"/>
        <v>0.22135754660583001</v>
      </c>
      <c r="I372" s="49">
        <f t="shared" si="131"/>
        <v>0.22135754660583001</v>
      </c>
      <c r="J372" s="48">
        <v>0.2</v>
      </c>
      <c r="K372" s="48">
        <f t="shared" si="121"/>
        <v>0.20103934843811946</v>
      </c>
      <c r="L372" s="48">
        <v>203500</v>
      </c>
      <c r="M372" s="48">
        <v>208000</v>
      </c>
      <c r="N372" s="51">
        <v>128329070</v>
      </c>
      <c r="O372" s="48">
        <f t="shared" si="122"/>
        <v>2.3551242792495199</v>
      </c>
      <c r="P372" s="48">
        <f t="shared" si="132"/>
        <v>2.3551242792495199</v>
      </c>
      <c r="Q372" s="49">
        <v>0.2</v>
      </c>
      <c r="R372" s="49">
        <f t="shared" si="123"/>
        <v>0.21971050644453904</v>
      </c>
      <c r="S372" s="49">
        <v>182600</v>
      </c>
      <c r="T372" s="49">
        <v>186500</v>
      </c>
      <c r="U372" s="49">
        <v>15956260</v>
      </c>
      <c r="V372" s="49">
        <f t="shared" si="124"/>
        <v>23.0867089663485</v>
      </c>
      <c r="W372" s="49">
        <f t="shared" si="133"/>
        <v>23.0867089663485</v>
      </c>
      <c r="X372" s="48">
        <v>0.2</v>
      </c>
      <c r="Y372" s="76">
        <f t="shared" si="125"/>
        <v>0.19513033339902988</v>
      </c>
      <c r="Z372" s="18">
        <v>10625</v>
      </c>
      <c r="AA372" s="18">
        <v>10615</v>
      </c>
      <c r="AB372" s="18">
        <v>67900000</v>
      </c>
      <c r="AC372" s="117">
        <f t="shared" si="126"/>
        <v>84.655690677759907</v>
      </c>
      <c r="AD372" s="48">
        <f t="shared" si="134"/>
        <v>84.655690677759907</v>
      </c>
      <c r="AE372" s="49">
        <v>0.2</v>
      </c>
      <c r="AF372" s="49">
        <f t="shared" si="127"/>
        <v>0.19120193061672328</v>
      </c>
      <c r="AG372" s="19">
        <v>21250</v>
      </c>
      <c r="AH372" s="19">
        <v>21900</v>
      </c>
      <c r="AI372" s="19">
        <v>7339332</v>
      </c>
      <c r="AJ372" s="119">
        <f t="shared" si="128"/>
        <v>371.97415687673799</v>
      </c>
      <c r="AK372" s="49">
        <f t="shared" si="135"/>
        <v>371.97415687673799</v>
      </c>
      <c r="AL372" s="82">
        <f t="shared" si="136"/>
        <v>0</v>
      </c>
      <c r="AM372" s="82">
        <f t="shared" si="137"/>
        <v>284640313308216.69</v>
      </c>
      <c r="AN372" s="81">
        <f t="shared" si="129"/>
        <v>312695148757786.94</v>
      </c>
      <c r="AO372" s="80">
        <f t="shared" si="115"/>
        <v>1098.562410656117</v>
      </c>
      <c r="AP372" s="52">
        <f t="shared" si="130"/>
        <v>1.3125960613475606E-2</v>
      </c>
      <c r="AQ372" s="48">
        <f t="shared" si="116"/>
        <v>-7.6086956521739134E-3</v>
      </c>
      <c r="AR372" s="48">
        <f t="shared" si="117"/>
        <v>2.2113022113022112E-2</v>
      </c>
      <c r="AS372" s="48">
        <f t="shared" si="118"/>
        <v>2.135815991237678E-2</v>
      </c>
      <c r="AT372" s="48" t="e">
        <f>(#REF!-#REF!)/#REF!</f>
        <v>#REF!</v>
      </c>
    </row>
    <row r="373" spans="1:46" x14ac:dyDescent="0.3">
      <c r="A373" s="48">
        <v>20190708</v>
      </c>
      <c r="B373" s="48" t="s">
        <v>88</v>
      </c>
      <c r="C373" s="79">
        <v>0.2</v>
      </c>
      <c r="D373" s="79">
        <f t="shared" si="119"/>
        <v>0.19275271310057623</v>
      </c>
      <c r="E373" s="49">
        <v>45650</v>
      </c>
      <c r="F373" s="49">
        <v>44400</v>
      </c>
      <c r="G373" s="49">
        <v>5969782550</v>
      </c>
      <c r="H373" s="49">
        <f t="shared" si="120"/>
        <v>0.22135754660583001</v>
      </c>
      <c r="I373" s="49">
        <f t="shared" si="131"/>
        <v>0.22135754660583001</v>
      </c>
      <c r="J373" s="48">
        <v>0.2</v>
      </c>
      <c r="K373" s="48">
        <f t="shared" si="121"/>
        <v>0.20453648190962315</v>
      </c>
      <c r="L373" s="48">
        <v>208000</v>
      </c>
      <c r="M373" s="48">
        <v>206000</v>
      </c>
      <c r="N373" s="51">
        <v>128329070</v>
      </c>
      <c r="O373" s="48">
        <f t="shared" si="122"/>
        <v>2.3551242792495199</v>
      </c>
      <c r="P373" s="48">
        <f t="shared" si="132"/>
        <v>2.3551242792495199</v>
      </c>
      <c r="Q373" s="49">
        <v>0.2</v>
      </c>
      <c r="R373" s="49">
        <f t="shared" si="123"/>
        <v>0.21577899221118024</v>
      </c>
      <c r="S373" s="49">
        <v>186500</v>
      </c>
      <c r="T373" s="49">
        <v>178300</v>
      </c>
      <c r="U373" s="49">
        <v>15956260</v>
      </c>
      <c r="V373" s="49">
        <f t="shared" si="124"/>
        <v>23.0867089663485</v>
      </c>
      <c r="W373" s="49">
        <f t="shared" si="133"/>
        <v>23.0867089663485</v>
      </c>
      <c r="X373" s="48">
        <v>0.2</v>
      </c>
      <c r="Y373" s="76">
        <f t="shared" si="125"/>
        <v>0.19724184697560257</v>
      </c>
      <c r="Z373" s="18">
        <v>10615</v>
      </c>
      <c r="AA373" s="18">
        <v>10445</v>
      </c>
      <c r="AB373" s="18">
        <v>67900000</v>
      </c>
      <c r="AC373" s="117">
        <f t="shared" si="126"/>
        <v>84.655690677759907</v>
      </c>
      <c r="AD373" s="48">
        <f t="shared" si="134"/>
        <v>84.655690677759907</v>
      </c>
      <c r="AE373" s="49">
        <v>0.2</v>
      </c>
      <c r="AF373" s="49">
        <f t="shared" si="127"/>
        <v>0.18968996580301778</v>
      </c>
      <c r="AG373" s="19">
        <v>21900</v>
      </c>
      <c r="AH373" s="19">
        <v>21150</v>
      </c>
      <c r="AI373" s="19">
        <v>7339332</v>
      </c>
      <c r="AJ373" s="119">
        <f t="shared" si="128"/>
        <v>371.97415687673799</v>
      </c>
      <c r="AK373" s="49">
        <f t="shared" si="135"/>
        <v>371.97415687673799</v>
      </c>
      <c r="AL373" s="82">
        <f t="shared" si="136"/>
        <v>0</v>
      </c>
      <c r="AM373" s="82">
        <f t="shared" si="137"/>
        <v>284640313308216.69</v>
      </c>
      <c r="AN373" s="81">
        <f t="shared" si="129"/>
        <v>304393458652307.44</v>
      </c>
      <c r="AO373" s="80">
        <f t="shared" si="115"/>
        <v>1069.3968648169011</v>
      </c>
      <c r="AP373" s="52">
        <f t="shared" si="130"/>
        <v>-2.6548829230190665E-2</v>
      </c>
      <c r="AQ373" s="48">
        <f t="shared" si="116"/>
        <v>-2.7382256297918947E-2</v>
      </c>
      <c r="AR373" s="48">
        <f t="shared" si="117"/>
        <v>-9.6153846153846159E-3</v>
      </c>
      <c r="AS373" s="48">
        <f t="shared" si="118"/>
        <v>-4.3967828418230562E-2</v>
      </c>
      <c r="AT373" s="48" t="e">
        <f>(#REF!-#REF!)/#REF!</f>
        <v>#REF!</v>
      </c>
    </row>
    <row r="374" spans="1:46" x14ac:dyDescent="0.3">
      <c r="A374" s="48">
        <v>20190709</v>
      </c>
      <c r="B374" s="48" t="s">
        <v>88</v>
      </c>
      <c r="C374" s="79">
        <v>0.2</v>
      </c>
      <c r="D374" s="79">
        <f t="shared" si="119"/>
        <v>0.19956538942107832</v>
      </c>
      <c r="E374" s="49">
        <v>44400</v>
      </c>
      <c r="F374" s="49">
        <v>45100</v>
      </c>
      <c r="G374" s="49">
        <v>5969782550</v>
      </c>
      <c r="H374" s="49">
        <f t="shared" si="120"/>
        <v>0.22135754660583001</v>
      </c>
      <c r="I374" s="49">
        <f t="shared" si="131"/>
        <v>0.22135754660583001</v>
      </c>
      <c r="J374" s="48">
        <v>0.2</v>
      </c>
      <c r="K374" s="48">
        <f t="shared" si="121"/>
        <v>0.19481637030305302</v>
      </c>
      <c r="L374" s="48">
        <v>206000</v>
      </c>
      <c r="M374" s="48">
        <v>192500</v>
      </c>
      <c r="N374" s="51">
        <v>128329070</v>
      </c>
      <c r="O374" s="48">
        <f t="shared" si="122"/>
        <v>2.3551242792495199</v>
      </c>
      <c r="P374" s="48">
        <f t="shared" si="132"/>
        <v>2.3551242792495199</v>
      </c>
      <c r="Q374" s="49">
        <v>0.2</v>
      </c>
      <c r="R374" s="49">
        <f t="shared" si="123"/>
        <v>0.21216679529607327</v>
      </c>
      <c r="S374" s="49">
        <v>178300</v>
      </c>
      <c r="T374" s="49">
        <v>172000</v>
      </c>
      <c r="U374" s="49">
        <v>15956260</v>
      </c>
      <c r="V374" s="49">
        <f t="shared" si="124"/>
        <v>23.0867089663485</v>
      </c>
      <c r="W374" s="49">
        <f t="shared" si="133"/>
        <v>23.0867089663485</v>
      </c>
      <c r="X374" s="48">
        <v>0.2</v>
      </c>
      <c r="Y374" s="76">
        <f t="shared" si="125"/>
        <v>0.20056238604957063</v>
      </c>
      <c r="Z374" s="18">
        <v>10445</v>
      </c>
      <c r="AA374" s="18">
        <v>10420</v>
      </c>
      <c r="AB374" s="18">
        <v>67900000</v>
      </c>
      <c r="AC374" s="117">
        <f t="shared" si="126"/>
        <v>84.655690677759907</v>
      </c>
      <c r="AD374" s="48">
        <f t="shared" si="134"/>
        <v>84.655690677759907</v>
      </c>
      <c r="AE374" s="49">
        <v>0.2</v>
      </c>
      <c r="AF374" s="49">
        <f t="shared" si="127"/>
        <v>0.1928890589302247</v>
      </c>
      <c r="AG374" s="19">
        <v>21150</v>
      </c>
      <c r="AH374" s="19">
        <v>21100</v>
      </c>
      <c r="AI374" s="19">
        <v>7339332</v>
      </c>
      <c r="AJ374" s="119">
        <f t="shared" si="128"/>
        <v>371.97415687673799</v>
      </c>
      <c r="AK374" s="49">
        <f t="shared" si="135"/>
        <v>371.97415687673799</v>
      </c>
      <c r="AL374" s="82">
        <f t="shared" si="136"/>
        <v>0</v>
      </c>
      <c r="AM374" s="82">
        <f t="shared" si="137"/>
        <v>284640313308216.69</v>
      </c>
      <c r="AN374" s="81">
        <f t="shared" si="129"/>
        <v>298637377310338.19</v>
      </c>
      <c r="AO374" s="80">
        <f t="shared" si="115"/>
        <v>1049.1745664535056</v>
      </c>
      <c r="AP374" s="52">
        <f t="shared" si="130"/>
        <v>-1.8910003412865781E-2</v>
      </c>
      <c r="AQ374" s="48">
        <f t="shared" si="116"/>
        <v>1.5765765765765764E-2</v>
      </c>
      <c r="AR374" s="48">
        <f t="shared" si="117"/>
        <v>-6.553398058252427E-2</v>
      </c>
      <c r="AS374" s="48">
        <f t="shared" si="118"/>
        <v>-3.5333707234997194E-2</v>
      </c>
      <c r="AT374" s="48" t="e">
        <f>(#REF!-#REF!)/#REF!</f>
        <v>#REF!</v>
      </c>
    </row>
    <row r="375" spans="1:46" x14ac:dyDescent="0.3">
      <c r="A375" s="48">
        <v>20190710</v>
      </c>
      <c r="B375" s="48" t="s">
        <v>88</v>
      </c>
      <c r="C375" s="79">
        <v>0.2</v>
      </c>
      <c r="D375" s="79">
        <f t="shared" si="119"/>
        <v>0.20055929947468493</v>
      </c>
      <c r="E375" s="49">
        <v>45100</v>
      </c>
      <c r="F375" s="49">
        <v>45550</v>
      </c>
      <c r="G375" s="49">
        <v>5969782550</v>
      </c>
      <c r="H375" s="49">
        <f t="shared" si="120"/>
        <v>0.22135754660583001</v>
      </c>
      <c r="I375" s="49">
        <f t="shared" si="131"/>
        <v>0.22135754660583001</v>
      </c>
      <c r="J375" s="48">
        <v>0.2</v>
      </c>
      <c r="K375" s="48">
        <f t="shared" si="121"/>
        <v>0.1903278135824252</v>
      </c>
      <c r="L375" s="48">
        <v>192500</v>
      </c>
      <c r="M375" s="48">
        <v>189000</v>
      </c>
      <c r="N375" s="51">
        <v>128329070</v>
      </c>
      <c r="O375" s="48">
        <f t="shared" si="122"/>
        <v>2.3551242792495199</v>
      </c>
      <c r="P375" s="48">
        <f t="shared" si="132"/>
        <v>2.3551242792495199</v>
      </c>
      <c r="Q375" s="49">
        <v>0.2</v>
      </c>
      <c r="R375" s="49">
        <f t="shared" si="123"/>
        <v>0.21320359765009747</v>
      </c>
      <c r="S375" s="49">
        <v>172000</v>
      </c>
      <c r="T375" s="49">
        <v>173700</v>
      </c>
      <c r="U375" s="49">
        <v>15956260</v>
      </c>
      <c r="V375" s="49">
        <f t="shared" si="124"/>
        <v>23.0867089663485</v>
      </c>
      <c r="W375" s="49">
        <f t="shared" si="133"/>
        <v>23.0867089663485</v>
      </c>
      <c r="X375" s="48">
        <v>0.2</v>
      </c>
      <c r="Y375" s="76">
        <f t="shared" si="125"/>
        <v>0.20033609030202562</v>
      </c>
      <c r="Z375" s="18">
        <v>10420</v>
      </c>
      <c r="AA375" s="18">
        <v>10460</v>
      </c>
      <c r="AB375" s="18">
        <v>67900000</v>
      </c>
      <c r="AC375" s="117">
        <f t="shared" si="126"/>
        <v>84.655690677759907</v>
      </c>
      <c r="AD375" s="48">
        <f t="shared" si="134"/>
        <v>84.655690677759907</v>
      </c>
      <c r="AE375" s="49">
        <v>0.2</v>
      </c>
      <c r="AF375" s="49">
        <f t="shared" si="127"/>
        <v>0.19557319899076689</v>
      </c>
      <c r="AG375" s="19">
        <v>21100</v>
      </c>
      <c r="AH375" s="19">
        <v>21500</v>
      </c>
      <c r="AI375" s="19">
        <v>7339332</v>
      </c>
      <c r="AJ375" s="119">
        <f t="shared" si="128"/>
        <v>371.97415687673799</v>
      </c>
      <c r="AK375" s="49">
        <f t="shared" si="135"/>
        <v>371.97415687673799</v>
      </c>
      <c r="AL375" s="82">
        <f t="shared" si="136"/>
        <v>0</v>
      </c>
      <c r="AM375" s="82">
        <f t="shared" si="137"/>
        <v>284640313308216.69</v>
      </c>
      <c r="AN375" s="81">
        <f t="shared" si="129"/>
        <v>300122407910544.12</v>
      </c>
      <c r="AO375" s="80">
        <f t="shared" si="115"/>
        <v>1054.391784573266</v>
      </c>
      <c r="AP375" s="52">
        <f t="shared" si="130"/>
        <v>4.9726883271637599E-3</v>
      </c>
      <c r="AQ375" s="48">
        <f t="shared" si="116"/>
        <v>9.9778270509977823E-3</v>
      </c>
      <c r="AR375" s="48">
        <f t="shared" si="117"/>
        <v>-1.8181818181818181E-2</v>
      </c>
      <c r="AS375" s="48">
        <f t="shared" si="118"/>
        <v>9.883720930232558E-3</v>
      </c>
      <c r="AT375" s="48" t="e">
        <f>(#REF!-#REF!)/#REF!</f>
        <v>#REF!</v>
      </c>
    </row>
    <row r="376" spans="1:46" x14ac:dyDescent="0.3">
      <c r="A376" s="48">
        <v>20190711</v>
      </c>
      <c r="B376" s="48" t="s">
        <v>88</v>
      </c>
      <c r="C376" s="79">
        <v>0.2</v>
      </c>
      <c r="D376" s="79">
        <f t="shared" si="119"/>
        <v>0.20217525105857792</v>
      </c>
      <c r="E376" s="49">
        <v>45550</v>
      </c>
      <c r="F376" s="49">
        <v>46200</v>
      </c>
      <c r="G376" s="49">
        <v>5969782550</v>
      </c>
      <c r="H376" s="49">
        <f t="shared" si="120"/>
        <v>0.22135754660583001</v>
      </c>
      <c r="I376" s="49">
        <f t="shared" si="131"/>
        <v>0.22135754660583001</v>
      </c>
      <c r="J376" s="48">
        <v>0.2</v>
      </c>
      <c r="K376" s="48">
        <f t="shared" si="121"/>
        <v>0.19166412268174285</v>
      </c>
      <c r="L376" s="48">
        <v>189000</v>
      </c>
      <c r="M376" s="48">
        <v>191500</v>
      </c>
      <c r="N376" s="51">
        <v>128329070</v>
      </c>
      <c r="O376" s="48">
        <f t="shared" si="122"/>
        <v>2.3551242792495199</v>
      </c>
      <c r="P376" s="48">
        <f t="shared" si="132"/>
        <v>2.3551242792495199</v>
      </c>
      <c r="Q376" s="49">
        <v>0.2</v>
      </c>
      <c r="R376" s="49">
        <f t="shared" si="123"/>
        <v>0.21067773506767903</v>
      </c>
      <c r="S376" s="49">
        <v>173700</v>
      </c>
      <c r="T376" s="49">
        <v>172700</v>
      </c>
      <c r="U376" s="49">
        <v>15956260</v>
      </c>
      <c r="V376" s="49">
        <f t="shared" si="124"/>
        <v>23.0867089663485</v>
      </c>
      <c r="W376" s="49">
        <f t="shared" si="133"/>
        <v>23.0867089663485</v>
      </c>
      <c r="X376" s="48">
        <v>0.2</v>
      </c>
      <c r="Y376" s="76">
        <f t="shared" si="125"/>
        <v>0.20110765576581369</v>
      </c>
      <c r="Z376" s="18">
        <v>10460</v>
      </c>
      <c r="AA376" s="18">
        <v>10565</v>
      </c>
      <c r="AB376" s="18">
        <v>67900000</v>
      </c>
      <c r="AC376" s="117">
        <f t="shared" si="126"/>
        <v>84.655690677759907</v>
      </c>
      <c r="AD376" s="48">
        <f t="shared" si="134"/>
        <v>84.655690677759907</v>
      </c>
      <c r="AE376" s="49">
        <v>0.2</v>
      </c>
      <c r="AF376" s="49">
        <f t="shared" si="127"/>
        <v>0.19437523542618659</v>
      </c>
      <c r="AG376" s="19">
        <v>21500</v>
      </c>
      <c r="AH376" s="19">
        <v>21500</v>
      </c>
      <c r="AI376" s="19">
        <v>7339332</v>
      </c>
      <c r="AJ376" s="119">
        <f t="shared" si="128"/>
        <v>371.97415687673799</v>
      </c>
      <c r="AK376" s="49">
        <f t="shared" si="135"/>
        <v>371.97415687673799</v>
      </c>
      <c r="AL376" s="82">
        <f t="shared" si="136"/>
        <v>0</v>
      </c>
      <c r="AM376" s="82">
        <f t="shared" si="137"/>
        <v>284640313308216.69</v>
      </c>
      <c r="AN376" s="81">
        <f t="shared" si="129"/>
        <v>301972107070021</v>
      </c>
      <c r="AO376" s="80">
        <f t="shared" si="115"/>
        <v>1060.890158391011</v>
      </c>
      <c r="AP376" s="52">
        <f t="shared" si="130"/>
        <v>6.1631491375618314E-3</v>
      </c>
      <c r="AQ376" s="48">
        <f t="shared" si="116"/>
        <v>1.4270032930845226E-2</v>
      </c>
      <c r="AR376" s="48">
        <f t="shared" si="117"/>
        <v>1.3227513227513227E-2</v>
      </c>
      <c r="AS376" s="48">
        <f t="shared" si="118"/>
        <v>-5.7570523891767415E-3</v>
      </c>
      <c r="AT376" s="48" t="e">
        <f>(#REF!-#REF!)/#REF!</f>
        <v>#REF!</v>
      </c>
    </row>
    <row r="377" spans="1:46" x14ac:dyDescent="0.3">
      <c r="A377" s="48">
        <v>20190712</v>
      </c>
      <c r="B377" s="48" t="s">
        <v>88</v>
      </c>
      <c r="C377" s="79">
        <v>0.2</v>
      </c>
      <c r="D377" s="79">
        <f t="shared" si="119"/>
        <v>0.20370576666736637</v>
      </c>
      <c r="E377" s="49">
        <v>46200</v>
      </c>
      <c r="F377" s="49">
        <v>46300</v>
      </c>
      <c r="G377" s="49">
        <v>5969782550</v>
      </c>
      <c r="H377" s="49">
        <f t="shared" si="120"/>
        <v>0.22135754660583001</v>
      </c>
      <c r="I377" s="49">
        <f t="shared" si="131"/>
        <v>0.22135754660583001</v>
      </c>
      <c r="J377" s="48">
        <v>0.2</v>
      </c>
      <c r="K377" s="48">
        <f t="shared" si="121"/>
        <v>0.18967920415249501</v>
      </c>
      <c r="L377" s="48">
        <v>191500</v>
      </c>
      <c r="M377" s="48">
        <v>188500</v>
      </c>
      <c r="N377" s="51">
        <v>128329070</v>
      </c>
      <c r="O377" s="48">
        <f t="shared" si="122"/>
        <v>2.3551242792495199</v>
      </c>
      <c r="P377" s="48">
        <f t="shared" si="132"/>
        <v>2.3551242792495199</v>
      </c>
      <c r="Q377" s="49">
        <v>0.2</v>
      </c>
      <c r="R377" s="49">
        <f t="shared" si="123"/>
        <v>0.20825733476112343</v>
      </c>
      <c r="S377" s="49">
        <v>172700</v>
      </c>
      <c r="T377" s="49">
        <v>169800</v>
      </c>
      <c r="U377" s="49">
        <v>15956260</v>
      </c>
      <c r="V377" s="49">
        <f t="shared" si="124"/>
        <v>23.0867089663485</v>
      </c>
      <c r="W377" s="49">
        <f t="shared" si="133"/>
        <v>23.0867089663485</v>
      </c>
      <c r="X377" s="48">
        <v>0.2</v>
      </c>
      <c r="Y377" s="76">
        <f t="shared" si="125"/>
        <v>0.20247951269063846</v>
      </c>
      <c r="Z377" s="18">
        <v>10565</v>
      </c>
      <c r="AA377" s="18">
        <v>10580</v>
      </c>
      <c r="AB377" s="18">
        <v>67900000</v>
      </c>
      <c r="AC377" s="117">
        <f t="shared" si="126"/>
        <v>84.655690677759907</v>
      </c>
      <c r="AD377" s="48">
        <f t="shared" si="134"/>
        <v>84.655690677759907</v>
      </c>
      <c r="AE377" s="49">
        <v>0.2</v>
      </c>
      <c r="AF377" s="49">
        <f t="shared" si="127"/>
        <v>0.19587818172837679</v>
      </c>
      <c r="AG377" s="19">
        <v>21500</v>
      </c>
      <c r="AH377" s="19">
        <v>21550</v>
      </c>
      <c r="AI377" s="19">
        <v>7339332</v>
      </c>
      <c r="AJ377" s="119">
        <f t="shared" si="128"/>
        <v>371.97415687673799</v>
      </c>
      <c r="AK377" s="49">
        <f t="shared" si="135"/>
        <v>371.97415687673799</v>
      </c>
      <c r="AL377" s="82">
        <f t="shared" si="136"/>
        <v>0</v>
      </c>
      <c r="AM377" s="82">
        <f t="shared" si="137"/>
        <v>284640313308216.69</v>
      </c>
      <c r="AN377" s="81">
        <f t="shared" si="129"/>
        <v>300351989059692.5</v>
      </c>
      <c r="AO377" s="80">
        <f t="shared" si="115"/>
        <v>1055.1983503983245</v>
      </c>
      <c r="AP377" s="52">
        <f t="shared" si="130"/>
        <v>-5.3651246999208563E-3</v>
      </c>
      <c r="AQ377" s="48">
        <f t="shared" si="116"/>
        <v>2.1645021645021645E-3</v>
      </c>
      <c r="AR377" s="48">
        <f t="shared" si="117"/>
        <v>-1.5665796344647518E-2</v>
      </c>
      <c r="AS377" s="48">
        <f t="shared" si="118"/>
        <v>-1.679212507237985E-2</v>
      </c>
      <c r="AT377" s="48" t="e">
        <f>(#REF!-#REF!)/#REF!</f>
        <v>#REF!</v>
      </c>
    </row>
    <row r="378" spans="1:46" x14ac:dyDescent="0.3">
      <c r="A378" s="48">
        <v>20190715</v>
      </c>
      <c r="B378" s="48" t="s">
        <v>88</v>
      </c>
      <c r="C378" s="79">
        <v>0.2</v>
      </c>
      <c r="D378" s="79">
        <f t="shared" si="119"/>
        <v>0.20551827944345755</v>
      </c>
      <c r="E378" s="49">
        <v>46300</v>
      </c>
      <c r="F378" s="49">
        <v>46450</v>
      </c>
      <c r="G378" s="49">
        <v>5969782550</v>
      </c>
      <c r="H378" s="49">
        <f t="shared" si="120"/>
        <v>0.22135754660583001</v>
      </c>
      <c r="I378" s="49">
        <f t="shared" si="131"/>
        <v>0.22135754660583001</v>
      </c>
      <c r="J378" s="48">
        <v>0.2</v>
      </c>
      <c r="K378" s="48">
        <f t="shared" si="121"/>
        <v>0.1856892822054538</v>
      </c>
      <c r="L378" s="48">
        <v>188500</v>
      </c>
      <c r="M378" s="48">
        <v>183500</v>
      </c>
      <c r="N378" s="51">
        <v>128329070</v>
      </c>
      <c r="O378" s="48">
        <f t="shared" si="122"/>
        <v>2.3551242792495199</v>
      </c>
      <c r="P378" s="48">
        <f t="shared" si="132"/>
        <v>2.3551242792495199</v>
      </c>
      <c r="Q378" s="49">
        <v>0.2</v>
      </c>
      <c r="R378" s="49">
        <f t="shared" si="123"/>
        <v>0.21165196666365019</v>
      </c>
      <c r="S378" s="49">
        <v>169800</v>
      </c>
      <c r="T378" s="49">
        <v>171600</v>
      </c>
      <c r="U378" s="49">
        <v>15956260</v>
      </c>
      <c r="V378" s="49">
        <f t="shared" si="124"/>
        <v>23.0867089663485</v>
      </c>
      <c r="W378" s="49">
        <f t="shared" si="133"/>
        <v>23.0867089663485</v>
      </c>
      <c r="X378" s="48">
        <v>0.2</v>
      </c>
      <c r="Y378" s="76">
        <f t="shared" si="125"/>
        <v>0.20381389277756787</v>
      </c>
      <c r="Z378" s="18">
        <v>10580</v>
      </c>
      <c r="AA378" s="18">
        <v>10590</v>
      </c>
      <c r="AB378" s="18">
        <v>67900000</v>
      </c>
      <c r="AC378" s="117">
        <f t="shared" si="126"/>
        <v>84.655690677759907</v>
      </c>
      <c r="AD378" s="48">
        <f t="shared" si="134"/>
        <v>84.655690677759907</v>
      </c>
      <c r="AE378" s="49">
        <v>0.2</v>
      </c>
      <c r="AF378" s="49">
        <f t="shared" si="127"/>
        <v>0.19332657890987068</v>
      </c>
      <c r="AG378" s="19">
        <v>21550</v>
      </c>
      <c r="AH378" s="19">
        <v>21150</v>
      </c>
      <c r="AI378" s="19">
        <v>7339332</v>
      </c>
      <c r="AJ378" s="119">
        <f t="shared" si="128"/>
        <v>371.97415687673799</v>
      </c>
      <c r="AK378" s="49">
        <f t="shared" si="135"/>
        <v>371.97415687673799</v>
      </c>
      <c r="AL378" s="82">
        <f t="shared" si="136"/>
        <v>0</v>
      </c>
      <c r="AM378" s="82">
        <f t="shared" si="137"/>
        <v>284640313308216.69</v>
      </c>
      <c r="AN378" s="81">
        <f t="shared" si="129"/>
        <v>298667597016431</v>
      </c>
      <c r="AO378" s="80">
        <f t="shared" si="115"/>
        <v>1049.2807345002643</v>
      </c>
      <c r="AP378" s="52">
        <f t="shared" si="130"/>
        <v>-5.6080602247210879E-3</v>
      </c>
      <c r="AQ378" s="48">
        <f t="shared" si="116"/>
        <v>3.2397408207343412E-3</v>
      </c>
      <c r="AR378" s="48">
        <f t="shared" si="117"/>
        <v>-2.6525198938992044E-2</v>
      </c>
      <c r="AS378" s="48">
        <f t="shared" si="118"/>
        <v>1.0600706713780919E-2</v>
      </c>
      <c r="AT378" s="48" t="e">
        <f>(#REF!-#REF!)/#REF!</f>
        <v>#REF!</v>
      </c>
    </row>
    <row r="379" spans="1:46" x14ac:dyDescent="0.3">
      <c r="A379" s="48">
        <v>20190716</v>
      </c>
      <c r="B379" s="48" t="s">
        <v>88</v>
      </c>
      <c r="C379" s="79">
        <v>0.2</v>
      </c>
      <c r="D379" s="79">
        <f t="shared" si="119"/>
        <v>0.20488045288709164</v>
      </c>
      <c r="E379" s="49">
        <v>46450</v>
      </c>
      <c r="F379" s="49">
        <v>46850</v>
      </c>
      <c r="G379" s="49">
        <v>5969782550</v>
      </c>
      <c r="H379" s="49">
        <f t="shared" si="120"/>
        <v>0.22135754660583001</v>
      </c>
      <c r="I379" s="49">
        <f t="shared" si="131"/>
        <v>0.22135754660583001</v>
      </c>
      <c r="J379" s="48">
        <v>0.2</v>
      </c>
      <c r="K379" s="48">
        <f t="shared" si="121"/>
        <v>0.18853340732349114</v>
      </c>
      <c r="L379" s="48">
        <v>183500</v>
      </c>
      <c r="M379" s="48">
        <v>188500</v>
      </c>
      <c r="N379" s="51">
        <v>128329070</v>
      </c>
      <c r="O379" s="48">
        <f t="shared" si="122"/>
        <v>2.3551242792495199</v>
      </c>
      <c r="P379" s="48">
        <f t="shared" si="132"/>
        <v>2.3551242792495199</v>
      </c>
      <c r="Q379" s="49">
        <v>0.2</v>
      </c>
      <c r="R379" s="49">
        <f t="shared" si="123"/>
        <v>0.21455759165277549</v>
      </c>
      <c r="S379" s="49">
        <v>171600</v>
      </c>
      <c r="T379" s="49">
        <v>176000</v>
      </c>
      <c r="U379" s="49">
        <v>15956260</v>
      </c>
      <c r="V379" s="49">
        <f t="shared" si="124"/>
        <v>23.0867089663485</v>
      </c>
      <c r="W379" s="49">
        <f t="shared" si="133"/>
        <v>23.0867089663485</v>
      </c>
      <c r="X379" s="48">
        <v>0.2</v>
      </c>
      <c r="Y379" s="76">
        <f t="shared" si="125"/>
        <v>0.20230262181151254</v>
      </c>
      <c r="Z379" s="18">
        <v>10590</v>
      </c>
      <c r="AA379" s="18">
        <v>10635</v>
      </c>
      <c r="AB379" s="18">
        <v>67900000</v>
      </c>
      <c r="AC379" s="117">
        <f t="shared" si="126"/>
        <v>84.655690677759907</v>
      </c>
      <c r="AD379" s="48">
        <f t="shared" si="134"/>
        <v>84.655690677759907</v>
      </c>
      <c r="AE379" s="49">
        <v>0.2</v>
      </c>
      <c r="AF379" s="49">
        <f t="shared" si="127"/>
        <v>0.18972592632512919</v>
      </c>
      <c r="AG379" s="19">
        <v>21150</v>
      </c>
      <c r="AH379" s="19">
        <v>21000</v>
      </c>
      <c r="AI379" s="19">
        <v>7339332</v>
      </c>
      <c r="AJ379" s="119">
        <f t="shared" si="128"/>
        <v>371.97415687673799</v>
      </c>
      <c r="AK379" s="49">
        <f t="shared" si="135"/>
        <v>371.97415687673799</v>
      </c>
      <c r="AL379" s="82">
        <f t="shared" si="136"/>
        <v>0</v>
      </c>
      <c r="AM379" s="82">
        <f t="shared" si="137"/>
        <v>284640313308216.69</v>
      </c>
      <c r="AN379" s="81">
        <f t="shared" si="129"/>
        <v>302177354450024.12</v>
      </c>
      <c r="AO379" s="80">
        <f t="shared" si="115"/>
        <v>1061.6112346771408</v>
      </c>
      <c r="AP379" s="52">
        <f t="shared" si="130"/>
        <v>1.1751383372867413E-2</v>
      </c>
      <c r="AQ379" s="48">
        <f t="shared" si="116"/>
        <v>8.6114101184068884E-3</v>
      </c>
      <c r="AR379" s="48">
        <f t="shared" si="117"/>
        <v>2.7247956403269755E-2</v>
      </c>
      <c r="AS379" s="48">
        <f t="shared" si="118"/>
        <v>2.564102564102564E-2</v>
      </c>
      <c r="AT379" s="48" t="e">
        <f>(#REF!-#REF!)/#REF!</f>
        <v>#REF!</v>
      </c>
    </row>
    <row r="380" spans="1:46" x14ac:dyDescent="0.3">
      <c r="A380" s="48">
        <v>20190717</v>
      </c>
      <c r="B380" s="48" t="s">
        <v>88</v>
      </c>
      <c r="C380" s="79">
        <v>0.2</v>
      </c>
      <c r="D380" s="79">
        <f t="shared" si="119"/>
        <v>0.20355671349022231</v>
      </c>
      <c r="E380" s="49">
        <v>46850</v>
      </c>
      <c r="F380" s="49">
        <v>46050</v>
      </c>
      <c r="G380" s="49">
        <v>5969782550</v>
      </c>
      <c r="H380" s="49">
        <f t="shared" si="120"/>
        <v>0.22135754660583001</v>
      </c>
      <c r="I380" s="49">
        <f t="shared" si="131"/>
        <v>0.22135754660583001</v>
      </c>
      <c r="J380" s="48">
        <v>0.2</v>
      </c>
      <c r="K380" s="48">
        <f t="shared" si="121"/>
        <v>0.18652549366159887</v>
      </c>
      <c r="L380" s="48">
        <v>188500</v>
      </c>
      <c r="M380" s="48">
        <v>184500</v>
      </c>
      <c r="N380" s="51">
        <v>128329070</v>
      </c>
      <c r="O380" s="48">
        <f t="shared" si="122"/>
        <v>2.3551242792495199</v>
      </c>
      <c r="P380" s="48">
        <f t="shared" si="132"/>
        <v>2.3551242792495199</v>
      </c>
      <c r="Q380" s="49">
        <v>0.2</v>
      </c>
      <c r="R380" s="49">
        <f t="shared" si="123"/>
        <v>0.21983201137461073</v>
      </c>
      <c r="S380" s="49">
        <v>176000</v>
      </c>
      <c r="T380" s="49">
        <v>178400</v>
      </c>
      <c r="U380" s="49">
        <v>15956260</v>
      </c>
      <c r="V380" s="49">
        <f t="shared" si="124"/>
        <v>23.0867089663485</v>
      </c>
      <c r="W380" s="49">
        <f t="shared" si="133"/>
        <v>23.0867089663485</v>
      </c>
      <c r="X380" s="48">
        <v>0.2</v>
      </c>
      <c r="Y380" s="76">
        <f t="shared" si="125"/>
        <v>0.20333365092160935</v>
      </c>
      <c r="Z380" s="18">
        <v>10635</v>
      </c>
      <c r="AA380" s="18">
        <v>10575</v>
      </c>
      <c r="AB380" s="18">
        <v>67900000</v>
      </c>
      <c r="AC380" s="117">
        <f t="shared" si="126"/>
        <v>84.655690677759907</v>
      </c>
      <c r="AD380" s="48">
        <f t="shared" si="134"/>
        <v>84.655690677759907</v>
      </c>
      <c r="AE380" s="49">
        <v>0.2</v>
      </c>
      <c r="AF380" s="49">
        <f t="shared" si="127"/>
        <v>0.18675213055195869</v>
      </c>
      <c r="AG380" s="19">
        <v>21000</v>
      </c>
      <c r="AH380" s="19">
        <v>20450</v>
      </c>
      <c r="AI380" s="19">
        <v>7339332</v>
      </c>
      <c r="AJ380" s="119">
        <f t="shared" si="128"/>
        <v>371.97415687673799</v>
      </c>
      <c r="AK380" s="49">
        <f t="shared" si="135"/>
        <v>371.97415687673799</v>
      </c>
      <c r="AL380" s="82">
        <f t="shared" si="136"/>
        <v>0</v>
      </c>
      <c r="AM380" s="82">
        <f t="shared" si="137"/>
        <v>284640313308216.69</v>
      </c>
      <c r="AN380" s="81">
        <f t="shared" si="129"/>
        <v>298948961462951.44</v>
      </c>
      <c r="AO380" s="80">
        <f t="shared" si="115"/>
        <v>1050.2692257060612</v>
      </c>
      <c r="AP380" s="52">
        <f t="shared" si="130"/>
        <v>-1.0683768785217288E-2</v>
      </c>
      <c r="AQ380" s="48">
        <f t="shared" si="116"/>
        <v>-1.7075773745997867E-2</v>
      </c>
      <c r="AR380" s="48">
        <f t="shared" si="117"/>
        <v>-2.1220159151193633E-2</v>
      </c>
      <c r="AS380" s="48">
        <f t="shared" si="118"/>
        <v>1.3636363636363636E-2</v>
      </c>
      <c r="AT380" s="48" t="e">
        <f>(#REF!-#REF!)/#REF!</f>
        <v>#REF!</v>
      </c>
    </row>
    <row r="381" spans="1:46" ht="16.5" x14ac:dyDescent="0.3">
      <c r="AG381" s="8"/>
      <c r="AH381" s="8"/>
      <c r="AI381" s="8"/>
    </row>
    <row r="382" spans="1:46" ht="16.5" x14ac:dyDescent="0.3">
      <c r="AG382" s="8"/>
      <c r="AH382" s="8"/>
      <c r="AI382" s="8"/>
    </row>
  </sheetData>
  <mergeCells count="7">
    <mergeCell ref="C1:I1"/>
    <mergeCell ref="J1:P1"/>
    <mergeCell ref="Q1:W1"/>
    <mergeCell ref="AL1:AP1"/>
    <mergeCell ref="AQ1:AT1"/>
    <mergeCell ref="X1:AD1"/>
    <mergeCell ref="AE1:AK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3"/>
  <sheetViews>
    <sheetView workbookViewId="0">
      <pane ySplit="3" topLeftCell="A235" activePane="bottomLeft" state="frozen"/>
      <selection pane="bottomLeft" activeCell="G387" sqref="G387"/>
    </sheetView>
  </sheetViews>
  <sheetFormatPr defaultRowHeight="13.5" x14ac:dyDescent="0.3"/>
  <cols>
    <col min="1" max="1" width="9.125" style="16" bestFit="1" customWidth="1"/>
    <col min="2" max="2" width="9.375" style="16" bestFit="1" customWidth="1"/>
    <col min="3" max="4" width="9.375" style="16" customWidth="1"/>
    <col min="5" max="5" width="10.625" style="16" bestFit="1" customWidth="1"/>
    <col min="6" max="6" width="9" style="16"/>
    <col min="7" max="7" width="11" style="16" bestFit="1" customWidth="1"/>
    <col min="8" max="9" width="9" style="16"/>
    <col min="10" max="10" width="11" style="16" bestFit="1" customWidth="1"/>
    <col min="11" max="12" width="9" style="16"/>
    <col min="13" max="13" width="11" style="16" bestFit="1" customWidth="1"/>
    <col min="14" max="15" width="9" style="16"/>
    <col min="16" max="16" width="11" style="16" bestFit="1" customWidth="1"/>
    <col min="17" max="16384" width="9" style="16"/>
  </cols>
  <sheetData>
    <row r="1" spans="1:19" x14ac:dyDescent="0.3">
      <c r="A1" s="138" t="s">
        <v>173</v>
      </c>
      <c r="B1" s="138">
        <v>100000000</v>
      </c>
    </row>
    <row r="2" spans="1:19" x14ac:dyDescent="0.3">
      <c r="E2" s="174" t="s">
        <v>165</v>
      </c>
      <c r="F2" s="174"/>
      <c r="G2" s="174"/>
      <c r="H2" s="174" t="s">
        <v>168</v>
      </c>
      <c r="I2" s="174"/>
      <c r="J2" s="174"/>
      <c r="K2" s="174" t="s">
        <v>60</v>
      </c>
      <c r="L2" s="174"/>
      <c r="M2" s="174"/>
      <c r="N2" s="174" t="s">
        <v>150</v>
      </c>
      <c r="O2" s="174"/>
      <c r="P2" s="174"/>
      <c r="Q2" s="174" t="s">
        <v>171</v>
      </c>
      <c r="R2" s="174"/>
      <c r="S2" s="174"/>
    </row>
    <row r="3" spans="1:19" x14ac:dyDescent="0.3">
      <c r="A3" s="16" t="s">
        <v>166</v>
      </c>
      <c r="B3" s="16" t="s">
        <v>178</v>
      </c>
      <c r="C3" s="138" t="s">
        <v>173</v>
      </c>
      <c r="D3" s="138" t="s">
        <v>179</v>
      </c>
      <c r="E3" s="16" t="s">
        <v>180</v>
      </c>
      <c r="F3" s="16" t="s">
        <v>167</v>
      </c>
      <c r="G3" s="16" t="s">
        <v>174</v>
      </c>
      <c r="H3" s="16" t="s">
        <v>180</v>
      </c>
      <c r="I3" s="16" t="s">
        <v>167</v>
      </c>
      <c r="J3" s="16" t="s">
        <v>175</v>
      </c>
      <c r="K3" s="16" t="s">
        <v>180</v>
      </c>
      <c r="L3" s="16" t="s">
        <v>169</v>
      </c>
      <c r="M3" s="16" t="s">
        <v>176</v>
      </c>
      <c r="N3" s="16" t="s">
        <v>180</v>
      </c>
      <c r="O3" s="16" t="s">
        <v>170</v>
      </c>
      <c r="P3" s="16" t="s">
        <v>177</v>
      </c>
      <c r="Q3" s="16" t="s">
        <v>180</v>
      </c>
      <c r="R3" s="16" t="s">
        <v>172</v>
      </c>
      <c r="S3" s="16" t="s">
        <v>176</v>
      </c>
    </row>
    <row r="4" spans="1:19" x14ac:dyDescent="0.3">
      <c r="A4" s="65">
        <v>20180102</v>
      </c>
      <c r="B4" s="65" t="s">
        <v>89</v>
      </c>
      <c r="C4" s="139">
        <f>E4*G4+H4*J4+K4*M4+N4*P4+Q4*S4</f>
        <v>100000000</v>
      </c>
      <c r="D4" s="139"/>
      <c r="E4" s="66">
        <v>51020</v>
      </c>
      <c r="F4" s="16">
        <v>0.4</v>
      </c>
      <c r="G4" s="16">
        <f>$B$1*F4/E4</f>
        <v>784.00627205017645</v>
      </c>
      <c r="H4" s="66">
        <v>221936</v>
      </c>
      <c r="I4" s="16">
        <v>0.6</v>
      </c>
      <c r="J4" s="16">
        <f>$B$1*I4/H4</f>
        <v>270.34820849253839</v>
      </c>
      <c r="K4" s="66">
        <v>163201</v>
      </c>
      <c r="L4" s="16">
        <v>0</v>
      </c>
      <c r="M4" s="16">
        <f>$B$1*L4/K4</f>
        <v>0</v>
      </c>
      <c r="N4" s="16">
        <v>0</v>
      </c>
      <c r="O4" s="16">
        <v>0</v>
      </c>
      <c r="P4" s="16">
        <f>IFERROR($B$1*O4/N4,0)</f>
        <v>0</v>
      </c>
      <c r="Q4" s="16">
        <v>0</v>
      </c>
      <c r="R4" s="16">
        <v>0</v>
      </c>
      <c r="S4" s="16">
        <f>IFERROR($B$1*R4/Q4,0)</f>
        <v>0</v>
      </c>
    </row>
    <row r="5" spans="1:19" x14ac:dyDescent="0.3">
      <c r="A5" s="65">
        <v>20180103</v>
      </c>
      <c r="B5" s="65" t="s">
        <v>88</v>
      </c>
      <c r="C5" s="139">
        <f t="shared" ref="C5:C68" si="0">E5*G5+H5*J5+K5*M5+N5*P5+Q5*S5</f>
        <v>105994969.40377513</v>
      </c>
      <c r="D5" s="139">
        <f>(C5-C4)/C4</f>
        <v>5.9949694037751258E-2</v>
      </c>
      <c r="E5" s="66">
        <v>51620</v>
      </c>
      <c r="F5" s="16">
        <f>$F$4</f>
        <v>0.4</v>
      </c>
      <c r="G5" s="16">
        <f>$G$4</f>
        <v>784.00627205017645</v>
      </c>
      <c r="H5" s="66">
        <v>242371</v>
      </c>
      <c r="I5" s="16">
        <f>$I$4</f>
        <v>0.6</v>
      </c>
      <c r="J5" s="16">
        <f>$J$4</f>
        <v>270.34820849253839</v>
      </c>
      <c r="K5" s="66">
        <v>161140</v>
      </c>
      <c r="L5" s="16">
        <f>$L$4</f>
        <v>0</v>
      </c>
      <c r="M5" s="16">
        <f>$M$4</f>
        <v>0</v>
      </c>
      <c r="N5" s="16">
        <v>0</v>
      </c>
      <c r="O5" s="16">
        <f>$O$4</f>
        <v>0</v>
      </c>
      <c r="P5" s="16">
        <f>$P$4</f>
        <v>0</v>
      </c>
      <c r="Q5" s="16">
        <v>0</v>
      </c>
      <c r="R5" s="16">
        <f>$R$4</f>
        <v>0</v>
      </c>
      <c r="S5" s="16">
        <f>$S$4</f>
        <v>0</v>
      </c>
    </row>
    <row r="6" spans="1:19" x14ac:dyDescent="0.3">
      <c r="A6" s="65">
        <v>20180104</v>
      </c>
      <c r="B6" s="65" t="s">
        <v>88</v>
      </c>
      <c r="C6" s="139">
        <f t="shared" si="0"/>
        <v>106448345.25700934</v>
      </c>
      <c r="D6" s="139">
        <f t="shared" ref="D6:D69" si="1">(C6-C5)/C5</f>
        <v>4.277333686536911E-3</v>
      </c>
      <c r="E6" s="66">
        <v>51080</v>
      </c>
      <c r="F6" s="16">
        <f t="shared" ref="F6:F69" si="2">$F$4</f>
        <v>0.4</v>
      </c>
      <c r="G6" s="16">
        <f t="shared" ref="G6:G69" si="3">$G$4</f>
        <v>784.00627205017645</v>
      </c>
      <c r="H6" s="66">
        <v>245614</v>
      </c>
      <c r="I6" s="16">
        <f t="shared" ref="I6:I69" si="4">$I$4</f>
        <v>0.6</v>
      </c>
      <c r="J6" s="16">
        <f t="shared" ref="J6:J69" si="5">$J$4</f>
        <v>270.34820849253839</v>
      </c>
      <c r="K6" s="66">
        <v>161336</v>
      </c>
      <c r="L6" s="16">
        <f t="shared" ref="L6:L69" si="6">$L$4</f>
        <v>0</v>
      </c>
      <c r="M6" s="16">
        <f t="shared" ref="M6:M69" si="7">$M$4</f>
        <v>0</v>
      </c>
      <c r="N6" s="16">
        <v>0</v>
      </c>
      <c r="O6" s="16">
        <f t="shared" ref="O6:O69" si="8">$O$4</f>
        <v>0</v>
      </c>
      <c r="P6" s="16">
        <f t="shared" ref="P6:P69" si="9">$P$4</f>
        <v>0</v>
      </c>
      <c r="Q6" s="16">
        <v>0</v>
      </c>
      <c r="R6" s="16">
        <f t="shared" ref="R6:R69" si="10">$R$4</f>
        <v>0</v>
      </c>
      <c r="S6" s="16">
        <f t="shared" ref="S6:S69" si="11">$S$4</f>
        <v>0</v>
      </c>
    </row>
    <row r="7" spans="1:19" x14ac:dyDescent="0.3">
      <c r="A7" s="65">
        <v>20180105</v>
      </c>
      <c r="B7" s="65" t="s">
        <v>88</v>
      </c>
      <c r="C7" s="139">
        <f t="shared" si="0"/>
        <v>111752303.08554313</v>
      </c>
      <c r="D7" s="139">
        <f t="shared" si="1"/>
        <v>4.982658786971169E-2</v>
      </c>
      <c r="E7" s="66">
        <v>52120</v>
      </c>
      <c r="F7" s="16">
        <f t="shared" si="2"/>
        <v>0.4</v>
      </c>
      <c r="G7" s="16">
        <f t="shared" si="3"/>
        <v>784.00627205017645</v>
      </c>
      <c r="H7" s="66">
        <v>262217</v>
      </c>
      <c r="I7" s="16">
        <f t="shared" si="4"/>
        <v>0.6</v>
      </c>
      <c r="J7" s="16">
        <f t="shared" si="5"/>
        <v>270.34820849253839</v>
      </c>
      <c r="K7" s="66">
        <v>167322</v>
      </c>
      <c r="L7" s="16">
        <f t="shared" si="6"/>
        <v>0</v>
      </c>
      <c r="M7" s="16">
        <f t="shared" si="7"/>
        <v>0</v>
      </c>
      <c r="N7" s="16">
        <v>0</v>
      </c>
      <c r="O7" s="16">
        <f t="shared" si="8"/>
        <v>0</v>
      </c>
      <c r="P7" s="16">
        <f t="shared" si="9"/>
        <v>0</v>
      </c>
      <c r="Q7" s="16">
        <v>0</v>
      </c>
      <c r="R7" s="16">
        <f t="shared" si="10"/>
        <v>0</v>
      </c>
      <c r="S7" s="16">
        <f t="shared" si="11"/>
        <v>0</v>
      </c>
    </row>
    <row r="8" spans="1:19" x14ac:dyDescent="0.3">
      <c r="A8" s="65">
        <v>20180108</v>
      </c>
      <c r="B8" s="65" t="s">
        <v>88</v>
      </c>
      <c r="C8" s="139">
        <f t="shared" si="0"/>
        <v>121129331.05036464</v>
      </c>
      <c r="D8" s="139">
        <f t="shared" si="1"/>
        <v>8.3909035482192043E-2</v>
      </c>
      <c r="E8" s="66">
        <v>52020</v>
      </c>
      <c r="F8" s="16">
        <f t="shared" si="2"/>
        <v>0.4</v>
      </c>
      <c r="G8" s="16">
        <f t="shared" si="3"/>
        <v>784.00627205017645</v>
      </c>
      <c r="H8" s="66">
        <v>297192</v>
      </c>
      <c r="I8" s="16">
        <f t="shared" si="4"/>
        <v>0.6</v>
      </c>
      <c r="J8" s="16">
        <f t="shared" si="5"/>
        <v>270.34820849253839</v>
      </c>
      <c r="K8" s="66">
        <v>167028</v>
      </c>
      <c r="L8" s="16">
        <f t="shared" si="6"/>
        <v>0</v>
      </c>
      <c r="M8" s="16">
        <f t="shared" si="7"/>
        <v>0</v>
      </c>
      <c r="N8" s="16">
        <v>0</v>
      </c>
      <c r="O8" s="16">
        <f t="shared" si="8"/>
        <v>0</v>
      </c>
      <c r="P8" s="16">
        <f t="shared" si="9"/>
        <v>0</v>
      </c>
      <c r="Q8" s="16">
        <v>0</v>
      </c>
      <c r="R8" s="16">
        <f t="shared" si="10"/>
        <v>0</v>
      </c>
      <c r="S8" s="16">
        <f t="shared" si="11"/>
        <v>0</v>
      </c>
    </row>
    <row r="9" spans="1:19" x14ac:dyDescent="0.3">
      <c r="A9" s="65">
        <v>20180109</v>
      </c>
      <c r="B9" s="65" t="s">
        <v>88</v>
      </c>
      <c r="C9" s="139">
        <f t="shared" si="0"/>
        <v>117203340.08941266</v>
      </c>
      <c r="D9" s="139">
        <f t="shared" si="1"/>
        <v>-3.2411563135931028E-2</v>
      </c>
      <c r="E9" s="66">
        <v>50400</v>
      </c>
      <c r="F9" s="16">
        <f t="shared" si="2"/>
        <v>0.4</v>
      </c>
      <c r="G9" s="16">
        <f t="shared" si="3"/>
        <v>784.00627205017645</v>
      </c>
      <c r="H9" s="66">
        <v>287368</v>
      </c>
      <c r="I9" s="16">
        <f t="shared" si="4"/>
        <v>0.6</v>
      </c>
      <c r="J9" s="16">
        <f t="shared" si="5"/>
        <v>270.34820849253839</v>
      </c>
      <c r="K9" s="66">
        <v>160944</v>
      </c>
      <c r="L9" s="16">
        <f t="shared" si="6"/>
        <v>0</v>
      </c>
      <c r="M9" s="16">
        <f t="shared" si="7"/>
        <v>0</v>
      </c>
      <c r="N9" s="16">
        <v>0</v>
      </c>
      <c r="O9" s="16">
        <f t="shared" si="8"/>
        <v>0</v>
      </c>
      <c r="P9" s="16">
        <f t="shared" si="9"/>
        <v>0</v>
      </c>
      <c r="Q9" s="16">
        <v>0</v>
      </c>
      <c r="R9" s="16">
        <f t="shared" si="10"/>
        <v>0</v>
      </c>
      <c r="S9" s="16">
        <f t="shared" si="11"/>
        <v>0</v>
      </c>
    </row>
    <row r="10" spans="1:19" x14ac:dyDescent="0.3">
      <c r="A10" s="65">
        <v>20180110</v>
      </c>
      <c r="B10" s="65" t="s">
        <v>88</v>
      </c>
      <c r="C10" s="139">
        <f t="shared" si="0"/>
        <v>116910017.79402024</v>
      </c>
      <c r="D10" s="139">
        <f t="shared" si="1"/>
        <v>-2.5026786367065368E-3</v>
      </c>
      <c r="E10" s="66">
        <v>48840</v>
      </c>
      <c r="F10" s="16">
        <f t="shared" si="2"/>
        <v>0.4</v>
      </c>
      <c r="G10" s="16">
        <f t="shared" si="3"/>
        <v>784.00627205017645</v>
      </c>
      <c r="H10" s="66">
        <v>290807</v>
      </c>
      <c r="I10" s="16">
        <f t="shared" si="4"/>
        <v>0.6</v>
      </c>
      <c r="J10" s="16">
        <f t="shared" si="5"/>
        <v>270.34820849253839</v>
      </c>
      <c r="K10" s="66">
        <v>160944</v>
      </c>
      <c r="L10" s="16">
        <f t="shared" si="6"/>
        <v>0</v>
      </c>
      <c r="M10" s="16">
        <f t="shared" si="7"/>
        <v>0</v>
      </c>
      <c r="N10" s="16">
        <v>0</v>
      </c>
      <c r="O10" s="16">
        <f t="shared" si="8"/>
        <v>0</v>
      </c>
      <c r="P10" s="16">
        <f t="shared" si="9"/>
        <v>0</v>
      </c>
      <c r="Q10" s="16">
        <v>0</v>
      </c>
      <c r="R10" s="16">
        <f t="shared" si="10"/>
        <v>0</v>
      </c>
      <c r="S10" s="16">
        <f t="shared" si="11"/>
        <v>0</v>
      </c>
    </row>
    <row r="11" spans="1:19" x14ac:dyDescent="0.3">
      <c r="A11" s="65">
        <v>20180111</v>
      </c>
      <c r="B11" s="65" t="s">
        <v>88</v>
      </c>
      <c r="C11" s="139">
        <f t="shared" si="0"/>
        <v>119361267.11996898</v>
      </c>
      <c r="D11" s="139">
        <f t="shared" si="1"/>
        <v>2.0966974192643761E-2</v>
      </c>
      <c r="E11" s="66">
        <v>48240</v>
      </c>
      <c r="F11" s="16">
        <f t="shared" si="2"/>
        <v>0.4</v>
      </c>
      <c r="G11" s="16">
        <f t="shared" si="3"/>
        <v>784.00627205017645</v>
      </c>
      <c r="H11" s="66">
        <v>301614</v>
      </c>
      <c r="I11" s="16">
        <f t="shared" si="4"/>
        <v>0.6</v>
      </c>
      <c r="J11" s="16">
        <f t="shared" si="5"/>
        <v>270.34820849253839</v>
      </c>
      <c r="K11" s="66">
        <v>165850</v>
      </c>
      <c r="L11" s="16">
        <f t="shared" si="6"/>
        <v>0</v>
      </c>
      <c r="M11" s="16">
        <f t="shared" si="7"/>
        <v>0</v>
      </c>
      <c r="N11" s="16">
        <v>0</v>
      </c>
      <c r="O11" s="16">
        <f t="shared" si="8"/>
        <v>0</v>
      </c>
      <c r="P11" s="16">
        <f t="shared" si="9"/>
        <v>0</v>
      </c>
      <c r="Q11" s="16">
        <v>0</v>
      </c>
      <c r="R11" s="16">
        <f t="shared" si="10"/>
        <v>0</v>
      </c>
      <c r="S11" s="16">
        <f t="shared" si="11"/>
        <v>0</v>
      </c>
    </row>
    <row r="12" spans="1:19" x14ac:dyDescent="0.3">
      <c r="A12" s="65">
        <v>20180112</v>
      </c>
      <c r="B12" s="65" t="s">
        <v>88</v>
      </c>
      <c r="C12" s="139">
        <f t="shared" si="0"/>
        <v>128493089.04773307</v>
      </c>
      <c r="D12" s="139">
        <f t="shared" si="1"/>
        <v>7.6505738822173971E-2</v>
      </c>
      <c r="E12" s="66">
        <v>48200</v>
      </c>
      <c r="F12" s="16">
        <f t="shared" si="2"/>
        <v>0.4</v>
      </c>
      <c r="G12" s="16">
        <f t="shared" si="3"/>
        <v>784.00627205017645</v>
      </c>
      <c r="H12" s="66">
        <v>335508</v>
      </c>
      <c r="I12" s="16">
        <f t="shared" si="4"/>
        <v>0.6</v>
      </c>
      <c r="J12" s="16">
        <f t="shared" si="5"/>
        <v>270.34820849253839</v>
      </c>
      <c r="K12" s="66">
        <v>174192</v>
      </c>
      <c r="L12" s="16">
        <f t="shared" si="6"/>
        <v>0</v>
      </c>
      <c r="M12" s="16">
        <f t="shared" si="7"/>
        <v>0</v>
      </c>
      <c r="N12" s="16">
        <v>0</v>
      </c>
      <c r="O12" s="16">
        <f t="shared" si="8"/>
        <v>0</v>
      </c>
      <c r="P12" s="16">
        <f t="shared" si="9"/>
        <v>0</v>
      </c>
      <c r="Q12" s="16">
        <v>0</v>
      </c>
      <c r="R12" s="16">
        <f t="shared" si="10"/>
        <v>0</v>
      </c>
      <c r="S12" s="16">
        <f t="shared" si="11"/>
        <v>0</v>
      </c>
    </row>
    <row r="13" spans="1:19" x14ac:dyDescent="0.3">
      <c r="A13" s="65">
        <v>20180115</v>
      </c>
      <c r="B13" s="65" t="s">
        <v>88</v>
      </c>
      <c r="C13" s="139">
        <f t="shared" si="0"/>
        <v>131017329.06935132</v>
      </c>
      <c r="D13" s="139">
        <f t="shared" si="1"/>
        <v>1.9644947758089414E-2</v>
      </c>
      <c r="E13" s="66">
        <v>48540</v>
      </c>
      <c r="F13" s="16">
        <f t="shared" si="2"/>
        <v>0.4</v>
      </c>
      <c r="G13" s="16">
        <f t="shared" si="3"/>
        <v>784.00627205017645</v>
      </c>
      <c r="H13" s="66">
        <v>343859</v>
      </c>
      <c r="I13" s="16">
        <f t="shared" si="4"/>
        <v>0.6</v>
      </c>
      <c r="J13" s="16">
        <f t="shared" si="5"/>
        <v>270.34820849253839</v>
      </c>
      <c r="K13" s="66">
        <v>226401</v>
      </c>
      <c r="L13" s="16">
        <f t="shared" si="6"/>
        <v>0</v>
      </c>
      <c r="M13" s="16">
        <f t="shared" si="7"/>
        <v>0</v>
      </c>
      <c r="N13" s="16">
        <v>0</v>
      </c>
      <c r="O13" s="16">
        <f t="shared" si="8"/>
        <v>0</v>
      </c>
      <c r="P13" s="16">
        <f t="shared" si="9"/>
        <v>0</v>
      </c>
      <c r="Q13" s="16">
        <v>0</v>
      </c>
      <c r="R13" s="16">
        <f t="shared" si="10"/>
        <v>0</v>
      </c>
      <c r="S13" s="16">
        <f t="shared" si="11"/>
        <v>0</v>
      </c>
    </row>
    <row r="14" spans="1:19" x14ac:dyDescent="0.3">
      <c r="A14" s="65">
        <v>20180116</v>
      </c>
      <c r="B14" s="65" t="s">
        <v>88</v>
      </c>
      <c r="C14" s="139">
        <f t="shared" si="0"/>
        <v>131471508.90205464</v>
      </c>
      <c r="D14" s="139">
        <f t="shared" si="1"/>
        <v>3.4665630564252418E-3</v>
      </c>
      <c r="E14" s="66">
        <v>50000</v>
      </c>
      <c r="F14" s="16">
        <f t="shared" si="2"/>
        <v>0.4</v>
      </c>
      <c r="G14" s="16">
        <f t="shared" si="3"/>
        <v>784.00627205017645</v>
      </c>
      <c r="H14" s="66">
        <v>341305</v>
      </c>
      <c r="I14" s="16">
        <f t="shared" si="4"/>
        <v>0.6</v>
      </c>
      <c r="J14" s="16">
        <f t="shared" si="5"/>
        <v>270.34820849253839</v>
      </c>
      <c r="K14" s="66">
        <v>225419</v>
      </c>
      <c r="L14" s="16">
        <f t="shared" si="6"/>
        <v>0</v>
      </c>
      <c r="M14" s="16">
        <f t="shared" si="7"/>
        <v>0</v>
      </c>
      <c r="N14" s="16">
        <v>0</v>
      </c>
      <c r="O14" s="16">
        <f t="shared" si="8"/>
        <v>0</v>
      </c>
      <c r="P14" s="16">
        <f t="shared" si="9"/>
        <v>0</v>
      </c>
      <c r="Q14" s="16">
        <v>0</v>
      </c>
      <c r="R14" s="16">
        <f t="shared" si="10"/>
        <v>0</v>
      </c>
      <c r="S14" s="16">
        <f t="shared" si="11"/>
        <v>0</v>
      </c>
    </row>
    <row r="15" spans="1:19" x14ac:dyDescent="0.3">
      <c r="A15" s="65">
        <v>20180117</v>
      </c>
      <c r="B15" s="65" t="s">
        <v>88</v>
      </c>
      <c r="C15" s="139">
        <f t="shared" si="0"/>
        <v>122169639.43483157</v>
      </c>
      <c r="D15" s="139">
        <f t="shared" si="1"/>
        <v>-7.0751979230366108E-2</v>
      </c>
      <c r="E15" s="66">
        <v>49620</v>
      </c>
      <c r="F15" s="16">
        <f t="shared" si="2"/>
        <v>0.4</v>
      </c>
      <c r="G15" s="16">
        <f t="shared" si="3"/>
        <v>784.00627205017645</v>
      </c>
      <c r="H15" s="66">
        <v>308000</v>
      </c>
      <c r="I15" s="16">
        <f t="shared" si="4"/>
        <v>0.6</v>
      </c>
      <c r="J15" s="16">
        <f t="shared" si="5"/>
        <v>270.34820849253839</v>
      </c>
      <c r="K15" s="66">
        <v>244556</v>
      </c>
      <c r="L15" s="16">
        <f t="shared" si="6"/>
        <v>0</v>
      </c>
      <c r="M15" s="16">
        <f t="shared" si="7"/>
        <v>0</v>
      </c>
      <c r="N15" s="16">
        <v>0</v>
      </c>
      <c r="O15" s="16">
        <f t="shared" si="8"/>
        <v>0</v>
      </c>
      <c r="P15" s="16">
        <f t="shared" si="9"/>
        <v>0</v>
      </c>
      <c r="Q15" s="16">
        <v>0</v>
      </c>
      <c r="R15" s="16">
        <f t="shared" si="10"/>
        <v>0</v>
      </c>
      <c r="S15" s="16">
        <f t="shared" si="11"/>
        <v>0</v>
      </c>
    </row>
    <row r="16" spans="1:19" x14ac:dyDescent="0.3">
      <c r="A16" s="65">
        <v>20180118</v>
      </c>
      <c r="B16" s="65" t="s">
        <v>88</v>
      </c>
      <c r="C16" s="139">
        <f t="shared" si="0"/>
        <v>123929605.28299612</v>
      </c>
      <c r="D16" s="139">
        <f t="shared" si="1"/>
        <v>1.4405918330497772E-2</v>
      </c>
      <c r="E16" s="66">
        <v>49900</v>
      </c>
      <c r="F16" s="16">
        <f t="shared" si="2"/>
        <v>0.4</v>
      </c>
      <c r="G16" s="16">
        <f t="shared" si="3"/>
        <v>784.00627205017645</v>
      </c>
      <c r="H16" s="66">
        <v>313698</v>
      </c>
      <c r="I16" s="16">
        <f t="shared" si="4"/>
        <v>0.6</v>
      </c>
      <c r="J16" s="16">
        <f t="shared" si="5"/>
        <v>270.34820849253839</v>
      </c>
      <c r="K16" s="66">
        <v>247304</v>
      </c>
      <c r="L16" s="16">
        <f t="shared" si="6"/>
        <v>0</v>
      </c>
      <c r="M16" s="16">
        <f t="shared" si="7"/>
        <v>0</v>
      </c>
      <c r="N16" s="16">
        <v>0</v>
      </c>
      <c r="O16" s="16">
        <f t="shared" si="8"/>
        <v>0</v>
      </c>
      <c r="P16" s="16">
        <f t="shared" si="9"/>
        <v>0</v>
      </c>
      <c r="Q16" s="16">
        <v>0</v>
      </c>
      <c r="R16" s="16">
        <f t="shared" si="10"/>
        <v>0</v>
      </c>
      <c r="S16" s="16">
        <f t="shared" si="11"/>
        <v>0</v>
      </c>
    </row>
    <row r="17" spans="1:19" x14ac:dyDescent="0.3">
      <c r="A17" s="65">
        <v>20180119</v>
      </c>
      <c r="B17" s="65" t="s">
        <v>88</v>
      </c>
      <c r="C17" s="139">
        <f t="shared" si="0"/>
        <v>115108145.28877994</v>
      </c>
      <c r="D17" s="139">
        <f t="shared" si="1"/>
        <v>-7.1181215933611389E-2</v>
      </c>
      <c r="E17" s="66">
        <v>49320</v>
      </c>
      <c r="F17" s="16">
        <f t="shared" si="2"/>
        <v>0.4</v>
      </c>
      <c r="G17" s="16">
        <f t="shared" si="3"/>
        <v>784.00627205017645</v>
      </c>
      <c r="H17" s="66">
        <v>282750</v>
      </c>
      <c r="I17" s="16">
        <f t="shared" si="4"/>
        <v>0.6</v>
      </c>
      <c r="J17" s="16">
        <f t="shared" si="5"/>
        <v>270.34820849253839</v>
      </c>
      <c r="K17" s="66">
        <v>231602</v>
      </c>
      <c r="L17" s="16">
        <f t="shared" si="6"/>
        <v>0</v>
      </c>
      <c r="M17" s="16">
        <f t="shared" si="7"/>
        <v>0</v>
      </c>
      <c r="N17" s="16">
        <v>0</v>
      </c>
      <c r="O17" s="16">
        <f t="shared" si="8"/>
        <v>0</v>
      </c>
      <c r="P17" s="16">
        <f t="shared" si="9"/>
        <v>0</v>
      </c>
      <c r="Q17" s="16">
        <v>0</v>
      </c>
      <c r="R17" s="16">
        <f t="shared" si="10"/>
        <v>0</v>
      </c>
      <c r="S17" s="16">
        <f t="shared" si="11"/>
        <v>0</v>
      </c>
    </row>
    <row r="18" spans="1:19" x14ac:dyDescent="0.3">
      <c r="A18" s="65">
        <v>20180122</v>
      </c>
      <c r="B18" s="65" t="s">
        <v>88</v>
      </c>
      <c r="C18" s="139">
        <f t="shared" si="0"/>
        <v>112349245.63629802</v>
      </c>
      <c r="D18" s="139">
        <f t="shared" si="1"/>
        <v>-2.3967892502832721E-2</v>
      </c>
      <c r="E18" s="66">
        <v>48240</v>
      </c>
      <c r="F18" s="16">
        <f t="shared" si="2"/>
        <v>0.4</v>
      </c>
      <c r="G18" s="16">
        <f t="shared" si="3"/>
        <v>784.00627205017645</v>
      </c>
      <c r="H18" s="66">
        <v>275677</v>
      </c>
      <c r="I18" s="16">
        <f t="shared" si="4"/>
        <v>0.6</v>
      </c>
      <c r="J18" s="16">
        <f t="shared" si="5"/>
        <v>270.34820849253839</v>
      </c>
      <c r="K18" s="66">
        <v>230522</v>
      </c>
      <c r="L18" s="16">
        <f t="shared" si="6"/>
        <v>0</v>
      </c>
      <c r="M18" s="16">
        <f t="shared" si="7"/>
        <v>0</v>
      </c>
      <c r="N18" s="16">
        <v>0</v>
      </c>
      <c r="O18" s="16">
        <f t="shared" si="8"/>
        <v>0</v>
      </c>
      <c r="P18" s="16">
        <f t="shared" si="9"/>
        <v>0</v>
      </c>
      <c r="Q18" s="16">
        <v>0</v>
      </c>
      <c r="R18" s="16">
        <f t="shared" si="10"/>
        <v>0</v>
      </c>
      <c r="S18" s="16">
        <f t="shared" si="11"/>
        <v>0</v>
      </c>
    </row>
    <row r="19" spans="1:19" x14ac:dyDescent="0.3">
      <c r="A19" s="65">
        <v>20180123</v>
      </c>
      <c r="B19" s="65" t="s">
        <v>88</v>
      </c>
      <c r="C19" s="139">
        <f t="shared" si="0"/>
        <v>117957615.97150379</v>
      </c>
      <c r="D19" s="139">
        <f t="shared" si="1"/>
        <v>4.9919074253168064E-2</v>
      </c>
      <c r="E19" s="66">
        <v>49160</v>
      </c>
      <c r="F19" s="16">
        <f t="shared" si="2"/>
        <v>0.4</v>
      </c>
      <c r="G19" s="16">
        <f t="shared" si="3"/>
        <v>784.00627205017645</v>
      </c>
      <c r="H19" s="66">
        <v>293754</v>
      </c>
      <c r="I19" s="16">
        <f t="shared" si="4"/>
        <v>0.6</v>
      </c>
      <c r="J19" s="16">
        <f t="shared" si="5"/>
        <v>270.34820849253839</v>
      </c>
      <c r="K19" s="66">
        <v>238275</v>
      </c>
      <c r="L19" s="16">
        <f t="shared" si="6"/>
        <v>0</v>
      </c>
      <c r="M19" s="16">
        <f t="shared" si="7"/>
        <v>0</v>
      </c>
      <c r="N19" s="16">
        <v>0</v>
      </c>
      <c r="O19" s="16">
        <f t="shared" si="8"/>
        <v>0</v>
      </c>
      <c r="P19" s="16">
        <f t="shared" si="9"/>
        <v>0</v>
      </c>
      <c r="Q19" s="16">
        <v>0</v>
      </c>
      <c r="R19" s="16">
        <f t="shared" si="10"/>
        <v>0</v>
      </c>
      <c r="S19" s="16">
        <f t="shared" si="11"/>
        <v>0</v>
      </c>
    </row>
    <row r="20" spans="1:19" x14ac:dyDescent="0.3">
      <c r="A20" s="65">
        <v>20180124</v>
      </c>
      <c r="B20" s="65" t="s">
        <v>88</v>
      </c>
      <c r="C20" s="139">
        <f t="shared" si="0"/>
        <v>116637775.38177916</v>
      </c>
      <c r="D20" s="139">
        <f t="shared" si="1"/>
        <v>-1.1189108722267473E-2</v>
      </c>
      <c r="E20" s="66">
        <v>49340</v>
      </c>
      <c r="F20" s="16">
        <f t="shared" si="2"/>
        <v>0.4</v>
      </c>
      <c r="G20" s="16">
        <f t="shared" si="3"/>
        <v>784.00627205017645</v>
      </c>
      <c r="H20" s="66">
        <v>288350</v>
      </c>
      <c r="I20" s="16">
        <f t="shared" si="4"/>
        <v>0.6</v>
      </c>
      <c r="J20" s="16">
        <f t="shared" si="5"/>
        <v>270.34820849253839</v>
      </c>
      <c r="K20" s="66">
        <v>275175</v>
      </c>
      <c r="L20" s="16">
        <f t="shared" si="6"/>
        <v>0</v>
      </c>
      <c r="M20" s="16">
        <f t="shared" si="7"/>
        <v>0</v>
      </c>
      <c r="N20" s="16">
        <v>0</v>
      </c>
      <c r="O20" s="16">
        <f t="shared" si="8"/>
        <v>0</v>
      </c>
      <c r="P20" s="16">
        <f t="shared" si="9"/>
        <v>0</v>
      </c>
      <c r="Q20" s="16">
        <v>0</v>
      </c>
      <c r="R20" s="16">
        <f t="shared" si="10"/>
        <v>0</v>
      </c>
      <c r="S20" s="16">
        <f t="shared" si="11"/>
        <v>0</v>
      </c>
    </row>
    <row r="21" spans="1:19" x14ac:dyDescent="0.3">
      <c r="A21" s="65">
        <v>20180125</v>
      </c>
      <c r="B21" s="65" t="s">
        <v>88</v>
      </c>
      <c r="C21" s="139">
        <f t="shared" si="0"/>
        <v>116349851.28976268</v>
      </c>
      <c r="D21" s="139">
        <f t="shared" si="1"/>
        <v>-2.468532094975699E-3</v>
      </c>
      <c r="E21" s="66">
        <v>50260</v>
      </c>
      <c r="F21" s="16">
        <f t="shared" si="2"/>
        <v>0.4</v>
      </c>
      <c r="G21" s="16">
        <f t="shared" si="3"/>
        <v>784.00627205017645</v>
      </c>
      <c r="H21" s="66">
        <v>284617</v>
      </c>
      <c r="I21" s="16">
        <f t="shared" si="4"/>
        <v>0.6</v>
      </c>
      <c r="J21" s="16">
        <f t="shared" si="5"/>
        <v>270.34820849253839</v>
      </c>
      <c r="K21" s="66">
        <v>270759</v>
      </c>
      <c r="L21" s="16">
        <f t="shared" si="6"/>
        <v>0</v>
      </c>
      <c r="M21" s="16">
        <f t="shared" si="7"/>
        <v>0</v>
      </c>
      <c r="N21" s="16">
        <v>0</v>
      </c>
      <c r="O21" s="16">
        <f t="shared" si="8"/>
        <v>0</v>
      </c>
      <c r="P21" s="16">
        <f t="shared" si="9"/>
        <v>0</v>
      </c>
      <c r="Q21" s="16">
        <v>0</v>
      </c>
      <c r="R21" s="16">
        <f t="shared" si="10"/>
        <v>0</v>
      </c>
      <c r="S21" s="16">
        <f t="shared" si="11"/>
        <v>0</v>
      </c>
    </row>
    <row r="22" spans="1:19" x14ac:dyDescent="0.3">
      <c r="A22" s="65">
        <v>20180126</v>
      </c>
      <c r="B22" s="65" t="s">
        <v>88</v>
      </c>
      <c r="C22" s="139">
        <f t="shared" si="0"/>
        <v>119493188.07296476</v>
      </c>
      <c r="D22" s="139">
        <f t="shared" si="1"/>
        <v>2.7016250973744528E-2</v>
      </c>
      <c r="E22" s="66">
        <v>50780</v>
      </c>
      <c r="F22" s="16">
        <f t="shared" si="2"/>
        <v>0.4</v>
      </c>
      <c r="G22" s="16">
        <f t="shared" si="3"/>
        <v>784.00627205017645</v>
      </c>
      <c r="H22" s="66">
        <v>294736</v>
      </c>
      <c r="I22" s="16">
        <f t="shared" si="4"/>
        <v>0.6</v>
      </c>
      <c r="J22" s="16">
        <f t="shared" si="5"/>
        <v>270.34820849253839</v>
      </c>
      <c r="K22" s="66">
        <v>269286</v>
      </c>
      <c r="L22" s="16">
        <f t="shared" si="6"/>
        <v>0</v>
      </c>
      <c r="M22" s="16">
        <f t="shared" si="7"/>
        <v>0</v>
      </c>
      <c r="N22" s="16">
        <v>0</v>
      </c>
      <c r="O22" s="16">
        <f t="shared" si="8"/>
        <v>0</v>
      </c>
      <c r="P22" s="16">
        <f t="shared" si="9"/>
        <v>0</v>
      </c>
      <c r="Q22" s="16">
        <v>0</v>
      </c>
      <c r="R22" s="16">
        <f t="shared" si="10"/>
        <v>0</v>
      </c>
      <c r="S22" s="16">
        <f t="shared" si="11"/>
        <v>0</v>
      </c>
    </row>
    <row r="23" spans="1:19" x14ac:dyDescent="0.3">
      <c r="A23" s="65">
        <v>20180129</v>
      </c>
      <c r="B23" s="65" t="s">
        <v>88</v>
      </c>
      <c r="C23" s="139">
        <f t="shared" si="0"/>
        <v>127354912.42159337</v>
      </c>
      <c r="D23" s="139">
        <f t="shared" si="1"/>
        <v>6.579223866575637E-2</v>
      </c>
      <c r="E23" s="66">
        <v>51220</v>
      </c>
      <c r="F23" s="16">
        <f t="shared" si="2"/>
        <v>0.4</v>
      </c>
      <c r="G23" s="16">
        <f t="shared" si="3"/>
        <v>784.00627205017645</v>
      </c>
      <c r="H23" s="66">
        <v>322540</v>
      </c>
      <c r="I23" s="16">
        <f t="shared" si="4"/>
        <v>0.6</v>
      </c>
      <c r="J23" s="16">
        <f t="shared" si="5"/>
        <v>270.34820849253839</v>
      </c>
      <c r="K23" s="66">
        <v>284596</v>
      </c>
      <c r="L23" s="16">
        <f t="shared" si="6"/>
        <v>0</v>
      </c>
      <c r="M23" s="16">
        <f t="shared" si="7"/>
        <v>0</v>
      </c>
      <c r="N23" s="16">
        <v>0</v>
      </c>
      <c r="O23" s="16">
        <f t="shared" si="8"/>
        <v>0</v>
      </c>
      <c r="P23" s="16">
        <f t="shared" si="9"/>
        <v>0</v>
      </c>
      <c r="Q23" s="16">
        <v>0</v>
      </c>
      <c r="R23" s="16">
        <f t="shared" si="10"/>
        <v>0</v>
      </c>
      <c r="S23" s="16">
        <f t="shared" si="11"/>
        <v>0</v>
      </c>
    </row>
    <row r="24" spans="1:19" x14ac:dyDescent="0.3">
      <c r="A24" s="65">
        <v>20180130</v>
      </c>
      <c r="B24" s="65" t="s">
        <v>88</v>
      </c>
      <c r="C24" s="139">
        <f t="shared" si="0"/>
        <v>125790142.00709958</v>
      </c>
      <c r="D24" s="139">
        <f t="shared" si="1"/>
        <v>-1.2286690672078647E-2</v>
      </c>
      <c r="E24" s="66">
        <v>49800</v>
      </c>
      <c r="F24" s="16">
        <f t="shared" si="2"/>
        <v>0.4</v>
      </c>
      <c r="G24" s="16">
        <f t="shared" si="3"/>
        <v>784.00627205017645</v>
      </c>
      <c r="H24" s="66">
        <v>320870</v>
      </c>
      <c r="I24" s="16">
        <f t="shared" si="4"/>
        <v>0.6</v>
      </c>
      <c r="J24" s="16">
        <f t="shared" si="5"/>
        <v>270.34820849253839</v>
      </c>
      <c r="K24" s="66">
        <v>284890</v>
      </c>
      <c r="L24" s="16">
        <f t="shared" si="6"/>
        <v>0</v>
      </c>
      <c r="M24" s="16">
        <f t="shared" si="7"/>
        <v>0</v>
      </c>
      <c r="N24" s="16">
        <v>0</v>
      </c>
      <c r="O24" s="16">
        <f t="shared" si="8"/>
        <v>0</v>
      </c>
      <c r="P24" s="16">
        <f t="shared" si="9"/>
        <v>0</v>
      </c>
      <c r="Q24" s="16">
        <v>0</v>
      </c>
      <c r="R24" s="16">
        <f t="shared" si="10"/>
        <v>0</v>
      </c>
      <c r="S24" s="16">
        <f t="shared" si="11"/>
        <v>0</v>
      </c>
    </row>
    <row r="25" spans="1:19" x14ac:dyDescent="0.3">
      <c r="A25" s="65">
        <v>20180131</v>
      </c>
      <c r="B25" s="65" t="s">
        <v>88</v>
      </c>
      <c r="C25" s="139">
        <f t="shared" si="0"/>
        <v>122973383.66955802</v>
      </c>
      <c r="D25" s="139">
        <f t="shared" si="1"/>
        <v>-2.2392520531398938E-2</v>
      </c>
      <c r="E25" s="66">
        <v>49900</v>
      </c>
      <c r="F25" s="16">
        <f t="shared" si="2"/>
        <v>0.4</v>
      </c>
      <c r="G25" s="16">
        <f t="shared" si="3"/>
        <v>784.00627205017645</v>
      </c>
      <c r="H25" s="66">
        <v>310161</v>
      </c>
      <c r="I25" s="16">
        <f t="shared" si="4"/>
        <v>0.6</v>
      </c>
      <c r="J25" s="16">
        <f t="shared" si="5"/>
        <v>270.34820849253839</v>
      </c>
      <c r="K25" s="66">
        <v>262024</v>
      </c>
      <c r="L25" s="16">
        <f t="shared" si="6"/>
        <v>0</v>
      </c>
      <c r="M25" s="16">
        <f t="shared" si="7"/>
        <v>0</v>
      </c>
      <c r="N25" s="16">
        <v>0</v>
      </c>
      <c r="O25" s="16">
        <f t="shared" si="8"/>
        <v>0</v>
      </c>
      <c r="P25" s="16">
        <f t="shared" si="9"/>
        <v>0</v>
      </c>
      <c r="Q25" s="16">
        <v>0</v>
      </c>
      <c r="R25" s="16">
        <f t="shared" si="10"/>
        <v>0</v>
      </c>
      <c r="S25" s="16">
        <f t="shared" si="11"/>
        <v>0</v>
      </c>
    </row>
    <row r="26" spans="1:19" x14ac:dyDescent="0.3">
      <c r="A26" s="65">
        <v>20180201</v>
      </c>
      <c r="B26" s="65" t="s">
        <v>88</v>
      </c>
      <c r="C26" s="139">
        <f t="shared" si="0"/>
        <v>118687553.80293205</v>
      </c>
      <c r="D26" s="139">
        <f t="shared" si="1"/>
        <v>-3.4851686915783539E-2</v>
      </c>
      <c r="E26" s="66">
        <v>49820</v>
      </c>
      <c r="F26" s="16">
        <f t="shared" si="2"/>
        <v>0.4</v>
      </c>
      <c r="G26" s="16">
        <f t="shared" si="3"/>
        <v>784.00627205017645</v>
      </c>
      <c r="H26" s="66">
        <v>294540</v>
      </c>
      <c r="I26" s="16">
        <f t="shared" si="4"/>
        <v>0.6</v>
      </c>
      <c r="J26" s="16">
        <f t="shared" si="5"/>
        <v>270.34820849253839</v>
      </c>
      <c r="K26" s="66">
        <v>240827</v>
      </c>
      <c r="L26" s="16">
        <f t="shared" si="6"/>
        <v>0</v>
      </c>
      <c r="M26" s="16">
        <f t="shared" si="7"/>
        <v>0</v>
      </c>
      <c r="N26" s="16">
        <v>0</v>
      </c>
      <c r="O26" s="16">
        <f t="shared" si="8"/>
        <v>0</v>
      </c>
      <c r="P26" s="16">
        <f t="shared" si="9"/>
        <v>0</v>
      </c>
      <c r="Q26" s="16">
        <v>0</v>
      </c>
      <c r="R26" s="16">
        <f t="shared" si="10"/>
        <v>0</v>
      </c>
      <c r="S26" s="16">
        <f t="shared" si="11"/>
        <v>0</v>
      </c>
    </row>
    <row r="27" spans="1:19" x14ac:dyDescent="0.3">
      <c r="A27" s="65">
        <v>20180202</v>
      </c>
      <c r="B27" s="65" t="s">
        <v>88</v>
      </c>
      <c r="C27" s="139">
        <f t="shared" si="0"/>
        <v>117450447.88993594</v>
      </c>
      <c r="D27" s="139">
        <f t="shared" si="1"/>
        <v>-1.0423215184383992E-2</v>
      </c>
      <c r="E27" s="66">
        <v>47700</v>
      </c>
      <c r="F27" s="16">
        <f t="shared" si="2"/>
        <v>0.4</v>
      </c>
      <c r="G27" s="16">
        <f t="shared" si="3"/>
        <v>784.00627205017645</v>
      </c>
      <c r="H27" s="66">
        <v>296112</v>
      </c>
      <c r="I27" s="16">
        <f t="shared" si="4"/>
        <v>0.6</v>
      </c>
      <c r="J27" s="16">
        <f t="shared" si="5"/>
        <v>270.34820849253839</v>
      </c>
      <c r="K27" s="66">
        <v>248580</v>
      </c>
      <c r="L27" s="16">
        <f t="shared" si="6"/>
        <v>0</v>
      </c>
      <c r="M27" s="16">
        <f t="shared" si="7"/>
        <v>0</v>
      </c>
      <c r="N27" s="16">
        <v>0</v>
      </c>
      <c r="O27" s="16">
        <f t="shared" si="8"/>
        <v>0</v>
      </c>
      <c r="P27" s="16">
        <f t="shared" si="9"/>
        <v>0</v>
      </c>
      <c r="Q27" s="16">
        <v>0</v>
      </c>
      <c r="R27" s="16">
        <f t="shared" si="10"/>
        <v>0</v>
      </c>
      <c r="S27" s="16">
        <f t="shared" si="11"/>
        <v>0</v>
      </c>
    </row>
    <row r="28" spans="1:19" x14ac:dyDescent="0.3">
      <c r="A28" s="65">
        <v>20180205</v>
      </c>
      <c r="B28" s="65" t="s">
        <v>88</v>
      </c>
      <c r="C28" s="139">
        <f t="shared" si="0"/>
        <v>113532560.87529488</v>
      </c>
      <c r="D28" s="139">
        <f t="shared" si="1"/>
        <v>-3.3357786922298967E-2</v>
      </c>
      <c r="E28" s="66">
        <v>47920</v>
      </c>
      <c r="F28" s="16">
        <f t="shared" si="2"/>
        <v>0.4</v>
      </c>
      <c r="G28" s="16">
        <f t="shared" si="3"/>
        <v>784.00627205017645</v>
      </c>
      <c r="H28" s="66">
        <v>280982</v>
      </c>
      <c r="I28" s="16">
        <f t="shared" si="4"/>
        <v>0.6</v>
      </c>
      <c r="J28" s="16">
        <f t="shared" si="5"/>
        <v>270.34820849253839</v>
      </c>
      <c r="K28" s="66">
        <v>211975</v>
      </c>
      <c r="L28" s="16">
        <f t="shared" si="6"/>
        <v>0</v>
      </c>
      <c r="M28" s="16">
        <f t="shared" si="7"/>
        <v>0</v>
      </c>
      <c r="N28" s="16">
        <v>0</v>
      </c>
      <c r="O28" s="16">
        <f t="shared" si="8"/>
        <v>0</v>
      </c>
      <c r="P28" s="16">
        <f t="shared" si="9"/>
        <v>0</v>
      </c>
      <c r="Q28" s="16">
        <v>0</v>
      </c>
      <c r="R28" s="16">
        <f t="shared" si="10"/>
        <v>0</v>
      </c>
      <c r="S28" s="16">
        <f t="shared" si="11"/>
        <v>0</v>
      </c>
    </row>
    <row r="29" spans="1:19" x14ac:dyDescent="0.3">
      <c r="A29" s="65">
        <v>20180206</v>
      </c>
      <c r="B29" s="65" t="s">
        <v>88</v>
      </c>
      <c r="C29" s="139">
        <f t="shared" si="0"/>
        <v>112662582.10665499</v>
      </c>
      <c r="D29" s="139">
        <f t="shared" si="1"/>
        <v>-7.6628128700054988E-3</v>
      </c>
      <c r="E29" s="66">
        <v>47420</v>
      </c>
      <c r="F29" s="16">
        <f t="shared" si="2"/>
        <v>0.4</v>
      </c>
      <c r="G29" s="16">
        <f t="shared" si="3"/>
        <v>784.00627205017645</v>
      </c>
      <c r="H29" s="66">
        <v>279214</v>
      </c>
      <c r="I29" s="16">
        <f t="shared" si="4"/>
        <v>0.6</v>
      </c>
      <c r="J29" s="16">
        <f t="shared" si="5"/>
        <v>270.34820849253839</v>
      </c>
      <c r="K29" s="66">
        <v>226891</v>
      </c>
      <c r="L29" s="16">
        <f t="shared" si="6"/>
        <v>0</v>
      </c>
      <c r="M29" s="16">
        <f t="shared" si="7"/>
        <v>0</v>
      </c>
      <c r="N29" s="16">
        <v>0</v>
      </c>
      <c r="O29" s="16">
        <f t="shared" si="8"/>
        <v>0</v>
      </c>
      <c r="P29" s="16">
        <f t="shared" si="9"/>
        <v>0</v>
      </c>
      <c r="Q29" s="16">
        <v>0</v>
      </c>
      <c r="R29" s="16">
        <f t="shared" si="10"/>
        <v>0</v>
      </c>
      <c r="S29" s="16">
        <f t="shared" si="11"/>
        <v>0</v>
      </c>
    </row>
    <row r="30" spans="1:19" x14ac:dyDescent="0.3">
      <c r="A30" s="65">
        <v>20180207</v>
      </c>
      <c r="B30" s="65" t="s">
        <v>88</v>
      </c>
      <c r="C30" s="139">
        <f t="shared" si="0"/>
        <v>103902224.48143943</v>
      </c>
      <c r="D30" s="139">
        <f t="shared" si="1"/>
        <v>-7.7757472458090282E-2</v>
      </c>
      <c r="E30" s="66">
        <v>45800</v>
      </c>
      <c r="F30" s="16">
        <f t="shared" si="2"/>
        <v>0.4</v>
      </c>
      <c r="G30" s="16">
        <f t="shared" si="3"/>
        <v>784.00627205017645</v>
      </c>
      <c r="H30" s="66">
        <v>251508</v>
      </c>
      <c r="I30" s="16">
        <f t="shared" si="4"/>
        <v>0.6</v>
      </c>
      <c r="J30" s="16">
        <f t="shared" si="5"/>
        <v>270.34820849253839</v>
      </c>
      <c r="K30" s="66">
        <v>206086</v>
      </c>
      <c r="L30" s="16">
        <f t="shared" si="6"/>
        <v>0</v>
      </c>
      <c r="M30" s="16">
        <f t="shared" si="7"/>
        <v>0</v>
      </c>
      <c r="N30" s="16">
        <v>0</v>
      </c>
      <c r="O30" s="16">
        <f t="shared" si="8"/>
        <v>0</v>
      </c>
      <c r="P30" s="16">
        <f t="shared" si="9"/>
        <v>0</v>
      </c>
      <c r="Q30" s="16">
        <v>0</v>
      </c>
      <c r="R30" s="16">
        <f t="shared" si="10"/>
        <v>0</v>
      </c>
      <c r="S30" s="16">
        <f t="shared" si="11"/>
        <v>0</v>
      </c>
    </row>
    <row r="31" spans="1:19" x14ac:dyDescent="0.3">
      <c r="A31" s="65">
        <v>20180208</v>
      </c>
      <c r="B31" s="65" t="s">
        <v>88</v>
      </c>
      <c r="C31" s="139">
        <f t="shared" si="0"/>
        <v>108149394.13034156</v>
      </c>
      <c r="D31" s="139">
        <f t="shared" si="1"/>
        <v>4.0876599804278747E-2</v>
      </c>
      <c r="E31" s="133">
        <v>46000</v>
      </c>
      <c r="F31" s="16">
        <f t="shared" si="2"/>
        <v>0.4</v>
      </c>
      <c r="G31" s="16">
        <f t="shared" si="3"/>
        <v>784.00627205017645</v>
      </c>
      <c r="H31" s="66">
        <v>266638</v>
      </c>
      <c r="I31" s="16">
        <f t="shared" si="4"/>
        <v>0.6</v>
      </c>
      <c r="J31" s="16">
        <f t="shared" si="5"/>
        <v>270.34820849253839</v>
      </c>
      <c r="K31" s="66">
        <v>216685</v>
      </c>
      <c r="L31" s="16">
        <f t="shared" si="6"/>
        <v>0</v>
      </c>
      <c r="M31" s="16">
        <f t="shared" si="7"/>
        <v>0</v>
      </c>
      <c r="N31" s="16">
        <v>0</v>
      </c>
      <c r="O31" s="16">
        <f t="shared" si="8"/>
        <v>0</v>
      </c>
      <c r="P31" s="16">
        <f t="shared" si="9"/>
        <v>0</v>
      </c>
      <c r="Q31" s="16">
        <v>0</v>
      </c>
      <c r="R31" s="16">
        <f t="shared" si="10"/>
        <v>0</v>
      </c>
      <c r="S31" s="16">
        <f t="shared" si="11"/>
        <v>0</v>
      </c>
    </row>
    <row r="32" spans="1:19" x14ac:dyDescent="0.3">
      <c r="A32" s="65">
        <v>20180209</v>
      </c>
      <c r="B32" s="65" t="s">
        <v>88</v>
      </c>
      <c r="C32" s="139">
        <f t="shared" si="0"/>
        <v>111539294.90898114</v>
      </c>
      <c r="D32" s="139">
        <f t="shared" si="1"/>
        <v>3.1344611829762808E-2</v>
      </c>
      <c r="E32" s="66">
        <v>44700</v>
      </c>
      <c r="F32" s="16">
        <f t="shared" si="2"/>
        <v>0.4</v>
      </c>
      <c r="G32" s="16">
        <f t="shared" si="3"/>
        <v>784.00627205017645</v>
      </c>
      <c r="H32" s="70">
        <v>282947</v>
      </c>
      <c r="I32" s="16">
        <f t="shared" si="4"/>
        <v>0.6</v>
      </c>
      <c r="J32" s="16">
        <f t="shared" si="5"/>
        <v>270.34820849253839</v>
      </c>
      <c r="K32" s="66">
        <v>200100</v>
      </c>
      <c r="L32" s="16">
        <f t="shared" si="6"/>
        <v>0</v>
      </c>
      <c r="M32" s="16">
        <f t="shared" si="7"/>
        <v>0</v>
      </c>
      <c r="N32" s="16">
        <v>0</v>
      </c>
      <c r="O32" s="16">
        <f t="shared" si="8"/>
        <v>0</v>
      </c>
      <c r="P32" s="16">
        <f t="shared" si="9"/>
        <v>0</v>
      </c>
      <c r="Q32" s="16">
        <v>0</v>
      </c>
      <c r="R32" s="16">
        <f t="shared" si="10"/>
        <v>0</v>
      </c>
      <c r="S32" s="16">
        <f t="shared" si="11"/>
        <v>0</v>
      </c>
    </row>
    <row r="33" spans="1:19" x14ac:dyDescent="0.3">
      <c r="A33" s="65">
        <v>20180212</v>
      </c>
      <c r="B33" s="65" t="s">
        <v>88</v>
      </c>
      <c r="C33" s="139">
        <f t="shared" si="0"/>
        <v>116190091.53644854</v>
      </c>
      <c r="D33" s="139">
        <f t="shared" si="1"/>
        <v>4.1696485810337608E-2</v>
      </c>
      <c r="E33" s="66">
        <v>45720</v>
      </c>
      <c r="F33" s="16">
        <f t="shared" si="2"/>
        <v>0.4</v>
      </c>
      <c r="G33" s="16">
        <f t="shared" si="3"/>
        <v>784.00627205017645</v>
      </c>
      <c r="H33" s="66">
        <v>297192</v>
      </c>
      <c r="I33" s="16">
        <f t="shared" si="4"/>
        <v>0.6</v>
      </c>
      <c r="J33" s="16">
        <f t="shared" si="5"/>
        <v>270.34820849253839</v>
      </c>
      <c r="K33" s="66">
        <v>212465</v>
      </c>
      <c r="L33" s="16">
        <f t="shared" si="6"/>
        <v>0</v>
      </c>
      <c r="M33" s="16">
        <f t="shared" si="7"/>
        <v>0</v>
      </c>
      <c r="N33" s="16">
        <v>0</v>
      </c>
      <c r="O33" s="16">
        <f t="shared" si="8"/>
        <v>0</v>
      </c>
      <c r="P33" s="16">
        <f t="shared" si="9"/>
        <v>0</v>
      </c>
      <c r="Q33" s="16">
        <v>0</v>
      </c>
      <c r="R33" s="16">
        <f t="shared" si="10"/>
        <v>0</v>
      </c>
      <c r="S33" s="16">
        <f t="shared" si="11"/>
        <v>0</v>
      </c>
    </row>
    <row r="34" spans="1:19" x14ac:dyDescent="0.3">
      <c r="A34" s="65">
        <v>20180213</v>
      </c>
      <c r="B34" s="65" t="s">
        <v>88</v>
      </c>
      <c r="C34" s="139">
        <f t="shared" si="0"/>
        <v>115359575.41066715</v>
      </c>
      <c r="D34" s="139">
        <f t="shared" si="1"/>
        <v>-7.1479083525883644E-3</v>
      </c>
      <c r="E34" s="66">
        <v>47540</v>
      </c>
      <c r="F34" s="16">
        <f t="shared" si="2"/>
        <v>0.4</v>
      </c>
      <c r="G34" s="16">
        <f t="shared" si="3"/>
        <v>784.00627205017645</v>
      </c>
      <c r="H34" s="66">
        <v>288842</v>
      </c>
      <c r="I34" s="16">
        <f t="shared" si="4"/>
        <v>0.6</v>
      </c>
      <c r="J34" s="16">
        <f t="shared" si="5"/>
        <v>270.34820849253839</v>
      </c>
      <c r="K34" s="66">
        <v>196469</v>
      </c>
      <c r="L34" s="16">
        <f t="shared" si="6"/>
        <v>0</v>
      </c>
      <c r="M34" s="16">
        <f t="shared" si="7"/>
        <v>0</v>
      </c>
      <c r="N34" s="16">
        <v>0</v>
      </c>
      <c r="O34" s="16">
        <f t="shared" si="8"/>
        <v>0</v>
      </c>
      <c r="P34" s="16">
        <f t="shared" si="9"/>
        <v>0</v>
      </c>
      <c r="Q34" s="16">
        <v>0</v>
      </c>
      <c r="R34" s="16">
        <f t="shared" si="10"/>
        <v>0</v>
      </c>
      <c r="S34" s="16">
        <f t="shared" si="11"/>
        <v>0</v>
      </c>
    </row>
    <row r="35" spans="1:19" x14ac:dyDescent="0.3">
      <c r="A35" s="65">
        <v>20180214</v>
      </c>
      <c r="B35" s="65" t="s">
        <v>88</v>
      </c>
      <c r="C35" s="139">
        <f t="shared" si="0"/>
        <v>121417803.25721231</v>
      </c>
      <c r="D35" s="139">
        <f t="shared" si="1"/>
        <v>5.2516038005328537E-2</v>
      </c>
      <c r="E35" s="66">
        <v>49000</v>
      </c>
      <c r="F35" s="16">
        <f t="shared" si="2"/>
        <v>0.4</v>
      </c>
      <c r="G35" s="16">
        <f t="shared" si="3"/>
        <v>784.00627205017645</v>
      </c>
      <c r="H35" s="66">
        <v>307017</v>
      </c>
      <c r="I35" s="16">
        <f t="shared" si="4"/>
        <v>0.6</v>
      </c>
      <c r="J35" s="16">
        <f t="shared" si="5"/>
        <v>270.34820849253839</v>
      </c>
      <c r="K35" s="66">
        <v>201768</v>
      </c>
      <c r="L35" s="16">
        <f t="shared" si="6"/>
        <v>0</v>
      </c>
      <c r="M35" s="16">
        <f t="shared" si="7"/>
        <v>0</v>
      </c>
      <c r="N35" s="16">
        <v>0</v>
      </c>
      <c r="O35" s="16">
        <f t="shared" si="8"/>
        <v>0</v>
      </c>
      <c r="P35" s="16">
        <f t="shared" si="9"/>
        <v>0</v>
      </c>
      <c r="Q35" s="16">
        <v>0</v>
      </c>
      <c r="R35" s="16">
        <f t="shared" si="10"/>
        <v>0</v>
      </c>
      <c r="S35" s="16">
        <f t="shared" si="11"/>
        <v>0</v>
      </c>
    </row>
    <row r="36" spans="1:19" x14ac:dyDescent="0.3">
      <c r="A36" s="65">
        <v>20180219</v>
      </c>
      <c r="B36" s="65" t="s">
        <v>88</v>
      </c>
      <c r="C36" s="139">
        <f t="shared" si="0"/>
        <v>121994187.82791686</v>
      </c>
      <c r="D36" s="139">
        <f t="shared" si="1"/>
        <v>4.7471174345292055E-3</v>
      </c>
      <c r="E36" s="66">
        <v>48380</v>
      </c>
      <c r="F36" s="16">
        <f t="shared" si="2"/>
        <v>0.4</v>
      </c>
      <c r="G36" s="16">
        <f t="shared" si="3"/>
        <v>784.00627205017645</v>
      </c>
      <c r="H36" s="66">
        <v>310947</v>
      </c>
      <c r="I36" s="16">
        <f t="shared" si="4"/>
        <v>0.6</v>
      </c>
      <c r="J36" s="16">
        <f t="shared" si="5"/>
        <v>270.34820849253839</v>
      </c>
      <c r="K36" s="66">
        <v>215409</v>
      </c>
      <c r="L36" s="16">
        <f t="shared" si="6"/>
        <v>0</v>
      </c>
      <c r="M36" s="16">
        <f t="shared" si="7"/>
        <v>0</v>
      </c>
      <c r="N36" s="16">
        <v>0</v>
      </c>
      <c r="O36" s="16">
        <f t="shared" si="8"/>
        <v>0</v>
      </c>
      <c r="P36" s="16">
        <f t="shared" si="9"/>
        <v>0</v>
      </c>
      <c r="Q36" s="16">
        <v>0</v>
      </c>
      <c r="R36" s="16">
        <f t="shared" si="10"/>
        <v>0</v>
      </c>
      <c r="S36" s="16">
        <f t="shared" si="11"/>
        <v>0</v>
      </c>
    </row>
    <row r="37" spans="1:19" x14ac:dyDescent="0.3">
      <c r="A37" s="65">
        <v>20180220</v>
      </c>
      <c r="B37" s="65" t="s">
        <v>88</v>
      </c>
      <c r="C37" s="139">
        <f t="shared" si="0"/>
        <v>117905715.33281082</v>
      </c>
      <c r="D37" s="139">
        <f t="shared" si="1"/>
        <v>-3.3513666248372244E-2</v>
      </c>
      <c r="E37" s="66">
        <v>47400</v>
      </c>
      <c r="F37" s="16">
        <f t="shared" si="2"/>
        <v>0.4</v>
      </c>
      <c r="G37" s="16">
        <f t="shared" si="3"/>
        <v>784.00627205017645</v>
      </c>
      <c r="H37" s="66">
        <v>298666</v>
      </c>
      <c r="I37" s="16">
        <f t="shared" si="4"/>
        <v>0.6</v>
      </c>
      <c r="J37" s="16">
        <f t="shared" si="5"/>
        <v>270.34820849253839</v>
      </c>
      <c r="K37" s="66">
        <v>210993</v>
      </c>
      <c r="L37" s="16">
        <f t="shared" si="6"/>
        <v>0</v>
      </c>
      <c r="M37" s="16">
        <f t="shared" si="7"/>
        <v>0</v>
      </c>
      <c r="N37" s="16">
        <v>0</v>
      </c>
      <c r="O37" s="16">
        <f t="shared" si="8"/>
        <v>0</v>
      </c>
      <c r="P37" s="16">
        <f t="shared" si="9"/>
        <v>0</v>
      </c>
      <c r="Q37" s="16">
        <v>0</v>
      </c>
      <c r="R37" s="16">
        <f t="shared" si="10"/>
        <v>0</v>
      </c>
      <c r="S37" s="16">
        <f t="shared" si="11"/>
        <v>0</v>
      </c>
    </row>
    <row r="38" spans="1:19" x14ac:dyDescent="0.3">
      <c r="A38" s="65">
        <v>20180221</v>
      </c>
      <c r="B38" s="65" t="s">
        <v>88</v>
      </c>
      <c r="C38" s="139">
        <f t="shared" si="0"/>
        <v>118741362.06917065</v>
      </c>
      <c r="D38" s="139">
        <f t="shared" si="1"/>
        <v>7.0874150078396644E-3</v>
      </c>
      <c r="E38" s="66">
        <v>47280</v>
      </c>
      <c r="F38" s="16">
        <f t="shared" si="2"/>
        <v>0.4</v>
      </c>
      <c r="G38" s="16">
        <f t="shared" si="3"/>
        <v>784.00627205017645</v>
      </c>
      <c r="H38" s="66">
        <v>302105</v>
      </c>
      <c r="I38" s="16">
        <f t="shared" si="4"/>
        <v>0.6</v>
      </c>
      <c r="J38" s="16">
        <f t="shared" si="5"/>
        <v>270.34820849253839</v>
      </c>
      <c r="K38" s="66">
        <v>217078</v>
      </c>
      <c r="L38" s="16">
        <f t="shared" si="6"/>
        <v>0</v>
      </c>
      <c r="M38" s="16">
        <f t="shared" si="7"/>
        <v>0</v>
      </c>
      <c r="N38" s="16">
        <v>0</v>
      </c>
      <c r="O38" s="16">
        <f t="shared" si="8"/>
        <v>0</v>
      </c>
      <c r="P38" s="16">
        <f t="shared" si="9"/>
        <v>0</v>
      </c>
      <c r="Q38" s="16">
        <v>0</v>
      </c>
      <c r="R38" s="16">
        <f t="shared" si="10"/>
        <v>0</v>
      </c>
      <c r="S38" s="16">
        <f t="shared" si="11"/>
        <v>0</v>
      </c>
    </row>
    <row r="39" spans="1:19" x14ac:dyDescent="0.3">
      <c r="A39" s="65">
        <v>20180222</v>
      </c>
      <c r="B39" s="65" t="s">
        <v>88</v>
      </c>
      <c r="C39" s="139">
        <f t="shared" si="0"/>
        <v>118333678.80770457</v>
      </c>
      <c r="D39" s="139">
        <f t="shared" si="1"/>
        <v>-3.4333719469092608E-3</v>
      </c>
      <c r="E39" s="66">
        <v>46760</v>
      </c>
      <c r="F39" s="16">
        <f t="shared" si="2"/>
        <v>0.4</v>
      </c>
      <c r="G39" s="16">
        <f t="shared" si="3"/>
        <v>784.00627205017645</v>
      </c>
      <c r="H39" s="66">
        <v>302105</v>
      </c>
      <c r="I39" s="16">
        <f t="shared" si="4"/>
        <v>0.6</v>
      </c>
      <c r="J39" s="16">
        <f t="shared" si="5"/>
        <v>270.34820849253839</v>
      </c>
      <c r="K39" s="66">
        <v>215213</v>
      </c>
      <c r="L39" s="16">
        <f t="shared" si="6"/>
        <v>0</v>
      </c>
      <c r="M39" s="16">
        <f t="shared" si="7"/>
        <v>0</v>
      </c>
      <c r="N39" s="16">
        <v>0</v>
      </c>
      <c r="O39" s="16">
        <f t="shared" si="8"/>
        <v>0</v>
      </c>
      <c r="P39" s="16">
        <f t="shared" si="9"/>
        <v>0</v>
      </c>
      <c r="Q39" s="16">
        <v>0</v>
      </c>
      <c r="R39" s="16">
        <f t="shared" si="10"/>
        <v>0</v>
      </c>
      <c r="S39" s="16">
        <f t="shared" si="11"/>
        <v>0</v>
      </c>
    </row>
    <row r="40" spans="1:19" x14ac:dyDescent="0.3">
      <c r="A40" s="65">
        <v>20180223</v>
      </c>
      <c r="B40" s="65" t="s">
        <v>88</v>
      </c>
      <c r="C40" s="139">
        <f t="shared" si="0"/>
        <v>121483233.81165668</v>
      </c>
      <c r="D40" s="139">
        <f t="shared" si="1"/>
        <v>2.6615880074769144E-2</v>
      </c>
      <c r="E40" s="66">
        <v>47220</v>
      </c>
      <c r="F40" s="16">
        <f t="shared" si="2"/>
        <v>0.4</v>
      </c>
      <c r="G40" s="16">
        <f t="shared" si="3"/>
        <v>784.00627205017645</v>
      </c>
      <c r="H40" s="66">
        <v>312421</v>
      </c>
      <c r="I40" s="16">
        <f t="shared" si="4"/>
        <v>0.6</v>
      </c>
      <c r="J40" s="16">
        <f t="shared" si="5"/>
        <v>270.34820849253839</v>
      </c>
      <c r="K40" s="66">
        <v>218550</v>
      </c>
      <c r="L40" s="16">
        <f t="shared" si="6"/>
        <v>0</v>
      </c>
      <c r="M40" s="16">
        <f t="shared" si="7"/>
        <v>0</v>
      </c>
      <c r="N40" s="16">
        <v>0</v>
      </c>
      <c r="O40" s="16">
        <f t="shared" si="8"/>
        <v>0</v>
      </c>
      <c r="P40" s="16">
        <f t="shared" si="9"/>
        <v>0</v>
      </c>
      <c r="Q40" s="16">
        <v>0</v>
      </c>
      <c r="R40" s="16">
        <f t="shared" si="10"/>
        <v>0</v>
      </c>
      <c r="S40" s="16">
        <f t="shared" si="11"/>
        <v>0</v>
      </c>
    </row>
    <row r="41" spans="1:19" x14ac:dyDescent="0.3">
      <c r="A41" s="65">
        <v>20180226</v>
      </c>
      <c r="B41" s="65" t="s">
        <v>88</v>
      </c>
      <c r="C41" s="139">
        <f t="shared" si="0"/>
        <v>123866082.3560974</v>
      </c>
      <c r="D41" s="139">
        <f t="shared" si="1"/>
        <v>1.9614628864218421E-2</v>
      </c>
      <c r="E41" s="66">
        <v>47380</v>
      </c>
      <c r="F41" s="16">
        <f t="shared" si="2"/>
        <v>0.4</v>
      </c>
      <c r="G41" s="16">
        <f t="shared" si="3"/>
        <v>784.00627205017645</v>
      </c>
      <c r="H41" s="66">
        <v>320771</v>
      </c>
      <c r="I41" s="16">
        <f t="shared" si="4"/>
        <v>0.6</v>
      </c>
      <c r="J41" s="16">
        <f t="shared" si="5"/>
        <v>270.34820849253839</v>
      </c>
      <c r="K41" s="66">
        <v>220120</v>
      </c>
      <c r="L41" s="16">
        <f t="shared" si="6"/>
        <v>0</v>
      </c>
      <c r="M41" s="16">
        <f t="shared" si="7"/>
        <v>0</v>
      </c>
      <c r="N41" s="16">
        <v>0</v>
      </c>
      <c r="O41" s="16">
        <f t="shared" si="8"/>
        <v>0</v>
      </c>
      <c r="P41" s="16">
        <f t="shared" si="9"/>
        <v>0</v>
      </c>
      <c r="Q41" s="16">
        <v>0</v>
      </c>
      <c r="R41" s="16">
        <f t="shared" si="10"/>
        <v>0</v>
      </c>
      <c r="S41" s="16">
        <f t="shared" si="11"/>
        <v>0</v>
      </c>
    </row>
    <row r="42" spans="1:19" x14ac:dyDescent="0.3">
      <c r="A42" s="65">
        <v>20180227</v>
      </c>
      <c r="B42" s="65" t="s">
        <v>88</v>
      </c>
      <c r="C42" s="139">
        <f t="shared" si="0"/>
        <v>130373634.08272129</v>
      </c>
      <c r="D42" s="139">
        <f t="shared" si="1"/>
        <v>5.2536994816027242E-2</v>
      </c>
      <c r="E42" s="66">
        <v>47380</v>
      </c>
      <c r="F42" s="16">
        <f t="shared" si="2"/>
        <v>0.4</v>
      </c>
      <c r="G42" s="16">
        <f t="shared" si="3"/>
        <v>784.00627205017645</v>
      </c>
      <c r="H42" s="66">
        <v>344842</v>
      </c>
      <c r="I42" s="16">
        <f t="shared" si="4"/>
        <v>0.6</v>
      </c>
      <c r="J42" s="16">
        <f t="shared" si="5"/>
        <v>270.34820849253839</v>
      </c>
      <c r="K42" s="66">
        <v>221003</v>
      </c>
      <c r="L42" s="16">
        <f t="shared" si="6"/>
        <v>0</v>
      </c>
      <c r="M42" s="16">
        <f t="shared" si="7"/>
        <v>0</v>
      </c>
      <c r="N42" s="16">
        <v>0</v>
      </c>
      <c r="O42" s="16">
        <f t="shared" si="8"/>
        <v>0</v>
      </c>
      <c r="P42" s="16">
        <f t="shared" si="9"/>
        <v>0</v>
      </c>
      <c r="Q42" s="16">
        <v>0</v>
      </c>
      <c r="R42" s="16">
        <f t="shared" si="10"/>
        <v>0</v>
      </c>
      <c r="S42" s="16">
        <f t="shared" si="11"/>
        <v>0</v>
      </c>
    </row>
    <row r="43" spans="1:19" x14ac:dyDescent="0.3">
      <c r="A43" s="65">
        <v>20180228</v>
      </c>
      <c r="B43" s="65" t="s">
        <v>88</v>
      </c>
      <c r="C43" s="139">
        <f t="shared" si="0"/>
        <v>130653986.30535308</v>
      </c>
      <c r="D43" s="139">
        <f t="shared" si="1"/>
        <v>2.1503751475846758E-3</v>
      </c>
      <c r="E43" s="66">
        <v>47060</v>
      </c>
      <c r="F43" s="16">
        <f t="shared" si="2"/>
        <v>0.4</v>
      </c>
      <c r="G43" s="16">
        <f t="shared" si="3"/>
        <v>784.00627205017645</v>
      </c>
      <c r="H43" s="66">
        <v>346807</v>
      </c>
      <c r="I43" s="16">
        <f t="shared" si="4"/>
        <v>0.6</v>
      </c>
      <c r="J43" s="16">
        <f t="shared" si="5"/>
        <v>270.34820849253839</v>
      </c>
      <c r="K43" s="66">
        <v>229639</v>
      </c>
      <c r="L43" s="16">
        <f t="shared" si="6"/>
        <v>0</v>
      </c>
      <c r="M43" s="16">
        <f t="shared" si="7"/>
        <v>0</v>
      </c>
      <c r="N43" s="16">
        <v>0</v>
      </c>
      <c r="O43" s="16">
        <f t="shared" si="8"/>
        <v>0</v>
      </c>
      <c r="P43" s="16">
        <f t="shared" si="9"/>
        <v>0</v>
      </c>
      <c r="Q43" s="16">
        <v>0</v>
      </c>
      <c r="R43" s="16">
        <f t="shared" si="10"/>
        <v>0</v>
      </c>
      <c r="S43" s="16">
        <f t="shared" si="11"/>
        <v>0</v>
      </c>
    </row>
    <row r="44" spans="1:19" x14ac:dyDescent="0.3">
      <c r="A44" s="65">
        <v>20180302</v>
      </c>
      <c r="B44" s="65" t="s">
        <v>88</v>
      </c>
      <c r="C44" s="139">
        <f t="shared" si="0"/>
        <v>134884939.44214261</v>
      </c>
      <c r="D44" s="139">
        <f t="shared" si="1"/>
        <v>3.2382885945028243E-2</v>
      </c>
      <c r="E44" s="66">
        <v>46020</v>
      </c>
      <c r="F44" s="16">
        <f t="shared" si="2"/>
        <v>0.4</v>
      </c>
      <c r="G44" s="16">
        <f t="shared" si="3"/>
        <v>784.00627205017645</v>
      </c>
      <c r="H44" s="66">
        <v>365473</v>
      </c>
      <c r="I44" s="16">
        <f t="shared" si="4"/>
        <v>0.6</v>
      </c>
      <c r="J44" s="16">
        <f t="shared" si="5"/>
        <v>270.34820849253839</v>
      </c>
      <c r="K44" s="66">
        <v>234546</v>
      </c>
      <c r="L44" s="16">
        <f t="shared" si="6"/>
        <v>0</v>
      </c>
      <c r="M44" s="16">
        <f t="shared" si="7"/>
        <v>0</v>
      </c>
      <c r="N44" s="16">
        <v>0</v>
      </c>
      <c r="O44" s="16">
        <f t="shared" si="8"/>
        <v>0</v>
      </c>
      <c r="P44" s="16">
        <f t="shared" si="9"/>
        <v>0</v>
      </c>
      <c r="Q44" s="16">
        <v>0</v>
      </c>
      <c r="R44" s="16">
        <f t="shared" si="10"/>
        <v>0</v>
      </c>
      <c r="S44" s="16">
        <f t="shared" si="11"/>
        <v>0</v>
      </c>
    </row>
    <row r="45" spans="1:19" x14ac:dyDescent="0.3">
      <c r="A45" s="65">
        <v>20180305</v>
      </c>
      <c r="B45" s="65" t="s">
        <v>88</v>
      </c>
      <c r="C45" s="139">
        <f t="shared" si="0"/>
        <v>134640547.55837947</v>
      </c>
      <c r="D45" s="139">
        <f t="shared" si="1"/>
        <v>-1.8118544944594327E-3</v>
      </c>
      <c r="E45" s="66">
        <v>45200</v>
      </c>
      <c r="F45" s="16">
        <f t="shared" si="2"/>
        <v>0.4</v>
      </c>
      <c r="G45" s="16">
        <f t="shared" si="3"/>
        <v>784.00627205017645</v>
      </c>
      <c r="H45" s="66">
        <v>366947</v>
      </c>
      <c r="I45" s="16">
        <f t="shared" si="4"/>
        <v>0.6</v>
      </c>
      <c r="J45" s="16">
        <f t="shared" si="5"/>
        <v>270.34820849253839</v>
      </c>
      <c r="K45" s="66">
        <v>224634</v>
      </c>
      <c r="L45" s="16">
        <f t="shared" si="6"/>
        <v>0</v>
      </c>
      <c r="M45" s="16">
        <f t="shared" si="7"/>
        <v>0</v>
      </c>
      <c r="N45" s="16">
        <v>0</v>
      </c>
      <c r="O45" s="16">
        <f t="shared" si="8"/>
        <v>0</v>
      </c>
      <c r="P45" s="16">
        <f t="shared" si="9"/>
        <v>0</v>
      </c>
      <c r="Q45" s="16">
        <v>0</v>
      </c>
      <c r="R45" s="16">
        <f t="shared" si="10"/>
        <v>0</v>
      </c>
      <c r="S45" s="16">
        <f t="shared" si="11"/>
        <v>0</v>
      </c>
    </row>
    <row r="46" spans="1:19" x14ac:dyDescent="0.3">
      <c r="A46" s="65">
        <v>20180306</v>
      </c>
      <c r="B46" s="65" t="s">
        <v>88</v>
      </c>
      <c r="C46" s="139">
        <f t="shared" si="0"/>
        <v>135137711.48450494</v>
      </c>
      <c r="D46" s="139">
        <f t="shared" si="1"/>
        <v>3.6925275122629683E-3</v>
      </c>
      <c r="E46" s="66">
        <v>47020</v>
      </c>
      <c r="F46" s="16">
        <f t="shared" si="2"/>
        <v>0.4</v>
      </c>
      <c r="G46" s="16">
        <f t="shared" si="3"/>
        <v>784.00627205017645</v>
      </c>
      <c r="H46" s="66">
        <v>363508</v>
      </c>
      <c r="I46" s="16">
        <f t="shared" si="4"/>
        <v>0.6</v>
      </c>
      <c r="J46" s="16">
        <f t="shared" si="5"/>
        <v>270.34820849253839</v>
      </c>
      <c r="K46" s="66">
        <v>232289</v>
      </c>
      <c r="L46" s="16">
        <f t="shared" si="6"/>
        <v>0</v>
      </c>
      <c r="M46" s="16">
        <f t="shared" si="7"/>
        <v>0</v>
      </c>
      <c r="N46" s="16">
        <v>0</v>
      </c>
      <c r="O46" s="16">
        <f t="shared" si="8"/>
        <v>0</v>
      </c>
      <c r="P46" s="16">
        <f t="shared" si="9"/>
        <v>0</v>
      </c>
      <c r="Q46" s="16">
        <v>0</v>
      </c>
      <c r="R46" s="16">
        <f t="shared" si="10"/>
        <v>0</v>
      </c>
      <c r="S46" s="16">
        <f t="shared" si="11"/>
        <v>0</v>
      </c>
    </row>
    <row r="47" spans="1:19" x14ac:dyDescent="0.3">
      <c r="A47" s="65">
        <v>20180307</v>
      </c>
      <c r="B47" s="65" t="s">
        <v>88</v>
      </c>
      <c r="C47" s="139">
        <f t="shared" si="0"/>
        <v>124440027.22233009</v>
      </c>
      <c r="D47" s="139">
        <f t="shared" si="1"/>
        <v>-7.9161354330034323E-2</v>
      </c>
      <c r="E47" s="66">
        <v>48620</v>
      </c>
      <c r="F47" s="16">
        <f t="shared" si="2"/>
        <v>0.4</v>
      </c>
      <c r="G47" s="16">
        <f t="shared" si="3"/>
        <v>784.00627205017645</v>
      </c>
      <c r="H47" s="66">
        <v>319298</v>
      </c>
      <c r="I47" s="16">
        <f t="shared" si="4"/>
        <v>0.6</v>
      </c>
      <c r="J47" s="16">
        <f t="shared" si="5"/>
        <v>270.34820849253839</v>
      </c>
      <c r="K47" s="66">
        <v>219531</v>
      </c>
      <c r="L47" s="16">
        <f t="shared" si="6"/>
        <v>0</v>
      </c>
      <c r="M47" s="16">
        <f t="shared" si="7"/>
        <v>0</v>
      </c>
      <c r="N47" s="16">
        <v>0</v>
      </c>
      <c r="O47" s="16">
        <f t="shared" si="8"/>
        <v>0</v>
      </c>
      <c r="P47" s="16">
        <f t="shared" si="9"/>
        <v>0</v>
      </c>
      <c r="Q47" s="16">
        <v>0</v>
      </c>
      <c r="R47" s="16">
        <f t="shared" si="10"/>
        <v>0</v>
      </c>
      <c r="S47" s="16">
        <f t="shared" si="11"/>
        <v>0</v>
      </c>
    </row>
    <row r="48" spans="1:19" x14ac:dyDescent="0.3">
      <c r="A48" s="65">
        <v>20180308</v>
      </c>
      <c r="B48" s="65" t="s">
        <v>88</v>
      </c>
      <c r="C48" s="139">
        <f t="shared" si="0"/>
        <v>132597241.66828012</v>
      </c>
      <c r="D48" s="139">
        <f t="shared" si="1"/>
        <v>6.5551371435944708E-2</v>
      </c>
      <c r="E48" s="66">
        <v>49200</v>
      </c>
      <c r="F48" s="16">
        <f t="shared" si="2"/>
        <v>0.4</v>
      </c>
      <c r="G48" s="16">
        <f t="shared" si="3"/>
        <v>784.00627205017645</v>
      </c>
      <c r="H48" s="66">
        <v>347789</v>
      </c>
      <c r="I48" s="16">
        <f t="shared" si="4"/>
        <v>0.6</v>
      </c>
      <c r="J48" s="16">
        <f t="shared" si="5"/>
        <v>270.34820849253839</v>
      </c>
      <c r="K48" s="66">
        <v>229934</v>
      </c>
      <c r="L48" s="16">
        <f t="shared" si="6"/>
        <v>0</v>
      </c>
      <c r="M48" s="16">
        <f t="shared" si="7"/>
        <v>0</v>
      </c>
      <c r="N48" s="16">
        <v>0</v>
      </c>
      <c r="O48" s="16">
        <f t="shared" si="8"/>
        <v>0</v>
      </c>
      <c r="P48" s="16">
        <f t="shared" si="9"/>
        <v>0</v>
      </c>
      <c r="Q48" s="16">
        <v>0</v>
      </c>
      <c r="R48" s="16">
        <f t="shared" si="10"/>
        <v>0</v>
      </c>
      <c r="S48" s="16">
        <f t="shared" si="11"/>
        <v>0</v>
      </c>
    </row>
    <row r="49" spans="1:19" x14ac:dyDescent="0.3">
      <c r="A49" s="65">
        <v>20180309</v>
      </c>
      <c r="B49" s="65" t="s">
        <v>88</v>
      </c>
      <c r="C49" s="139">
        <f t="shared" si="0"/>
        <v>125583596.18776599</v>
      </c>
      <c r="D49" s="139">
        <f t="shared" si="1"/>
        <v>-5.2894354303841762E-2</v>
      </c>
      <c r="E49" s="66">
        <v>49740</v>
      </c>
      <c r="F49" s="16">
        <f t="shared" si="2"/>
        <v>0.4</v>
      </c>
      <c r="G49" s="16">
        <f t="shared" si="3"/>
        <v>784.00627205017645</v>
      </c>
      <c r="H49" s="66">
        <v>320280</v>
      </c>
      <c r="I49" s="16">
        <f t="shared" si="4"/>
        <v>0.6</v>
      </c>
      <c r="J49" s="16">
        <f t="shared" si="5"/>
        <v>270.34820849253839</v>
      </c>
      <c r="K49" s="66">
        <v>238668</v>
      </c>
      <c r="L49" s="16">
        <f t="shared" si="6"/>
        <v>0</v>
      </c>
      <c r="M49" s="16">
        <f t="shared" si="7"/>
        <v>0</v>
      </c>
      <c r="N49" s="16">
        <v>0</v>
      </c>
      <c r="O49" s="16">
        <f t="shared" si="8"/>
        <v>0</v>
      </c>
      <c r="P49" s="16">
        <f t="shared" si="9"/>
        <v>0</v>
      </c>
      <c r="Q49" s="16">
        <v>0</v>
      </c>
      <c r="R49" s="16">
        <f t="shared" si="10"/>
        <v>0</v>
      </c>
      <c r="S49" s="16">
        <f t="shared" si="11"/>
        <v>0</v>
      </c>
    </row>
    <row r="50" spans="1:19" x14ac:dyDescent="0.3">
      <c r="A50" s="65">
        <v>20180312</v>
      </c>
      <c r="B50" s="65" t="s">
        <v>88</v>
      </c>
      <c r="C50" s="139">
        <f t="shared" si="0"/>
        <v>124521127.72839031</v>
      </c>
      <c r="D50" s="139">
        <f t="shared" si="1"/>
        <v>-8.4602487237834187E-3</v>
      </c>
      <c r="E50" s="66">
        <v>49740</v>
      </c>
      <c r="F50" s="16">
        <f t="shared" si="2"/>
        <v>0.4</v>
      </c>
      <c r="G50" s="16">
        <f t="shared" si="3"/>
        <v>784.00627205017645</v>
      </c>
      <c r="H50" s="66">
        <v>316350</v>
      </c>
      <c r="I50" s="16">
        <f t="shared" si="4"/>
        <v>0.6</v>
      </c>
      <c r="J50" s="16">
        <f t="shared" si="5"/>
        <v>270.34820849253839</v>
      </c>
      <c r="K50" s="66">
        <v>250542</v>
      </c>
      <c r="L50" s="16">
        <f t="shared" si="6"/>
        <v>0</v>
      </c>
      <c r="M50" s="16">
        <f t="shared" si="7"/>
        <v>0</v>
      </c>
      <c r="N50" s="16">
        <v>0</v>
      </c>
      <c r="O50" s="16">
        <f t="shared" si="8"/>
        <v>0</v>
      </c>
      <c r="P50" s="16">
        <f t="shared" si="9"/>
        <v>0</v>
      </c>
      <c r="Q50" s="16">
        <v>0</v>
      </c>
      <c r="R50" s="16">
        <f t="shared" si="10"/>
        <v>0</v>
      </c>
      <c r="S50" s="16">
        <f t="shared" si="11"/>
        <v>0</v>
      </c>
    </row>
    <row r="51" spans="1:19" x14ac:dyDescent="0.3">
      <c r="A51" s="65">
        <v>20180313</v>
      </c>
      <c r="B51" s="65" t="s">
        <v>88</v>
      </c>
      <c r="C51" s="139">
        <f t="shared" si="0"/>
        <v>123104766.68154778</v>
      </c>
      <c r="D51" s="139">
        <f t="shared" si="1"/>
        <v>-1.1374463696891221E-2</v>
      </c>
      <c r="E51" s="66">
        <v>51660</v>
      </c>
      <c r="F51" s="16">
        <f t="shared" si="2"/>
        <v>0.4</v>
      </c>
      <c r="G51" s="16">
        <f t="shared" si="3"/>
        <v>784.00627205017645</v>
      </c>
      <c r="H51" s="66">
        <v>305543</v>
      </c>
      <c r="I51" s="16">
        <f t="shared" si="4"/>
        <v>0.6</v>
      </c>
      <c r="J51" s="16">
        <f t="shared" si="5"/>
        <v>270.34820849253839</v>
      </c>
      <c r="K51" s="66">
        <v>251229</v>
      </c>
      <c r="L51" s="16">
        <f t="shared" si="6"/>
        <v>0</v>
      </c>
      <c r="M51" s="16">
        <f t="shared" si="7"/>
        <v>0</v>
      </c>
      <c r="N51" s="16">
        <v>0</v>
      </c>
      <c r="O51" s="16">
        <f t="shared" si="8"/>
        <v>0</v>
      </c>
      <c r="P51" s="16">
        <f t="shared" si="9"/>
        <v>0</v>
      </c>
      <c r="Q51" s="16">
        <v>0</v>
      </c>
      <c r="R51" s="16">
        <f t="shared" si="10"/>
        <v>0</v>
      </c>
      <c r="S51" s="16">
        <f t="shared" si="11"/>
        <v>0</v>
      </c>
    </row>
    <row r="52" spans="1:19" x14ac:dyDescent="0.3">
      <c r="A52" s="65">
        <v>20180314</v>
      </c>
      <c r="B52" s="65" t="s">
        <v>88</v>
      </c>
      <c r="C52" s="139">
        <f t="shared" si="0"/>
        <v>121987957.87900728</v>
      </c>
      <c r="D52" s="139">
        <f t="shared" si="1"/>
        <v>-9.0720191642091382E-3</v>
      </c>
      <c r="E52" s="66">
        <v>51760</v>
      </c>
      <c r="F52" s="16">
        <f t="shared" si="2"/>
        <v>0.4</v>
      </c>
      <c r="G52" s="16">
        <f t="shared" si="3"/>
        <v>784.00627205017645</v>
      </c>
      <c r="H52" s="66">
        <v>301122</v>
      </c>
      <c r="I52" s="16">
        <f t="shared" si="4"/>
        <v>0.6</v>
      </c>
      <c r="J52" s="16">
        <f t="shared" si="5"/>
        <v>270.34820849253839</v>
      </c>
      <c r="K52" s="66">
        <v>238962</v>
      </c>
      <c r="L52" s="16">
        <f t="shared" si="6"/>
        <v>0</v>
      </c>
      <c r="M52" s="16">
        <f t="shared" si="7"/>
        <v>0</v>
      </c>
      <c r="N52" s="16">
        <v>0</v>
      </c>
      <c r="O52" s="16">
        <f t="shared" si="8"/>
        <v>0</v>
      </c>
      <c r="P52" s="16">
        <f t="shared" si="9"/>
        <v>0</v>
      </c>
      <c r="Q52" s="16">
        <v>0</v>
      </c>
      <c r="R52" s="16">
        <f t="shared" si="10"/>
        <v>0</v>
      </c>
      <c r="S52" s="16">
        <f t="shared" si="11"/>
        <v>0</v>
      </c>
    </row>
    <row r="53" spans="1:19" x14ac:dyDescent="0.3">
      <c r="A53" s="65">
        <v>20180315</v>
      </c>
      <c r="B53" s="65" t="s">
        <v>88</v>
      </c>
      <c r="C53" s="139">
        <f t="shared" si="0"/>
        <v>126065350.33665895</v>
      </c>
      <c r="D53" s="139">
        <f t="shared" si="1"/>
        <v>3.342454885338602E-2</v>
      </c>
      <c r="E53" s="66">
        <v>51540</v>
      </c>
      <c r="F53" s="16">
        <f t="shared" si="2"/>
        <v>0.4</v>
      </c>
      <c r="G53" s="16">
        <f t="shared" si="3"/>
        <v>784.00627205017645</v>
      </c>
      <c r="H53" s="66">
        <v>316842</v>
      </c>
      <c r="I53" s="16">
        <f t="shared" si="4"/>
        <v>0.6</v>
      </c>
      <c r="J53" s="16">
        <f t="shared" si="5"/>
        <v>270.34820849253839</v>
      </c>
      <c r="K53" s="66">
        <v>235527</v>
      </c>
      <c r="L53" s="16">
        <f t="shared" si="6"/>
        <v>0</v>
      </c>
      <c r="M53" s="16">
        <f t="shared" si="7"/>
        <v>0</v>
      </c>
      <c r="N53" s="16">
        <v>0</v>
      </c>
      <c r="O53" s="16">
        <f t="shared" si="8"/>
        <v>0</v>
      </c>
      <c r="P53" s="16">
        <f t="shared" si="9"/>
        <v>0</v>
      </c>
      <c r="Q53" s="16">
        <v>0</v>
      </c>
      <c r="R53" s="16">
        <f t="shared" si="10"/>
        <v>0</v>
      </c>
      <c r="S53" s="16">
        <f t="shared" si="11"/>
        <v>0</v>
      </c>
    </row>
    <row r="54" spans="1:19" x14ac:dyDescent="0.3">
      <c r="A54" s="65">
        <v>20180316</v>
      </c>
      <c r="B54" s="65" t="s">
        <v>88</v>
      </c>
      <c r="C54" s="139">
        <f t="shared" si="0"/>
        <v>126149970.73894837</v>
      </c>
      <c r="D54" s="139">
        <f t="shared" si="1"/>
        <v>6.7124235218829454E-4</v>
      </c>
      <c r="E54" s="66">
        <v>51140</v>
      </c>
      <c r="F54" s="16">
        <f t="shared" si="2"/>
        <v>0.4</v>
      </c>
      <c r="G54" s="16">
        <f t="shared" si="3"/>
        <v>784.00627205017645</v>
      </c>
      <c r="H54" s="66">
        <v>318315</v>
      </c>
      <c r="I54" s="16">
        <f t="shared" si="4"/>
        <v>0.6</v>
      </c>
      <c r="J54" s="16">
        <f t="shared" si="5"/>
        <v>270.34820849253839</v>
      </c>
      <c r="K54" s="66">
        <v>236509</v>
      </c>
      <c r="L54" s="16">
        <f t="shared" si="6"/>
        <v>0</v>
      </c>
      <c r="M54" s="16">
        <f t="shared" si="7"/>
        <v>0</v>
      </c>
      <c r="N54" s="16">
        <v>0</v>
      </c>
      <c r="O54" s="16">
        <f t="shared" si="8"/>
        <v>0</v>
      </c>
      <c r="P54" s="16">
        <f t="shared" si="9"/>
        <v>0</v>
      </c>
      <c r="Q54" s="16">
        <v>0</v>
      </c>
      <c r="R54" s="16">
        <f t="shared" si="10"/>
        <v>0</v>
      </c>
      <c r="S54" s="16">
        <f t="shared" si="11"/>
        <v>0</v>
      </c>
    </row>
    <row r="55" spans="1:19" x14ac:dyDescent="0.3">
      <c r="A55" s="65">
        <v>20180319</v>
      </c>
      <c r="B55" s="65" t="s">
        <v>88</v>
      </c>
      <c r="C55" s="139">
        <f t="shared" si="0"/>
        <v>124508417.83001295</v>
      </c>
      <c r="D55" s="139">
        <f t="shared" si="1"/>
        <v>-1.301270939120879E-2</v>
      </c>
      <c r="E55" s="66">
        <v>50740</v>
      </c>
      <c r="F55" s="16">
        <f t="shared" si="2"/>
        <v>0.4</v>
      </c>
      <c r="G55" s="16">
        <f t="shared" si="3"/>
        <v>784.00627205017645</v>
      </c>
      <c r="H55" s="66">
        <v>313403</v>
      </c>
      <c r="I55" s="16">
        <f t="shared" si="4"/>
        <v>0.6</v>
      </c>
      <c r="J55" s="16">
        <f t="shared" si="5"/>
        <v>270.34820849253839</v>
      </c>
      <c r="K55" s="66">
        <v>228658</v>
      </c>
      <c r="L55" s="16">
        <f t="shared" si="6"/>
        <v>0</v>
      </c>
      <c r="M55" s="16">
        <f t="shared" si="7"/>
        <v>0</v>
      </c>
      <c r="N55" s="16">
        <v>0</v>
      </c>
      <c r="O55" s="16">
        <f t="shared" si="8"/>
        <v>0</v>
      </c>
      <c r="P55" s="16">
        <f t="shared" si="9"/>
        <v>0</v>
      </c>
      <c r="Q55" s="16">
        <v>0</v>
      </c>
      <c r="R55" s="16">
        <f t="shared" si="10"/>
        <v>0</v>
      </c>
      <c r="S55" s="16">
        <f t="shared" si="11"/>
        <v>0</v>
      </c>
    </row>
    <row r="56" spans="1:19" x14ac:dyDescent="0.3">
      <c r="A56" s="65">
        <v>20180320</v>
      </c>
      <c r="B56" s="65" t="s">
        <v>88</v>
      </c>
      <c r="C56" s="139">
        <f t="shared" si="0"/>
        <v>125798788.20416188</v>
      </c>
      <c r="D56" s="139">
        <f t="shared" si="1"/>
        <v>1.0363719952739527E-2</v>
      </c>
      <c r="E56" s="66">
        <v>51200</v>
      </c>
      <c r="F56" s="16">
        <f t="shared" si="2"/>
        <v>0.4</v>
      </c>
      <c r="G56" s="16">
        <f t="shared" si="3"/>
        <v>784.00627205017645</v>
      </c>
      <c r="H56" s="66">
        <v>316842</v>
      </c>
      <c r="I56" s="16">
        <f t="shared" si="4"/>
        <v>0.6</v>
      </c>
      <c r="J56" s="16">
        <f t="shared" si="5"/>
        <v>270.34820849253839</v>
      </c>
      <c r="K56" s="66">
        <v>236116</v>
      </c>
      <c r="L56" s="16">
        <f t="shared" si="6"/>
        <v>0</v>
      </c>
      <c r="M56" s="16">
        <f t="shared" si="7"/>
        <v>0</v>
      </c>
      <c r="N56" s="16">
        <v>0</v>
      </c>
      <c r="O56" s="16">
        <f t="shared" si="8"/>
        <v>0</v>
      </c>
      <c r="P56" s="16">
        <f t="shared" si="9"/>
        <v>0</v>
      </c>
      <c r="Q56" s="16">
        <v>0</v>
      </c>
      <c r="R56" s="16">
        <f t="shared" si="10"/>
        <v>0</v>
      </c>
      <c r="S56" s="16">
        <f t="shared" si="11"/>
        <v>0</v>
      </c>
    </row>
    <row r="57" spans="1:19" x14ac:dyDescent="0.3">
      <c r="A57" s="65">
        <v>20180321</v>
      </c>
      <c r="B57" s="65" t="s">
        <v>88</v>
      </c>
      <c r="C57" s="139">
        <f t="shared" si="0"/>
        <v>122767374.23689601</v>
      </c>
      <c r="D57" s="139">
        <f t="shared" si="1"/>
        <v>-2.4097322482519619E-2</v>
      </c>
      <c r="E57" s="66">
        <v>51060</v>
      </c>
      <c r="F57" s="16">
        <f t="shared" si="2"/>
        <v>0.4</v>
      </c>
      <c r="G57" s="16">
        <f t="shared" si="3"/>
        <v>784.00627205017645</v>
      </c>
      <c r="H57" s="66">
        <v>306035</v>
      </c>
      <c r="I57" s="16">
        <f t="shared" si="4"/>
        <v>0.6</v>
      </c>
      <c r="J57" s="16">
        <f t="shared" si="5"/>
        <v>270.34820849253839</v>
      </c>
      <c r="K57" s="66">
        <v>236509</v>
      </c>
      <c r="L57" s="16">
        <f t="shared" si="6"/>
        <v>0</v>
      </c>
      <c r="M57" s="16">
        <f t="shared" si="7"/>
        <v>0</v>
      </c>
      <c r="N57" s="16">
        <v>0</v>
      </c>
      <c r="O57" s="16">
        <f t="shared" si="8"/>
        <v>0</v>
      </c>
      <c r="P57" s="16">
        <f t="shared" si="9"/>
        <v>0</v>
      </c>
      <c r="Q57" s="16">
        <v>0</v>
      </c>
      <c r="R57" s="16">
        <f t="shared" si="10"/>
        <v>0</v>
      </c>
      <c r="S57" s="16">
        <f t="shared" si="11"/>
        <v>0</v>
      </c>
    </row>
    <row r="58" spans="1:19" x14ac:dyDescent="0.3">
      <c r="A58" s="65">
        <v>20180322</v>
      </c>
      <c r="B58" s="65" t="s">
        <v>88</v>
      </c>
      <c r="C58" s="139">
        <f t="shared" si="0"/>
        <v>123066106.46382394</v>
      </c>
      <c r="D58" s="139">
        <f t="shared" si="1"/>
        <v>2.4333193471377211E-3</v>
      </c>
      <c r="E58" s="66">
        <v>51780</v>
      </c>
      <c r="F58" s="16">
        <f t="shared" si="2"/>
        <v>0.4</v>
      </c>
      <c r="G58" s="16">
        <f t="shared" si="3"/>
        <v>784.00627205017645</v>
      </c>
      <c r="H58" s="66">
        <v>305052</v>
      </c>
      <c r="I58" s="16">
        <f t="shared" si="4"/>
        <v>0.6</v>
      </c>
      <c r="J58" s="16">
        <f t="shared" si="5"/>
        <v>270.34820849253839</v>
      </c>
      <c r="K58" s="66">
        <v>223653</v>
      </c>
      <c r="L58" s="16">
        <f t="shared" si="6"/>
        <v>0</v>
      </c>
      <c r="M58" s="16">
        <f t="shared" si="7"/>
        <v>0</v>
      </c>
      <c r="N58" s="16">
        <v>0</v>
      </c>
      <c r="O58" s="16">
        <f t="shared" si="8"/>
        <v>0</v>
      </c>
      <c r="P58" s="16">
        <f t="shared" si="9"/>
        <v>0</v>
      </c>
      <c r="Q58" s="16">
        <v>0</v>
      </c>
      <c r="R58" s="16">
        <f t="shared" si="10"/>
        <v>0</v>
      </c>
      <c r="S58" s="16">
        <f t="shared" si="11"/>
        <v>0</v>
      </c>
    </row>
    <row r="59" spans="1:19" x14ac:dyDescent="0.3">
      <c r="A59" s="65">
        <v>20180323</v>
      </c>
      <c r="B59" s="65" t="s">
        <v>88</v>
      </c>
      <c r="C59" s="139">
        <f t="shared" si="0"/>
        <v>118662141.42459157</v>
      </c>
      <c r="D59" s="139">
        <f t="shared" si="1"/>
        <v>-3.5785360939544687E-2</v>
      </c>
      <c r="E59" s="66">
        <v>49720</v>
      </c>
      <c r="F59" s="16">
        <f t="shared" si="2"/>
        <v>0.4</v>
      </c>
      <c r="G59" s="16">
        <f t="shared" si="3"/>
        <v>784.00627205017645</v>
      </c>
      <c r="H59" s="66">
        <v>294736</v>
      </c>
      <c r="I59" s="16">
        <f t="shared" si="4"/>
        <v>0.6</v>
      </c>
      <c r="J59" s="16">
        <f t="shared" si="5"/>
        <v>270.34820849253839</v>
      </c>
      <c r="K59" s="66">
        <v>197745</v>
      </c>
      <c r="L59" s="16">
        <f t="shared" si="6"/>
        <v>0</v>
      </c>
      <c r="M59" s="16">
        <f t="shared" si="7"/>
        <v>0</v>
      </c>
      <c r="N59" s="16">
        <v>0</v>
      </c>
      <c r="O59" s="16">
        <f t="shared" si="8"/>
        <v>0</v>
      </c>
      <c r="P59" s="16">
        <f t="shared" si="9"/>
        <v>0</v>
      </c>
      <c r="Q59" s="16">
        <v>0</v>
      </c>
      <c r="R59" s="16">
        <f t="shared" si="10"/>
        <v>0</v>
      </c>
      <c r="S59" s="16">
        <f t="shared" si="11"/>
        <v>0</v>
      </c>
    </row>
    <row r="60" spans="1:19" x14ac:dyDescent="0.3">
      <c r="A60" s="65">
        <v>20180326</v>
      </c>
      <c r="B60" s="65" t="s">
        <v>88</v>
      </c>
      <c r="C60" s="139">
        <f t="shared" si="0"/>
        <v>119101184.93693967</v>
      </c>
      <c r="D60" s="139">
        <f t="shared" si="1"/>
        <v>3.699945973308662E-3</v>
      </c>
      <c r="E60" s="66">
        <v>50280</v>
      </c>
      <c r="F60" s="16">
        <f t="shared" si="2"/>
        <v>0.4</v>
      </c>
      <c r="G60" s="16">
        <f t="shared" si="3"/>
        <v>784.00627205017645</v>
      </c>
      <c r="H60" s="66">
        <v>294736</v>
      </c>
      <c r="I60" s="16">
        <f t="shared" si="4"/>
        <v>0.6</v>
      </c>
      <c r="J60" s="16">
        <f t="shared" si="5"/>
        <v>270.34820849253839</v>
      </c>
      <c r="K60" s="66">
        <v>204713</v>
      </c>
      <c r="L60" s="16">
        <f t="shared" si="6"/>
        <v>0</v>
      </c>
      <c r="M60" s="16">
        <f t="shared" si="7"/>
        <v>0</v>
      </c>
      <c r="N60" s="16">
        <v>0</v>
      </c>
      <c r="O60" s="16">
        <f t="shared" si="8"/>
        <v>0</v>
      </c>
      <c r="P60" s="16">
        <f t="shared" si="9"/>
        <v>0</v>
      </c>
      <c r="Q60" s="16">
        <v>0</v>
      </c>
      <c r="R60" s="16">
        <f t="shared" si="10"/>
        <v>0</v>
      </c>
      <c r="S60" s="16">
        <f t="shared" si="11"/>
        <v>0</v>
      </c>
    </row>
    <row r="61" spans="1:19" x14ac:dyDescent="0.3">
      <c r="A61" s="65">
        <v>20180327</v>
      </c>
      <c r="B61" s="65" t="s">
        <v>88</v>
      </c>
      <c r="C61" s="139">
        <f t="shared" si="0"/>
        <v>118069266.88489711</v>
      </c>
      <c r="D61" s="139">
        <f t="shared" si="1"/>
        <v>-8.6642131443858163E-3</v>
      </c>
      <c r="E61" s="66">
        <v>49980</v>
      </c>
      <c r="F61" s="16">
        <f t="shared" si="2"/>
        <v>0.4</v>
      </c>
      <c r="G61" s="16">
        <f t="shared" si="3"/>
        <v>784.00627205017645</v>
      </c>
      <c r="H61" s="66">
        <v>291789</v>
      </c>
      <c r="I61" s="16">
        <f t="shared" si="4"/>
        <v>0.6</v>
      </c>
      <c r="J61" s="16">
        <f t="shared" si="5"/>
        <v>270.34820849253839</v>
      </c>
      <c r="K61" s="66">
        <v>209129</v>
      </c>
      <c r="L61" s="16">
        <f t="shared" si="6"/>
        <v>0</v>
      </c>
      <c r="M61" s="16">
        <f t="shared" si="7"/>
        <v>0</v>
      </c>
      <c r="N61" s="16">
        <v>0</v>
      </c>
      <c r="O61" s="16">
        <f t="shared" si="8"/>
        <v>0</v>
      </c>
      <c r="P61" s="16">
        <f t="shared" si="9"/>
        <v>0</v>
      </c>
      <c r="Q61" s="16">
        <v>0</v>
      </c>
      <c r="R61" s="16">
        <f t="shared" si="10"/>
        <v>0</v>
      </c>
      <c r="S61" s="16">
        <f t="shared" si="11"/>
        <v>0</v>
      </c>
    </row>
    <row r="62" spans="1:19" x14ac:dyDescent="0.3">
      <c r="A62" s="65">
        <v>20180328</v>
      </c>
      <c r="B62" s="65" t="s">
        <v>88</v>
      </c>
      <c r="C62" s="139">
        <f t="shared" si="0"/>
        <v>115073813.25649986</v>
      </c>
      <c r="D62" s="139">
        <f t="shared" si="1"/>
        <v>-2.5370307679791489E-2</v>
      </c>
      <c r="E62" s="66">
        <v>48700</v>
      </c>
      <c r="F62" s="16">
        <f t="shared" si="2"/>
        <v>0.4</v>
      </c>
      <c r="G62" s="16">
        <f t="shared" si="3"/>
        <v>784.00627205017645</v>
      </c>
      <c r="H62" s="66">
        <v>284421</v>
      </c>
      <c r="I62" s="16">
        <f t="shared" si="4"/>
        <v>0.6</v>
      </c>
      <c r="J62" s="16">
        <f t="shared" si="5"/>
        <v>270.34820849253839</v>
      </c>
      <c r="K62" s="66">
        <v>208049</v>
      </c>
      <c r="L62" s="16">
        <f t="shared" si="6"/>
        <v>0</v>
      </c>
      <c r="M62" s="16">
        <f t="shared" si="7"/>
        <v>0</v>
      </c>
      <c r="N62" s="16">
        <v>0</v>
      </c>
      <c r="O62" s="16">
        <f t="shared" si="8"/>
        <v>0</v>
      </c>
      <c r="P62" s="16">
        <f t="shared" si="9"/>
        <v>0</v>
      </c>
      <c r="Q62" s="16">
        <v>0</v>
      </c>
      <c r="R62" s="16">
        <f t="shared" si="10"/>
        <v>0</v>
      </c>
      <c r="S62" s="16">
        <f t="shared" si="11"/>
        <v>0</v>
      </c>
    </row>
    <row r="63" spans="1:19" x14ac:dyDescent="0.3">
      <c r="A63" s="65">
        <v>20180329</v>
      </c>
      <c r="B63" s="65" t="s">
        <v>88</v>
      </c>
      <c r="C63" s="139">
        <f t="shared" si="0"/>
        <v>122644372.93783982</v>
      </c>
      <c r="D63" s="139">
        <f t="shared" si="1"/>
        <v>6.5788726966622413E-2</v>
      </c>
      <c r="E63" s="66">
        <v>49040</v>
      </c>
      <c r="F63" s="16">
        <f t="shared" si="2"/>
        <v>0.4</v>
      </c>
      <c r="G63" s="16">
        <f t="shared" si="3"/>
        <v>784.00627205017645</v>
      </c>
      <c r="H63" s="66">
        <v>311438</v>
      </c>
      <c r="I63" s="16">
        <f t="shared" si="4"/>
        <v>0.6</v>
      </c>
      <c r="J63" s="16">
        <f t="shared" si="5"/>
        <v>270.34820849253839</v>
      </c>
      <c r="K63" s="66">
        <v>216881</v>
      </c>
      <c r="L63" s="16">
        <f t="shared" si="6"/>
        <v>0</v>
      </c>
      <c r="M63" s="16">
        <f t="shared" si="7"/>
        <v>0</v>
      </c>
      <c r="N63" s="16">
        <v>0</v>
      </c>
      <c r="O63" s="16">
        <f t="shared" si="8"/>
        <v>0</v>
      </c>
      <c r="P63" s="16">
        <f t="shared" si="9"/>
        <v>0</v>
      </c>
      <c r="Q63" s="16">
        <v>0</v>
      </c>
      <c r="R63" s="16">
        <f t="shared" si="10"/>
        <v>0</v>
      </c>
      <c r="S63" s="16">
        <f t="shared" si="11"/>
        <v>0</v>
      </c>
    </row>
    <row r="64" spans="1:19" x14ac:dyDescent="0.3">
      <c r="A64" s="65">
        <v>20180330</v>
      </c>
      <c r="B64" s="65" t="s">
        <v>88</v>
      </c>
      <c r="C64" s="139">
        <f t="shared" si="0"/>
        <v>120793568.46663584</v>
      </c>
      <c r="D64" s="139">
        <f t="shared" si="1"/>
        <v>-1.5090822569919544E-2</v>
      </c>
      <c r="E64" s="66">
        <v>49220</v>
      </c>
      <c r="F64" s="16">
        <f t="shared" si="2"/>
        <v>0.4</v>
      </c>
      <c r="G64" s="16">
        <f t="shared" si="3"/>
        <v>784.00627205017645</v>
      </c>
      <c r="H64" s="66">
        <v>304070</v>
      </c>
      <c r="I64" s="16">
        <f t="shared" si="4"/>
        <v>0.6</v>
      </c>
      <c r="J64" s="16">
        <f t="shared" si="5"/>
        <v>270.34820849253839</v>
      </c>
      <c r="K64" s="66">
        <v>220709</v>
      </c>
      <c r="L64" s="16">
        <f t="shared" si="6"/>
        <v>0</v>
      </c>
      <c r="M64" s="16">
        <f t="shared" si="7"/>
        <v>0</v>
      </c>
      <c r="N64" s="16">
        <v>0</v>
      </c>
      <c r="O64" s="16">
        <f t="shared" si="8"/>
        <v>0</v>
      </c>
      <c r="P64" s="16">
        <f t="shared" si="9"/>
        <v>0</v>
      </c>
      <c r="Q64" s="16">
        <v>0</v>
      </c>
      <c r="R64" s="16">
        <f t="shared" si="10"/>
        <v>0</v>
      </c>
      <c r="S64" s="16">
        <f t="shared" si="11"/>
        <v>0</v>
      </c>
    </row>
    <row r="65" spans="1:19" x14ac:dyDescent="0.3">
      <c r="A65" s="65">
        <v>20180402</v>
      </c>
      <c r="B65" s="65" t="s">
        <v>88</v>
      </c>
      <c r="C65" s="139">
        <f t="shared" si="0"/>
        <v>118799482.48294804</v>
      </c>
      <c r="D65" s="139">
        <f t="shared" si="1"/>
        <v>-1.6508213218641567E-2</v>
      </c>
      <c r="E65" s="66">
        <v>48540</v>
      </c>
      <c r="F65" s="16">
        <f t="shared" si="2"/>
        <v>0.4</v>
      </c>
      <c r="G65" s="16">
        <f t="shared" si="3"/>
        <v>784.00627205017645</v>
      </c>
      <c r="H65" s="66">
        <v>298666</v>
      </c>
      <c r="I65" s="16">
        <f t="shared" si="4"/>
        <v>0.6</v>
      </c>
      <c r="J65" s="16">
        <f t="shared" si="5"/>
        <v>270.34820849253839</v>
      </c>
      <c r="K65" s="66">
        <v>219826</v>
      </c>
      <c r="L65" s="16">
        <f t="shared" si="6"/>
        <v>0</v>
      </c>
      <c r="M65" s="16">
        <f t="shared" si="7"/>
        <v>0</v>
      </c>
      <c r="N65" s="16">
        <v>0</v>
      </c>
      <c r="O65" s="16">
        <f t="shared" si="8"/>
        <v>0</v>
      </c>
      <c r="P65" s="16">
        <f t="shared" si="9"/>
        <v>0</v>
      </c>
      <c r="Q65" s="16">
        <v>0</v>
      </c>
      <c r="R65" s="16">
        <f t="shared" si="10"/>
        <v>0</v>
      </c>
      <c r="S65" s="16">
        <f t="shared" si="11"/>
        <v>0</v>
      </c>
    </row>
    <row r="66" spans="1:19" x14ac:dyDescent="0.3">
      <c r="A66" s="65">
        <v>20180403</v>
      </c>
      <c r="B66" s="65" t="s">
        <v>88</v>
      </c>
      <c r="C66" s="139">
        <f t="shared" si="0"/>
        <v>117142249.44857162</v>
      </c>
      <c r="D66" s="139">
        <f t="shared" si="1"/>
        <v>-1.3949833784960172E-2</v>
      </c>
      <c r="E66" s="66">
        <v>48120</v>
      </c>
      <c r="F66" s="16">
        <f t="shared" si="2"/>
        <v>0.4</v>
      </c>
      <c r="G66" s="16">
        <f t="shared" si="3"/>
        <v>784.00627205017645</v>
      </c>
      <c r="H66" s="66">
        <v>293754</v>
      </c>
      <c r="I66" s="16">
        <f t="shared" si="4"/>
        <v>0.6</v>
      </c>
      <c r="J66" s="16">
        <f t="shared" si="5"/>
        <v>270.34820849253839</v>
      </c>
      <c r="K66" s="66">
        <v>232878</v>
      </c>
      <c r="L66" s="16">
        <f t="shared" si="6"/>
        <v>0</v>
      </c>
      <c r="M66" s="16">
        <f t="shared" si="7"/>
        <v>0</v>
      </c>
      <c r="N66" s="16">
        <v>0</v>
      </c>
      <c r="O66" s="16">
        <f t="shared" si="8"/>
        <v>0</v>
      </c>
      <c r="P66" s="16">
        <f t="shared" si="9"/>
        <v>0</v>
      </c>
      <c r="Q66" s="16">
        <v>0</v>
      </c>
      <c r="R66" s="16">
        <f t="shared" si="10"/>
        <v>0</v>
      </c>
      <c r="S66" s="16">
        <f t="shared" si="11"/>
        <v>0</v>
      </c>
    </row>
    <row r="67" spans="1:19" x14ac:dyDescent="0.3">
      <c r="A67" s="65">
        <v>20180404</v>
      </c>
      <c r="B67" s="65" t="s">
        <v>88</v>
      </c>
      <c r="C67" s="139">
        <f t="shared" si="0"/>
        <v>114873491.52199605</v>
      </c>
      <c r="D67" s="139">
        <f t="shared" si="1"/>
        <v>-1.9367546186413405E-2</v>
      </c>
      <c r="E67" s="66">
        <v>46920</v>
      </c>
      <c r="F67" s="16">
        <f t="shared" si="2"/>
        <v>0.4</v>
      </c>
      <c r="G67" s="16">
        <f t="shared" si="3"/>
        <v>784.00627205017645</v>
      </c>
      <c r="H67" s="66">
        <v>288842</v>
      </c>
      <c r="I67" s="16">
        <f t="shared" si="4"/>
        <v>0.6</v>
      </c>
      <c r="J67" s="16">
        <f t="shared" si="5"/>
        <v>270.34820849253839</v>
      </c>
      <c r="K67" s="66">
        <v>237098</v>
      </c>
      <c r="L67" s="16">
        <f t="shared" si="6"/>
        <v>0</v>
      </c>
      <c r="M67" s="16">
        <f t="shared" si="7"/>
        <v>0</v>
      </c>
      <c r="N67" s="16">
        <v>0</v>
      </c>
      <c r="O67" s="16">
        <f t="shared" si="8"/>
        <v>0</v>
      </c>
      <c r="P67" s="16">
        <f t="shared" si="9"/>
        <v>0</v>
      </c>
      <c r="Q67" s="16">
        <v>0</v>
      </c>
      <c r="R67" s="16">
        <f t="shared" si="10"/>
        <v>0</v>
      </c>
      <c r="S67" s="16">
        <f t="shared" si="11"/>
        <v>0</v>
      </c>
    </row>
    <row r="68" spans="1:19" x14ac:dyDescent="0.3">
      <c r="A68" s="65">
        <v>20180405</v>
      </c>
      <c r="B68" s="65" t="s">
        <v>88</v>
      </c>
      <c r="C68" s="139">
        <f t="shared" si="0"/>
        <v>116565864.87786704</v>
      </c>
      <c r="D68" s="139">
        <f t="shared" si="1"/>
        <v>1.4732496883730005E-2</v>
      </c>
      <c r="E68" s="66">
        <v>48740</v>
      </c>
      <c r="F68" s="16">
        <f t="shared" si="2"/>
        <v>0.4</v>
      </c>
      <c r="G68" s="16">
        <f t="shared" si="3"/>
        <v>784.00627205017645</v>
      </c>
      <c r="H68" s="66">
        <v>289824</v>
      </c>
      <c r="I68" s="16">
        <f t="shared" si="4"/>
        <v>0.6</v>
      </c>
      <c r="J68" s="16">
        <f t="shared" si="5"/>
        <v>270.34820849253839</v>
      </c>
      <c r="K68" s="66">
        <v>235920</v>
      </c>
      <c r="L68" s="16">
        <f t="shared" si="6"/>
        <v>0</v>
      </c>
      <c r="M68" s="16">
        <f t="shared" si="7"/>
        <v>0</v>
      </c>
      <c r="N68" s="16">
        <v>0</v>
      </c>
      <c r="O68" s="16">
        <f t="shared" si="8"/>
        <v>0</v>
      </c>
      <c r="P68" s="16">
        <f t="shared" si="9"/>
        <v>0</v>
      </c>
      <c r="Q68" s="16">
        <v>0</v>
      </c>
      <c r="R68" s="16">
        <f t="shared" si="10"/>
        <v>0</v>
      </c>
      <c r="S68" s="16">
        <f t="shared" si="11"/>
        <v>0</v>
      </c>
    </row>
    <row r="69" spans="1:19" x14ac:dyDescent="0.3">
      <c r="A69" s="65">
        <v>20180406</v>
      </c>
      <c r="B69" s="65" t="s">
        <v>88</v>
      </c>
      <c r="C69" s="139">
        <f t="shared" ref="C69:C132" si="12">E69*G69+H69*J69+K69*M69+N69*P69+Q69*S69</f>
        <v>115502586.57494247</v>
      </c>
      <c r="D69" s="139">
        <f t="shared" si="1"/>
        <v>-9.121695309674346E-3</v>
      </c>
      <c r="E69" s="66">
        <v>48400</v>
      </c>
      <c r="F69" s="16">
        <f t="shared" si="2"/>
        <v>0.4</v>
      </c>
      <c r="G69" s="16">
        <f t="shared" si="3"/>
        <v>784.00627205017645</v>
      </c>
      <c r="H69" s="66">
        <v>286877</v>
      </c>
      <c r="I69" s="16">
        <f t="shared" si="4"/>
        <v>0.6</v>
      </c>
      <c r="J69" s="16">
        <f t="shared" si="5"/>
        <v>270.34820849253839</v>
      </c>
      <c r="K69" s="66">
        <v>237098</v>
      </c>
      <c r="L69" s="16">
        <f t="shared" si="6"/>
        <v>0</v>
      </c>
      <c r="M69" s="16">
        <f t="shared" si="7"/>
        <v>0</v>
      </c>
      <c r="N69" s="16">
        <v>0</v>
      </c>
      <c r="O69" s="16">
        <f t="shared" si="8"/>
        <v>0</v>
      </c>
      <c r="P69" s="16">
        <f t="shared" si="9"/>
        <v>0</v>
      </c>
      <c r="Q69" s="16">
        <v>0</v>
      </c>
      <c r="R69" s="16">
        <f t="shared" si="10"/>
        <v>0</v>
      </c>
      <c r="S69" s="16">
        <f t="shared" si="11"/>
        <v>0</v>
      </c>
    </row>
    <row r="70" spans="1:19" x14ac:dyDescent="0.3">
      <c r="A70" s="65">
        <v>20180409</v>
      </c>
      <c r="B70" s="65" t="s">
        <v>88</v>
      </c>
      <c r="C70" s="139">
        <f t="shared" si="12"/>
        <v>119848160.85218899</v>
      </c>
      <c r="D70" s="139">
        <f t="shared" ref="D70:D133" si="13">(C70-C69)/C69</f>
        <v>3.7623177160859042E-2</v>
      </c>
      <c r="E70" s="66">
        <v>49200</v>
      </c>
      <c r="F70" s="16">
        <f t="shared" ref="F70:F124" si="14">$F$4</f>
        <v>0.4</v>
      </c>
      <c r="G70" s="16">
        <f t="shared" ref="G70:G124" si="15">$G$4</f>
        <v>784.00627205017645</v>
      </c>
      <c r="H70" s="66">
        <v>300631</v>
      </c>
      <c r="I70" s="16">
        <f t="shared" ref="I70:I124" si="16">$I$4</f>
        <v>0.6</v>
      </c>
      <c r="J70" s="16">
        <f t="shared" ref="J70:J124" si="17">$J$4</f>
        <v>270.34820849253839</v>
      </c>
      <c r="K70" s="66">
        <v>250346</v>
      </c>
      <c r="L70" s="16">
        <f t="shared" ref="L70:L124" si="18">$L$4</f>
        <v>0</v>
      </c>
      <c r="M70" s="16">
        <f t="shared" ref="M70:M124" si="19">$M$4</f>
        <v>0</v>
      </c>
      <c r="N70" s="16">
        <v>0</v>
      </c>
      <c r="O70" s="16">
        <f t="shared" ref="O70:O124" si="20">$O$4</f>
        <v>0</v>
      </c>
      <c r="P70" s="16">
        <f t="shared" ref="P70:P124" si="21">$P$4</f>
        <v>0</v>
      </c>
      <c r="Q70" s="16">
        <v>0</v>
      </c>
      <c r="R70" s="16">
        <f t="shared" ref="R70:R124" si="22">$R$4</f>
        <v>0</v>
      </c>
      <c r="S70" s="16">
        <f t="shared" ref="S70:S124" si="23">$S$4</f>
        <v>0</v>
      </c>
    </row>
    <row r="71" spans="1:19" x14ac:dyDescent="0.3">
      <c r="A71" s="65">
        <v>20180410</v>
      </c>
      <c r="B71" s="65" t="s">
        <v>88</v>
      </c>
      <c r="C71" s="139">
        <f t="shared" si="12"/>
        <v>118800562.67470543</v>
      </c>
      <c r="D71" s="139">
        <f t="shared" si="13"/>
        <v>-8.7410450860032924E-3</v>
      </c>
      <c r="E71" s="66">
        <v>48880</v>
      </c>
      <c r="F71" s="16">
        <f t="shared" si="14"/>
        <v>0.4</v>
      </c>
      <c r="G71" s="16">
        <f t="shared" si="15"/>
        <v>784.00627205017645</v>
      </c>
      <c r="H71" s="66">
        <v>297684</v>
      </c>
      <c r="I71" s="16">
        <f t="shared" si="16"/>
        <v>0.6</v>
      </c>
      <c r="J71" s="16">
        <f t="shared" si="17"/>
        <v>270.34820849253839</v>
      </c>
      <c r="K71" s="66">
        <v>255351</v>
      </c>
      <c r="L71" s="16">
        <f t="shared" si="18"/>
        <v>0</v>
      </c>
      <c r="M71" s="16">
        <f t="shared" si="19"/>
        <v>0</v>
      </c>
      <c r="N71" s="16">
        <v>0</v>
      </c>
      <c r="O71" s="16">
        <f t="shared" si="20"/>
        <v>0</v>
      </c>
      <c r="P71" s="16">
        <f t="shared" si="21"/>
        <v>0</v>
      </c>
      <c r="Q71" s="16">
        <v>0</v>
      </c>
      <c r="R71" s="16">
        <f t="shared" si="22"/>
        <v>0</v>
      </c>
      <c r="S71" s="16">
        <f t="shared" si="23"/>
        <v>0</v>
      </c>
    </row>
    <row r="72" spans="1:19" x14ac:dyDescent="0.3">
      <c r="A72" s="65">
        <v>20180411</v>
      </c>
      <c r="B72" s="65" t="s">
        <v>88</v>
      </c>
      <c r="C72" s="139">
        <f t="shared" si="12"/>
        <v>117456661.80094057</v>
      </c>
      <c r="D72" s="139">
        <f t="shared" si="13"/>
        <v>-1.1312243338818764E-2</v>
      </c>
      <c r="E72" s="66">
        <v>48860</v>
      </c>
      <c r="F72" s="16">
        <f t="shared" si="14"/>
        <v>0.4</v>
      </c>
      <c r="G72" s="16">
        <f t="shared" si="15"/>
        <v>784.00627205017645</v>
      </c>
      <c r="H72" s="66">
        <v>292771</v>
      </c>
      <c r="I72" s="16">
        <f t="shared" si="16"/>
        <v>0.6</v>
      </c>
      <c r="J72" s="16">
        <f t="shared" si="17"/>
        <v>270.34820849253839</v>
      </c>
      <c r="K72" s="66">
        <v>251720</v>
      </c>
      <c r="L72" s="16">
        <f t="shared" si="18"/>
        <v>0</v>
      </c>
      <c r="M72" s="16">
        <f t="shared" si="19"/>
        <v>0</v>
      </c>
      <c r="N72" s="16">
        <v>0</v>
      </c>
      <c r="O72" s="16">
        <f t="shared" si="20"/>
        <v>0</v>
      </c>
      <c r="P72" s="16">
        <f t="shared" si="21"/>
        <v>0</v>
      </c>
      <c r="Q72" s="16">
        <v>0</v>
      </c>
      <c r="R72" s="16">
        <f t="shared" si="22"/>
        <v>0</v>
      </c>
      <c r="S72" s="16">
        <f t="shared" si="23"/>
        <v>0</v>
      </c>
    </row>
    <row r="73" spans="1:19" x14ac:dyDescent="0.3">
      <c r="A73" s="65">
        <v>20180412</v>
      </c>
      <c r="B73" s="65" t="s">
        <v>88</v>
      </c>
      <c r="C73" s="139">
        <f t="shared" si="12"/>
        <v>117699433.99760592</v>
      </c>
      <c r="D73" s="139">
        <f t="shared" si="13"/>
        <v>2.0669087043933216E-3</v>
      </c>
      <c r="E73" s="66">
        <v>49000</v>
      </c>
      <c r="F73" s="16">
        <f t="shared" si="14"/>
        <v>0.4</v>
      </c>
      <c r="G73" s="16">
        <f t="shared" si="15"/>
        <v>784.00627205017645</v>
      </c>
      <c r="H73" s="66">
        <v>293263</v>
      </c>
      <c r="I73" s="16">
        <f t="shared" si="16"/>
        <v>0.6</v>
      </c>
      <c r="J73" s="16">
        <f t="shared" si="17"/>
        <v>270.34820849253839</v>
      </c>
      <c r="K73" s="66">
        <v>227775</v>
      </c>
      <c r="L73" s="16">
        <f t="shared" si="18"/>
        <v>0</v>
      </c>
      <c r="M73" s="16">
        <f t="shared" si="19"/>
        <v>0</v>
      </c>
      <c r="N73" s="16">
        <v>0</v>
      </c>
      <c r="O73" s="16">
        <f t="shared" si="20"/>
        <v>0</v>
      </c>
      <c r="P73" s="16">
        <f t="shared" si="21"/>
        <v>0</v>
      </c>
      <c r="Q73" s="16">
        <v>0</v>
      </c>
      <c r="R73" s="16">
        <f t="shared" si="22"/>
        <v>0</v>
      </c>
      <c r="S73" s="16">
        <f t="shared" si="23"/>
        <v>0</v>
      </c>
    </row>
    <row r="74" spans="1:19" x14ac:dyDescent="0.3">
      <c r="A74" s="65">
        <v>20180413</v>
      </c>
      <c r="B74" s="65" t="s">
        <v>88</v>
      </c>
      <c r="C74" s="139">
        <f t="shared" si="12"/>
        <v>116068961.12612489</v>
      </c>
      <c r="D74" s="139">
        <f t="shared" si="13"/>
        <v>-1.385285227042125E-2</v>
      </c>
      <c r="E74" s="66">
        <v>49800</v>
      </c>
      <c r="F74" s="16">
        <f t="shared" si="14"/>
        <v>0.4</v>
      </c>
      <c r="G74" s="16">
        <f t="shared" si="15"/>
        <v>784.00627205017645</v>
      </c>
      <c r="H74" s="66">
        <v>284912</v>
      </c>
      <c r="I74" s="16">
        <f t="shared" si="16"/>
        <v>0.6</v>
      </c>
      <c r="J74" s="16">
        <f t="shared" si="17"/>
        <v>270.34820849253839</v>
      </c>
      <c r="K74" s="66">
        <v>231602</v>
      </c>
      <c r="L74" s="16">
        <f t="shared" si="18"/>
        <v>0</v>
      </c>
      <c r="M74" s="16">
        <f t="shared" si="19"/>
        <v>0</v>
      </c>
      <c r="N74" s="16">
        <v>0</v>
      </c>
      <c r="O74" s="16">
        <f t="shared" si="20"/>
        <v>0</v>
      </c>
      <c r="P74" s="16">
        <f t="shared" si="21"/>
        <v>0</v>
      </c>
      <c r="Q74" s="16">
        <v>0</v>
      </c>
      <c r="R74" s="16">
        <f t="shared" si="22"/>
        <v>0</v>
      </c>
      <c r="S74" s="16">
        <f t="shared" si="23"/>
        <v>0</v>
      </c>
    </row>
    <row r="75" spans="1:19" x14ac:dyDescent="0.3">
      <c r="A75" s="65">
        <v>20180416</v>
      </c>
      <c r="B75" s="65" t="s">
        <v>88</v>
      </c>
      <c r="C75" s="139">
        <f t="shared" si="12"/>
        <v>117953015.88351716</v>
      </c>
      <c r="D75" s="139">
        <f t="shared" si="13"/>
        <v>1.6232201435360378E-2</v>
      </c>
      <c r="E75" s="66">
        <v>50340</v>
      </c>
      <c r="F75" s="16">
        <f t="shared" si="14"/>
        <v>0.4</v>
      </c>
      <c r="G75" s="16">
        <f t="shared" si="15"/>
        <v>784.00627205017645</v>
      </c>
      <c r="H75" s="66">
        <v>290315</v>
      </c>
      <c r="I75" s="16">
        <f t="shared" si="16"/>
        <v>0.6</v>
      </c>
      <c r="J75" s="16">
        <f t="shared" si="17"/>
        <v>270.34820849253839</v>
      </c>
      <c r="K75" s="66">
        <v>223064</v>
      </c>
      <c r="L75" s="16">
        <f t="shared" si="18"/>
        <v>0</v>
      </c>
      <c r="M75" s="16">
        <f t="shared" si="19"/>
        <v>0</v>
      </c>
      <c r="N75" s="16">
        <v>0</v>
      </c>
      <c r="O75" s="16">
        <f t="shared" si="20"/>
        <v>0</v>
      </c>
      <c r="P75" s="16">
        <f t="shared" si="21"/>
        <v>0</v>
      </c>
      <c r="Q75" s="16">
        <v>0</v>
      </c>
      <c r="R75" s="16">
        <f t="shared" si="22"/>
        <v>0</v>
      </c>
      <c r="S75" s="16">
        <f t="shared" si="23"/>
        <v>0</v>
      </c>
    </row>
    <row r="76" spans="1:19" x14ac:dyDescent="0.3">
      <c r="A76" s="65">
        <v>20180417</v>
      </c>
      <c r="B76" s="65" t="s">
        <v>88</v>
      </c>
      <c r="C76" s="139">
        <f t="shared" si="12"/>
        <v>116210082.25509393</v>
      </c>
      <c r="D76" s="139">
        <f t="shared" si="13"/>
        <v>-1.4776507538768135E-2</v>
      </c>
      <c r="E76" s="66">
        <v>49980</v>
      </c>
      <c r="F76" s="16">
        <f t="shared" si="14"/>
        <v>0.4</v>
      </c>
      <c r="G76" s="16">
        <f t="shared" si="15"/>
        <v>784.00627205017645</v>
      </c>
      <c r="H76" s="134">
        <v>284912</v>
      </c>
      <c r="I76" s="16">
        <f t="shared" si="16"/>
        <v>0.6</v>
      </c>
      <c r="J76" s="16">
        <f t="shared" si="17"/>
        <v>270.34820849253839</v>
      </c>
      <c r="K76" s="66">
        <v>229737</v>
      </c>
      <c r="L76" s="16">
        <f t="shared" si="18"/>
        <v>0</v>
      </c>
      <c r="M76" s="16">
        <f t="shared" si="19"/>
        <v>0</v>
      </c>
      <c r="N76" s="16">
        <v>0</v>
      </c>
      <c r="O76" s="16">
        <f t="shared" si="20"/>
        <v>0</v>
      </c>
      <c r="P76" s="16">
        <f t="shared" si="21"/>
        <v>0</v>
      </c>
      <c r="Q76" s="16">
        <v>0</v>
      </c>
      <c r="R76" s="16">
        <f t="shared" si="22"/>
        <v>0</v>
      </c>
      <c r="S76" s="16">
        <f t="shared" si="23"/>
        <v>0</v>
      </c>
    </row>
    <row r="77" spans="1:19" x14ac:dyDescent="0.3">
      <c r="A77" s="65">
        <v>20180418</v>
      </c>
      <c r="B77" s="65" t="s">
        <v>88</v>
      </c>
      <c r="C77" s="139">
        <f t="shared" si="12"/>
        <v>115831049.19182947</v>
      </c>
      <c r="D77" s="139">
        <f t="shared" si="13"/>
        <v>-3.2616194387715867E-3</v>
      </c>
      <c r="E77" s="66">
        <v>51360</v>
      </c>
      <c r="F77" s="16">
        <f t="shared" si="14"/>
        <v>0.4</v>
      </c>
      <c r="G77" s="16">
        <f t="shared" si="15"/>
        <v>784.00627205017645</v>
      </c>
      <c r="H77" s="66">
        <v>279508</v>
      </c>
      <c r="I77" s="16">
        <f t="shared" si="16"/>
        <v>0.6</v>
      </c>
      <c r="J77" s="16">
        <f t="shared" si="17"/>
        <v>270.34820849253839</v>
      </c>
      <c r="K77" s="66">
        <v>229149</v>
      </c>
      <c r="L77" s="16">
        <f t="shared" si="18"/>
        <v>0</v>
      </c>
      <c r="M77" s="16">
        <f t="shared" si="19"/>
        <v>0</v>
      </c>
      <c r="N77" s="16">
        <v>0</v>
      </c>
      <c r="O77" s="16">
        <f t="shared" si="20"/>
        <v>0</v>
      </c>
      <c r="P77" s="16">
        <f t="shared" si="21"/>
        <v>0</v>
      </c>
      <c r="Q77" s="16">
        <v>0</v>
      </c>
      <c r="R77" s="16">
        <f t="shared" si="22"/>
        <v>0</v>
      </c>
      <c r="S77" s="16">
        <f t="shared" si="23"/>
        <v>0</v>
      </c>
    </row>
    <row r="78" spans="1:19" x14ac:dyDescent="0.3">
      <c r="A78" s="65">
        <v>20180419</v>
      </c>
      <c r="B78" s="65" t="s">
        <v>88</v>
      </c>
      <c r="C78" s="139">
        <f t="shared" si="12"/>
        <v>112163500.37915869</v>
      </c>
      <c r="D78" s="139">
        <f t="shared" si="13"/>
        <v>-3.1662916275556667E-2</v>
      </c>
      <c r="E78" s="66">
        <v>52780</v>
      </c>
      <c r="F78" s="16">
        <f t="shared" si="14"/>
        <v>0.4</v>
      </c>
      <c r="G78" s="16">
        <f t="shared" si="15"/>
        <v>784.00627205017645</v>
      </c>
      <c r="H78" s="66">
        <v>261824</v>
      </c>
      <c r="I78" s="16">
        <f t="shared" si="16"/>
        <v>0.6</v>
      </c>
      <c r="J78" s="16">
        <f t="shared" si="17"/>
        <v>270.34820849253839</v>
      </c>
      <c r="K78" s="66">
        <v>219040</v>
      </c>
      <c r="L78" s="16">
        <f t="shared" si="18"/>
        <v>0</v>
      </c>
      <c r="M78" s="16">
        <f t="shared" si="19"/>
        <v>0</v>
      </c>
      <c r="N78" s="16">
        <v>0</v>
      </c>
      <c r="O78" s="16">
        <f t="shared" si="20"/>
        <v>0</v>
      </c>
      <c r="P78" s="16">
        <f t="shared" si="21"/>
        <v>0</v>
      </c>
      <c r="Q78" s="16">
        <v>0</v>
      </c>
      <c r="R78" s="16">
        <f t="shared" si="22"/>
        <v>0</v>
      </c>
      <c r="S78" s="16">
        <f t="shared" si="23"/>
        <v>0</v>
      </c>
    </row>
    <row r="79" spans="1:19" x14ac:dyDescent="0.3">
      <c r="A79" s="65">
        <v>20180420</v>
      </c>
      <c r="B79" s="65" t="s">
        <v>88</v>
      </c>
      <c r="C79" s="139">
        <f t="shared" si="12"/>
        <v>111918028.30363816</v>
      </c>
      <c r="D79" s="139">
        <f t="shared" si="13"/>
        <v>-2.1885201040510857E-3</v>
      </c>
      <c r="E79" s="66">
        <v>51620</v>
      </c>
      <c r="F79" s="16">
        <f t="shared" si="14"/>
        <v>0.4</v>
      </c>
      <c r="G79" s="16">
        <f t="shared" si="15"/>
        <v>784.00627205017645</v>
      </c>
      <c r="H79" s="66">
        <v>264280</v>
      </c>
      <c r="I79" s="16">
        <f t="shared" si="16"/>
        <v>0.6</v>
      </c>
      <c r="J79" s="16">
        <f t="shared" si="17"/>
        <v>270.34820849253839</v>
      </c>
      <c r="K79" s="66">
        <v>220022</v>
      </c>
      <c r="L79" s="16">
        <f t="shared" si="18"/>
        <v>0</v>
      </c>
      <c r="M79" s="16">
        <f t="shared" si="19"/>
        <v>0</v>
      </c>
      <c r="N79" s="16">
        <v>0</v>
      </c>
      <c r="O79" s="16">
        <f t="shared" si="20"/>
        <v>0</v>
      </c>
      <c r="P79" s="16">
        <f t="shared" si="21"/>
        <v>0</v>
      </c>
      <c r="Q79" s="16">
        <v>0</v>
      </c>
      <c r="R79" s="16">
        <f t="shared" si="22"/>
        <v>0</v>
      </c>
      <c r="S79" s="16">
        <f t="shared" si="23"/>
        <v>0</v>
      </c>
    </row>
    <row r="80" spans="1:19" x14ac:dyDescent="0.3">
      <c r="A80" s="65">
        <v>20180423</v>
      </c>
      <c r="B80" s="65" t="s">
        <v>88</v>
      </c>
      <c r="C80" s="139">
        <f t="shared" si="12"/>
        <v>107223971.37046032</v>
      </c>
      <c r="D80" s="139">
        <f t="shared" si="13"/>
        <v>-4.1941919495245901E-2</v>
      </c>
      <c r="E80" s="66">
        <v>51900</v>
      </c>
      <c r="F80" s="16">
        <f t="shared" si="14"/>
        <v>0.4</v>
      </c>
      <c r="G80" s="16">
        <f t="shared" si="15"/>
        <v>784.00627205017645</v>
      </c>
      <c r="H80" s="66">
        <v>246105</v>
      </c>
      <c r="I80" s="16">
        <f t="shared" si="16"/>
        <v>0.6</v>
      </c>
      <c r="J80" s="16">
        <f t="shared" si="17"/>
        <v>270.34820849253839</v>
      </c>
      <c r="K80" s="66">
        <v>210012</v>
      </c>
      <c r="L80" s="16">
        <f t="shared" si="18"/>
        <v>0</v>
      </c>
      <c r="M80" s="16">
        <f t="shared" si="19"/>
        <v>0</v>
      </c>
      <c r="N80" s="16">
        <v>0</v>
      </c>
      <c r="O80" s="16">
        <f t="shared" si="20"/>
        <v>0</v>
      </c>
      <c r="P80" s="16">
        <f t="shared" si="21"/>
        <v>0</v>
      </c>
      <c r="Q80" s="16">
        <v>0</v>
      </c>
      <c r="R80" s="16">
        <f t="shared" si="22"/>
        <v>0</v>
      </c>
      <c r="S80" s="16">
        <f t="shared" si="23"/>
        <v>0</v>
      </c>
    </row>
    <row r="81" spans="1:19" x14ac:dyDescent="0.3">
      <c r="A81" s="65">
        <v>20180424</v>
      </c>
      <c r="B81" s="65" t="s">
        <v>88</v>
      </c>
      <c r="C81" s="139">
        <f t="shared" si="12"/>
        <v>105563768.10902023</v>
      </c>
      <c r="D81" s="139">
        <f t="shared" si="13"/>
        <v>-1.5483508400412236E-2</v>
      </c>
      <c r="E81" s="66">
        <v>50460</v>
      </c>
      <c r="F81" s="16">
        <f t="shared" si="14"/>
        <v>0.4</v>
      </c>
      <c r="G81" s="16">
        <f t="shared" si="15"/>
        <v>784.00627205017645</v>
      </c>
      <c r="H81" s="66">
        <v>244140</v>
      </c>
      <c r="I81" s="16">
        <f t="shared" si="16"/>
        <v>0.6</v>
      </c>
      <c r="J81" s="16">
        <f t="shared" si="17"/>
        <v>270.34820849253839</v>
      </c>
      <c r="K81" s="66">
        <v>205007</v>
      </c>
      <c r="L81" s="16">
        <f t="shared" si="18"/>
        <v>0</v>
      </c>
      <c r="M81" s="16">
        <f t="shared" si="19"/>
        <v>0</v>
      </c>
      <c r="N81" s="16">
        <v>0</v>
      </c>
      <c r="O81" s="16">
        <f t="shared" si="20"/>
        <v>0</v>
      </c>
      <c r="P81" s="16">
        <f t="shared" si="21"/>
        <v>0</v>
      </c>
      <c r="Q81" s="16">
        <v>0</v>
      </c>
      <c r="R81" s="16">
        <f t="shared" si="22"/>
        <v>0</v>
      </c>
      <c r="S81" s="16">
        <f t="shared" si="23"/>
        <v>0</v>
      </c>
    </row>
    <row r="82" spans="1:19" x14ac:dyDescent="0.3">
      <c r="A82" s="65">
        <v>20180425</v>
      </c>
      <c r="B82" s="65" t="s">
        <v>88</v>
      </c>
      <c r="C82" s="139">
        <f t="shared" si="12"/>
        <v>106180702.93275489</v>
      </c>
      <c r="D82" s="139">
        <f t="shared" si="13"/>
        <v>5.8441910021393029E-3</v>
      </c>
      <c r="E82" s="66">
        <v>50400</v>
      </c>
      <c r="F82" s="16">
        <f t="shared" si="14"/>
        <v>0.4</v>
      </c>
      <c r="G82" s="16">
        <f t="shared" si="15"/>
        <v>784.00627205017645</v>
      </c>
      <c r="H82" s="66">
        <v>246596</v>
      </c>
      <c r="I82" s="16">
        <f t="shared" si="16"/>
        <v>0.6</v>
      </c>
      <c r="J82" s="16">
        <f t="shared" si="17"/>
        <v>270.34820849253839</v>
      </c>
      <c r="K82" s="66">
        <v>210993</v>
      </c>
      <c r="L82" s="16">
        <f t="shared" si="18"/>
        <v>0</v>
      </c>
      <c r="M82" s="16">
        <f t="shared" si="19"/>
        <v>0</v>
      </c>
      <c r="N82" s="16">
        <v>0</v>
      </c>
      <c r="O82" s="16">
        <f t="shared" si="20"/>
        <v>0</v>
      </c>
      <c r="P82" s="16">
        <f t="shared" si="21"/>
        <v>0</v>
      </c>
      <c r="Q82" s="16">
        <v>0</v>
      </c>
      <c r="R82" s="16">
        <f t="shared" si="22"/>
        <v>0</v>
      </c>
      <c r="S82" s="16">
        <f t="shared" si="23"/>
        <v>0</v>
      </c>
    </row>
    <row r="83" spans="1:19" x14ac:dyDescent="0.3">
      <c r="A83" s="65">
        <v>20180426</v>
      </c>
      <c r="B83" s="65" t="s">
        <v>88</v>
      </c>
      <c r="C83" s="139">
        <f t="shared" si="12"/>
        <v>109138576.53518571</v>
      </c>
      <c r="D83" s="139">
        <f t="shared" si="13"/>
        <v>2.7856978911733766E-2</v>
      </c>
      <c r="E83" s="66">
        <v>52140</v>
      </c>
      <c r="F83" s="16">
        <f t="shared" si="14"/>
        <v>0.4</v>
      </c>
      <c r="G83" s="16">
        <f t="shared" si="15"/>
        <v>784.00627205017645</v>
      </c>
      <c r="H83" s="66">
        <v>252491</v>
      </c>
      <c r="I83" s="16">
        <f t="shared" si="16"/>
        <v>0.6</v>
      </c>
      <c r="J83" s="16">
        <f t="shared" si="17"/>
        <v>270.34820849253839</v>
      </c>
      <c r="K83" s="66">
        <v>214624</v>
      </c>
      <c r="L83" s="16">
        <f t="shared" si="18"/>
        <v>0</v>
      </c>
      <c r="M83" s="16">
        <f t="shared" si="19"/>
        <v>0</v>
      </c>
      <c r="N83" s="16">
        <v>0</v>
      </c>
      <c r="O83" s="16">
        <f t="shared" si="20"/>
        <v>0</v>
      </c>
      <c r="P83" s="16">
        <f t="shared" si="21"/>
        <v>0</v>
      </c>
      <c r="Q83" s="16">
        <v>0</v>
      </c>
      <c r="R83" s="16">
        <f t="shared" si="22"/>
        <v>0</v>
      </c>
      <c r="S83" s="16">
        <f t="shared" si="23"/>
        <v>0</v>
      </c>
    </row>
    <row r="84" spans="1:19" x14ac:dyDescent="0.3">
      <c r="A84" s="65">
        <v>20180427</v>
      </c>
      <c r="B84" s="65" t="s">
        <v>88</v>
      </c>
      <c r="C84" s="139">
        <f t="shared" si="12"/>
        <v>114992152.90744892</v>
      </c>
      <c r="D84" s="139">
        <f t="shared" si="13"/>
        <v>5.3634347799799691E-2</v>
      </c>
      <c r="E84" s="66">
        <v>53000</v>
      </c>
      <c r="F84" s="16">
        <f t="shared" si="14"/>
        <v>0.4</v>
      </c>
      <c r="G84" s="16">
        <f t="shared" si="15"/>
        <v>784.00627205017645</v>
      </c>
      <c r="H84" s="66">
        <v>271649</v>
      </c>
      <c r="I84" s="16">
        <f t="shared" si="16"/>
        <v>0.6</v>
      </c>
      <c r="J84" s="16">
        <f t="shared" si="17"/>
        <v>270.34820849253839</v>
      </c>
      <c r="K84" s="66">
        <v>218844</v>
      </c>
      <c r="L84" s="16">
        <f t="shared" si="18"/>
        <v>0</v>
      </c>
      <c r="M84" s="16">
        <f t="shared" si="19"/>
        <v>0</v>
      </c>
      <c r="N84" s="16">
        <v>0</v>
      </c>
      <c r="O84" s="16">
        <f t="shared" si="20"/>
        <v>0</v>
      </c>
      <c r="P84" s="16">
        <f t="shared" si="21"/>
        <v>0</v>
      </c>
      <c r="Q84" s="16">
        <v>0</v>
      </c>
      <c r="R84" s="16">
        <f t="shared" si="22"/>
        <v>0</v>
      </c>
      <c r="S84" s="16">
        <f t="shared" si="23"/>
        <v>0</v>
      </c>
    </row>
    <row r="85" spans="1:19" x14ac:dyDescent="0.3">
      <c r="A85" s="65">
        <v>20180430</v>
      </c>
      <c r="B85" s="65" t="s">
        <v>88</v>
      </c>
      <c r="C85" s="139">
        <f t="shared" si="12"/>
        <v>113531191.18875524</v>
      </c>
      <c r="D85" s="139">
        <f t="shared" si="13"/>
        <v>-1.2704881870239652E-2</v>
      </c>
      <c r="E85" s="66">
        <v>53000</v>
      </c>
      <c r="F85" s="16">
        <f t="shared" si="14"/>
        <v>0.4</v>
      </c>
      <c r="G85" s="16">
        <f t="shared" si="15"/>
        <v>784.00627205017645</v>
      </c>
      <c r="H85" s="66">
        <v>266245</v>
      </c>
      <c r="I85" s="16">
        <f t="shared" si="16"/>
        <v>0.6</v>
      </c>
      <c r="J85" s="16">
        <f t="shared" si="17"/>
        <v>270.34820849253839</v>
      </c>
      <c r="K85" s="66">
        <v>212465</v>
      </c>
      <c r="L85" s="16">
        <f t="shared" si="18"/>
        <v>0</v>
      </c>
      <c r="M85" s="16">
        <f t="shared" si="19"/>
        <v>0</v>
      </c>
      <c r="N85" s="16">
        <v>0</v>
      </c>
      <c r="O85" s="16">
        <f t="shared" si="20"/>
        <v>0</v>
      </c>
      <c r="P85" s="16">
        <f t="shared" si="21"/>
        <v>0</v>
      </c>
      <c r="Q85" s="16">
        <v>0</v>
      </c>
      <c r="R85" s="16">
        <f t="shared" si="22"/>
        <v>0</v>
      </c>
      <c r="S85" s="16">
        <f t="shared" si="23"/>
        <v>0</v>
      </c>
    </row>
    <row r="86" spans="1:19" x14ac:dyDescent="0.3">
      <c r="A86" s="65">
        <v>20180502</v>
      </c>
      <c r="B86" s="65" t="s">
        <v>88</v>
      </c>
      <c r="C86" s="139">
        <f t="shared" si="12"/>
        <v>110344056.15883669</v>
      </c>
      <c r="D86" s="139">
        <f t="shared" si="13"/>
        <v>-2.8072770104381879E-2</v>
      </c>
      <c r="E86" s="66">
        <v>53000</v>
      </c>
      <c r="F86" s="16">
        <f t="shared" si="14"/>
        <v>0.4</v>
      </c>
      <c r="G86" s="16">
        <f t="shared" si="15"/>
        <v>784.00627205017645</v>
      </c>
      <c r="H86" s="66">
        <v>254456</v>
      </c>
      <c r="I86" s="16">
        <f t="shared" si="16"/>
        <v>0.6</v>
      </c>
      <c r="J86" s="16">
        <f t="shared" si="17"/>
        <v>270.34820849253839</v>
      </c>
      <c r="K86" s="66">
        <v>210699</v>
      </c>
      <c r="L86" s="16">
        <f t="shared" si="18"/>
        <v>0</v>
      </c>
      <c r="M86" s="16">
        <f t="shared" si="19"/>
        <v>0</v>
      </c>
      <c r="N86" s="16">
        <v>0</v>
      </c>
      <c r="O86" s="16">
        <f t="shared" si="20"/>
        <v>0</v>
      </c>
      <c r="P86" s="16">
        <f t="shared" si="21"/>
        <v>0</v>
      </c>
      <c r="Q86" s="16">
        <v>0</v>
      </c>
      <c r="R86" s="16">
        <f t="shared" si="22"/>
        <v>0</v>
      </c>
      <c r="S86" s="16">
        <f t="shared" si="23"/>
        <v>0</v>
      </c>
    </row>
    <row r="87" spans="1:19" x14ac:dyDescent="0.3">
      <c r="A87" s="65">
        <v>20180503</v>
      </c>
      <c r="B87" s="65" t="s">
        <v>88</v>
      </c>
      <c r="C87" s="139">
        <f t="shared" si="12"/>
        <v>111140772.32926422</v>
      </c>
      <c r="D87" s="139">
        <f t="shared" si="13"/>
        <v>7.220290771989421E-3</v>
      </c>
      <c r="E87" s="66">
        <v>53000</v>
      </c>
      <c r="F87" s="16">
        <f t="shared" si="14"/>
        <v>0.4</v>
      </c>
      <c r="G87" s="16">
        <f t="shared" si="15"/>
        <v>784.00627205017645</v>
      </c>
      <c r="H87" s="66">
        <v>257403</v>
      </c>
      <c r="I87" s="16">
        <f t="shared" si="16"/>
        <v>0.6</v>
      </c>
      <c r="J87" s="16">
        <f t="shared" si="17"/>
        <v>270.34820849253839</v>
      </c>
      <c r="K87" s="66">
        <v>203829</v>
      </c>
      <c r="L87" s="16">
        <f t="shared" si="18"/>
        <v>0</v>
      </c>
      <c r="M87" s="16">
        <f t="shared" si="19"/>
        <v>0</v>
      </c>
      <c r="N87" s="16">
        <v>0</v>
      </c>
      <c r="O87" s="16">
        <f t="shared" si="20"/>
        <v>0</v>
      </c>
      <c r="P87" s="16">
        <f t="shared" si="21"/>
        <v>0</v>
      </c>
      <c r="Q87" s="16">
        <v>0</v>
      </c>
      <c r="R87" s="16">
        <f t="shared" si="22"/>
        <v>0</v>
      </c>
      <c r="S87" s="16">
        <f t="shared" si="23"/>
        <v>0</v>
      </c>
    </row>
    <row r="88" spans="1:19" x14ac:dyDescent="0.3">
      <c r="A88" s="65">
        <v>20180504</v>
      </c>
      <c r="B88" s="65" t="s">
        <v>88</v>
      </c>
      <c r="C88" s="139">
        <f t="shared" si="12"/>
        <v>107091230.40009049</v>
      </c>
      <c r="D88" s="139">
        <f t="shared" si="13"/>
        <v>-3.6436150697033279E-2</v>
      </c>
      <c r="E88" s="66">
        <v>51900</v>
      </c>
      <c r="F88" s="16">
        <f t="shared" si="14"/>
        <v>0.4</v>
      </c>
      <c r="G88" s="16">
        <f t="shared" si="15"/>
        <v>784.00627205017645</v>
      </c>
      <c r="H88" s="66">
        <v>245614</v>
      </c>
      <c r="I88" s="16">
        <f t="shared" si="16"/>
        <v>0.6</v>
      </c>
      <c r="J88" s="16">
        <f t="shared" si="17"/>
        <v>270.34820849253839</v>
      </c>
      <c r="K88" s="66">
        <v>196469</v>
      </c>
      <c r="L88" s="16">
        <f t="shared" si="18"/>
        <v>0</v>
      </c>
      <c r="M88" s="16">
        <f t="shared" si="19"/>
        <v>0</v>
      </c>
      <c r="N88" s="16">
        <v>0</v>
      </c>
      <c r="O88" s="16">
        <f t="shared" si="20"/>
        <v>0</v>
      </c>
      <c r="P88" s="16">
        <f t="shared" si="21"/>
        <v>0</v>
      </c>
      <c r="Q88" s="16">
        <v>0</v>
      </c>
      <c r="R88" s="16">
        <f t="shared" si="22"/>
        <v>0</v>
      </c>
      <c r="S88" s="16">
        <f t="shared" si="23"/>
        <v>0</v>
      </c>
    </row>
    <row r="89" spans="1:19" x14ac:dyDescent="0.3">
      <c r="A89" s="65">
        <v>20180508</v>
      </c>
      <c r="B89" s="65" t="s">
        <v>88</v>
      </c>
      <c r="C89" s="139">
        <f t="shared" si="12"/>
        <v>103921395.18271074</v>
      </c>
      <c r="D89" s="139">
        <f t="shared" si="13"/>
        <v>-2.9599391150305344E-2</v>
      </c>
      <c r="E89" s="66">
        <v>52600</v>
      </c>
      <c r="F89" s="16">
        <f t="shared" si="14"/>
        <v>0.4</v>
      </c>
      <c r="G89" s="16">
        <f t="shared" si="15"/>
        <v>784.00627205017645</v>
      </c>
      <c r="H89" s="66">
        <v>231859</v>
      </c>
      <c r="I89" s="16">
        <f t="shared" si="16"/>
        <v>0.6</v>
      </c>
      <c r="J89" s="16">
        <f t="shared" si="17"/>
        <v>270.34820849253839</v>
      </c>
      <c r="K89" s="66">
        <v>190875</v>
      </c>
      <c r="L89" s="16">
        <f t="shared" si="18"/>
        <v>0</v>
      </c>
      <c r="M89" s="16">
        <f t="shared" si="19"/>
        <v>0</v>
      </c>
      <c r="N89" s="16">
        <v>0</v>
      </c>
      <c r="O89" s="16">
        <f t="shared" si="20"/>
        <v>0</v>
      </c>
      <c r="P89" s="16">
        <f t="shared" si="21"/>
        <v>0</v>
      </c>
      <c r="Q89" s="16">
        <v>0</v>
      </c>
      <c r="R89" s="16">
        <f t="shared" si="22"/>
        <v>0</v>
      </c>
      <c r="S89" s="16">
        <f t="shared" si="23"/>
        <v>0</v>
      </c>
    </row>
    <row r="90" spans="1:19" x14ac:dyDescent="0.3">
      <c r="A90" s="65">
        <v>20180509</v>
      </c>
      <c r="B90" s="65" t="s">
        <v>88</v>
      </c>
      <c r="C90" s="139">
        <f t="shared" si="12"/>
        <v>108697642.98753133</v>
      </c>
      <c r="D90" s="139">
        <f t="shared" si="13"/>
        <v>4.5960197093420231E-2</v>
      </c>
      <c r="E90" s="66">
        <v>50900</v>
      </c>
      <c r="F90" s="16">
        <f t="shared" si="14"/>
        <v>0.4</v>
      </c>
      <c r="G90" s="16">
        <f t="shared" si="15"/>
        <v>784.00627205017645</v>
      </c>
      <c r="H90" s="66">
        <v>254456</v>
      </c>
      <c r="I90" s="16">
        <f t="shared" si="16"/>
        <v>0.6</v>
      </c>
      <c r="J90" s="16">
        <f t="shared" si="17"/>
        <v>270.34820849253839</v>
      </c>
      <c r="K90" s="66">
        <v>198137</v>
      </c>
      <c r="L90" s="16">
        <f t="shared" si="18"/>
        <v>0</v>
      </c>
      <c r="M90" s="16">
        <f t="shared" si="19"/>
        <v>0</v>
      </c>
      <c r="N90" s="16">
        <v>0</v>
      </c>
      <c r="O90" s="16">
        <f t="shared" si="20"/>
        <v>0</v>
      </c>
      <c r="P90" s="16">
        <f t="shared" si="21"/>
        <v>0</v>
      </c>
      <c r="Q90" s="16">
        <v>0</v>
      </c>
      <c r="R90" s="16">
        <f t="shared" si="22"/>
        <v>0</v>
      </c>
      <c r="S90" s="16">
        <f t="shared" si="23"/>
        <v>0</v>
      </c>
    </row>
    <row r="91" spans="1:19" x14ac:dyDescent="0.3">
      <c r="A91" s="65">
        <v>20180510</v>
      </c>
      <c r="B91" s="65" t="s">
        <v>88</v>
      </c>
      <c r="C91" s="139">
        <f t="shared" si="12"/>
        <v>109246447.37796646</v>
      </c>
      <c r="D91" s="139">
        <f t="shared" si="13"/>
        <v>5.0489079188044822E-3</v>
      </c>
      <c r="E91" s="66">
        <v>51600</v>
      </c>
      <c r="F91" s="16">
        <f t="shared" si="14"/>
        <v>0.4</v>
      </c>
      <c r="G91" s="16">
        <f t="shared" si="15"/>
        <v>784.00627205017645</v>
      </c>
      <c r="H91" s="66">
        <v>254456</v>
      </c>
      <c r="I91" s="16">
        <f t="shared" si="16"/>
        <v>0.6</v>
      </c>
      <c r="J91" s="16">
        <f t="shared" si="17"/>
        <v>270.34820849253839</v>
      </c>
      <c r="K91" s="66">
        <v>194899</v>
      </c>
      <c r="L91" s="16">
        <f t="shared" si="18"/>
        <v>0</v>
      </c>
      <c r="M91" s="16">
        <f t="shared" si="19"/>
        <v>0</v>
      </c>
      <c r="N91" s="16">
        <v>0</v>
      </c>
      <c r="O91" s="16">
        <f t="shared" si="20"/>
        <v>0</v>
      </c>
      <c r="P91" s="16">
        <f t="shared" si="21"/>
        <v>0</v>
      </c>
      <c r="Q91" s="16">
        <v>0</v>
      </c>
      <c r="R91" s="16">
        <f t="shared" si="22"/>
        <v>0</v>
      </c>
      <c r="S91" s="16">
        <f t="shared" si="23"/>
        <v>0</v>
      </c>
    </row>
    <row r="92" spans="1:19" x14ac:dyDescent="0.3">
      <c r="A92" s="65">
        <v>20180511</v>
      </c>
      <c r="B92" s="65" t="s">
        <v>88</v>
      </c>
      <c r="C92" s="139">
        <f t="shared" si="12"/>
        <v>109276727.43709108</v>
      </c>
      <c r="D92" s="139">
        <f t="shared" si="13"/>
        <v>2.7717202573972075E-4</v>
      </c>
      <c r="E92" s="66">
        <v>51300</v>
      </c>
      <c r="F92" s="16">
        <f t="shared" si="14"/>
        <v>0.4</v>
      </c>
      <c r="G92" s="16">
        <f t="shared" si="15"/>
        <v>784.00627205017645</v>
      </c>
      <c r="H92" s="66">
        <v>255438</v>
      </c>
      <c r="I92" s="16">
        <f t="shared" si="16"/>
        <v>0.6</v>
      </c>
      <c r="J92" s="16">
        <f t="shared" si="17"/>
        <v>270.34820849253839</v>
      </c>
      <c r="K92" s="66">
        <v>194997</v>
      </c>
      <c r="L92" s="16">
        <f t="shared" si="18"/>
        <v>0</v>
      </c>
      <c r="M92" s="16">
        <f t="shared" si="19"/>
        <v>0</v>
      </c>
      <c r="N92" s="16">
        <v>0</v>
      </c>
      <c r="O92" s="16">
        <f t="shared" si="20"/>
        <v>0</v>
      </c>
      <c r="P92" s="16">
        <f t="shared" si="21"/>
        <v>0</v>
      </c>
      <c r="Q92" s="16">
        <v>0</v>
      </c>
      <c r="R92" s="16">
        <f t="shared" si="22"/>
        <v>0</v>
      </c>
      <c r="S92" s="16">
        <f t="shared" si="23"/>
        <v>0</v>
      </c>
    </row>
    <row r="93" spans="1:19" x14ac:dyDescent="0.3">
      <c r="A93" s="65">
        <v>20180514</v>
      </c>
      <c r="B93" s="65" t="s">
        <v>88</v>
      </c>
      <c r="C93" s="139">
        <f t="shared" si="12"/>
        <v>107007969.51051551</v>
      </c>
      <c r="D93" s="139">
        <f t="shared" si="13"/>
        <v>-2.0761583731372813E-2</v>
      </c>
      <c r="E93" s="66">
        <v>50100</v>
      </c>
      <c r="F93" s="16">
        <f t="shared" si="14"/>
        <v>0.4</v>
      </c>
      <c r="G93" s="16">
        <f t="shared" si="15"/>
        <v>784.00627205017645</v>
      </c>
      <c r="H93" s="66">
        <v>250526</v>
      </c>
      <c r="I93" s="16">
        <f t="shared" si="16"/>
        <v>0.6</v>
      </c>
      <c r="J93" s="16">
        <f t="shared" si="17"/>
        <v>270.34820849253839</v>
      </c>
      <c r="K93" s="66">
        <v>184202</v>
      </c>
      <c r="L93" s="16">
        <f t="shared" si="18"/>
        <v>0</v>
      </c>
      <c r="M93" s="16">
        <f t="shared" si="19"/>
        <v>0</v>
      </c>
      <c r="N93" s="16">
        <v>0</v>
      </c>
      <c r="O93" s="16">
        <f t="shared" si="20"/>
        <v>0</v>
      </c>
      <c r="P93" s="16">
        <f t="shared" si="21"/>
        <v>0</v>
      </c>
      <c r="Q93" s="16">
        <v>0</v>
      </c>
      <c r="R93" s="16">
        <f t="shared" si="22"/>
        <v>0</v>
      </c>
      <c r="S93" s="16">
        <f t="shared" si="23"/>
        <v>0</v>
      </c>
    </row>
    <row r="94" spans="1:19" x14ac:dyDescent="0.3">
      <c r="A94" s="65">
        <v>20180515</v>
      </c>
      <c r="B94" s="65" t="s">
        <v>88</v>
      </c>
      <c r="C94" s="139">
        <f t="shared" si="12"/>
        <v>109755251.18453705</v>
      </c>
      <c r="D94" s="139">
        <f t="shared" si="13"/>
        <v>2.5673617456609819E-2</v>
      </c>
      <c r="E94" s="66">
        <v>49200</v>
      </c>
      <c r="F94" s="16">
        <f t="shared" si="14"/>
        <v>0.4</v>
      </c>
      <c r="G94" s="16">
        <f t="shared" si="15"/>
        <v>784.00627205017645</v>
      </c>
      <c r="H94" s="134">
        <v>263298</v>
      </c>
      <c r="I94" s="16">
        <f t="shared" si="16"/>
        <v>0.6</v>
      </c>
      <c r="J94" s="16">
        <f t="shared" si="17"/>
        <v>270.34820849253839</v>
      </c>
      <c r="K94" s="66">
        <v>193231</v>
      </c>
      <c r="L94" s="16">
        <f t="shared" si="18"/>
        <v>0</v>
      </c>
      <c r="M94" s="16">
        <f t="shared" si="19"/>
        <v>0</v>
      </c>
      <c r="N94" s="16">
        <v>0</v>
      </c>
      <c r="O94" s="16">
        <f t="shared" si="20"/>
        <v>0</v>
      </c>
      <c r="P94" s="16">
        <f t="shared" si="21"/>
        <v>0</v>
      </c>
      <c r="Q94" s="16">
        <v>0</v>
      </c>
      <c r="R94" s="16">
        <f t="shared" si="22"/>
        <v>0</v>
      </c>
      <c r="S94" s="16">
        <f t="shared" si="23"/>
        <v>0</v>
      </c>
    </row>
    <row r="95" spans="1:19" x14ac:dyDescent="0.3">
      <c r="A95" s="65">
        <v>20180516</v>
      </c>
      <c r="B95" s="65" t="s">
        <v>88</v>
      </c>
      <c r="C95" s="139">
        <f t="shared" si="12"/>
        <v>110397596.23173952</v>
      </c>
      <c r="D95" s="139">
        <f t="shared" si="13"/>
        <v>5.8525222280477558E-3</v>
      </c>
      <c r="E95" s="66">
        <v>49850</v>
      </c>
      <c r="F95" s="16">
        <f t="shared" si="14"/>
        <v>0.4</v>
      </c>
      <c r="G95" s="16">
        <f t="shared" si="15"/>
        <v>784.00627205017645</v>
      </c>
      <c r="H95" s="66">
        <v>263789</v>
      </c>
      <c r="I95" s="16">
        <f t="shared" si="16"/>
        <v>0.6</v>
      </c>
      <c r="J95" s="16">
        <f t="shared" si="17"/>
        <v>270.34820849253839</v>
      </c>
      <c r="K95" s="66">
        <v>201670</v>
      </c>
      <c r="L95" s="16">
        <f t="shared" si="18"/>
        <v>0</v>
      </c>
      <c r="M95" s="16">
        <f t="shared" si="19"/>
        <v>0</v>
      </c>
      <c r="N95" s="16">
        <v>0</v>
      </c>
      <c r="O95" s="16">
        <f t="shared" si="20"/>
        <v>0</v>
      </c>
      <c r="P95" s="16">
        <f t="shared" si="21"/>
        <v>0</v>
      </c>
      <c r="Q95" s="16">
        <v>0</v>
      </c>
      <c r="R95" s="16">
        <f t="shared" si="22"/>
        <v>0</v>
      </c>
      <c r="S95" s="16">
        <f t="shared" si="23"/>
        <v>0</v>
      </c>
    </row>
    <row r="96" spans="1:19" x14ac:dyDescent="0.3">
      <c r="A96" s="65">
        <v>20180517</v>
      </c>
      <c r="B96" s="65" t="s">
        <v>88</v>
      </c>
      <c r="C96" s="139">
        <f t="shared" si="12"/>
        <v>109779311.46857725</v>
      </c>
      <c r="D96" s="139">
        <f t="shared" si="13"/>
        <v>-5.6005274051837747E-3</v>
      </c>
      <c r="E96" s="66">
        <v>49400</v>
      </c>
      <c r="F96" s="16">
        <f t="shared" si="14"/>
        <v>0.4</v>
      </c>
      <c r="G96" s="16">
        <f t="shared" si="15"/>
        <v>784.00627205017645</v>
      </c>
      <c r="H96" s="66">
        <v>262807</v>
      </c>
      <c r="I96" s="16">
        <f t="shared" si="16"/>
        <v>0.6</v>
      </c>
      <c r="J96" s="16">
        <f t="shared" si="17"/>
        <v>270.34820849253839</v>
      </c>
      <c r="K96" s="66">
        <v>209031</v>
      </c>
      <c r="L96" s="16">
        <f t="shared" si="18"/>
        <v>0</v>
      </c>
      <c r="M96" s="16">
        <f t="shared" si="19"/>
        <v>0</v>
      </c>
      <c r="N96" s="16">
        <v>0</v>
      </c>
      <c r="O96" s="16">
        <f t="shared" si="20"/>
        <v>0</v>
      </c>
      <c r="P96" s="16">
        <f t="shared" si="21"/>
        <v>0</v>
      </c>
      <c r="Q96" s="16">
        <v>0</v>
      </c>
      <c r="R96" s="16">
        <f t="shared" si="22"/>
        <v>0</v>
      </c>
      <c r="S96" s="16">
        <f t="shared" si="23"/>
        <v>0</v>
      </c>
    </row>
    <row r="97" spans="1:19" x14ac:dyDescent="0.3">
      <c r="A97" s="65">
        <v>20180518</v>
      </c>
      <c r="B97" s="65" t="s">
        <v>88</v>
      </c>
      <c r="C97" s="139">
        <f t="shared" si="12"/>
        <v>110521687.29583994</v>
      </c>
      <c r="D97" s="139">
        <f t="shared" si="13"/>
        <v>6.7624383623063541E-3</v>
      </c>
      <c r="E97" s="66">
        <v>49500</v>
      </c>
      <c r="F97" s="16">
        <f t="shared" si="14"/>
        <v>0.4</v>
      </c>
      <c r="G97" s="16">
        <f t="shared" si="15"/>
        <v>784.00627205017645</v>
      </c>
      <c r="H97" s="66">
        <v>265263</v>
      </c>
      <c r="I97" s="16">
        <f t="shared" si="16"/>
        <v>0.6</v>
      </c>
      <c r="J97" s="16">
        <f t="shared" si="17"/>
        <v>270.34820849253839</v>
      </c>
      <c r="K97" s="66">
        <v>215998</v>
      </c>
      <c r="L97" s="16">
        <f t="shared" si="18"/>
        <v>0</v>
      </c>
      <c r="M97" s="16">
        <f t="shared" si="19"/>
        <v>0</v>
      </c>
      <c r="N97" s="16">
        <v>0</v>
      </c>
      <c r="O97" s="16">
        <f t="shared" si="20"/>
        <v>0</v>
      </c>
      <c r="P97" s="16">
        <f t="shared" si="21"/>
        <v>0</v>
      </c>
      <c r="Q97" s="16">
        <v>0</v>
      </c>
      <c r="R97" s="16">
        <f t="shared" si="22"/>
        <v>0</v>
      </c>
      <c r="S97" s="16">
        <f t="shared" si="23"/>
        <v>0</v>
      </c>
    </row>
    <row r="98" spans="1:19" x14ac:dyDescent="0.3">
      <c r="A98" s="65">
        <v>20180521</v>
      </c>
      <c r="B98" s="65" t="s">
        <v>88</v>
      </c>
      <c r="C98" s="139">
        <f t="shared" si="12"/>
        <v>110913690.43186504</v>
      </c>
      <c r="D98" s="139">
        <f t="shared" si="13"/>
        <v>3.5468435708532297E-3</v>
      </c>
      <c r="E98" s="66">
        <v>50000</v>
      </c>
      <c r="F98" s="16">
        <f t="shared" si="14"/>
        <v>0.4</v>
      </c>
      <c r="G98" s="16">
        <f t="shared" si="15"/>
        <v>784.00627205017645</v>
      </c>
      <c r="H98" s="66">
        <v>265263</v>
      </c>
      <c r="I98" s="16">
        <f t="shared" si="16"/>
        <v>0.6</v>
      </c>
      <c r="J98" s="16">
        <f t="shared" si="17"/>
        <v>270.34820849253839</v>
      </c>
      <c r="K98" s="66">
        <v>220120</v>
      </c>
      <c r="L98" s="16">
        <f t="shared" si="18"/>
        <v>0</v>
      </c>
      <c r="M98" s="16">
        <f t="shared" si="19"/>
        <v>0</v>
      </c>
      <c r="N98" s="16">
        <v>0</v>
      </c>
      <c r="O98" s="16">
        <f t="shared" si="20"/>
        <v>0</v>
      </c>
      <c r="P98" s="16">
        <f t="shared" si="21"/>
        <v>0</v>
      </c>
      <c r="Q98" s="16">
        <v>0</v>
      </c>
      <c r="R98" s="16">
        <f t="shared" si="22"/>
        <v>0</v>
      </c>
      <c r="S98" s="16">
        <f t="shared" si="23"/>
        <v>0</v>
      </c>
    </row>
    <row r="99" spans="1:19" x14ac:dyDescent="0.3">
      <c r="A99" s="65">
        <v>20180523</v>
      </c>
      <c r="B99" s="65" t="s">
        <v>88</v>
      </c>
      <c r="C99" s="139">
        <f t="shared" si="12"/>
        <v>109004755.3730585</v>
      </c>
      <c r="D99" s="139">
        <f t="shared" si="13"/>
        <v>-1.7210995787568795E-2</v>
      </c>
      <c r="E99" s="66">
        <v>51800</v>
      </c>
      <c r="F99" s="16">
        <f t="shared" si="14"/>
        <v>0.4</v>
      </c>
      <c r="G99" s="16">
        <f t="shared" si="15"/>
        <v>784.00627205017645</v>
      </c>
      <c r="H99" s="66">
        <v>252982</v>
      </c>
      <c r="I99" s="16">
        <f t="shared" si="16"/>
        <v>0.6</v>
      </c>
      <c r="J99" s="16">
        <f t="shared" si="17"/>
        <v>270.34820849253839</v>
      </c>
      <c r="K99" s="66">
        <v>251229</v>
      </c>
      <c r="L99" s="16">
        <f t="shared" si="18"/>
        <v>0</v>
      </c>
      <c r="M99" s="16">
        <f t="shared" si="19"/>
        <v>0</v>
      </c>
      <c r="N99" s="16">
        <v>0</v>
      </c>
      <c r="O99" s="16">
        <f t="shared" si="20"/>
        <v>0</v>
      </c>
      <c r="P99" s="16">
        <f t="shared" si="21"/>
        <v>0</v>
      </c>
      <c r="Q99" s="16">
        <v>0</v>
      </c>
      <c r="R99" s="16">
        <f t="shared" si="22"/>
        <v>0</v>
      </c>
      <c r="S99" s="16">
        <f t="shared" si="23"/>
        <v>0</v>
      </c>
    </row>
    <row r="100" spans="1:19" x14ac:dyDescent="0.3">
      <c r="A100" s="65">
        <v>20180524</v>
      </c>
      <c r="B100" s="65" t="s">
        <v>88</v>
      </c>
      <c r="C100" s="139">
        <f t="shared" si="12"/>
        <v>110550337.49404161</v>
      </c>
      <c r="D100" s="139">
        <f t="shared" si="13"/>
        <v>1.4179033893461802E-2</v>
      </c>
      <c r="E100" s="66">
        <v>51400</v>
      </c>
      <c r="F100" s="16">
        <f t="shared" si="14"/>
        <v>0.4</v>
      </c>
      <c r="G100" s="16">
        <f t="shared" si="15"/>
        <v>784.00627205017645</v>
      </c>
      <c r="H100" s="66">
        <v>259859</v>
      </c>
      <c r="I100" s="16">
        <f t="shared" si="16"/>
        <v>0.6</v>
      </c>
      <c r="J100" s="16">
        <f t="shared" si="17"/>
        <v>270.34820849253839</v>
      </c>
      <c r="K100" s="66">
        <v>250248</v>
      </c>
      <c r="L100" s="16">
        <f t="shared" si="18"/>
        <v>0</v>
      </c>
      <c r="M100" s="16">
        <f t="shared" si="19"/>
        <v>0</v>
      </c>
      <c r="N100" s="16">
        <v>0</v>
      </c>
      <c r="O100" s="16">
        <f t="shared" si="20"/>
        <v>0</v>
      </c>
      <c r="P100" s="16">
        <f t="shared" si="21"/>
        <v>0</v>
      </c>
      <c r="Q100" s="16">
        <v>0</v>
      </c>
      <c r="R100" s="16">
        <f t="shared" si="22"/>
        <v>0</v>
      </c>
      <c r="S100" s="16">
        <f t="shared" si="23"/>
        <v>0</v>
      </c>
    </row>
    <row r="101" spans="1:19" x14ac:dyDescent="0.3">
      <c r="A101" s="65">
        <v>20180525</v>
      </c>
      <c r="B101" s="65" t="s">
        <v>88</v>
      </c>
      <c r="C101" s="139">
        <f t="shared" si="12"/>
        <v>114358457.76651587</v>
      </c>
      <c r="D101" s="139">
        <f t="shared" si="13"/>
        <v>3.444693484250564E-2</v>
      </c>
      <c r="E101" s="66">
        <v>52700</v>
      </c>
      <c r="F101" s="16">
        <f t="shared" si="14"/>
        <v>0.4</v>
      </c>
      <c r="G101" s="16">
        <f t="shared" si="15"/>
        <v>784.00627205017645</v>
      </c>
      <c r="H101" s="66">
        <v>270175</v>
      </c>
      <c r="I101" s="16">
        <f t="shared" si="16"/>
        <v>0.6</v>
      </c>
      <c r="J101" s="16">
        <f t="shared" si="17"/>
        <v>270.34820849253839</v>
      </c>
      <c r="K101" s="66">
        <v>254959</v>
      </c>
      <c r="L101" s="16">
        <f t="shared" si="18"/>
        <v>0</v>
      </c>
      <c r="M101" s="16">
        <f t="shared" si="19"/>
        <v>0</v>
      </c>
      <c r="N101" s="16">
        <v>0</v>
      </c>
      <c r="O101" s="16">
        <f t="shared" si="20"/>
        <v>0</v>
      </c>
      <c r="P101" s="16">
        <f t="shared" si="21"/>
        <v>0</v>
      </c>
      <c r="Q101" s="16">
        <v>0</v>
      </c>
      <c r="R101" s="16">
        <f t="shared" si="22"/>
        <v>0</v>
      </c>
      <c r="S101" s="16">
        <f t="shared" si="23"/>
        <v>0</v>
      </c>
    </row>
    <row r="102" spans="1:19" x14ac:dyDescent="0.3">
      <c r="A102" s="65">
        <v>20180528</v>
      </c>
      <c r="B102" s="65" t="s">
        <v>88</v>
      </c>
      <c r="C102" s="139">
        <f t="shared" si="12"/>
        <v>112982386.79832011</v>
      </c>
      <c r="D102" s="139">
        <f t="shared" si="13"/>
        <v>-1.2032961925783023E-2</v>
      </c>
      <c r="E102" s="66">
        <v>52300</v>
      </c>
      <c r="F102" s="16">
        <f t="shared" si="14"/>
        <v>0.4</v>
      </c>
      <c r="G102" s="16">
        <f t="shared" si="15"/>
        <v>784.00627205017645</v>
      </c>
      <c r="H102" s="66">
        <v>266245</v>
      </c>
      <c r="I102" s="16">
        <f t="shared" si="16"/>
        <v>0.6</v>
      </c>
      <c r="J102" s="16">
        <f t="shared" si="17"/>
        <v>270.34820849253839</v>
      </c>
      <c r="K102" s="66">
        <v>256136</v>
      </c>
      <c r="L102" s="16">
        <f t="shared" si="18"/>
        <v>0</v>
      </c>
      <c r="M102" s="16">
        <f t="shared" si="19"/>
        <v>0</v>
      </c>
      <c r="N102" s="16">
        <v>0</v>
      </c>
      <c r="O102" s="16">
        <f t="shared" si="20"/>
        <v>0</v>
      </c>
      <c r="P102" s="16">
        <f t="shared" si="21"/>
        <v>0</v>
      </c>
      <c r="Q102" s="16">
        <v>0</v>
      </c>
      <c r="R102" s="16">
        <f t="shared" si="22"/>
        <v>0</v>
      </c>
      <c r="S102" s="16">
        <f t="shared" si="23"/>
        <v>0</v>
      </c>
    </row>
    <row r="103" spans="1:19" x14ac:dyDescent="0.3">
      <c r="A103" s="65">
        <v>20180529</v>
      </c>
      <c r="B103" s="65" t="s">
        <v>88</v>
      </c>
      <c r="C103" s="139">
        <f t="shared" si="12"/>
        <v>112065639.5559001</v>
      </c>
      <c r="D103" s="139">
        <f t="shared" si="13"/>
        <v>-8.1140721876982718E-3</v>
      </c>
      <c r="E103" s="66">
        <v>51300</v>
      </c>
      <c r="F103" s="16">
        <f t="shared" si="14"/>
        <v>0.4</v>
      </c>
      <c r="G103" s="16">
        <f t="shared" si="15"/>
        <v>784.00627205017645</v>
      </c>
      <c r="H103" s="66">
        <v>265754</v>
      </c>
      <c r="I103" s="16">
        <f t="shared" si="16"/>
        <v>0.6</v>
      </c>
      <c r="J103" s="16">
        <f t="shared" si="17"/>
        <v>270.34820849253839</v>
      </c>
      <c r="K103" s="66">
        <v>244360</v>
      </c>
      <c r="L103" s="16">
        <f t="shared" si="18"/>
        <v>0</v>
      </c>
      <c r="M103" s="16">
        <f t="shared" si="19"/>
        <v>0</v>
      </c>
      <c r="N103" s="16">
        <v>0</v>
      </c>
      <c r="O103" s="16">
        <f t="shared" si="20"/>
        <v>0</v>
      </c>
      <c r="P103" s="16">
        <f t="shared" si="21"/>
        <v>0</v>
      </c>
      <c r="Q103" s="16">
        <v>0</v>
      </c>
      <c r="R103" s="16">
        <f t="shared" si="22"/>
        <v>0</v>
      </c>
      <c r="S103" s="16">
        <f t="shared" si="23"/>
        <v>0</v>
      </c>
    </row>
    <row r="104" spans="1:19" x14ac:dyDescent="0.3">
      <c r="A104" s="65">
        <v>20180530</v>
      </c>
      <c r="B104" s="65" t="s">
        <v>88</v>
      </c>
      <c r="C104" s="139">
        <f t="shared" si="12"/>
        <v>110388675.9772616</v>
      </c>
      <c r="D104" s="139">
        <f t="shared" si="13"/>
        <v>-1.4964119111656864E-2</v>
      </c>
      <c r="E104" s="66">
        <v>49500</v>
      </c>
      <c r="F104" s="16">
        <f t="shared" si="14"/>
        <v>0.4</v>
      </c>
      <c r="G104" s="16">
        <f t="shared" si="15"/>
        <v>784.00627205017645</v>
      </c>
      <c r="H104" s="66">
        <v>264771</v>
      </c>
      <c r="I104" s="16">
        <f t="shared" si="16"/>
        <v>0.6</v>
      </c>
      <c r="J104" s="16">
        <f t="shared" si="17"/>
        <v>270.34820849253839</v>
      </c>
      <c r="K104" s="66">
        <v>256529</v>
      </c>
      <c r="L104" s="16">
        <f t="shared" si="18"/>
        <v>0</v>
      </c>
      <c r="M104" s="16">
        <f t="shared" si="19"/>
        <v>0</v>
      </c>
      <c r="N104" s="16">
        <v>0</v>
      </c>
      <c r="O104" s="16">
        <f t="shared" si="20"/>
        <v>0</v>
      </c>
      <c r="P104" s="16">
        <f t="shared" si="21"/>
        <v>0</v>
      </c>
      <c r="Q104" s="16">
        <v>0</v>
      </c>
      <c r="R104" s="16">
        <f t="shared" si="22"/>
        <v>0</v>
      </c>
      <c r="S104" s="16">
        <f t="shared" si="23"/>
        <v>0</v>
      </c>
    </row>
    <row r="105" spans="1:19" x14ac:dyDescent="0.3">
      <c r="A105" s="65">
        <v>20180531</v>
      </c>
      <c r="B105" s="65" t="s">
        <v>88</v>
      </c>
      <c r="C105" s="139">
        <f t="shared" si="12"/>
        <v>110267285.39255464</v>
      </c>
      <c r="D105" s="139">
        <f t="shared" si="13"/>
        <v>-1.0996651933026784E-3</v>
      </c>
      <c r="E105" s="66">
        <v>50700</v>
      </c>
      <c r="F105" s="16">
        <f t="shared" si="14"/>
        <v>0.4</v>
      </c>
      <c r="G105" s="16">
        <f t="shared" si="15"/>
        <v>784.00627205017645</v>
      </c>
      <c r="H105" s="66">
        <v>260842</v>
      </c>
      <c r="I105" s="16">
        <f t="shared" si="16"/>
        <v>0.6</v>
      </c>
      <c r="J105" s="16">
        <f t="shared" si="17"/>
        <v>270.34820849253839</v>
      </c>
      <c r="K105" s="66">
        <v>260062</v>
      </c>
      <c r="L105" s="16">
        <f t="shared" si="18"/>
        <v>0</v>
      </c>
      <c r="M105" s="16">
        <f t="shared" si="19"/>
        <v>0</v>
      </c>
      <c r="N105" s="16">
        <v>0</v>
      </c>
      <c r="O105" s="16">
        <f t="shared" si="20"/>
        <v>0</v>
      </c>
      <c r="P105" s="16">
        <f t="shared" si="21"/>
        <v>0</v>
      </c>
      <c r="Q105" s="16">
        <v>0</v>
      </c>
      <c r="R105" s="16">
        <f t="shared" si="22"/>
        <v>0</v>
      </c>
      <c r="S105" s="16">
        <f t="shared" si="23"/>
        <v>0</v>
      </c>
    </row>
    <row r="106" spans="1:19" x14ac:dyDescent="0.3">
      <c r="A106" s="65">
        <v>20180601</v>
      </c>
      <c r="B106" s="65" t="s">
        <v>88</v>
      </c>
      <c r="C106" s="139">
        <f t="shared" si="12"/>
        <v>112862355.7263276</v>
      </c>
      <c r="D106" s="139">
        <f t="shared" si="13"/>
        <v>2.3534363111728324E-2</v>
      </c>
      <c r="E106" s="66">
        <v>51300</v>
      </c>
      <c r="F106" s="16">
        <f t="shared" si="14"/>
        <v>0.4</v>
      </c>
      <c r="G106" s="16">
        <f t="shared" si="15"/>
        <v>784.00627205017645</v>
      </c>
      <c r="H106" s="66">
        <v>268701</v>
      </c>
      <c r="I106" s="16">
        <f t="shared" si="16"/>
        <v>0.6</v>
      </c>
      <c r="J106" s="16">
        <f t="shared" si="17"/>
        <v>270.34820849253839</v>
      </c>
      <c r="K106" s="66">
        <v>258590</v>
      </c>
      <c r="L106" s="16">
        <f t="shared" si="18"/>
        <v>0</v>
      </c>
      <c r="M106" s="16">
        <f t="shared" si="19"/>
        <v>0</v>
      </c>
      <c r="N106" s="16">
        <v>0</v>
      </c>
      <c r="O106" s="16">
        <f t="shared" si="20"/>
        <v>0</v>
      </c>
      <c r="P106" s="16">
        <f t="shared" si="21"/>
        <v>0</v>
      </c>
      <c r="Q106" s="16">
        <v>0</v>
      </c>
      <c r="R106" s="16">
        <f t="shared" si="22"/>
        <v>0</v>
      </c>
      <c r="S106" s="16">
        <f t="shared" si="23"/>
        <v>0</v>
      </c>
    </row>
    <row r="107" spans="1:19" x14ac:dyDescent="0.3">
      <c r="A107" s="65">
        <v>20180604</v>
      </c>
      <c r="B107" s="65" t="s">
        <v>88</v>
      </c>
      <c r="C107" s="139">
        <f t="shared" si="12"/>
        <v>110846369.84211439</v>
      </c>
      <c r="D107" s="139">
        <f t="shared" si="13"/>
        <v>-1.7862341001472971E-2</v>
      </c>
      <c r="E107" s="66">
        <v>51100</v>
      </c>
      <c r="F107" s="16">
        <f t="shared" si="14"/>
        <v>0.4</v>
      </c>
      <c r="G107" s="16">
        <f t="shared" si="15"/>
        <v>784.00627205017645</v>
      </c>
      <c r="H107" s="66">
        <v>261824</v>
      </c>
      <c r="I107" s="16">
        <f t="shared" si="16"/>
        <v>0.6</v>
      </c>
      <c r="J107" s="16">
        <f t="shared" si="17"/>
        <v>270.34820849253839</v>
      </c>
      <c r="K107" s="66">
        <v>248285</v>
      </c>
      <c r="L107" s="16">
        <f t="shared" si="18"/>
        <v>0</v>
      </c>
      <c r="M107" s="16">
        <f t="shared" si="19"/>
        <v>0</v>
      </c>
      <c r="N107" s="16">
        <v>0</v>
      </c>
      <c r="O107" s="16">
        <f t="shared" si="20"/>
        <v>0</v>
      </c>
      <c r="P107" s="16">
        <f t="shared" si="21"/>
        <v>0</v>
      </c>
      <c r="Q107" s="16">
        <v>0</v>
      </c>
      <c r="R107" s="16">
        <f t="shared" si="22"/>
        <v>0</v>
      </c>
      <c r="S107" s="16">
        <f t="shared" si="23"/>
        <v>0</v>
      </c>
    </row>
    <row r="108" spans="1:19" x14ac:dyDescent="0.3">
      <c r="A108" s="65">
        <v>20180605</v>
      </c>
      <c r="B108" s="65" t="s">
        <v>88</v>
      </c>
      <c r="C108" s="139">
        <f t="shared" si="12"/>
        <v>111135912.06689426</v>
      </c>
      <c r="D108" s="139">
        <f t="shared" si="13"/>
        <v>2.6121038081110613E-3</v>
      </c>
      <c r="E108" s="66">
        <v>51300</v>
      </c>
      <c r="F108" s="16">
        <f t="shared" si="14"/>
        <v>0.4</v>
      </c>
      <c r="G108" s="16">
        <f t="shared" si="15"/>
        <v>784.00627205017645</v>
      </c>
      <c r="H108" s="66">
        <v>262315</v>
      </c>
      <c r="I108" s="16">
        <f t="shared" si="16"/>
        <v>0.6</v>
      </c>
      <c r="J108" s="16">
        <f t="shared" si="17"/>
        <v>270.34820849253839</v>
      </c>
      <c r="K108" s="66">
        <v>240434</v>
      </c>
      <c r="L108" s="16">
        <f t="shared" si="18"/>
        <v>0</v>
      </c>
      <c r="M108" s="16">
        <f t="shared" si="19"/>
        <v>0</v>
      </c>
      <c r="N108" s="16">
        <v>0</v>
      </c>
      <c r="O108" s="16">
        <f t="shared" si="20"/>
        <v>0</v>
      </c>
      <c r="P108" s="16">
        <f t="shared" si="21"/>
        <v>0</v>
      </c>
      <c r="Q108" s="16">
        <v>0</v>
      </c>
      <c r="R108" s="16">
        <f t="shared" si="22"/>
        <v>0</v>
      </c>
      <c r="S108" s="16">
        <f t="shared" si="23"/>
        <v>0</v>
      </c>
    </row>
    <row r="109" spans="1:19" x14ac:dyDescent="0.3">
      <c r="A109" s="65">
        <v>20180607</v>
      </c>
      <c r="B109" s="65" t="s">
        <v>88</v>
      </c>
      <c r="C109" s="139">
        <f t="shared" si="12"/>
        <v>111649576.13583481</v>
      </c>
      <c r="D109" s="139">
        <f t="shared" si="13"/>
        <v>4.621944962591106E-3</v>
      </c>
      <c r="E109" s="66">
        <v>50600</v>
      </c>
      <c r="F109" s="16">
        <f t="shared" si="14"/>
        <v>0.4</v>
      </c>
      <c r="G109" s="16">
        <f t="shared" si="15"/>
        <v>784.00627205017645</v>
      </c>
      <c r="H109" s="66">
        <v>266245</v>
      </c>
      <c r="I109" s="16">
        <f t="shared" si="16"/>
        <v>0.6</v>
      </c>
      <c r="J109" s="16">
        <f t="shared" si="17"/>
        <v>270.34820849253839</v>
      </c>
      <c r="K109" s="66">
        <v>252309</v>
      </c>
      <c r="L109" s="16">
        <f t="shared" si="18"/>
        <v>0</v>
      </c>
      <c r="M109" s="16">
        <f t="shared" si="19"/>
        <v>0</v>
      </c>
      <c r="N109" s="16">
        <v>0</v>
      </c>
      <c r="O109" s="16">
        <f t="shared" si="20"/>
        <v>0</v>
      </c>
      <c r="P109" s="16">
        <f t="shared" si="21"/>
        <v>0</v>
      </c>
      <c r="Q109" s="16">
        <v>0</v>
      </c>
      <c r="R109" s="16">
        <f t="shared" si="22"/>
        <v>0</v>
      </c>
      <c r="S109" s="16">
        <f t="shared" si="23"/>
        <v>0</v>
      </c>
    </row>
    <row r="110" spans="1:19" x14ac:dyDescent="0.3">
      <c r="A110" s="65">
        <v>20180608</v>
      </c>
      <c r="B110" s="65" t="s">
        <v>88</v>
      </c>
      <c r="C110" s="139">
        <f t="shared" si="12"/>
        <v>110506276.91806914</v>
      </c>
      <c r="D110" s="139">
        <f t="shared" si="13"/>
        <v>-1.0240067695149298E-2</v>
      </c>
      <c r="E110" s="66">
        <v>49650</v>
      </c>
      <c r="F110" s="16">
        <f t="shared" si="14"/>
        <v>0.4</v>
      </c>
      <c r="G110" s="16">
        <f t="shared" si="15"/>
        <v>784.00627205017645</v>
      </c>
      <c r="H110" s="66">
        <v>264771</v>
      </c>
      <c r="I110" s="16">
        <f t="shared" si="16"/>
        <v>0.6</v>
      </c>
      <c r="J110" s="16">
        <f t="shared" si="17"/>
        <v>270.34820849253839</v>
      </c>
      <c r="K110" s="66">
        <v>243673</v>
      </c>
      <c r="L110" s="16">
        <f t="shared" si="18"/>
        <v>0</v>
      </c>
      <c r="M110" s="16">
        <f t="shared" si="19"/>
        <v>0</v>
      </c>
      <c r="N110" s="16">
        <v>0</v>
      </c>
      <c r="O110" s="16">
        <f t="shared" si="20"/>
        <v>0</v>
      </c>
      <c r="P110" s="16">
        <f t="shared" si="21"/>
        <v>0</v>
      </c>
      <c r="Q110" s="16">
        <v>0</v>
      </c>
      <c r="R110" s="16">
        <f t="shared" si="22"/>
        <v>0</v>
      </c>
      <c r="S110" s="16">
        <f t="shared" si="23"/>
        <v>0</v>
      </c>
    </row>
    <row r="111" spans="1:19" x14ac:dyDescent="0.3">
      <c r="A111" s="65">
        <v>20180611</v>
      </c>
      <c r="B111" s="65" t="s">
        <v>88</v>
      </c>
      <c r="C111" s="139">
        <f t="shared" si="12"/>
        <v>110171314.60460234</v>
      </c>
      <c r="D111" s="139">
        <f t="shared" si="13"/>
        <v>-3.0311609693913395E-3</v>
      </c>
      <c r="E111" s="66">
        <v>49900</v>
      </c>
      <c r="F111" s="16">
        <f t="shared" si="14"/>
        <v>0.4</v>
      </c>
      <c r="G111" s="16">
        <f t="shared" si="15"/>
        <v>784.00627205017645</v>
      </c>
      <c r="H111" s="66">
        <v>262807</v>
      </c>
      <c r="I111" s="16">
        <f t="shared" si="16"/>
        <v>0.6</v>
      </c>
      <c r="J111" s="16">
        <f t="shared" si="17"/>
        <v>270.34820849253839</v>
      </c>
      <c r="K111" s="66">
        <v>240434</v>
      </c>
      <c r="L111" s="16">
        <f t="shared" si="18"/>
        <v>0</v>
      </c>
      <c r="M111" s="16">
        <f t="shared" si="19"/>
        <v>0</v>
      </c>
      <c r="N111" s="16">
        <v>0</v>
      </c>
      <c r="O111" s="16">
        <f t="shared" si="20"/>
        <v>0</v>
      </c>
      <c r="P111" s="16">
        <f t="shared" si="21"/>
        <v>0</v>
      </c>
      <c r="Q111" s="16">
        <v>0</v>
      </c>
      <c r="R111" s="16">
        <f t="shared" si="22"/>
        <v>0</v>
      </c>
      <c r="S111" s="16">
        <f t="shared" si="23"/>
        <v>0</v>
      </c>
    </row>
    <row r="112" spans="1:19" x14ac:dyDescent="0.3">
      <c r="A112" s="65">
        <v>20180612</v>
      </c>
      <c r="B112" s="65" t="s">
        <v>88</v>
      </c>
      <c r="C112" s="139">
        <f t="shared" si="12"/>
        <v>111240002.83906244</v>
      </c>
      <c r="D112" s="139">
        <f t="shared" si="13"/>
        <v>9.7002403783194649E-3</v>
      </c>
      <c r="E112" s="66">
        <v>49400</v>
      </c>
      <c r="F112" s="16">
        <f t="shared" si="14"/>
        <v>0.4</v>
      </c>
      <c r="G112" s="16">
        <f t="shared" si="15"/>
        <v>784.00627205017645</v>
      </c>
      <c r="H112" s="66">
        <v>268210</v>
      </c>
      <c r="I112" s="16">
        <f t="shared" si="16"/>
        <v>0.6</v>
      </c>
      <c r="J112" s="16">
        <f t="shared" si="17"/>
        <v>270.34820849253839</v>
      </c>
      <c r="K112" s="66">
        <v>241906</v>
      </c>
      <c r="L112" s="16">
        <f t="shared" si="18"/>
        <v>0</v>
      </c>
      <c r="M112" s="16">
        <f t="shared" si="19"/>
        <v>0</v>
      </c>
      <c r="N112" s="16">
        <v>0</v>
      </c>
      <c r="O112" s="16">
        <f t="shared" si="20"/>
        <v>0</v>
      </c>
      <c r="P112" s="16">
        <f t="shared" si="21"/>
        <v>0</v>
      </c>
      <c r="Q112" s="16">
        <v>0</v>
      </c>
      <c r="R112" s="16">
        <f t="shared" si="22"/>
        <v>0</v>
      </c>
      <c r="S112" s="16">
        <f t="shared" si="23"/>
        <v>0</v>
      </c>
    </row>
    <row r="113" spans="1:19" x14ac:dyDescent="0.3">
      <c r="A113" s="65">
        <v>20180614</v>
      </c>
      <c r="B113" s="65" t="s">
        <v>88</v>
      </c>
      <c r="C113" s="139">
        <f t="shared" si="12"/>
        <v>112158379.9424054</v>
      </c>
      <c r="D113" s="139">
        <f t="shared" si="13"/>
        <v>8.2558169714507853E-3</v>
      </c>
      <c r="E113" s="66">
        <v>48200</v>
      </c>
      <c r="F113" s="16">
        <f t="shared" si="14"/>
        <v>0.4</v>
      </c>
      <c r="G113" s="16">
        <f t="shared" si="15"/>
        <v>784.00627205017645</v>
      </c>
      <c r="H113" s="66">
        <v>275087</v>
      </c>
      <c r="I113" s="16">
        <f t="shared" si="16"/>
        <v>0.6</v>
      </c>
      <c r="J113" s="16">
        <f t="shared" si="17"/>
        <v>270.34820849253839</v>
      </c>
      <c r="K113" s="66">
        <v>231700</v>
      </c>
      <c r="L113" s="16">
        <f t="shared" si="18"/>
        <v>0</v>
      </c>
      <c r="M113" s="16">
        <f t="shared" si="19"/>
        <v>0</v>
      </c>
      <c r="N113" s="16">
        <v>0</v>
      </c>
      <c r="O113" s="16">
        <f t="shared" si="20"/>
        <v>0</v>
      </c>
      <c r="P113" s="16">
        <f t="shared" si="21"/>
        <v>0</v>
      </c>
      <c r="Q113" s="16">
        <v>0</v>
      </c>
      <c r="R113" s="16">
        <f t="shared" si="22"/>
        <v>0</v>
      </c>
      <c r="S113" s="16">
        <f t="shared" si="23"/>
        <v>0</v>
      </c>
    </row>
    <row r="114" spans="1:19" x14ac:dyDescent="0.3">
      <c r="A114" s="65">
        <v>20180615</v>
      </c>
      <c r="B114" s="65" t="s">
        <v>88</v>
      </c>
      <c r="C114" s="139">
        <f t="shared" si="12"/>
        <v>116641025.53033818</v>
      </c>
      <c r="D114" s="139">
        <f t="shared" si="13"/>
        <v>3.996710357473663E-2</v>
      </c>
      <c r="E114" s="66">
        <v>47650</v>
      </c>
      <c r="F114" s="16">
        <f t="shared" si="14"/>
        <v>0.4</v>
      </c>
      <c r="G114" s="16">
        <f t="shared" si="15"/>
        <v>784.00627205017645</v>
      </c>
      <c r="H114" s="66">
        <v>293263</v>
      </c>
      <c r="I114" s="16">
        <f t="shared" si="16"/>
        <v>0.6</v>
      </c>
      <c r="J114" s="16">
        <f t="shared" si="17"/>
        <v>270.34820849253839</v>
      </c>
      <c r="K114" s="66">
        <v>228363</v>
      </c>
      <c r="L114" s="16">
        <f t="shared" si="18"/>
        <v>0</v>
      </c>
      <c r="M114" s="16">
        <f t="shared" si="19"/>
        <v>0</v>
      </c>
      <c r="N114" s="16">
        <v>0</v>
      </c>
      <c r="O114" s="16">
        <f t="shared" si="20"/>
        <v>0</v>
      </c>
      <c r="P114" s="16">
        <f t="shared" si="21"/>
        <v>0</v>
      </c>
      <c r="Q114" s="16">
        <v>0</v>
      </c>
      <c r="R114" s="16">
        <f t="shared" si="22"/>
        <v>0</v>
      </c>
      <c r="S114" s="16">
        <f t="shared" si="23"/>
        <v>0</v>
      </c>
    </row>
    <row r="115" spans="1:19" x14ac:dyDescent="0.3">
      <c r="A115" s="65">
        <v>20180618</v>
      </c>
      <c r="B115" s="65" t="s">
        <v>88</v>
      </c>
      <c r="C115" s="139">
        <f t="shared" si="12"/>
        <v>117544262.60411885</v>
      </c>
      <c r="D115" s="139">
        <f t="shared" si="13"/>
        <v>7.7437339878818189E-3</v>
      </c>
      <c r="E115" s="66">
        <v>46600</v>
      </c>
      <c r="F115" s="16">
        <f t="shared" si="14"/>
        <v>0.4</v>
      </c>
      <c r="G115" s="16">
        <f t="shared" si="15"/>
        <v>784.00627205017645</v>
      </c>
      <c r="H115" s="66">
        <v>299649</v>
      </c>
      <c r="I115" s="16">
        <f t="shared" si="16"/>
        <v>0.6</v>
      </c>
      <c r="J115" s="16">
        <f t="shared" si="17"/>
        <v>270.34820849253839</v>
      </c>
      <c r="K115" s="66">
        <v>214821</v>
      </c>
      <c r="L115" s="16">
        <f t="shared" si="18"/>
        <v>0</v>
      </c>
      <c r="M115" s="16">
        <f t="shared" si="19"/>
        <v>0</v>
      </c>
      <c r="N115" s="16">
        <v>0</v>
      </c>
      <c r="O115" s="16">
        <f t="shared" si="20"/>
        <v>0</v>
      </c>
      <c r="P115" s="16">
        <f t="shared" si="21"/>
        <v>0</v>
      </c>
      <c r="Q115" s="16">
        <v>0</v>
      </c>
      <c r="R115" s="16">
        <f t="shared" si="22"/>
        <v>0</v>
      </c>
      <c r="S115" s="16">
        <f t="shared" si="23"/>
        <v>0</v>
      </c>
    </row>
    <row r="116" spans="1:19" x14ac:dyDescent="0.3">
      <c r="A116" s="65">
        <v>20180619</v>
      </c>
      <c r="B116" s="65" t="s">
        <v>88</v>
      </c>
      <c r="C116" s="139">
        <f t="shared" si="12"/>
        <v>113209768.36432672</v>
      </c>
      <c r="D116" s="139">
        <f t="shared" si="13"/>
        <v>-3.6875421596632263E-2</v>
      </c>
      <c r="E116" s="66">
        <v>47000</v>
      </c>
      <c r="F116" s="16">
        <f t="shared" si="14"/>
        <v>0.4</v>
      </c>
      <c r="G116" s="16">
        <f t="shared" si="15"/>
        <v>784.00627205017645</v>
      </c>
      <c r="H116" s="66">
        <v>282456</v>
      </c>
      <c r="I116" s="16">
        <f t="shared" si="16"/>
        <v>0.6</v>
      </c>
      <c r="J116" s="16">
        <f t="shared" si="17"/>
        <v>270.34820849253839</v>
      </c>
      <c r="K116" s="66">
        <v>218157</v>
      </c>
      <c r="L116" s="16">
        <f t="shared" si="18"/>
        <v>0</v>
      </c>
      <c r="M116" s="16">
        <f t="shared" si="19"/>
        <v>0</v>
      </c>
      <c r="N116" s="16">
        <v>0</v>
      </c>
      <c r="O116" s="16">
        <f t="shared" si="20"/>
        <v>0</v>
      </c>
      <c r="P116" s="16">
        <f t="shared" si="21"/>
        <v>0</v>
      </c>
      <c r="Q116" s="16">
        <v>0</v>
      </c>
      <c r="R116" s="16">
        <f t="shared" si="22"/>
        <v>0</v>
      </c>
      <c r="S116" s="16">
        <f t="shared" si="23"/>
        <v>0</v>
      </c>
    </row>
    <row r="117" spans="1:19" x14ac:dyDescent="0.3">
      <c r="A117" s="65">
        <v>20180620</v>
      </c>
      <c r="B117" s="65" t="s">
        <v>88</v>
      </c>
      <c r="C117" s="139">
        <f t="shared" si="12"/>
        <v>115732928.19418758</v>
      </c>
      <c r="D117" s="139">
        <f t="shared" si="13"/>
        <v>2.2287474537894501E-2</v>
      </c>
      <c r="E117" s="66">
        <v>47000</v>
      </c>
      <c r="F117" s="16">
        <f t="shared" si="14"/>
        <v>0.4</v>
      </c>
      <c r="G117" s="16">
        <f t="shared" si="15"/>
        <v>784.00627205017645</v>
      </c>
      <c r="H117" s="66">
        <v>291789</v>
      </c>
      <c r="I117" s="16">
        <f t="shared" si="16"/>
        <v>0.6</v>
      </c>
      <c r="J117" s="16">
        <f t="shared" si="17"/>
        <v>270.34820849253839</v>
      </c>
      <c r="K117" s="66">
        <v>230032</v>
      </c>
      <c r="L117" s="16">
        <f t="shared" si="18"/>
        <v>0</v>
      </c>
      <c r="M117" s="16">
        <f t="shared" si="19"/>
        <v>0</v>
      </c>
      <c r="N117" s="16">
        <v>0</v>
      </c>
      <c r="O117" s="16">
        <f t="shared" si="20"/>
        <v>0</v>
      </c>
      <c r="P117" s="16">
        <f t="shared" si="21"/>
        <v>0</v>
      </c>
      <c r="Q117" s="16">
        <v>0</v>
      </c>
      <c r="R117" s="16">
        <f t="shared" si="22"/>
        <v>0</v>
      </c>
      <c r="S117" s="16">
        <f t="shared" si="23"/>
        <v>0</v>
      </c>
    </row>
    <row r="118" spans="1:19" x14ac:dyDescent="0.3">
      <c r="A118" s="65">
        <v>20180621</v>
      </c>
      <c r="B118" s="65" t="s">
        <v>88</v>
      </c>
      <c r="C118" s="139">
        <f t="shared" si="12"/>
        <v>114444178.10767473</v>
      </c>
      <c r="D118" s="139">
        <f t="shared" si="13"/>
        <v>-1.1135552401737064E-2</v>
      </c>
      <c r="E118" s="66">
        <v>47050</v>
      </c>
      <c r="F118" s="16">
        <f t="shared" si="14"/>
        <v>0.4</v>
      </c>
      <c r="G118" s="16">
        <f t="shared" si="15"/>
        <v>784.00627205017645</v>
      </c>
      <c r="H118" s="66">
        <v>286877</v>
      </c>
      <c r="I118" s="16">
        <f t="shared" si="16"/>
        <v>0.6</v>
      </c>
      <c r="J118" s="16">
        <f t="shared" si="17"/>
        <v>270.34820849253839</v>
      </c>
      <c r="K118" s="66">
        <v>226695</v>
      </c>
      <c r="L118" s="16">
        <f t="shared" si="18"/>
        <v>0</v>
      </c>
      <c r="M118" s="16">
        <f t="shared" si="19"/>
        <v>0</v>
      </c>
      <c r="N118" s="16">
        <v>0</v>
      </c>
      <c r="O118" s="16">
        <f t="shared" si="20"/>
        <v>0</v>
      </c>
      <c r="P118" s="16">
        <f t="shared" si="21"/>
        <v>0</v>
      </c>
      <c r="Q118" s="16">
        <v>0</v>
      </c>
      <c r="R118" s="16">
        <f t="shared" si="22"/>
        <v>0</v>
      </c>
      <c r="S118" s="16">
        <f t="shared" si="23"/>
        <v>0</v>
      </c>
    </row>
    <row r="119" spans="1:19" x14ac:dyDescent="0.3">
      <c r="A119" s="65">
        <v>20180622</v>
      </c>
      <c r="B119" s="65" t="s">
        <v>88</v>
      </c>
      <c r="C119" s="139">
        <f t="shared" si="12"/>
        <v>115530436.50288212</v>
      </c>
      <c r="D119" s="139">
        <f t="shared" si="13"/>
        <v>9.4916002995397864E-3</v>
      </c>
      <c r="E119" s="66">
        <v>47250</v>
      </c>
      <c r="F119" s="16">
        <f t="shared" si="14"/>
        <v>0.4</v>
      </c>
      <c r="G119" s="16">
        <f t="shared" si="15"/>
        <v>784.00627205017645</v>
      </c>
      <c r="H119" s="66">
        <v>290315</v>
      </c>
      <c r="I119" s="16">
        <f t="shared" si="16"/>
        <v>0.6</v>
      </c>
      <c r="J119" s="16">
        <f t="shared" si="17"/>
        <v>270.34820849253839</v>
      </c>
      <c r="K119" s="66">
        <v>227677</v>
      </c>
      <c r="L119" s="16">
        <f t="shared" si="18"/>
        <v>0</v>
      </c>
      <c r="M119" s="16">
        <f t="shared" si="19"/>
        <v>0</v>
      </c>
      <c r="N119" s="16">
        <v>0</v>
      </c>
      <c r="O119" s="16">
        <f t="shared" si="20"/>
        <v>0</v>
      </c>
      <c r="P119" s="16">
        <f t="shared" si="21"/>
        <v>0</v>
      </c>
      <c r="Q119" s="16">
        <v>0</v>
      </c>
      <c r="R119" s="16">
        <f t="shared" si="22"/>
        <v>0</v>
      </c>
      <c r="S119" s="16">
        <f t="shared" si="23"/>
        <v>0</v>
      </c>
    </row>
    <row r="120" spans="1:19" x14ac:dyDescent="0.3">
      <c r="A120" s="65">
        <v>20180625</v>
      </c>
      <c r="B120" s="65" t="s">
        <v>88</v>
      </c>
      <c r="C120" s="139">
        <f t="shared" si="12"/>
        <v>115193044.05823034</v>
      </c>
      <c r="D120" s="139">
        <f t="shared" si="13"/>
        <v>-2.9203771306045884E-3</v>
      </c>
      <c r="E120" s="66">
        <v>46650</v>
      </c>
      <c r="F120" s="16">
        <f t="shared" si="14"/>
        <v>0.4</v>
      </c>
      <c r="G120" s="16">
        <f t="shared" si="15"/>
        <v>784.00627205017645</v>
      </c>
      <c r="H120" s="66">
        <v>290807</v>
      </c>
      <c r="I120" s="16">
        <f t="shared" si="16"/>
        <v>0.6</v>
      </c>
      <c r="J120" s="16">
        <f t="shared" si="17"/>
        <v>270.34820849253839</v>
      </c>
      <c r="K120" s="66">
        <v>226597</v>
      </c>
      <c r="L120" s="16">
        <f t="shared" si="18"/>
        <v>0</v>
      </c>
      <c r="M120" s="16">
        <f t="shared" si="19"/>
        <v>0</v>
      </c>
      <c r="N120" s="16">
        <v>0</v>
      </c>
      <c r="O120" s="16">
        <f t="shared" si="20"/>
        <v>0</v>
      </c>
      <c r="P120" s="16">
        <f t="shared" si="21"/>
        <v>0</v>
      </c>
      <c r="Q120" s="16">
        <v>0</v>
      </c>
      <c r="R120" s="16">
        <f t="shared" si="22"/>
        <v>0</v>
      </c>
      <c r="S120" s="16">
        <f t="shared" si="23"/>
        <v>0</v>
      </c>
    </row>
    <row r="121" spans="1:19" x14ac:dyDescent="0.3">
      <c r="A121" s="65">
        <v>20180626</v>
      </c>
      <c r="B121" s="65" t="s">
        <v>88</v>
      </c>
      <c r="C121" s="139">
        <f t="shared" si="12"/>
        <v>116795396.65356326</v>
      </c>
      <c r="D121" s="139">
        <f t="shared" si="13"/>
        <v>1.3910150638287913E-2</v>
      </c>
      <c r="E121" s="66">
        <v>47000</v>
      </c>
      <c r="F121" s="16">
        <f t="shared" si="14"/>
        <v>0.4</v>
      </c>
      <c r="G121" s="16">
        <f t="shared" si="15"/>
        <v>784.00627205017645</v>
      </c>
      <c r="H121" s="66">
        <v>295719</v>
      </c>
      <c r="I121" s="16">
        <f t="shared" si="16"/>
        <v>0.6</v>
      </c>
      <c r="J121" s="16">
        <f t="shared" si="17"/>
        <v>270.34820849253839</v>
      </c>
      <c r="K121" s="66">
        <v>219629</v>
      </c>
      <c r="L121" s="16">
        <f t="shared" si="18"/>
        <v>0</v>
      </c>
      <c r="M121" s="16">
        <f t="shared" si="19"/>
        <v>0</v>
      </c>
      <c r="N121" s="16">
        <v>0</v>
      </c>
      <c r="O121" s="16">
        <f t="shared" si="20"/>
        <v>0</v>
      </c>
      <c r="P121" s="16">
        <f t="shared" si="21"/>
        <v>0</v>
      </c>
      <c r="Q121" s="16">
        <v>0</v>
      </c>
      <c r="R121" s="16">
        <f t="shared" si="22"/>
        <v>0</v>
      </c>
      <c r="S121" s="16">
        <f t="shared" si="23"/>
        <v>0</v>
      </c>
    </row>
    <row r="122" spans="1:19" x14ac:dyDescent="0.3">
      <c r="A122" s="65">
        <v>20180627</v>
      </c>
      <c r="B122" s="65" t="s">
        <v>88</v>
      </c>
      <c r="C122" s="139">
        <f t="shared" si="12"/>
        <v>117805684.55275059</v>
      </c>
      <c r="D122" s="139">
        <f t="shared" si="13"/>
        <v>8.6500660825188785E-3</v>
      </c>
      <c r="E122" s="66">
        <v>47950</v>
      </c>
      <c r="F122" s="16">
        <f t="shared" si="14"/>
        <v>0.4</v>
      </c>
      <c r="G122" s="16">
        <f t="shared" si="15"/>
        <v>784.00627205017645</v>
      </c>
      <c r="H122" s="66">
        <v>296701</v>
      </c>
      <c r="I122" s="16">
        <f t="shared" si="16"/>
        <v>0.6</v>
      </c>
      <c r="J122" s="16">
        <f t="shared" si="17"/>
        <v>270.34820849253839</v>
      </c>
      <c r="K122" s="66">
        <v>222868</v>
      </c>
      <c r="L122" s="16">
        <f t="shared" si="18"/>
        <v>0</v>
      </c>
      <c r="M122" s="16">
        <f t="shared" si="19"/>
        <v>0</v>
      </c>
      <c r="N122" s="16">
        <v>0</v>
      </c>
      <c r="O122" s="16">
        <f t="shared" si="20"/>
        <v>0</v>
      </c>
      <c r="P122" s="16">
        <f t="shared" si="21"/>
        <v>0</v>
      </c>
      <c r="Q122" s="16">
        <v>0</v>
      </c>
      <c r="R122" s="16">
        <f t="shared" si="22"/>
        <v>0</v>
      </c>
      <c r="S122" s="16">
        <f t="shared" si="23"/>
        <v>0</v>
      </c>
    </row>
    <row r="123" spans="1:19" x14ac:dyDescent="0.3">
      <c r="A123" s="65">
        <v>20180628</v>
      </c>
      <c r="B123" s="65" t="s">
        <v>88</v>
      </c>
      <c r="C123" s="139">
        <f t="shared" si="12"/>
        <v>115841608.88051721</v>
      </c>
      <c r="D123" s="139">
        <f t="shared" si="13"/>
        <v>-1.6672163823757642E-2</v>
      </c>
      <c r="E123" s="66">
        <v>46800</v>
      </c>
      <c r="F123" s="16">
        <f t="shared" si="14"/>
        <v>0.4</v>
      </c>
      <c r="G123" s="16">
        <f t="shared" si="15"/>
        <v>784.00627205017645</v>
      </c>
      <c r="H123" s="66">
        <v>292771</v>
      </c>
      <c r="I123" s="16">
        <f t="shared" si="16"/>
        <v>0.6</v>
      </c>
      <c r="J123" s="16">
        <f t="shared" si="17"/>
        <v>270.34820849253839</v>
      </c>
      <c r="K123" s="66">
        <v>223359</v>
      </c>
      <c r="L123" s="16">
        <f t="shared" si="18"/>
        <v>0</v>
      </c>
      <c r="M123" s="16">
        <f t="shared" si="19"/>
        <v>0</v>
      </c>
      <c r="N123" s="16">
        <v>0</v>
      </c>
      <c r="O123" s="16">
        <f t="shared" si="20"/>
        <v>0</v>
      </c>
      <c r="P123" s="16">
        <f t="shared" si="21"/>
        <v>0</v>
      </c>
      <c r="Q123" s="16">
        <v>0</v>
      </c>
      <c r="R123" s="16">
        <f t="shared" si="22"/>
        <v>0</v>
      </c>
      <c r="S123" s="16">
        <f t="shared" si="23"/>
        <v>0</v>
      </c>
    </row>
    <row r="124" spans="1:19" x14ac:dyDescent="0.3">
      <c r="A124" s="65">
        <v>20180629</v>
      </c>
      <c r="B124" s="65" t="s">
        <v>88</v>
      </c>
      <c r="C124" s="139">
        <f t="shared" si="12"/>
        <v>117184969.65840337</v>
      </c>
      <c r="D124" s="139">
        <f t="shared" si="13"/>
        <v>1.1596530735961532E-2</v>
      </c>
      <c r="E124" s="66">
        <v>46650</v>
      </c>
      <c r="F124" s="16">
        <f t="shared" si="14"/>
        <v>0.4</v>
      </c>
      <c r="G124" s="16">
        <f t="shared" si="15"/>
        <v>784.00627205017645</v>
      </c>
      <c r="H124" s="66">
        <v>298175</v>
      </c>
      <c r="I124" s="16">
        <f t="shared" si="16"/>
        <v>0.6</v>
      </c>
      <c r="J124" s="16">
        <f t="shared" si="17"/>
        <v>270.34820849253839</v>
      </c>
      <c r="K124" s="66">
        <v>231209</v>
      </c>
      <c r="L124" s="16">
        <f t="shared" si="18"/>
        <v>0</v>
      </c>
      <c r="M124" s="16">
        <f t="shared" si="19"/>
        <v>0</v>
      </c>
      <c r="N124" s="16">
        <v>0</v>
      </c>
      <c r="O124" s="16">
        <f t="shared" si="20"/>
        <v>0</v>
      </c>
      <c r="P124" s="16">
        <f t="shared" si="21"/>
        <v>0</v>
      </c>
      <c r="Q124" s="16">
        <v>0</v>
      </c>
      <c r="R124" s="16">
        <f t="shared" si="22"/>
        <v>0</v>
      </c>
      <c r="S124" s="16">
        <f t="shared" si="23"/>
        <v>0</v>
      </c>
    </row>
    <row r="125" spans="1:19" x14ac:dyDescent="0.3">
      <c r="A125" s="121">
        <v>20180702</v>
      </c>
      <c r="B125" s="121" t="s">
        <v>89</v>
      </c>
      <c r="C125" s="139">
        <f t="shared" si="12"/>
        <v>114333841.89093845</v>
      </c>
      <c r="D125" s="139">
        <f t="shared" si="13"/>
        <v>-2.4330148958317931E-2</v>
      </c>
      <c r="E125" s="136">
        <v>45550</v>
      </c>
      <c r="F125" s="137">
        <v>0.4</v>
      </c>
      <c r="G125" s="137">
        <f>C124*F125/E124</f>
        <v>1004.8014547344341</v>
      </c>
      <c r="H125" s="136">
        <v>298175</v>
      </c>
      <c r="I125" s="137">
        <v>0.3</v>
      </c>
      <c r="J125" s="137">
        <f>C124*I125/H124</f>
        <v>117.90220809095669</v>
      </c>
      <c r="K125" s="136">
        <v>219727</v>
      </c>
      <c r="L125" s="137">
        <v>0.3</v>
      </c>
      <c r="M125" s="137">
        <f>C124*L125/K124</f>
        <v>152.05070260033568</v>
      </c>
      <c r="N125" s="137">
        <v>0</v>
      </c>
      <c r="O125" s="137">
        <v>0</v>
      </c>
      <c r="P125" s="137">
        <f>IFERROR(C124*O125/N124,0)</f>
        <v>0</v>
      </c>
      <c r="Q125" s="137">
        <v>0</v>
      </c>
      <c r="R125" s="137">
        <v>0</v>
      </c>
      <c r="S125" s="137">
        <f>IFERROR(C124*R125/Q124,0)</f>
        <v>0</v>
      </c>
    </row>
    <row r="126" spans="1:19" x14ac:dyDescent="0.3">
      <c r="A126" s="65">
        <v>20180703</v>
      </c>
      <c r="B126" s="65" t="s">
        <v>88</v>
      </c>
      <c r="C126" s="139">
        <f t="shared" si="12"/>
        <v>114595410.26995942</v>
      </c>
      <c r="D126" s="139">
        <f t="shared" si="13"/>
        <v>2.2877599028858025E-3</v>
      </c>
      <c r="E126" s="66">
        <v>46150</v>
      </c>
      <c r="F126" s="16">
        <f>$F$125</f>
        <v>0.4</v>
      </c>
      <c r="G126" s="16">
        <f>$G$125</f>
        <v>1004.8014547344341</v>
      </c>
      <c r="H126" s="66">
        <v>297684</v>
      </c>
      <c r="I126" s="16">
        <f>$I$125</f>
        <v>0.3</v>
      </c>
      <c r="J126" s="16">
        <f>$J$125</f>
        <v>117.90220809095669</v>
      </c>
      <c r="K126" s="66">
        <v>217863</v>
      </c>
      <c r="L126" s="16">
        <f>$L$125</f>
        <v>0.3</v>
      </c>
      <c r="M126" s="16">
        <f>$M$125</f>
        <v>152.05070260033568</v>
      </c>
      <c r="N126" s="16">
        <v>0</v>
      </c>
      <c r="O126" s="16">
        <f>$O$125</f>
        <v>0</v>
      </c>
      <c r="P126" s="16">
        <f>$P$125</f>
        <v>0</v>
      </c>
      <c r="Q126" s="16">
        <v>0</v>
      </c>
      <c r="R126" s="16">
        <f>$R$125</f>
        <v>0</v>
      </c>
      <c r="S126" s="16">
        <f>$S$125</f>
        <v>0</v>
      </c>
    </row>
    <row r="127" spans="1:19" x14ac:dyDescent="0.3">
      <c r="A127" s="65">
        <v>20180704</v>
      </c>
      <c r="B127" s="65" t="s">
        <v>88</v>
      </c>
      <c r="C127" s="139">
        <f t="shared" si="12"/>
        <v>112393781.93432561</v>
      </c>
      <c r="D127" s="139">
        <f t="shared" si="13"/>
        <v>-1.9212185989362956E-2</v>
      </c>
      <c r="E127" s="66">
        <v>46250</v>
      </c>
      <c r="F127" s="16">
        <f t="shared" ref="F127:F190" si="24">$F$125</f>
        <v>0.4</v>
      </c>
      <c r="G127" s="16">
        <f t="shared" ref="G127:G190" si="25">$G$125</f>
        <v>1004.8014547344341</v>
      </c>
      <c r="H127" s="66">
        <v>286385</v>
      </c>
      <c r="I127" s="16">
        <f t="shared" ref="I127:I190" si="26">$I$125</f>
        <v>0.3</v>
      </c>
      <c r="J127" s="16">
        <f t="shared" ref="J127:J190" si="27">$J$125</f>
        <v>117.90220809095669</v>
      </c>
      <c r="K127" s="66">
        <v>211484</v>
      </c>
      <c r="L127" s="16">
        <f t="shared" ref="L127:L190" si="28">$L$125</f>
        <v>0.3</v>
      </c>
      <c r="M127" s="16">
        <f t="shared" ref="M127:M190" si="29">$M$125</f>
        <v>152.05070260033568</v>
      </c>
      <c r="N127" s="16">
        <v>0</v>
      </c>
      <c r="O127" s="16">
        <f t="shared" ref="O127:O190" si="30">$O$125</f>
        <v>0</v>
      </c>
      <c r="P127" s="16">
        <f t="shared" ref="P127:P190" si="31">$P$125</f>
        <v>0</v>
      </c>
      <c r="Q127" s="16">
        <v>0</v>
      </c>
      <c r="R127" s="16">
        <f t="shared" ref="R127:R190" si="32">$R$125</f>
        <v>0</v>
      </c>
      <c r="S127" s="16">
        <f t="shared" ref="S127:S190" si="33">$S$125</f>
        <v>0</v>
      </c>
    </row>
    <row r="128" spans="1:19" x14ac:dyDescent="0.3">
      <c r="A128" s="65">
        <v>20180705</v>
      </c>
      <c r="B128" s="65" t="s">
        <v>88</v>
      </c>
      <c r="C128" s="139">
        <f t="shared" si="12"/>
        <v>110051830.6956145</v>
      </c>
      <c r="D128" s="139">
        <f t="shared" si="13"/>
        <v>-2.0837017835021891E-2</v>
      </c>
      <c r="E128" s="66">
        <v>45950</v>
      </c>
      <c r="F128" s="16">
        <f t="shared" si="24"/>
        <v>0.4</v>
      </c>
      <c r="G128" s="16">
        <f t="shared" si="25"/>
        <v>1004.8014547344341</v>
      </c>
      <c r="H128" s="66">
        <v>277052</v>
      </c>
      <c r="I128" s="16">
        <f t="shared" si="26"/>
        <v>0.3</v>
      </c>
      <c r="J128" s="16">
        <f t="shared" si="27"/>
        <v>117.90220809095669</v>
      </c>
      <c r="K128" s="66">
        <v>205301</v>
      </c>
      <c r="L128" s="16">
        <f t="shared" si="28"/>
        <v>0.3</v>
      </c>
      <c r="M128" s="16">
        <f t="shared" si="29"/>
        <v>152.05070260033568</v>
      </c>
      <c r="N128" s="16">
        <v>0</v>
      </c>
      <c r="O128" s="16">
        <f t="shared" si="30"/>
        <v>0</v>
      </c>
      <c r="P128" s="16">
        <f t="shared" si="31"/>
        <v>0</v>
      </c>
      <c r="Q128" s="16">
        <v>0</v>
      </c>
      <c r="R128" s="16">
        <f t="shared" si="32"/>
        <v>0</v>
      </c>
      <c r="S128" s="16">
        <f t="shared" si="33"/>
        <v>0</v>
      </c>
    </row>
    <row r="129" spans="1:19" x14ac:dyDescent="0.3">
      <c r="A129" s="65">
        <v>20180706</v>
      </c>
      <c r="B129" s="65" t="s">
        <v>88</v>
      </c>
      <c r="C129" s="139">
        <f t="shared" si="12"/>
        <v>111044459.63682601</v>
      </c>
      <c r="D129" s="139">
        <f t="shared" si="13"/>
        <v>9.0196495136637689E-3</v>
      </c>
      <c r="E129" s="66">
        <v>44900</v>
      </c>
      <c r="F129" s="16">
        <f t="shared" si="24"/>
        <v>0.4</v>
      </c>
      <c r="G129" s="16">
        <f t="shared" si="25"/>
        <v>1004.8014547344341</v>
      </c>
      <c r="H129" s="66">
        <v>284421</v>
      </c>
      <c r="I129" s="16">
        <f t="shared" si="26"/>
        <v>0.3</v>
      </c>
      <c r="J129" s="16">
        <f t="shared" si="27"/>
        <v>117.90220809095669</v>
      </c>
      <c r="K129" s="66">
        <v>213054</v>
      </c>
      <c r="L129" s="16">
        <f t="shared" si="28"/>
        <v>0.3</v>
      </c>
      <c r="M129" s="16">
        <f t="shared" si="29"/>
        <v>152.05070260033568</v>
      </c>
      <c r="N129" s="16">
        <v>0</v>
      </c>
      <c r="O129" s="16">
        <f t="shared" si="30"/>
        <v>0</v>
      </c>
      <c r="P129" s="16">
        <f t="shared" si="31"/>
        <v>0</v>
      </c>
      <c r="Q129" s="16">
        <v>0</v>
      </c>
      <c r="R129" s="16">
        <f t="shared" si="32"/>
        <v>0</v>
      </c>
      <c r="S129" s="16">
        <f t="shared" si="33"/>
        <v>0</v>
      </c>
    </row>
    <row r="130" spans="1:19" x14ac:dyDescent="0.3">
      <c r="A130" s="65">
        <v>20180709</v>
      </c>
      <c r="B130" s="65" t="s">
        <v>88</v>
      </c>
      <c r="C130" s="139">
        <f t="shared" si="12"/>
        <v>112841622.32101879</v>
      </c>
      <c r="D130" s="139">
        <f t="shared" si="13"/>
        <v>1.6184172448318872E-2</v>
      </c>
      <c r="E130" s="66">
        <v>45600</v>
      </c>
      <c r="F130" s="16">
        <f t="shared" si="24"/>
        <v>0.4</v>
      </c>
      <c r="G130" s="16">
        <f t="shared" si="25"/>
        <v>1004.8014547344341</v>
      </c>
      <c r="H130" s="66">
        <v>279017</v>
      </c>
      <c r="I130" s="16">
        <f t="shared" si="26"/>
        <v>0.3</v>
      </c>
      <c r="J130" s="16">
        <f t="shared" si="27"/>
        <v>117.90220809095669</v>
      </c>
      <c r="K130" s="66">
        <v>224438</v>
      </c>
      <c r="L130" s="16">
        <f t="shared" si="28"/>
        <v>0.3</v>
      </c>
      <c r="M130" s="16">
        <f t="shared" si="29"/>
        <v>152.05070260033568</v>
      </c>
      <c r="N130" s="16">
        <v>0</v>
      </c>
      <c r="O130" s="16">
        <f t="shared" si="30"/>
        <v>0</v>
      </c>
      <c r="P130" s="16">
        <f t="shared" si="31"/>
        <v>0</v>
      </c>
      <c r="Q130" s="16">
        <v>0</v>
      </c>
      <c r="R130" s="16">
        <f t="shared" si="32"/>
        <v>0</v>
      </c>
      <c r="S130" s="16">
        <f t="shared" si="33"/>
        <v>0</v>
      </c>
    </row>
    <row r="131" spans="1:19" x14ac:dyDescent="0.3">
      <c r="A131" s="65">
        <v>20180710</v>
      </c>
      <c r="B131" s="65" t="s">
        <v>88</v>
      </c>
      <c r="C131" s="139">
        <f t="shared" si="12"/>
        <v>113540703.96785781</v>
      </c>
      <c r="D131" s="139">
        <f t="shared" si="13"/>
        <v>6.1952463325122371E-3</v>
      </c>
      <c r="E131" s="66">
        <v>46300</v>
      </c>
      <c r="F131" s="16">
        <f t="shared" si="24"/>
        <v>0.4</v>
      </c>
      <c r="G131" s="16">
        <f t="shared" si="25"/>
        <v>1004.8014547344341</v>
      </c>
      <c r="H131" s="66">
        <v>276070</v>
      </c>
      <c r="I131" s="16">
        <f t="shared" si="26"/>
        <v>0.3</v>
      </c>
      <c r="J131" s="16">
        <f t="shared" si="27"/>
        <v>117.90220809095669</v>
      </c>
      <c r="K131" s="66">
        <v>226695</v>
      </c>
      <c r="L131" s="16">
        <f t="shared" si="28"/>
        <v>0.3</v>
      </c>
      <c r="M131" s="16">
        <f t="shared" si="29"/>
        <v>152.05070260033568</v>
      </c>
      <c r="N131" s="16">
        <v>0</v>
      </c>
      <c r="O131" s="16">
        <f t="shared" si="30"/>
        <v>0</v>
      </c>
      <c r="P131" s="16">
        <f t="shared" si="31"/>
        <v>0</v>
      </c>
      <c r="Q131" s="16">
        <v>0</v>
      </c>
      <c r="R131" s="16">
        <f t="shared" si="32"/>
        <v>0</v>
      </c>
      <c r="S131" s="16">
        <f t="shared" si="33"/>
        <v>0</v>
      </c>
    </row>
    <row r="132" spans="1:19" x14ac:dyDescent="0.3">
      <c r="A132" s="65">
        <v>20180711</v>
      </c>
      <c r="B132" s="65" t="s">
        <v>88</v>
      </c>
      <c r="C132" s="139">
        <f t="shared" si="12"/>
        <v>112121218.86176105</v>
      </c>
      <c r="D132" s="139">
        <f t="shared" si="13"/>
        <v>-1.2501993175052014E-2</v>
      </c>
      <c r="E132" s="66">
        <v>46000</v>
      </c>
      <c r="F132" s="16">
        <f t="shared" si="24"/>
        <v>0.4</v>
      </c>
      <c r="G132" s="16">
        <f t="shared" si="25"/>
        <v>1004.8014547344341</v>
      </c>
      <c r="H132" s="66">
        <v>271649</v>
      </c>
      <c r="I132" s="16">
        <f t="shared" si="26"/>
        <v>0.3</v>
      </c>
      <c r="J132" s="16">
        <f t="shared" si="27"/>
        <v>117.90220809095669</v>
      </c>
      <c r="K132" s="66">
        <v>222770</v>
      </c>
      <c r="L132" s="16">
        <f t="shared" si="28"/>
        <v>0.3</v>
      </c>
      <c r="M132" s="16">
        <f t="shared" si="29"/>
        <v>152.05070260033568</v>
      </c>
      <c r="N132" s="16">
        <v>0</v>
      </c>
      <c r="O132" s="16">
        <f t="shared" si="30"/>
        <v>0</v>
      </c>
      <c r="P132" s="16">
        <f t="shared" si="31"/>
        <v>0</v>
      </c>
      <c r="Q132" s="16">
        <v>0</v>
      </c>
      <c r="R132" s="16">
        <f t="shared" si="32"/>
        <v>0</v>
      </c>
      <c r="S132" s="16">
        <f t="shared" si="33"/>
        <v>0</v>
      </c>
    </row>
    <row r="133" spans="1:19" x14ac:dyDescent="0.3">
      <c r="A133" s="65">
        <v>20180712</v>
      </c>
      <c r="B133" s="65" t="s">
        <v>88</v>
      </c>
      <c r="C133" s="139">
        <f t="shared" ref="C133:C196" si="34">E133*G133+H133*J133+K133*M133+N133*P133+Q133*S133</f>
        <v>113129840.95836604</v>
      </c>
      <c r="D133" s="139">
        <f t="shared" si="13"/>
        <v>8.9958181586356142E-3</v>
      </c>
      <c r="E133" s="66">
        <v>45500</v>
      </c>
      <c r="F133" s="16">
        <f t="shared" si="24"/>
        <v>0.4</v>
      </c>
      <c r="G133" s="16">
        <f t="shared" si="25"/>
        <v>1004.8014547344341</v>
      </c>
      <c r="H133" s="66">
        <v>282947</v>
      </c>
      <c r="I133" s="16">
        <f t="shared" si="26"/>
        <v>0.3</v>
      </c>
      <c r="J133" s="16">
        <f t="shared" si="27"/>
        <v>117.90220809095669</v>
      </c>
      <c r="K133" s="66">
        <v>223947</v>
      </c>
      <c r="L133" s="16">
        <f t="shared" si="28"/>
        <v>0.3</v>
      </c>
      <c r="M133" s="16">
        <f t="shared" si="29"/>
        <v>152.05070260033568</v>
      </c>
      <c r="N133" s="16">
        <v>0</v>
      </c>
      <c r="O133" s="16">
        <f t="shared" si="30"/>
        <v>0</v>
      </c>
      <c r="P133" s="16">
        <f t="shared" si="31"/>
        <v>0</v>
      </c>
      <c r="Q133" s="16">
        <v>0</v>
      </c>
      <c r="R133" s="16">
        <f t="shared" si="32"/>
        <v>0</v>
      </c>
      <c r="S133" s="16">
        <f t="shared" si="33"/>
        <v>0</v>
      </c>
    </row>
    <row r="134" spans="1:19" x14ac:dyDescent="0.3">
      <c r="A134" s="65">
        <v>20180713</v>
      </c>
      <c r="B134" s="65" t="s">
        <v>88</v>
      </c>
      <c r="C134" s="139">
        <f t="shared" si="34"/>
        <v>115223933.64652929</v>
      </c>
      <c r="D134" s="139">
        <f t="shared" ref="D134:D197" si="35">(C134-C133)/C133</f>
        <v>1.8510524459535986E-2</v>
      </c>
      <c r="E134" s="66">
        <v>46500</v>
      </c>
      <c r="F134" s="16">
        <f t="shared" si="24"/>
        <v>0.4</v>
      </c>
      <c r="G134" s="16">
        <f t="shared" si="25"/>
        <v>1004.8014547344341</v>
      </c>
      <c r="H134" s="66">
        <v>282947</v>
      </c>
      <c r="I134" s="16">
        <f t="shared" si="26"/>
        <v>0.3</v>
      </c>
      <c r="J134" s="16">
        <f t="shared" si="27"/>
        <v>117.90220809095669</v>
      </c>
      <c r="K134" s="66">
        <v>231111</v>
      </c>
      <c r="L134" s="16">
        <f t="shared" si="28"/>
        <v>0.3</v>
      </c>
      <c r="M134" s="16">
        <f t="shared" si="29"/>
        <v>152.05070260033568</v>
      </c>
      <c r="N134" s="16">
        <v>0</v>
      </c>
      <c r="O134" s="16">
        <f t="shared" si="30"/>
        <v>0</v>
      </c>
      <c r="P134" s="16">
        <f t="shared" si="31"/>
        <v>0</v>
      </c>
      <c r="Q134" s="16">
        <v>0</v>
      </c>
      <c r="R134" s="16">
        <f t="shared" si="32"/>
        <v>0</v>
      </c>
      <c r="S134" s="16">
        <f t="shared" si="33"/>
        <v>0</v>
      </c>
    </row>
    <row r="135" spans="1:19" x14ac:dyDescent="0.3">
      <c r="A135" s="65">
        <v>20180716</v>
      </c>
      <c r="B135" s="65" t="s">
        <v>88</v>
      </c>
      <c r="C135" s="139">
        <f t="shared" si="34"/>
        <v>116811466.35370234</v>
      </c>
      <c r="D135" s="139">
        <f t="shared" si="35"/>
        <v>1.3777803420972413E-2</v>
      </c>
      <c r="E135" s="66">
        <v>46050</v>
      </c>
      <c r="F135" s="16">
        <f t="shared" si="24"/>
        <v>0.4</v>
      </c>
      <c r="G135" s="16">
        <f t="shared" si="25"/>
        <v>1004.8014547344341</v>
      </c>
      <c r="H135" s="66">
        <v>288350</v>
      </c>
      <c r="I135" s="16">
        <f t="shared" si="26"/>
        <v>0.3</v>
      </c>
      <c r="J135" s="16">
        <f t="shared" si="27"/>
        <v>117.90220809095669</v>
      </c>
      <c r="K135" s="66">
        <v>240336</v>
      </c>
      <c r="L135" s="16">
        <f t="shared" si="28"/>
        <v>0.3</v>
      </c>
      <c r="M135" s="16">
        <f t="shared" si="29"/>
        <v>152.05070260033568</v>
      </c>
      <c r="N135" s="16">
        <v>0</v>
      </c>
      <c r="O135" s="16">
        <f t="shared" si="30"/>
        <v>0</v>
      </c>
      <c r="P135" s="16">
        <f t="shared" si="31"/>
        <v>0</v>
      </c>
      <c r="Q135" s="16">
        <v>0</v>
      </c>
      <c r="R135" s="16">
        <f t="shared" si="32"/>
        <v>0</v>
      </c>
      <c r="S135" s="16">
        <f t="shared" si="33"/>
        <v>0</v>
      </c>
    </row>
    <row r="136" spans="1:19" x14ac:dyDescent="0.3">
      <c r="A136" s="65">
        <v>20180717</v>
      </c>
      <c r="B136" s="65" t="s">
        <v>88</v>
      </c>
      <c r="C136" s="139">
        <f t="shared" si="34"/>
        <v>115484371.12743318</v>
      </c>
      <c r="D136" s="139">
        <f t="shared" si="35"/>
        <v>-1.136100134425796E-2</v>
      </c>
      <c r="E136" s="66">
        <v>45850</v>
      </c>
      <c r="F136" s="16">
        <f t="shared" si="24"/>
        <v>0.4</v>
      </c>
      <c r="G136" s="16">
        <f t="shared" si="25"/>
        <v>1004.8014547344341</v>
      </c>
      <c r="H136" s="66">
        <v>290315</v>
      </c>
      <c r="I136" s="16">
        <f t="shared" si="26"/>
        <v>0.3</v>
      </c>
      <c r="J136" s="16">
        <f t="shared" si="27"/>
        <v>117.90220809095669</v>
      </c>
      <c r="K136" s="66">
        <v>231406</v>
      </c>
      <c r="L136" s="16">
        <f t="shared" si="28"/>
        <v>0.3</v>
      </c>
      <c r="M136" s="16">
        <f t="shared" si="29"/>
        <v>152.05070260033568</v>
      </c>
      <c r="N136" s="16">
        <v>0</v>
      </c>
      <c r="O136" s="16">
        <f t="shared" si="30"/>
        <v>0</v>
      </c>
      <c r="P136" s="16">
        <f t="shared" si="31"/>
        <v>0</v>
      </c>
      <c r="Q136" s="16">
        <v>0</v>
      </c>
      <c r="R136" s="16">
        <f t="shared" si="32"/>
        <v>0</v>
      </c>
      <c r="S136" s="16">
        <f t="shared" si="33"/>
        <v>0</v>
      </c>
    </row>
    <row r="137" spans="1:19" x14ac:dyDescent="0.3">
      <c r="A137" s="65">
        <v>20180718</v>
      </c>
      <c r="B137" s="65" t="s">
        <v>88</v>
      </c>
      <c r="C137" s="139">
        <f t="shared" si="34"/>
        <v>115834129.02507888</v>
      </c>
      <c r="D137" s="139">
        <f t="shared" si="35"/>
        <v>3.0286167230347623E-3</v>
      </c>
      <c r="E137" s="66">
        <v>46550</v>
      </c>
      <c r="F137" s="16">
        <f t="shared" si="24"/>
        <v>0.4</v>
      </c>
      <c r="G137" s="16">
        <f t="shared" si="25"/>
        <v>1004.8014547344341</v>
      </c>
      <c r="H137" s="66">
        <v>284912</v>
      </c>
      <c r="I137" s="16">
        <f t="shared" si="26"/>
        <v>0.3</v>
      </c>
      <c r="J137" s="16">
        <f t="shared" si="27"/>
        <v>117.90220809095669</v>
      </c>
      <c r="K137" s="66">
        <v>233270</v>
      </c>
      <c r="L137" s="16">
        <f t="shared" si="28"/>
        <v>0.3</v>
      </c>
      <c r="M137" s="16">
        <f t="shared" si="29"/>
        <v>152.05070260033568</v>
      </c>
      <c r="N137" s="16">
        <v>0</v>
      </c>
      <c r="O137" s="16">
        <f t="shared" si="30"/>
        <v>0</v>
      </c>
      <c r="P137" s="16">
        <f t="shared" si="31"/>
        <v>0</v>
      </c>
      <c r="Q137" s="16">
        <v>0</v>
      </c>
      <c r="R137" s="16">
        <f t="shared" si="32"/>
        <v>0</v>
      </c>
      <c r="S137" s="16">
        <f t="shared" si="33"/>
        <v>0</v>
      </c>
    </row>
    <row r="138" spans="1:19" x14ac:dyDescent="0.3">
      <c r="A138" s="65">
        <v>20180719</v>
      </c>
      <c r="B138" s="65" t="s">
        <v>88</v>
      </c>
      <c r="C138" s="139">
        <f t="shared" si="34"/>
        <v>115116747.14259908</v>
      </c>
      <c r="D138" s="139">
        <f t="shared" si="35"/>
        <v>-6.1931823420063332E-3</v>
      </c>
      <c r="E138" s="66">
        <v>46900</v>
      </c>
      <c r="F138" s="16">
        <f t="shared" si="24"/>
        <v>0.4</v>
      </c>
      <c r="G138" s="16">
        <f t="shared" si="25"/>
        <v>1004.8014547344341</v>
      </c>
      <c r="H138" s="66">
        <v>283438</v>
      </c>
      <c r="I138" s="16">
        <f t="shared" si="26"/>
        <v>0.3</v>
      </c>
      <c r="J138" s="16">
        <f t="shared" si="27"/>
        <v>117.90220809095669</v>
      </c>
      <c r="K138" s="66">
        <v>227382</v>
      </c>
      <c r="L138" s="16">
        <f t="shared" si="28"/>
        <v>0.3</v>
      </c>
      <c r="M138" s="16">
        <f t="shared" si="29"/>
        <v>152.05070260033568</v>
      </c>
      <c r="N138" s="16">
        <v>0</v>
      </c>
      <c r="O138" s="16">
        <f t="shared" si="30"/>
        <v>0</v>
      </c>
      <c r="P138" s="16">
        <f t="shared" si="31"/>
        <v>0</v>
      </c>
      <c r="Q138" s="16">
        <v>0</v>
      </c>
      <c r="R138" s="16">
        <f t="shared" si="32"/>
        <v>0</v>
      </c>
      <c r="S138" s="16">
        <f t="shared" si="33"/>
        <v>0</v>
      </c>
    </row>
    <row r="139" spans="1:19" x14ac:dyDescent="0.3">
      <c r="A139" s="65">
        <v>20180720</v>
      </c>
      <c r="B139" s="65" t="s">
        <v>88</v>
      </c>
      <c r="C139" s="139">
        <f t="shared" si="34"/>
        <v>114232638.90203016</v>
      </c>
      <c r="D139" s="139">
        <f t="shared" si="35"/>
        <v>-7.680100962840321E-3</v>
      </c>
      <c r="E139" s="66">
        <v>47450</v>
      </c>
      <c r="F139" s="16">
        <f t="shared" si="24"/>
        <v>0.4</v>
      </c>
      <c r="G139" s="16">
        <f t="shared" si="25"/>
        <v>1004.8014547344341</v>
      </c>
      <c r="H139" s="66">
        <v>280491</v>
      </c>
      <c r="I139" s="16">
        <f t="shared" si="26"/>
        <v>0.3</v>
      </c>
      <c r="J139" s="16">
        <f t="shared" si="27"/>
        <v>117.90220809095669</v>
      </c>
      <c r="K139" s="66">
        <v>220218</v>
      </c>
      <c r="L139" s="16">
        <f t="shared" si="28"/>
        <v>0.3</v>
      </c>
      <c r="M139" s="16">
        <f t="shared" si="29"/>
        <v>152.05070260033568</v>
      </c>
      <c r="N139" s="16">
        <v>0</v>
      </c>
      <c r="O139" s="16">
        <f t="shared" si="30"/>
        <v>0</v>
      </c>
      <c r="P139" s="16">
        <f t="shared" si="31"/>
        <v>0</v>
      </c>
      <c r="Q139" s="16">
        <v>0</v>
      </c>
      <c r="R139" s="16">
        <f t="shared" si="32"/>
        <v>0</v>
      </c>
      <c r="S139" s="16">
        <f t="shared" si="33"/>
        <v>0</v>
      </c>
    </row>
    <row r="140" spans="1:19" x14ac:dyDescent="0.3">
      <c r="A140" s="65">
        <v>20180723</v>
      </c>
      <c r="B140" s="65" t="s">
        <v>88</v>
      </c>
      <c r="C140" s="139">
        <f t="shared" si="34"/>
        <v>108969809.49872985</v>
      </c>
      <c r="D140" s="139">
        <f t="shared" si="35"/>
        <v>-4.6071153165023915E-2</v>
      </c>
      <c r="E140" s="66">
        <v>46500</v>
      </c>
      <c r="F140" s="16">
        <f t="shared" si="24"/>
        <v>0.4</v>
      </c>
      <c r="G140" s="16">
        <f t="shared" si="25"/>
        <v>1004.8014547344341</v>
      </c>
      <c r="H140" s="66">
        <v>262807</v>
      </c>
      <c r="I140" s="16">
        <f t="shared" si="26"/>
        <v>0.3</v>
      </c>
      <c r="J140" s="16">
        <f t="shared" si="27"/>
        <v>117.90220809095669</v>
      </c>
      <c r="K140" s="66">
        <v>205596</v>
      </c>
      <c r="L140" s="16">
        <f t="shared" si="28"/>
        <v>0.3</v>
      </c>
      <c r="M140" s="16">
        <f t="shared" si="29"/>
        <v>152.05070260033568</v>
      </c>
      <c r="N140" s="16">
        <v>0</v>
      </c>
      <c r="O140" s="16">
        <f t="shared" si="30"/>
        <v>0</v>
      </c>
      <c r="P140" s="16">
        <f t="shared" si="31"/>
        <v>0</v>
      </c>
      <c r="Q140" s="16">
        <v>0</v>
      </c>
      <c r="R140" s="16">
        <f t="shared" si="32"/>
        <v>0</v>
      </c>
      <c r="S140" s="16">
        <f t="shared" si="33"/>
        <v>0</v>
      </c>
    </row>
    <row r="141" spans="1:19" x14ac:dyDescent="0.3">
      <c r="A141" s="65">
        <v>20180724</v>
      </c>
      <c r="B141" s="65" t="s">
        <v>88</v>
      </c>
      <c r="C141" s="139">
        <f t="shared" si="34"/>
        <v>107552528.52892381</v>
      </c>
      <c r="D141" s="139">
        <f t="shared" si="35"/>
        <v>-1.3006180118380083E-2</v>
      </c>
      <c r="E141" s="66">
        <v>46150</v>
      </c>
      <c r="F141" s="16">
        <f t="shared" si="24"/>
        <v>0.4</v>
      </c>
      <c r="G141" s="16">
        <f t="shared" si="25"/>
        <v>1004.8014547344341</v>
      </c>
      <c r="H141" s="66">
        <v>260350</v>
      </c>
      <c r="I141" s="16">
        <f t="shared" si="26"/>
        <v>0.3</v>
      </c>
      <c r="J141" s="16">
        <f t="shared" si="27"/>
        <v>117.90220809095669</v>
      </c>
      <c r="K141" s="66">
        <v>200493</v>
      </c>
      <c r="L141" s="16">
        <f t="shared" si="28"/>
        <v>0.3</v>
      </c>
      <c r="M141" s="16">
        <f t="shared" si="29"/>
        <v>152.05070260033568</v>
      </c>
      <c r="N141" s="16">
        <v>0</v>
      </c>
      <c r="O141" s="16">
        <f t="shared" si="30"/>
        <v>0</v>
      </c>
      <c r="P141" s="16">
        <f t="shared" si="31"/>
        <v>0</v>
      </c>
      <c r="Q141" s="16">
        <v>0</v>
      </c>
      <c r="R141" s="16">
        <f t="shared" si="32"/>
        <v>0</v>
      </c>
      <c r="S141" s="16">
        <f t="shared" si="33"/>
        <v>0</v>
      </c>
    </row>
    <row r="142" spans="1:19" x14ac:dyDescent="0.3">
      <c r="A142" s="65">
        <v>20180725</v>
      </c>
      <c r="B142" s="65" t="s">
        <v>88</v>
      </c>
      <c r="C142" s="139">
        <f t="shared" si="34"/>
        <v>104334217.13083467</v>
      </c>
      <c r="D142" s="139">
        <f t="shared" si="35"/>
        <v>-2.9923158870445794E-2</v>
      </c>
      <c r="E142" s="66">
        <v>46150</v>
      </c>
      <c r="F142" s="16">
        <f t="shared" si="24"/>
        <v>0.4</v>
      </c>
      <c r="G142" s="16">
        <f t="shared" si="25"/>
        <v>1004.8014547344341</v>
      </c>
      <c r="H142" s="66">
        <v>246596</v>
      </c>
      <c r="I142" s="16">
        <f t="shared" si="26"/>
        <v>0.3</v>
      </c>
      <c r="J142" s="16">
        <f t="shared" si="27"/>
        <v>117.90220809095669</v>
      </c>
      <c r="K142" s="66">
        <v>189992</v>
      </c>
      <c r="L142" s="16">
        <f t="shared" si="28"/>
        <v>0.3</v>
      </c>
      <c r="M142" s="16">
        <f t="shared" si="29"/>
        <v>152.05070260033568</v>
      </c>
      <c r="N142" s="16">
        <v>0</v>
      </c>
      <c r="O142" s="16">
        <f t="shared" si="30"/>
        <v>0</v>
      </c>
      <c r="P142" s="16">
        <f t="shared" si="31"/>
        <v>0</v>
      </c>
      <c r="Q142" s="16">
        <v>0</v>
      </c>
      <c r="R142" s="16">
        <f t="shared" si="32"/>
        <v>0</v>
      </c>
      <c r="S142" s="16">
        <f t="shared" si="33"/>
        <v>0</v>
      </c>
    </row>
    <row r="143" spans="1:19" x14ac:dyDescent="0.3">
      <c r="A143" s="65">
        <v>20180726</v>
      </c>
      <c r="B143" s="65" t="s">
        <v>88</v>
      </c>
      <c r="C143" s="139">
        <f t="shared" si="34"/>
        <v>106209594.77546048</v>
      </c>
      <c r="D143" s="139">
        <f t="shared" si="35"/>
        <v>1.7974713341396879E-2</v>
      </c>
      <c r="E143" s="66">
        <v>46900</v>
      </c>
      <c r="F143" s="16">
        <f t="shared" si="24"/>
        <v>0.4</v>
      </c>
      <c r="G143" s="16">
        <f t="shared" si="25"/>
        <v>1004.8014547344341</v>
      </c>
      <c r="H143" s="66">
        <v>250035</v>
      </c>
      <c r="I143" s="16">
        <f t="shared" si="26"/>
        <v>0.3</v>
      </c>
      <c r="J143" s="16">
        <f t="shared" si="27"/>
        <v>117.90220809095669</v>
      </c>
      <c r="K143" s="66">
        <v>194703</v>
      </c>
      <c r="L143" s="16">
        <f t="shared" si="28"/>
        <v>0.3</v>
      </c>
      <c r="M143" s="16">
        <f t="shared" si="29"/>
        <v>152.05070260033568</v>
      </c>
      <c r="N143" s="16">
        <v>0</v>
      </c>
      <c r="O143" s="16">
        <f t="shared" si="30"/>
        <v>0</v>
      </c>
      <c r="P143" s="16">
        <f t="shared" si="31"/>
        <v>0</v>
      </c>
      <c r="Q143" s="16">
        <v>0</v>
      </c>
      <c r="R143" s="16">
        <f t="shared" si="32"/>
        <v>0</v>
      </c>
      <c r="S143" s="16">
        <f t="shared" si="33"/>
        <v>0</v>
      </c>
    </row>
    <row r="144" spans="1:19" x14ac:dyDescent="0.3">
      <c r="A144" s="65">
        <v>20180727</v>
      </c>
      <c r="B144" s="65" t="s">
        <v>88</v>
      </c>
      <c r="C144" s="139">
        <f t="shared" si="34"/>
        <v>106605335.32246496</v>
      </c>
      <c r="D144" s="139">
        <f t="shared" si="35"/>
        <v>3.7260338657832E-3</v>
      </c>
      <c r="E144" s="66">
        <v>46900</v>
      </c>
      <c r="F144" s="16">
        <f t="shared" si="24"/>
        <v>0.4</v>
      </c>
      <c r="G144" s="16">
        <f t="shared" si="25"/>
        <v>1004.8014547344341</v>
      </c>
      <c r="H144" s="66">
        <v>252000</v>
      </c>
      <c r="I144" s="16">
        <f t="shared" si="26"/>
        <v>0.3</v>
      </c>
      <c r="J144" s="16">
        <f t="shared" si="27"/>
        <v>117.90220809095669</v>
      </c>
      <c r="K144" s="66">
        <v>195782</v>
      </c>
      <c r="L144" s="16">
        <f t="shared" si="28"/>
        <v>0.3</v>
      </c>
      <c r="M144" s="16">
        <f t="shared" si="29"/>
        <v>152.05070260033568</v>
      </c>
      <c r="N144" s="16">
        <v>0</v>
      </c>
      <c r="O144" s="16">
        <f t="shared" si="30"/>
        <v>0</v>
      </c>
      <c r="P144" s="16">
        <f t="shared" si="31"/>
        <v>0</v>
      </c>
      <c r="Q144" s="16">
        <v>0</v>
      </c>
      <c r="R144" s="16">
        <f t="shared" si="32"/>
        <v>0</v>
      </c>
      <c r="S144" s="16">
        <f t="shared" si="33"/>
        <v>0</v>
      </c>
    </row>
    <row r="145" spans="1:19" x14ac:dyDescent="0.3">
      <c r="A145" s="65">
        <v>20180730</v>
      </c>
      <c r="B145" s="65" t="s">
        <v>88</v>
      </c>
      <c r="C145" s="139">
        <f t="shared" si="34"/>
        <v>105302694.4285152</v>
      </c>
      <c r="D145" s="139">
        <f t="shared" si="35"/>
        <v>-1.2219284241351252E-2</v>
      </c>
      <c r="E145" s="66">
        <v>46500</v>
      </c>
      <c r="F145" s="16">
        <f t="shared" si="24"/>
        <v>0.4</v>
      </c>
      <c r="G145" s="16">
        <f t="shared" si="25"/>
        <v>1004.8014547344341</v>
      </c>
      <c r="H145" s="66">
        <v>253473</v>
      </c>
      <c r="I145" s="16">
        <f t="shared" si="26"/>
        <v>0.3</v>
      </c>
      <c r="J145" s="16">
        <f t="shared" si="27"/>
        <v>117.90220809095669</v>
      </c>
      <c r="K145" s="66">
        <v>188716</v>
      </c>
      <c r="L145" s="16">
        <f t="shared" si="28"/>
        <v>0.3</v>
      </c>
      <c r="M145" s="16">
        <f t="shared" si="29"/>
        <v>152.05070260033568</v>
      </c>
      <c r="N145" s="16">
        <v>0</v>
      </c>
      <c r="O145" s="16">
        <f t="shared" si="30"/>
        <v>0</v>
      </c>
      <c r="P145" s="16">
        <f t="shared" si="31"/>
        <v>0</v>
      </c>
      <c r="Q145" s="16">
        <v>0</v>
      </c>
      <c r="R145" s="16">
        <f t="shared" si="32"/>
        <v>0</v>
      </c>
      <c r="S145" s="16">
        <f t="shared" si="33"/>
        <v>0</v>
      </c>
    </row>
    <row r="146" spans="1:19" x14ac:dyDescent="0.3">
      <c r="A146" s="65">
        <v>20180731</v>
      </c>
      <c r="B146" s="65" t="s">
        <v>88</v>
      </c>
      <c r="C146" s="139">
        <f t="shared" si="34"/>
        <v>107704522.28417075</v>
      </c>
      <c r="D146" s="139">
        <f t="shared" si="35"/>
        <v>2.2808797711116817E-2</v>
      </c>
      <c r="E146" s="66">
        <v>46250</v>
      </c>
      <c r="F146" s="16">
        <f t="shared" si="24"/>
        <v>0.4</v>
      </c>
      <c r="G146" s="16">
        <f t="shared" si="25"/>
        <v>1004.8014547344341</v>
      </c>
      <c r="H146" s="66">
        <v>266736</v>
      </c>
      <c r="I146" s="16">
        <f t="shared" si="26"/>
        <v>0.3</v>
      </c>
      <c r="J146" s="16">
        <f t="shared" si="27"/>
        <v>117.90220809095669</v>
      </c>
      <c r="K146" s="66">
        <v>195880</v>
      </c>
      <c r="L146" s="16">
        <f t="shared" si="28"/>
        <v>0.3</v>
      </c>
      <c r="M146" s="16">
        <f t="shared" si="29"/>
        <v>152.05070260033568</v>
      </c>
      <c r="N146" s="16">
        <v>0</v>
      </c>
      <c r="O146" s="16">
        <f t="shared" si="30"/>
        <v>0</v>
      </c>
      <c r="P146" s="16">
        <f t="shared" si="31"/>
        <v>0</v>
      </c>
      <c r="Q146" s="16">
        <v>0</v>
      </c>
      <c r="R146" s="16">
        <f t="shared" si="32"/>
        <v>0</v>
      </c>
      <c r="S146" s="16">
        <f t="shared" si="33"/>
        <v>0</v>
      </c>
    </row>
    <row r="147" spans="1:19" x14ac:dyDescent="0.3">
      <c r="A147" s="65">
        <v>20180801</v>
      </c>
      <c r="B147" s="65" t="s">
        <v>88</v>
      </c>
      <c r="C147" s="139">
        <f t="shared" si="34"/>
        <v>110182600.23522723</v>
      </c>
      <c r="D147" s="139">
        <f t="shared" si="35"/>
        <v>2.3008114223080137E-2</v>
      </c>
      <c r="E147" s="66">
        <v>46550</v>
      </c>
      <c r="F147" s="16">
        <f t="shared" si="24"/>
        <v>0.4</v>
      </c>
      <c r="G147" s="16">
        <f t="shared" si="25"/>
        <v>1004.8014547344341</v>
      </c>
      <c r="H147" s="66">
        <v>275578</v>
      </c>
      <c r="I147" s="16">
        <f t="shared" si="26"/>
        <v>0.3</v>
      </c>
      <c r="J147" s="16">
        <f t="shared" si="27"/>
        <v>117.90220809095669</v>
      </c>
      <c r="K147" s="66">
        <v>203339</v>
      </c>
      <c r="L147" s="16">
        <f t="shared" si="28"/>
        <v>0.3</v>
      </c>
      <c r="M147" s="16">
        <f t="shared" si="29"/>
        <v>152.05070260033568</v>
      </c>
      <c r="N147" s="16">
        <v>0</v>
      </c>
      <c r="O147" s="16">
        <f t="shared" si="30"/>
        <v>0</v>
      </c>
      <c r="P147" s="16">
        <f t="shared" si="31"/>
        <v>0</v>
      </c>
      <c r="Q147" s="16">
        <v>0</v>
      </c>
      <c r="R147" s="16">
        <f t="shared" si="32"/>
        <v>0</v>
      </c>
      <c r="S147" s="16">
        <f t="shared" si="33"/>
        <v>0</v>
      </c>
    </row>
    <row r="148" spans="1:19" x14ac:dyDescent="0.3">
      <c r="A148" s="65">
        <v>20180802</v>
      </c>
      <c r="B148" s="65" t="s">
        <v>88</v>
      </c>
      <c r="C148" s="139">
        <f t="shared" si="34"/>
        <v>107965533.76383227</v>
      </c>
      <c r="D148" s="139">
        <f t="shared" si="35"/>
        <v>-2.0121747595915989E-2</v>
      </c>
      <c r="E148" s="66">
        <v>45550</v>
      </c>
      <c r="F148" s="16">
        <f t="shared" si="24"/>
        <v>0.4</v>
      </c>
      <c r="G148" s="16">
        <f t="shared" si="25"/>
        <v>1004.8014547344341</v>
      </c>
      <c r="H148" s="66">
        <v>276561</v>
      </c>
      <c r="I148" s="16">
        <f t="shared" si="26"/>
        <v>0.3</v>
      </c>
      <c r="J148" s="16">
        <f t="shared" si="27"/>
        <v>117.90220809095669</v>
      </c>
      <c r="K148" s="66">
        <v>194604</v>
      </c>
      <c r="L148" s="16">
        <f t="shared" si="28"/>
        <v>0.3</v>
      </c>
      <c r="M148" s="16">
        <f t="shared" si="29"/>
        <v>152.05070260033568</v>
      </c>
      <c r="N148" s="16">
        <v>0</v>
      </c>
      <c r="O148" s="16">
        <f t="shared" si="30"/>
        <v>0</v>
      </c>
      <c r="P148" s="16">
        <f t="shared" si="31"/>
        <v>0</v>
      </c>
      <c r="Q148" s="16">
        <v>0</v>
      </c>
      <c r="R148" s="16">
        <f t="shared" si="32"/>
        <v>0</v>
      </c>
      <c r="S148" s="16">
        <f t="shared" si="33"/>
        <v>0</v>
      </c>
    </row>
    <row r="149" spans="1:19" x14ac:dyDescent="0.3">
      <c r="A149" s="65">
        <v>20180803</v>
      </c>
      <c r="B149" s="65" t="s">
        <v>88</v>
      </c>
      <c r="C149" s="139">
        <f t="shared" si="34"/>
        <v>109453263.91571385</v>
      </c>
      <c r="D149" s="139">
        <f t="shared" si="35"/>
        <v>1.3779676717348432E-2</v>
      </c>
      <c r="E149" s="66">
        <v>45750</v>
      </c>
      <c r="F149" s="16">
        <f t="shared" si="24"/>
        <v>0.4</v>
      </c>
      <c r="G149" s="16">
        <f t="shared" si="25"/>
        <v>1004.8014547344341</v>
      </c>
      <c r="H149" s="66">
        <v>275578</v>
      </c>
      <c r="I149" s="16">
        <f t="shared" si="26"/>
        <v>0.3</v>
      </c>
      <c r="J149" s="16">
        <f t="shared" si="27"/>
        <v>117.90220809095669</v>
      </c>
      <c r="K149" s="66">
        <v>203829</v>
      </c>
      <c r="L149" s="16">
        <f t="shared" si="28"/>
        <v>0.3</v>
      </c>
      <c r="M149" s="16">
        <f t="shared" si="29"/>
        <v>152.05070260033568</v>
      </c>
      <c r="N149" s="16">
        <v>0</v>
      </c>
      <c r="O149" s="16">
        <f t="shared" si="30"/>
        <v>0</v>
      </c>
      <c r="P149" s="16">
        <f t="shared" si="31"/>
        <v>0</v>
      </c>
      <c r="Q149" s="16">
        <v>0</v>
      </c>
      <c r="R149" s="16">
        <f t="shared" si="32"/>
        <v>0</v>
      </c>
      <c r="S149" s="16">
        <f t="shared" si="33"/>
        <v>0</v>
      </c>
    </row>
    <row r="150" spans="1:19" x14ac:dyDescent="0.3">
      <c r="A150" s="65">
        <v>20180806</v>
      </c>
      <c r="B150" s="65" t="s">
        <v>88</v>
      </c>
      <c r="C150" s="139">
        <f t="shared" si="34"/>
        <v>107407668.68221556</v>
      </c>
      <c r="D150" s="139">
        <f t="shared" si="35"/>
        <v>-1.8689211818055346E-2</v>
      </c>
      <c r="E150" s="66">
        <v>45800</v>
      </c>
      <c r="F150" s="16">
        <f t="shared" si="24"/>
        <v>0.4</v>
      </c>
      <c r="G150" s="16">
        <f t="shared" si="25"/>
        <v>1004.8014547344341</v>
      </c>
      <c r="H150" s="66">
        <v>269192</v>
      </c>
      <c r="I150" s="16">
        <f t="shared" si="26"/>
        <v>0.3</v>
      </c>
      <c r="J150" s="16">
        <f t="shared" si="27"/>
        <v>117.90220809095669</v>
      </c>
      <c r="K150" s="66">
        <v>194997</v>
      </c>
      <c r="L150" s="16">
        <f t="shared" si="28"/>
        <v>0.3</v>
      </c>
      <c r="M150" s="16">
        <f t="shared" si="29"/>
        <v>152.05070260033568</v>
      </c>
      <c r="N150" s="16">
        <v>0</v>
      </c>
      <c r="O150" s="16">
        <f t="shared" si="30"/>
        <v>0</v>
      </c>
      <c r="P150" s="16">
        <f t="shared" si="31"/>
        <v>0</v>
      </c>
      <c r="Q150" s="16">
        <v>0</v>
      </c>
      <c r="R150" s="16">
        <f t="shared" si="32"/>
        <v>0</v>
      </c>
      <c r="S150" s="16">
        <f t="shared" si="33"/>
        <v>0</v>
      </c>
    </row>
    <row r="151" spans="1:19" x14ac:dyDescent="0.3">
      <c r="A151" s="65">
        <v>20180807</v>
      </c>
      <c r="B151" s="65" t="s">
        <v>88</v>
      </c>
      <c r="C151" s="139">
        <f t="shared" si="34"/>
        <v>109354830.27859966</v>
      </c>
      <c r="D151" s="139">
        <f t="shared" si="35"/>
        <v>1.8128701798240564E-2</v>
      </c>
      <c r="E151" s="66">
        <v>46700</v>
      </c>
      <c r="F151" s="16">
        <f t="shared" si="24"/>
        <v>0.4</v>
      </c>
      <c r="G151" s="16">
        <f t="shared" si="25"/>
        <v>1004.8014547344341</v>
      </c>
      <c r="H151" s="66">
        <v>269684</v>
      </c>
      <c r="I151" s="16">
        <f t="shared" si="26"/>
        <v>0.3</v>
      </c>
      <c r="J151" s="16">
        <f t="shared" si="27"/>
        <v>117.90220809095669</v>
      </c>
      <c r="K151" s="66">
        <v>201474</v>
      </c>
      <c r="L151" s="16">
        <f t="shared" si="28"/>
        <v>0.3</v>
      </c>
      <c r="M151" s="16">
        <f t="shared" si="29"/>
        <v>152.05070260033568</v>
      </c>
      <c r="N151" s="16">
        <v>0</v>
      </c>
      <c r="O151" s="16">
        <f t="shared" si="30"/>
        <v>0</v>
      </c>
      <c r="P151" s="16">
        <f t="shared" si="31"/>
        <v>0</v>
      </c>
      <c r="Q151" s="16">
        <v>0</v>
      </c>
      <c r="R151" s="16">
        <f t="shared" si="32"/>
        <v>0</v>
      </c>
      <c r="S151" s="16">
        <f t="shared" si="33"/>
        <v>0</v>
      </c>
    </row>
    <row r="152" spans="1:19" x14ac:dyDescent="0.3">
      <c r="A152" s="65">
        <v>20180808</v>
      </c>
      <c r="B152" s="65" t="s">
        <v>88</v>
      </c>
      <c r="C152" s="139">
        <f t="shared" si="34"/>
        <v>108688850.88241322</v>
      </c>
      <c r="D152" s="139">
        <f t="shared" si="35"/>
        <v>-6.0900775438062276E-3</v>
      </c>
      <c r="E152" s="66">
        <v>46800</v>
      </c>
      <c r="F152" s="16">
        <f t="shared" si="24"/>
        <v>0.4</v>
      </c>
      <c r="G152" s="16">
        <f t="shared" si="25"/>
        <v>1004.8014547344341</v>
      </c>
      <c r="H152" s="66">
        <v>271157</v>
      </c>
      <c r="I152" s="16">
        <f t="shared" si="26"/>
        <v>0.3</v>
      </c>
      <c r="J152" s="16">
        <f t="shared" si="27"/>
        <v>117.90220809095669</v>
      </c>
      <c r="K152" s="66">
        <v>195291</v>
      </c>
      <c r="L152" s="16">
        <f t="shared" si="28"/>
        <v>0.3</v>
      </c>
      <c r="M152" s="16">
        <f t="shared" si="29"/>
        <v>152.05070260033568</v>
      </c>
      <c r="N152" s="16">
        <v>0</v>
      </c>
      <c r="O152" s="16">
        <f t="shared" si="30"/>
        <v>0</v>
      </c>
      <c r="P152" s="16">
        <f t="shared" si="31"/>
        <v>0</v>
      </c>
      <c r="Q152" s="16">
        <v>0</v>
      </c>
      <c r="R152" s="16">
        <f t="shared" si="32"/>
        <v>0</v>
      </c>
      <c r="S152" s="16">
        <f t="shared" si="33"/>
        <v>0</v>
      </c>
    </row>
    <row r="153" spans="1:19" x14ac:dyDescent="0.3">
      <c r="A153" s="65">
        <v>20180809</v>
      </c>
      <c r="B153" s="65" t="s">
        <v>88</v>
      </c>
      <c r="C153" s="139">
        <f t="shared" si="34"/>
        <v>109520542.85669167</v>
      </c>
      <c r="D153" s="139">
        <f t="shared" si="35"/>
        <v>7.6520449662148817E-3</v>
      </c>
      <c r="E153" s="66">
        <v>46900</v>
      </c>
      <c r="F153" s="16">
        <f t="shared" si="24"/>
        <v>0.4</v>
      </c>
      <c r="G153" s="16">
        <f t="shared" si="25"/>
        <v>1004.8014547344341</v>
      </c>
      <c r="H153" s="66">
        <v>271157</v>
      </c>
      <c r="I153" s="16">
        <f t="shared" si="26"/>
        <v>0.3</v>
      </c>
      <c r="J153" s="16">
        <f t="shared" si="27"/>
        <v>117.90220809095669</v>
      </c>
      <c r="K153" s="66">
        <v>200100</v>
      </c>
      <c r="L153" s="16">
        <f t="shared" si="28"/>
        <v>0.3</v>
      </c>
      <c r="M153" s="16">
        <f t="shared" si="29"/>
        <v>152.05070260033568</v>
      </c>
      <c r="N153" s="16">
        <v>0</v>
      </c>
      <c r="O153" s="16">
        <f t="shared" si="30"/>
        <v>0</v>
      </c>
      <c r="P153" s="16">
        <f t="shared" si="31"/>
        <v>0</v>
      </c>
      <c r="Q153" s="16">
        <v>0</v>
      </c>
      <c r="R153" s="16">
        <f t="shared" si="32"/>
        <v>0</v>
      </c>
      <c r="S153" s="16">
        <f t="shared" si="33"/>
        <v>0</v>
      </c>
    </row>
    <row r="154" spans="1:19" x14ac:dyDescent="0.3">
      <c r="A154" s="65">
        <v>20180810</v>
      </c>
      <c r="B154" s="65" t="s">
        <v>88</v>
      </c>
      <c r="C154" s="139">
        <f t="shared" si="34"/>
        <v>107341185.23362778</v>
      </c>
      <c r="D154" s="139">
        <f t="shared" si="35"/>
        <v>-1.989907615702376E-2</v>
      </c>
      <c r="E154" s="66">
        <v>45400</v>
      </c>
      <c r="F154" s="16">
        <f t="shared" si="24"/>
        <v>0.4</v>
      </c>
      <c r="G154" s="16">
        <f t="shared" si="25"/>
        <v>1004.8014547344341</v>
      </c>
      <c r="H154" s="66">
        <v>267228</v>
      </c>
      <c r="I154" s="16">
        <f t="shared" si="26"/>
        <v>0.3</v>
      </c>
      <c r="J154" s="16">
        <f t="shared" si="27"/>
        <v>117.90220809095669</v>
      </c>
      <c r="K154" s="66">
        <v>198726</v>
      </c>
      <c r="L154" s="16">
        <f t="shared" si="28"/>
        <v>0.3</v>
      </c>
      <c r="M154" s="16">
        <f t="shared" si="29"/>
        <v>152.05070260033568</v>
      </c>
      <c r="N154" s="16">
        <v>0</v>
      </c>
      <c r="O154" s="16">
        <f t="shared" si="30"/>
        <v>0</v>
      </c>
      <c r="P154" s="16">
        <f t="shared" si="31"/>
        <v>0</v>
      </c>
      <c r="Q154" s="16">
        <v>0</v>
      </c>
      <c r="R154" s="16">
        <f t="shared" si="32"/>
        <v>0</v>
      </c>
      <c r="S154" s="16">
        <f t="shared" si="33"/>
        <v>0</v>
      </c>
    </row>
    <row r="155" spans="1:19" x14ac:dyDescent="0.3">
      <c r="A155" s="65">
        <v>20180813</v>
      </c>
      <c r="B155" s="65" t="s">
        <v>88</v>
      </c>
      <c r="C155" s="139">
        <f t="shared" si="34"/>
        <v>104747152.16948542</v>
      </c>
      <c r="D155" s="139">
        <f t="shared" si="35"/>
        <v>-2.4166242048627055E-2</v>
      </c>
      <c r="E155" s="66">
        <v>45050</v>
      </c>
      <c r="F155" s="16">
        <f t="shared" si="24"/>
        <v>0.4</v>
      </c>
      <c r="G155" s="16">
        <f t="shared" si="25"/>
        <v>1004.8014547344341</v>
      </c>
      <c r="H155" s="66">
        <v>255929</v>
      </c>
      <c r="I155" s="16">
        <f t="shared" si="26"/>
        <v>0.3</v>
      </c>
      <c r="J155" s="16">
        <f t="shared" si="27"/>
        <v>117.90220809095669</v>
      </c>
      <c r="K155" s="66">
        <v>192740</v>
      </c>
      <c r="L155" s="16">
        <f t="shared" si="28"/>
        <v>0.3</v>
      </c>
      <c r="M155" s="16">
        <f t="shared" si="29"/>
        <v>152.05070260033568</v>
      </c>
      <c r="N155" s="16">
        <v>0</v>
      </c>
      <c r="O155" s="16">
        <f t="shared" si="30"/>
        <v>0</v>
      </c>
      <c r="P155" s="16">
        <f t="shared" si="31"/>
        <v>0</v>
      </c>
      <c r="Q155" s="16">
        <v>0</v>
      </c>
      <c r="R155" s="16">
        <f t="shared" si="32"/>
        <v>0</v>
      </c>
      <c r="S155" s="16">
        <f t="shared" si="33"/>
        <v>0</v>
      </c>
    </row>
    <row r="156" spans="1:19" x14ac:dyDescent="0.3">
      <c r="A156" s="65">
        <v>20180814</v>
      </c>
      <c r="B156" s="65" t="s">
        <v>88</v>
      </c>
      <c r="C156" s="139">
        <f t="shared" si="34"/>
        <v>105129458.8355673</v>
      </c>
      <c r="D156" s="139">
        <f t="shared" si="35"/>
        <v>3.6498048697618706E-3</v>
      </c>
      <c r="E156" s="66">
        <v>45150</v>
      </c>
      <c r="F156" s="16">
        <f t="shared" si="24"/>
        <v>0.4</v>
      </c>
      <c r="G156" s="16">
        <f t="shared" si="25"/>
        <v>1004.8014547344341</v>
      </c>
      <c r="H156" s="66">
        <v>256421</v>
      </c>
      <c r="I156" s="16">
        <f t="shared" si="26"/>
        <v>0.3</v>
      </c>
      <c r="J156" s="16">
        <f t="shared" si="27"/>
        <v>117.90220809095669</v>
      </c>
      <c r="K156" s="66">
        <v>194212</v>
      </c>
      <c r="L156" s="16">
        <f t="shared" si="28"/>
        <v>0.3</v>
      </c>
      <c r="M156" s="16">
        <f t="shared" si="29"/>
        <v>152.05070260033568</v>
      </c>
      <c r="N156" s="16">
        <v>0</v>
      </c>
      <c r="O156" s="16">
        <f t="shared" si="30"/>
        <v>0</v>
      </c>
      <c r="P156" s="16">
        <f t="shared" si="31"/>
        <v>0</v>
      </c>
      <c r="Q156" s="16">
        <v>0</v>
      </c>
      <c r="R156" s="16">
        <f t="shared" si="32"/>
        <v>0</v>
      </c>
      <c r="S156" s="16">
        <f t="shared" si="33"/>
        <v>0</v>
      </c>
    </row>
    <row r="157" spans="1:19" x14ac:dyDescent="0.3">
      <c r="A157" s="65">
        <v>20180816</v>
      </c>
      <c r="B157" s="65" t="s">
        <v>88</v>
      </c>
      <c r="C157" s="139">
        <f t="shared" si="34"/>
        <v>103308698.80490825</v>
      </c>
      <c r="D157" s="139">
        <f t="shared" si="35"/>
        <v>-1.7319218141386001E-2</v>
      </c>
      <c r="E157" s="66">
        <v>44250</v>
      </c>
      <c r="F157" s="16">
        <f t="shared" si="24"/>
        <v>0.4</v>
      </c>
      <c r="G157" s="16">
        <f t="shared" si="25"/>
        <v>1004.8014547344341</v>
      </c>
      <c r="H157" s="66">
        <v>253964</v>
      </c>
      <c r="I157" s="16">
        <f t="shared" si="26"/>
        <v>0.3</v>
      </c>
      <c r="J157" s="16">
        <f t="shared" si="27"/>
        <v>117.90220809095669</v>
      </c>
      <c r="K157" s="66">
        <v>190090</v>
      </c>
      <c r="L157" s="16">
        <f t="shared" si="28"/>
        <v>0.3</v>
      </c>
      <c r="M157" s="16">
        <f t="shared" si="29"/>
        <v>152.05070260033568</v>
      </c>
      <c r="N157" s="16">
        <v>0</v>
      </c>
      <c r="O157" s="16">
        <f t="shared" si="30"/>
        <v>0</v>
      </c>
      <c r="P157" s="16">
        <f t="shared" si="31"/>
        <v>0</v>
      </c>
      <c r="Q157" s="16">
        <v>0</v>
      </c>
      <c r="R157" s="16">
        <f t="shared" si="32"/>
        <v>0</v>
      </c>
      <c r="S157" s="16">
        <f t="shared" si="33"/>
        <v>0</v>
      </c>
    </row>
    <row r="158" spans="1:19" x14ac:dyDescent="0.3">
      <c r="A158" s="65">
        <v>20180817</v>
      </c>
      <c r="B158" s="65" t="s">
        <v>88</v>
      </c>
      <c r="C158" s="139">
        <f t="shared" si="34"/>
        <v>104828271.40821895</v>
      </c>
      <c r="D158" s="139">
        <f t="shared" si="35"/>
        <v>1.4709047939712398E-2</v>
      </c>
      <c r="E158" s="66">
        <v>44100</v>
      </c>
      <c r="F158" s="16">
        <f t="shared" si="24"/>
        <v>0.4</v>
      </c>
      <c r="G158" s="16">
        <f t="shared" si="25"/>
        <v>1004.8014547344341</v>
      </c>
      <c r="H158" s="66">
        <v>258385</v>
      </c>
      <c r="I158" s="16">
        <f t="shared" si="26"/>
        <v>0.3</v>
      </c>
      <c r="J158" s="16">
        <f t="shared" si="27"/>
        <v>117.90220809095669</v>
      </c>
      <c r="K158" s="66">
        <v>197647</v>
      </c>
      <c r="L158" s="16">
        <f t="shared" si="28"/>
        <v>0.3</v>
      </c>
      <c r="M158" s="16">
        <f t="shared" si="29"/>
        <v>152.05070260033568</v>
      </c>
      <c r="N158" s="16">
        <v>0</v>
      </c>
      <c r="O158" s="16">
        <f t="shared" si="30"/>
        <v>0</v>
      </c>
      <c r="P158" s="16">
        <f t="shared" si="31"/>
        <v>0</v>
      </c>
      <c r="Q158" s="16">
        <v>0</v>
      </c>
      <c r="R158" s="16">
        <f t="shared" si="32"/>
        <v>0</v>
      </c>
      <c r="S158" s="16">
        <f t="shared" si="33"/>
        <v>0</v>
      </c>
    </row>
    <row r="159" spans="1:19" x14ac:dyDescent="0.3">
      <c r="A159" s="65">
        <v>20180820</v>
      </c>
      <c r="B159" s="65" t="s">
        <v>88</v>
      </c>
      <c r="C159" s="139">
        <f t="shared" si="34"/>
        <v>104285755.18172276</v>
      </c>
      <c r="D159" s="139">
        <f t="shared" si="35"/>
        <v>-5.1752854378714326E-3</v>
      </c>
      <c r="E159" s="66">
        <v>43850</v>
      </c>
      <c r="F159" s="16">
        <f t="shared" si="24"/>
        <v>0.4</v>
      </c>
      <c r="G159" s="16">
        <f t="shared" si="25"/>
        <v>1004.8014547344341</v>
      </c>
      <c r="H159" s="66">
        <v>256421</v>
      </c>
      <c r="I159" s="16">
        <f t="shared" si="26"/>
        <v>0.3</v>
      </c>
      <c r="J159" s="16">
        <f t="shared" si="27"/>
        <v>117.90220809095669</v>
      </c>
      <c r="K159" s="66">
        <v>197254</v>
      </c>
      <c r="L159" s="16">
        <f t="shared" si="28"/>
        <v>0.3</v>
      </c>
      <c r="M159" s="16">
        <f t="shared" si="29"/>
        <v>152.05070260033568</v>
      </c>
      <c r="N159" s="16">
        <v>0</v>
      </c>
      <c r="O159" s="16">
        <f t="shared" si="30"/>
        <v>0</v>
      </c>
      <c r="P159" s="16">
        <f t="shared" si="31"/>
        <v>0</v>
      </c>
      <c r="Q159" s="16">
        <v>0</v>
      </c>
      <c r="R159" s="16">
        <f t="shared" si="32"/>
        <v>0</v>
      </c>
      <c r="S159" s="16">
        <f t="shared" si="33"/>
        <v>0</v>
      </c>
    </row>
    <row r="160" spans="1:19" x14ac:dyDescent="0.3">
      <c r="A160" s="65">
        <v>20180821</v>
      </c>
      <c r="B160" s="65" t="s">
        <v>88</v>
      </c>
      <c r="C160" s="139">
        <f t="shared" si="34"/>
        <v>108526322.10287477</v>
      </c>
      <c r="D160" s="139">
        <f t="shared" si="35"/>
        <v>4.0662954530679918E-2</v>
      </c>
      <c r="E160" s="66">
        <v>44800</v>
      </c>
      <c r="F160" s="16">
        <f t="shared" si="24"/>
        <v>0.4</v>
      </c>
      <c r="G160" s="16">
        <f t="shared" si="25"/>
        <v>1004.8014547344341</v>
      </c>
      <c r="H160" s="66">
        <v>263789</v>
      </c>
      <c r="I160" s="16">
        <f t="shared" si="26"/>
        <v>0.3</v>
      </c>
      <c r="J160" s="16">
        <f t="shared" si="27"/>
        <v>117.90220809095669</v>
      </c>
      <c r="K160" s="66">
        <v>213152</v>
      </c>
      <c r="L160" s="16">
        <f t="shared" si="28"/>
        <v>0.3</v>
      </c>
      <c r="M160" s="16">
        <f t="shared" si="29"/>
        <v>152.05070260033568</v>
      </c>
      <c r="N160" s="16">
        <v>0</v>
      </c>
      <c r="O160" s="16">
        <f t="shared" si="30"/>
        <v>0</v>
      </c>
      <c r="P160" s="16">
        <f t="shared" si="31"/>
        <v>0</v>
      </c>
      <c r="Q160" s="16">
        <v>0</v>
      </c>
      <c r="R160" s="16">
        <f t="shared" si="32"/>
        <v>0</v>
      </c>
      <c r="S160" s="16">
        <f t="shared" si="33"/>
        <v>0</v>
      </c>
    </row>
    <row r="161" spans="1:19" x14ac:dyDescent="0.3">
      <c r="A161" s="65">
        <v>20180822</v>
      </c>
      <c r="B161" s="65" t="s">
        <v>88</v>
      </c>
      <c r="C161" s="139">
        <f t="shared" si="34"/>
        <v>109817663.02517471</v>
      </c>
      <c r="D161" s="139">
        <f t="shared" si="35"/>
        <v>1.1898872985632395E-2</v>
      </c>
      <c r="E161" s="66">
        <v>46100</v>
      </c>
      <c r="F161" s="16">
        <f t="shared" si="24"/>
        <v>0.4</v>
      </c>
      <c r="G161" s="16">
        <f t="shared" si="25"/>
        <v>1004.8014547344341</v>
      </c>
      <c r="H161" s="66">
        <v>263789</v>
      </c>
      <c r="I161" s="16">
        <f t="shared" si="26"/>
        <v>0.3</v>
      </c>
      <c r="J161" s="16">
        <f t="shared" si="27"/>
        <v>117.90220809095669</v>
      </c>
      <c r="K161" s="66">
        <v>213054</v>
      </c>
      <c r="L161" s="16">
        <f t="shared" si="28"/>
        <v>0.3</v>
      </c>
      <c r="M161" s="16">
        <f t="shared" si="29"/>
        <v>152.05070260033568</v>
      </c>
      <c r="N161" s="16">
        <v>0</v>
      </c>
      <c r="O161" s="16">
        <f t="shared" si="30"/>
        <v>0</v>
      </c>
      <c r="P161" s="16">
        <f t="shared" si="31"/>
        <v>0</v>
      </c>
      <c r="Q161" s="16">
        <v>0</v>
      </c>
      <c r="R161" s="16">
        <f t="shared" si="32"/>
        <v>0</v>
      </c>
      <c r="S161" s="16">
        <f t="shared" si="33"/>
        <v>0</v>
      </c>
    </row>
    <row r="162" spans="1:19" x14ac:dyDescent="0.3">
      <c r="A162" s="65">
        <v>20180823</v>
      </c>
      <c r="B162" s="65" t="s">
        <v>88</v>
      </c>
      <c r="C162" s="139">
        <f t="shared" si="34"/>
        <v>110614924.72708553</v>
      </c>
      <c r="D162" s="139">
        <f t="shared" si="35"/>
        <v>7.2598676747296885E-3</v>
      </c>
      <c r="E162" s="66">
        <v>46200</v>
      </c>
      <c r="F162" s="16">
        <f t="shared" si="24"/>
        <v>0.4</v>
      </c>
      <c r="G162" s="16">
        <f t="shared" si="25"/>
        <v>1004.8014547344341</v>
      </c>
      <c r="H162" s="66">
        <v>269192</v>
      </c>
      <c r="I162" s="16">
        <f t="shared" si="26"/>
        <v>0.3</v>
      </c>
      <c r="J162" s="16">
        <f t="shared" si="27"/>
        <v>117.90220809095669</v>
      </c>
      <c r="K162" s="66">
        <v>213447</v>
      </c>
      <c r="L162" s="16">
        <f t="shared" si="28"/>
        <v>0.3</v>
      </c>
      <c r="M162" s="16">
        <f t="shared" si="29"/>
        <v>152.05070260033568</v>
      </c>
      <c r="N162" s="16">
        <v>0</v>
      </c>
      <c r="O162" s="16">
        <f t="shared" si="30"/>
        <v>0</v>
      </c>
      <c r="P162" s="16">
        <f t="shared" si="31"/>
        <v>0</v>
      </c>
      <c r="Q162" s="16">
        <v>0</v>
      </c>
      <c r="R162" s="16">
        <f t="shared" si="32"/>
        <v>0</v>
      </c>
      <c r="S162" s="16">
        <f t="shared" si="33"/>
        <v>0</v>
      </c>
    </row>
    <row r="163" spans="1:19" x14ac:dyDescent="0.3">
      <c r="A163" s="65">
        <v>20180824</v>
      </c>
      <c r="B163" s="65" t="s">
        <v>88</v>
      </c>
      <c r="C163" s="139">
        <f t="shared" si="34"/>
        <v>111739023.31915931</v>
      </c>
      <c r="D163" s="139">
        <f t="shared" si="35"/>
        <v>1.0162268743094239E-2</v>
      </c>
      <c r="E163" s="66">
        <v>46150</v>
      </c>
      <c r="F163" s="16">
        <f t="shared" si="24"/>
        <v>0.4</v>
      </c>
      <c r="G163" s="16">
        <f t="shared" si="25"/>
        <v>1004.8014547344341</v>
      </c>
      <c r="H163" s="66">
        <v>274596</v>
      </c>
      <c r="I163" s="16">
        <f t="shared" si="26"/>
        <v>0.3</v>
      </c>
      <c r="J163" s="16">
        <f t="shared" si="27"/>
        <v>117.90220809095669</v>
      </c>
      <c r="K163" s="66">
        <v>216980</v>
      </c>
      <c r="L163" s="16">
        <f t="shared" si="28"/>
        <v>0.3</v>
      </c>
      <c r="M163" s="16">
        <f t="shared" si="29"/>
        <v>152.05070260033568</v>
      </c>
      <c r="N163" s="16">
        <v>0</v>
      </c>
      <c r="O163" s="16">
        <f t="shared" si="30"/>
        <v>0</v>
      </c>
      <c r="P163" s="16">
        <f t="shared" si="31"/>
        <v>0</v>
      </c>
      <c r="Q163" s="16">
        <v>0</v>
      </c>
      <c r="R163" s="16">
        <f t="shared" si="32"/>
        <v>0</v>
      </c>
      <c r="S163" s="16">
        <f t="shared" si="33"/>
        <v>0</v>
      </c>
    </row>
    <row r="164" spans="1:19" x14ac:dyDescent="0.3">
      <c r="A164" s="65">
        <v>20180827</v>
      </c>
      <c r="B164" s="65" t="s">
        <v>88</v>
      </c>
      <c r="C164" s="139">
        <f t="shared" si="34"/>
        <v>111671100.72537631</v>
      </c>
      <c r="D164" s="139">
        <f t="shared" si="35"/>
        <v>-6.0786815353665021E-4</v>
      </c>
      <c r="E164" s="66">
        <v>46300</v>
      </c>
      <c r="F164" s="16">
        <f t="shared" si="24"/>
        <v>0.4</v>
      </c>
      <c r="G164" s="16">
        <f t="shared" si="25"/>
        <v>1004.8014547344341</v>
      </c>
      <c r="H164" s="66">
        <v>273122</v>
      </c>
      <c r="I164" s="16">
        <f t="shared" si="26"/>
        <v>0.3</v>
      </c>
      <c r="J164" s="16">
        <f t="shared" si="27"/>
        <v>117.90220809095669</v>
      </c>
      <c r="K164" s="66">
        <v>216685</v>
      </c>
      <c r="L164" s="16">
        <f t="shared" si="28"/>
        <v>0.3</v>
      </c>
      <c r="M164" s="16">
        <f t="shared" si="29"/>
        <v>152.05070260033568</v>
      </c>
      <c r="N164" s="16">
        <v>0</v>
      </c>
      <c r="O164" s="16">
        <f t="shared" si="30"/>
        <v>0</v>
      </c>
      <c r="P164" s="16">
        <f t="shared" si="31"/>
        <v>0</v>
      </c>
      <c r="Q164" s="16">
        <v>0</v>
      </c>
      <c r="R164" s="16">
        <f t="shared" si="32"/>
        <v>0</v>
      </c>
      <c r="S164" s="16">
        <f t="shared" si="33"/>
        <v>0</v>
      </c>
    </row>
    <row r="165" spans="1:19" x14ac:dyDescent="0.3">
      <c r="A165" s="65">
        <v>20180828</v>
      </c>
      <c r="B165" s="65" t="s">
        <v>88</v>
      </c>
      <c r="C165" s="139">
        <f t="shared" si="34"/>
        <v>110909611.70282935</v>
      </c>
      <c r="D165" s="139">
        <f t="shared" si="35"/>
        <v>-6.8190339094053544E-3</v>
      </c>
      <c r="E165" s="66">
        <v>46550</v>
      </c>
      <c r="F165" s="16">
        <f t="shared" si="24"/>
        <v>0.4</v>
      </c>
      <c r="G165" s="16">
        <f t="shared" si="25"/>
        <v>1004.8014547344341</v>
      </c>
      <c r="H165" s="66">
        <v>264280</v>
      </c>
      <c r="I165" s="16">
        <f t="shared" si="26"/>
        <v>0.3</v>
      </c>
      <c r="J165" s="16">
        <f t="shared" si="27"/>
        <v>117.90220809095669</v>
      </c>
      <c r="K165" s="66">
        <v>216881</v>
      </c>
      <c r="L165" s="16">
        <f t="shared" si="28"/>
        <v>0.3</v>
      </c>
      <c r="M165" s="16">
        <f t="shared" si="29"/>
        <v>152.05070260033568</v>
      </c>
      <c r="N165" s="16">
        <v>0</v>
      </c>
      <c r="O165" s="16">
        <f t="shared" si="30"/>
        <v>0</v>
      </c>
      <c r="P165" s="16">
        <f t="shared" si="31"/>
        <v>0</v>
      </c>
      <c r="Q165" s="16">
        <v>0</v>
      </c>
      <c r="R165" s="16">
        <f t="shared" si="32"/>
        <v>0</v>
      </c>
      <c r="S165" s="16">
        <f t="shared" si="33"/>
        <v>0</v>
      </c>
    </row>
    <row r="166" spans="1:19" x14ac:dyDescent="0.3">
      <c r="A166" s="65">
        <v>20180829</v>
      </c>
      <c r="B166" s="65" t="s">
        <v>88</v>
      </c>
      <c r="C166" s="139">
        <f t="shared" si="34"/>
        <v>111591834.47486684</v>
      </c>
      <c r="D166" s="139">
        <f t="shared" si="35"/>
        <v>6.1511600443200131E-3</v>
      </c>
      <c r="E166" s="66">
        <v>46800</v>
      </c>
      <c r="F166" s="16">
        <f t="shared" si="24"/>
        <v>0.4</v>
      </c>
      <c r="G166" s="16">
        <f t="shared" si="25"/>
        <v>1004.8014547344341</v>
      </c>
      <c r="H166" s="66">
        <v>264771</v>
      </c>
      <c r="I166" s="16">
        <f t="shared" si="26"/>
        <v>0.3</v>
      </c>
      <c r="J166" s="16">
        <f t="shared" si="27"/>
        <v>117.90220809095669</v>
      </c>
      <c r="K166" s="66">
        <v>219335</v>
      </c>
      <c r="L166" s="16">
        <f t="shared" si="28"/>
        <v>0.3</v>
      </c>
      <c r="M166" s="16">
        <f t="shared" si="29"/>
        <v>152.05070260033568</v>
      </c>
      <c r="N166" s="16">
        <v>0</v>
      </c>
      <c r="O166" s="16">
        <f t="shared" si="30"/>
        <v>0</v>
      </c>
      <c r="P166" s="16">
        <f t="shared" si="31"/>
        <v>0</v>
      </c>
      <c r="Q166" s="16">
        <v>0</v>
      </c>
      <c r="R166" s="16">
        <f t="shared" si="32"/>
        <v>0</v>
      </c>
      <c r="S166" s="16">
        <f t="shared" si="33"/>
        <v>0</v>
      </c>
    </row>
    <row r="167" spans="1:19" x14ac:dyDescent="0.3">
      <c r="A167" s="65">
        <v>20180830</v>
      </c>
      <c r="B167" s="65" t="s">
        <v>88</v>
      </c>
      <c r="C167" s="139">
        <f t="shared" si="34"/>
        <v>112292474.60066509</v>
      </c>
      <c r="D167" s="139">
        <f t="shared" si="35"/>
        <v>6.2785967189745969E-3</v>
      </c>
      <c r="E167" s="66">
        <v>47650</v>
      </c>
      <c r="F167" s="16">
        <f t="shared" si="24"/>
        <v>0.4</v>
      </c>
      <c r="G167" s="16">
        <f t="shared" si="25"/>
        <v>1004.8014547344341</v>
      </c>
      <c r="H167" s="66">
        <v>261824</v>
      </c>
      <c r="I167" s="16">
        <f t="shared" si="26"/>
        <v>0.3</v>
      </c>
      <c r="J167" s="16">
        <f t="shared" si="27"/>
        <v>117.90220809095669</v>
      </c>
      <c r="K167" s="66">
        <v>220611</v>
      </c>
      <c r="L167" s="16">
        <f t="shared" si="28"/>
        <v>0.3</v>
      </c>
      <c r="M167" s="16">
        <f t="shared" si="29"/>
        <v>152.05070260033568</v>
      </c>
      <c r="N167" s="16">
        <v>0</v>
      </c>
      <c r="O167" s="16">
        <f t="shared" si="30"/>
        <v>0</v>
      </c>
      <c r="P167" s="16">
        <f t="shared" si="31"/>
        <v>0</v>
      </c>
      <c r="Q167" s="16">
        <v>0</v>
      </c>
      <c r="R167" s="16">
        <f t="shared" si="32"/>
        <v>0</v>
      </c>
      <c r="S167" s="16">
        <f t="shared" si="33"/>
        <v>0</v>
      </c>
    </row>
    <row r="168" spans="1:19" x14ac:dyDescent="0.3">
      <c r="A168" s="65">
        <v>20180831</v>
      </c>
      <c r="B168" s="65" t="s">
        <v>88</v>
      </c>
      <c r="C168" s="139">
        <f t="shared" si="34"/>
        <v>115337033.43846348</v>
      </c>
      <c r="D168" s="139">
        <f t="shared" si="35"/>
        <v>2.711275932448241E-2</v>
      </c>
      <c r="E168" s="66">
        <v>48450</v>
      </c>
      <c r="F168" s="16">
        <f t="shared" si="24"/>
        <v>0.4</v>
      </c>
      <c r="G168" s="16">
        <f t="shared" si="25"/>
        <v>1004.8014547344341</v>
      </c>
      <c r="H168" s="66">
        <v>265263</v>
      </c>
      <c r="I168" s="16">
        <f t="shared" si="26"/>
        <v>0.3</v>
      </c>
      <c r="J168" s="16">
        <f t="shared" si="27"/>
        <v>117.90220809095669</v>
      </c>
      <c r="K168" s="66">
        <v>232681</v>
      </c>
      <c r="L168" s="16">
        <f t="shared" si="28"/>
        <v>0.3</v>
      </c>
      <c r="M168" s="16">
        <f t="shared" si="29"/>
        <v>152.05070260033568</v>
      </c>
      <c r="N168" s="16">
        <v>0</v>
      </c>
      <c r="O168" s="16">
        <f t="shared" si="30"/>
        <v>0</v>
      </c>
      <c r="P168" s="16">
        <f t="shared" si="31"/>
        <v>0</v>
      </c>
      <c r="Q168" s="16">
        <v>0</v>
      </c>
      <c r="R168" s="16">
        <f t="shared" si="32"/>
        <v>0</v>
      </c>
      <c r="S168" s="16">
        <f t="shared" si="33"/>
        <v>0</v>
      </c>
    </row>
    <row r="169" spans="1:19" x14ac:dyDescent="0.3">
      <c r="A169" s="65">
        <v>20180903</v>
      </c>
      <c r="B169" s="65" t="s">
        <v>88</v>
      </c>
      <c r="C169" s="139">
        <f t="shared" si="34"/>
        <v>113671431.82692021</v>
      </c>
      <c r="D169" s="139">
        <f t="shared" si="35"/>
        <v>-1.4441169170801738E-2</v>
      </c>
      <c r="E169" s="66">
        <v>47450</v>
      </c>
      <c r="F169" s="16">
        <f t="shared" si="24"/>
        <v>0.4</v>
      </c>
      <c r="G169" s="16">
        <f t="shared" si="25"/>
        <v>1004.8014547344341</v>
      </c>
      <c r="H169" s="66">
        <v>262315</v>
      </c>
      <c r="I169" s="16">
        <f t="shared" si="26"/>
        <v>0.3</v>
      </c>
      <c r="J169" s="16">
        <f t="shared" si="27"/>
        <v>117.90220809095669</v>
      </c>
      <c r="K169" s="66">
        <v>230621</v>
      </c>
      <c r="L169" s="16">
        <f t="shared" si="28"/>
        <v>0.3</v>
      </c>
      <c r="M169" s="16">
        <f t="shared" si="29"/>
        <v>152.05070260033568</v>
      </c>
      <c r="N169" s="16">
        <v>0</v>
      </c>
      <c r="O169" s="16">
        <f t="shared" si="30"/>
        <v>0</v>
      </c>
      <c r="P169" s="16">
        <f t="shared" si="31"/>
        <v>0</v>
      </c>
      <c r="Q169" s="16">
        <v>0</v>
      </c>
      <c r="R169" s="16">
        <f t="shared" si="32"/>
        <v>0</v>
      </c>
      <c r="S169" s="16">
        <f t="shared" si="33"/>
        <v>0</v>
      </c>
    </row>
    <row r="170" spans="1:19" x14ac:dyDescent="0.3">
      <c r="A170" s="65">
        <v>20180904</v>
      </c>
      <c r="B170" s="65" t="s">
        <v>88</v>
      </c>
      <c r="C170" s="139">
        <f t="shared" si="34"/>
        <v>115825876.38806018</v>
      </c>
      <c r="D170" s="139">
        <f t="shared" si="35"/>
        <v>1.8953263159563239E-2</v>
      </c>
      <c r="E170" s="66">
        <v>47650</v>
      </c>
      <c r="F170" s="16">
        <f t="shared" si="24"/>
        <v>0.4</v>
      </c>
      <c r="G170" s="16">
        <f t="shared" si="25"/>
        <v>1004.8014547344341</v>
      </c>
      <c r="H170" s="66">
        <v>275087</v>
      </c>
      <c r="I170" s="16">
        <f t="shared" si="26"/>
        <v>0.3</v>
      </c>
      <c r="J170" s="16">
        <f t="shared" si="27"/>
        <v>117.90220809095669</v>
      </c>
      <c r="K170" s="66">
        <v>233565</v>
      </c>
      <c r="L170" s="16">
        <f t="shared" si="28"/>
        <v>0.3</v>
      </c>
      <c r="M170" s="16">
        <f t="shared" si="29"/>
        <v>152.05070260033568</v>
      </c>
      <c r="N170" s="16">
        <v>0</v>
      </c>
      <c r="O170" s="16">
        <f t="shared" si="30"/>
        <v>0</v>
      </c>
      <c r="P170" s="16">
        <f t="shared" si="31"/>
        <v>0</v>
      </c>
      <c r="Q170" s="16">
        <v>0</v>
      </c>
      <c r="R170" s="16">
        <f t="shared" si="32"/>
        <v>0</v>
      </c>
      <c r="S170" s="16">
        <f t="shared" si="33"/>
        <v>0</v>
      </c>
    </row>
    <row r="171" spans="1:19" x14ac:dyDescent="0.3">
      <c r="A171" s="65">
        <v>20180905</v>
      </c>
      <c r="B171" s="65" t="s">
        <v>88</v>
      </c>
      <c r="C171" s="139">
        <f t="shared" si="34"/>
        <v>113596614.09798661</v>
      </c>
      <c r="D171" s="139">
        <f t="shared" si="35"/>
        <v>-1.9246668875655279E-2</v>
      </c>
      <c r="E171" s="66">
        <v>46600</v>
      </c>
      <c r="F171" s="16">
        <f t="shared" si="24"/>
        <v>0.4</v>
      </c>
      <c r="G171" s="16">
        <f t="shared" si="25"/>
        <v>1004.8014547344341</v>
      </c>
      <c r="H171" s="66">
        <v>269684</v>
      </c>
      <c r="I171" s="16">
        <f t="shared" si="26"/>
        <v>0.3</v>
      </c>
      <c r="J171" s="16">
        <f t="shared" si="27"/>
        <v>117.90220809095669</v>
      </c>
      <c r="K171" s="66">
        <v>230032</v>
      </c>
      <c r="L171" s="16">
        <f t="shared" si="28"/>
        <v>0.3</v>
      </c>
      <c r="M171" s="16">
        <f t="shared" si="29"/>
        <v>152.05070260033568</v>
      </c>
      <c r="N171" s="16">
        <v>0</v>
      </c>
      <c r="O171" s="16">
        <f t="shared" si="30"/>
        <v>0</v>
      </c>
      <c r="P171" s="16">
        <f t="shared" si="31"/>
        <v>0</v>
      </c>
      <c r="Q171" s="16">
        <v>0</v>
      </c>
      <c r="R171" s="16">
        <f t="shared" si="32"/>
        <v>0</v>
      </c>
      <c r="S171" s="16">
        <f t="shared" si="33"/>
        <v>0</v>
      </c>
    </row>
    <row r="172" spans="1:19" x14ac:dyDescent="0.3">
      <c r="A172" s="65">
        <v>20180906</v>
      </c>
      <c r="B172" s="65" t="s">
        <v>88</v>
      </c>
      <c r="C172" s="139">
        <f t="shared" si="34"/>
        <v>111964346.55139858</v>
      </c>
      <c r="D172" s="139">
        <f t="shared" si="35"/>
        <v>-1.4368980621025075E-2</v>
      </c>
      <c r="E172" s="66">
        <v>46100</v>
      </c>
      <c r="F172" s="16">
        <f t="shared" si="24"/>
        <v>0.4</v>
      </c>
      <c r="G172" s="16">
        <f t="shared" si="25"/>
        <v>1004.8014547344341</v>
      </c>
      <c r="H172" s="66">
        <v>272631</v>
      </c>
      <c r="I172" s="16">
        <f t="shared" si="26"/>
        <v>0.3</v>
      </c>
      <c r="J172" s="16">
        <f t="shared" si="27"/>
        <v>117.90220809095669</v>
      </c>
      <c r="K172" s="66">
        <v>220316</v>
      </c>
      <c r="L172" s="16">
        <f t="shared" si="28"/>
        <v>0.3</v>
      </c>
      <c r="M172" s="16">
        <f t="shared" si="29"/>
        <v>152.05070260033568</v>
      </c>
      <c r="N172" s="16">
        <v>0</v>
      </c>
      <c r="O172" s="16">
        <f t="shared" si="30"/>
        <v>0</v>
      </c>
      <c r="P172" s="16">
        <f t="shared" si="31"/>
        <v>0</v>
      </c>
      <c r="Q172" s="16">
        <v>0</v>
      </c>
      <c r="R172" s="16">
        <f t="shared" si="32"/>
        <v>0</v>
      </c>
      <c r="S172" s="16">
        <f t="shared" si="33"/>
        <v>0</v>
      </c>
    </row>
    <row r="173" spans="1:19" x14ac:dyDescent="0.3">
      <c r="A173" s="65">
        <v>20180907</v>
      </c>
      <c r="B173" s="65" t="s">
        <v>88</v>
      </c>
      <c r="C173" s="139">
        <f t="shared" si="34"/>
        <v>111064919.53959276</v>
      </c>
      <c r="D173" s="139">
        <f t="shared" si="35"/>
        <v>-8.0331555491455018E-3</v>
      </c>
      <c r="E173" s="66">
        <v>44900</v>
      </c>
      <c r="F173" s="16">
        <f t="shared" si="24"/>
        <v>0.4</v>
      </c>
      <c r="G173" s="16">
        <f t="shared" si="25"/>
        <v>1004.8014547344341</v>
      </c>
      <c r="H173" s="66">
        <v>274596</v>
      </c>
      <c r="I173" s="16">
        <f t="shared" si="26"/>
        <v>0.3</v>
      </c>
      <c r="J173" s="16">
        <f t="shared" si="27"/>
        <v>117.90220809095669</v>
      </c>
      <c r="K173" s="66">
        <v>220807</v>
      </c>
      <c r="L173" s="16">
        <f t="shared" si="28"/>
        <v>0.3</v>
      </c>
      <c r="M173" s="16">
        <f t="shared" si="29"/>
        <v>152.05070260033568</v>
      </c>
      <c r="N173" s="16">
        <v>0</v>
      </c>
      <c r="O173" s="16">
        <f t="shared" si="30"/>
        <v>0</v>
      </c>
      <c r="P173" s="16">
        <f t="shared" si="31"/>
        <v>0</v>
      </c>
      <c r="Q173" s="16">
        <v>0</v>
      </c>
      <c r="R173" s="16">
        <f t="shared" si="32"/>
        <v>0</v>
      </c>
      <c r="S173" s="16">
        <f t="shared" si="33"/>
        <v>0</v>
      </c>
    </row>
    <row r="174" spans="1:19" x14ac:dyDescent="0.3">
      <c r="A174" s="65">
        <v>20180910</v>
      </c>
      <c r="B174" s="65" t="s">
        <v>88</v>
      </c>
      <c r="C174" s="139">
        <f t="shared" si="34"/>
        <v>110553217.67374483</v>
      </c>
      <c r="D174" s="139">
        <f t="shared" si="35"/>
        <v>-4.6072321302633931E-3</v>
      </c>
      <c r="E174" s="66">
        <v>45500</v>
      </c>
      <c r="F174" s="16">
        <f t="shared" si="24"/>
        <v>0.4</v>
      </c>
      <c r="G174" s="16">
        <f t="shared" si="25"/>
        <v>1004.8014547344341</v>
      </c>
      <c r="H174" s="66">
        <v>269192</v>
      </c>
      <c r="I174" s="16">
        <f t="shared" si="26"/>
        <v>0.3</v>
      </c>
      <c r="J174" s="16">
        <f t="shared" si="27"/>
        <v>117.90220809095669</v>
      </c>
      <c r="K174" s="66">
        <v>217667</v>
      </c>
      <c r="L174" s="16">
        <f t="shared" si="28"/>
        <v>0.3</v>
      </c>
      <c r="M174" s="16">
        <f t="shared" si="29"/>
        <v>152.05070260033568</v>
      </c>
      <c r="N174" s="16">
        <v>0</v>
      </c>
      <c r="O174" s="16">
        <f t="shared" si="30"/>
        <v>0</v>
      </c>
      <c r="P174" s="16">
        <f t="shared" si="31"/>
        <v>0</v>
      </c>
      <c r="Q174" s="16">
        <v>0</v>
      </c>
      <c r="R174" s="16">
        <f t="shared" si="32"/>
        <v>0</v>
      </c>
      <c r="S174" s="16">
        <f t="shared" si="33"/>
        <v>0</v>
      </c>
    </row>
    <row r="175" spans="1:19" x14ac:dyDescent="0.3">
      <c r="A175" s="65">
        <v>20180911</v>
      </c>
      <c r="B175" s="65" t="s">
        <v>88</v>
      </c>
      <c r="C175" s="139">
        <f t="shared" si="34"/>
        <v>110308226.64474601</v>
      </c>
      <c r="D175" s="139">
        <f t="shared" si="35"/>
        <v>-2.2160461192709787E-3</v>
      </c>
      <c r="E175" s="66">
        <v>45050</v>
      </c>
      <c r="F175" s="16">
        <f t="shared" si="24"/>
        <v>0.4</v>
      </c>
      <c r="G175" s="16">
        <f t="shared" si="25"/>
        <v>1004.8014547344341</v>
      </c>
      <c r="H175" s="66">
        <v>269684</v>
      </c>
      <c r="I175" s="16">
        <f t="shared" si="26"/>
        <v>0.3</v>
      </c>
      <c r="J175" s="16">
        <f t="shared" si="27"/>
        <v>117.90220809095669</v>
      </c>
      <c r="K175" s="66">
        <v>218648</v>
      </c>
      <c r="L175" s="16">
        <f t="shared" si="28"/>
        <v>0.3</v>
      </c>
      <c r="M175" s="16">
        <f t="shared" si="29"/>
        <v>152.05070260033568</v>
      </c>
      <c r="N175" s="16">
        <v>0</v>
      </c>
      <c r="O175" s="16">
        <f t="shared" si="30"/>
        <v>0</v>
      </c>
      <c r="P175" s="16">
        <f t="shared" si="31"/>
        <v>0</v>
      </c>
      <c r="Q175" s="16">
        <v>0</v>
      </c>
      <c r="R175" s="16">
        <f t="shared" si="32"/>
        <v>0</v>
      </c>
      <c r="S175" s="16">
        <f t="shared" si="33"/>
        <v>0</v>
      </c>
    </row>
    <row r="176" spans="1:19" x14ac:dyDescent="0.3">
      <c r="A176" s="65">
        <v>20180912</v>
      </c>
      <c r="B176" s="65" t="s">
        <v>88</v>
      </c>
      <c r="C176" s="139">
        <f t="shared" si="34"/>
        <v>112111396.32947391</v>
      </c>
      <c r="D176" s="139">
        <f t="shared" si="35"/>
        <v>1.6346647385920898E-2</v>
      </c>
      <c r="E176" s="66">
        <v>44550</v>
      </c>
      <c r="F176" s="16">
        <f t="shared" si="24"/>
        <v>0.4</v>
      </c>
      <c r="G176" s="16">
        <f t="shared" si="25"/>
        <v>1004.8014547344341</v>
      </c>
      <c r="H176" s="66">
        <v>280000</v>
      </c>
      <c r="I176" s="16">
        <f t="shared" si="26"/>
        <v>0.3</v>
      </c>
      <c r="J176" s="16">
        <f t="shared" si="27"/>
        <v>117.90220809095669</v>
      </c>
      <c r="K176" s="66">
        <v>225812</v>
      </c>
      <c r="L176" s="16">
        <f t="shared" si="28"/>
        <v>0.3</v>
      </c>
      <c r="M176" s="16">
        <f t="shared" si="29"/>
        <v>152.05070260033568</v>
      </c>
      <c r="N176" s="16">
        <v>0</v>
      </c>
      <c r="O176" s="16">
        <f t="shared" si="30"/>
        <v>0</v>
      </c>
      <c r="P176" s="16">
        <f t="shared" si="31"/>
        <v>0</v>
      </c>
      <c r="Q176" s="16">
        <v>0</v>
      </c>
      <c r="R176" s="16">
        <f t="shared" si="32"/>
        <v>0</v>
      </c>
      <c r="S176" s="16">
        <f t="shared" si="33"/>
        <v>0</v>
      </c>
    </row>
    <row r="177" spans="1:19" x14ac:dyDescent="0.3">
      <c r="A177" s="65">
        <v>20180913</v>
      </c>
      <c r="B177" s="65" t="s">
        <v>88</v>
      </c>
      <c r="C177" s="139">
        <f t="shared" si="34"/>
        <v>112921756.50658031</v>
      </c>
      <c r="D177" s="139">
        <f t="shared" si="35"/>
        <v>7.2281695138726315E-3</v>
      </c>
      <c r="E177" s="66">
        <v>44050</v>
      </c>
      <c r="F177" s="16">
        <f t="shared" si="24"/>
        <v>0.4</v>
      </c>
      <c r="G177" s="16">
        <f t="shared" si="25"/>
        <v>1004.8014547344341</v>
      </c>
      <c r="H177" s="66">
        <v>288350</v>
      </c>
      <c r="I177" s="16">
        <f t="shared" si="26"/>
        <v>0.3</v>
      </c>
      <c r="J177" s="16">
        <f t="shared" si="27"/>
        <v>117.90220809095669</v>
      </c>
      <c r="K177" s="66">
        <v>227971</v>
      </c>
      <c r="L177" s="16">
        <f t="shared" si="28"/>
        <v>0.3</v>
      </c>
      <c r="M177" s="16">
        <f t="shared" si="29"/>
        <v>152.05070260033568</v>
      </c>
      <c r="N177" s="16">
        <v>0</v>
      </c>
      <c r="O177" s="16">
        <f t="shared" si="30"/>
        <v>0</v>
      </c>
      <c r="P177" s="16">
        <f t="shared" si="31"/>
        <v>0</v>
      </c>
      <c r="Q177" s="16">
        <v>0</v>
      </c>
      <c r="R177" s="16">
        <f t="shared" si="32"/>
        <v>0</v>
      </c>
      <c r="S177" s="16">
        <f t="shared" si="33"/>
        <v>0</v>
      </c>
    </row>
    <row r="178" spans="1:19" x14ac:dyDescent="0.3">
      <c r="A178" s="65">
        <v>20180914</v>
      </c>
      <c r="B178" s="65" t="s">
        <v>88</v>
      </c>
      <c r="C178" s="139">
        <f t="shared" si="34"/>
        <v>115634581.36814612</v>
      </c>
      <c r="D178" s="139">
        <f t="shared" si="35"/>
        <v>2.4023934319581084E-2</v>
      </c>
      <c r="E178" s="66">
        <v>45850</v>
      </c>
      <c r="F178" s="16">
        <f t="shared" si="24"/>
        <v>0.4</v>
      </c>
      <c r="G178" s="16">
        <f t="shared" si="25"/>
        <v>1004.8014547344341</v>
      </c>
      <c r="H178" s="66">
        <v>285894</v>
      </c>
      <c r="I178" s="16">
        <f t="shared" si="26"/>
        <v>0.3</v>
      </c>
      <c r="J178" s="16">
        <f t="shared" si="27"/>
        <v>117.90220809095669</v>
      </c>
      <c r="K178" s="66">
        <v>235822</v>
      </c>
      <c r="L178" s="16">
        <f t="shared" si="28"/>
        <v>0.3</v>
      </c>
      <c r="M178" s="16">
        <f t="shared" si="29"/>
        <v>152.05070260033568</v>
      </c>
      <c r="N178" s="16">
        <v>0</v>
      </c>
      <c r="O178" s="16">
        <f t="shared" si="30"/>
        <v>0</v>
      </c>
      <c r="P178" s="16">
        <f t="shared" si="31"/>
        <v>0</v>
      </c>
      <c r="Q178" s="16">
        <v>0</v>
      </c>
      <c r="R178" s="16">
        <f t="shared" si="32"/>
        <v>0</v>
      </c>
      <c r="S178" s="16">
        <f t="shared" si="33"/>
        <v>0</v>
      </c>
    </row>
    <row r="179" spans="1:19" x14ac:dyDescent="0.3">
      <c r="A179" s="65">
        <v>20180917</v>
      </c>
      <c r="B179" s="65" t="s">
        <v>88</v>
      </c>
      <c r="C179" s="139">
        <f t="shared" si="34"/>
        <v>116412441.23609459</v>
      </c>
      <c r="D179" s="139">
        <f t="shared" si="35"/>
        <v>6.7268792669556007E-3</v>
      </c>
      <c r="E179" s="66">
        <v>45150</v>
      </c>
      <c r="F179" s="16">
        <f t="shared" si="24"/>
        <v>0.4</v>
      </c>
      <c r="G179" s="16">
        <f t="shared" si="25"/>
        <v>1004.8014547344341</v>
      </c>
      <c r="H179" s="66">
        <v>297192</v>
      </c>
      <c r="I179" s="16">
        <f t="shared" si="26"/>
        <v>0.3</v>
      </c>
      <c r="J179" s="16">
        <f t="shared" si="27"/>
        <v>117.90220809095669</v>
      </c>
      <c r="K179" s="66">
        <v>236803</v>
      </c>
      <c r="L179" s="16">
        <f t="shared" si="28"/>
        <v>0.3</v>
      </c>
      <c r="M179" s="16">
        <f t="shared" si="29"/>
        <v>152.05070260033568</v>
      </c>
      <c r="N179" s="16">
        <v>0</v>
      </c>
      <c r="O179" s="16">
        <f t="shared" si="30"/>
        <v>0</v>
      </c>
      <c r="P179" s="16">
        <f t="shared" si="31"/>
        <v>0</v>
      </c>
      <c r="Q179" s="16">
        <v>0</v>
      </c>
      <c r="R179" s="16">
        <f t="shared" si="32"/>
        <v>0</v>
      </c>
      <c r="S179" s="16">
        <f t="shared" si="33"/>
        <v>0</v>
      </c>
    </row>
    <row r="180" spans="1:19" x14ac:dyDescent="0.3">
      <c r="A180" s="65">
        <v>20180918</v>
      </c>
      <c r="B180" s="65" t="s">
        <v>88</v>
      </c>
      <c r="C180" s="139">
        <f t="shared" si="34"/>
        <v>116786334.43120095</v>
      </c>
      <c r="D180" s="139">
        <f t="shared" si="35"/>
        <v>3.2117975633555291E-3</v>
      </c>
      <c r="E180" s="66">
        <v>45500</v>
      </c>
      <c r="F180" s="16">
        <f t="shared" si="24"/>
        <v>0.4</v>
      </c>
      <c r="G180" s="16">
        <f t="shared" si="25"/>
        <v>1004.8014547344341</v>
      </c>
      <c r="H180" s="66">
        <v>295228</v>
      </c>
      <c r="I180" s="16">
        <f t="shared" si="26"/>
        <v>0.3</v>
      </c>
      <c r="J180" s="16">
        <f t="shared" si="27"/>
        <v>117.90220809095669</v>
      </c>
      <c r="K180" s="66">
        <v>238472</v>
      </c>
      <c r="L180" s="16">
        <f t="shared" si="28"/>
        <v>0.3</v>
      </c>
      <c r="M180" s="16">
        <f t="shared" si="29"/>
        <v>152.05070260033568</v>
      </c>
      <c r="N180" s="16">
        <v>0</v>
      </c>
      <c r="O180" s="16">
        <f t="shared" si="30"/>
        <v>0</v>
      </c>
      <c r="P180" s="16">
        <f t="shared" si="31"/>
        <v>0</v>
      </c>
      <c r="Q180" s="16">
        <v>0</v>
      </c>
      <c r="R180" s="16">
        <f t="shared" si="32"/>
        <v>0</v>
      </c>
      <c r="S180" s="16">
        <f t="shared" si="33"/>
        <v>0</v>
      </c>
    </row>
    <row r="181" spans="1:19" x14ac:dyDescent="0.3">
      <c r="A181" s="65">
        <v>20180919</v>
      </c>
      <c r="B181" s="65" t="s">
        <v>88</v>
      </c>
      <c r="C181" s="139">
        <f t="shared" si="34"/>
        <v>118076481.00709379</v>
      </c>
      <c r="D181" s="139">
        <f t="shared" si="35"/>
        <v>1.1047067982537491E-2</v>
      </c>
      <c r="E181" s="66">
        <v>46150</v>
      </c>
      <c r="F181" s="16">
        <f t="shared" si="24"/>
        <v>0.4</v>
      </c>
      <c r="G181" s="16">
        <f t="shared" si="25"/>
        <v>1004.8014547344341</v>
      </c>
      <c r="H181" s="66">
        <v>300631</v>
      </c>
      <c r="I181" s="16">
        <f t="shared" si="26"/>
        <v>0.3</v>
      </c>
      <c r="J181" s="16">
        <f t="shared" si="27"/>
        <v>117.90220809095669</v>
      </c>
      <c r="K181" s="66">
        <v>238472</v>
      </c>
      <c r="L181" s="16">
        <f t="shared" si="28"/>
        <v>0.3</v>
      </c>
      <c r="M181" s="16">
        <f t="shared" si="29"/>
        <v>152.05070260033568</v>
      </c>
      <c r="N181" s="16">
        <v>0</v>
      </c>
      <c r="O181" s="16">
        <f t="shared" si="30"/>
        <v>0</v>
      </c>
      <c r="P181" s="16">
        <f t="shared" si="31"/>
        <v>0</v>
      </c>
      <c r="Q181" s="16">
        <v>0</v>
      </c>
      <c r="R181" s="16">
        <f t="shared" si="32"/>
        <v>0</v>
      </c>
      <c r="S181" s="16">
        <f t="shared" si="33"/>
        <v>0</v>
      </c>
    </row>
    <row r="182" spans="1:19" x14ac:dyDescent="0.3">
      <c r="A182" s="65">
        <v>20180920</v>
      </c>
      <c r="B182" s="65" t="s">
        <v>88</v>
      </c>
      <c r="C182" s="139">
        <f t="shared" si="34"/>
        <v>118543919.53649899</v>
      </c>
      <c r="D182" s="139">
        <f t="shared" si="35"/>
        <v>3.9587776110733153E-3</v>
      </c>
      <c r="E182" s="66">
        <v>47250</v>
      </c>
      <c r="F182" s="16">
        <f t="shared" si="24"/>
        <v>0.4</v>
      </c>
      <c r="G182" s="16">
        <f t="shared" si="25"/>
        <v>1004.8014547344341</v>
      </c>
      <c r="H182" s="66">
        <v>291298</v>
      </c>
      <c r="I182" s="16">
        <f t="shared" si="26"/>
        <v>0.3</v>
      </c>
      <c r="J182" s="16">
        <f t="shared" si="27"/>
        <v>117.90220809095669</v>
      </c>
      <c r="K182" s="66">
        <v>241514</v>
      </c>
      <c r="L182" s="16">
        <f t="shared" si="28"/>
        <v>0.3</v>
      </c>
      <c r="M182" s="16">
        <f t="shared" si="29"/>
        <v>152.05070260033568</v>
      </c>
      <c r="N182" s="16">
        <v>0</v>
      </c>
      <c r="O182" s="16">
        <f t="shared" si="30"/>
        <v>0</v>
      </c>
      <c r="P182" s="16">
        <f t="shared" si="31"/>
        <v>0</v>
      </c>
      <c r="Q182" s="16">
        <v>0</v>
      </c>
      <c r="R182" s="16">
        <f t="shared" si="32"/>
        <v>0</v>
      </c>
      <c r="S182" s="16">
        <f t="shared" si="33"/>
        <v>0</v>
      </c>
    </row>
    <row r="183" spans="1:19" x14ac:dyDescent="0.3">
      <c r="A183" s="65">
        <v>20180921</v>
      </c>
      <c r="B183" s="65" t="s">
        <v>88</v>
      </c>
      <c r="C183" s="139">
        <f t="shared" si="34"/>
        <v>119225340.61038889</v>
      </c>
      <c r="D183" s="139">
        <f t="shared" si="35"/>
        <v>5.7482583379579464E-3</v>
      </c>
      <c r="E183" s="66">
        <v>47400</v>
      </c>
      <c r="F183" s="16">
        <f t="shared" si="24"/>
        <v>0.4</v>
      </c>
      <c r="G183" s="16">
        <f t="shared" si="25"/>
        <v>1004.8014547344341</v>
      </c>
      <c r="H183" s="66">
        <v>297192</v>
      </c>
      <c r="I183" s="16">
        <f t="shared" si="26"/>
        <v>0.3</v>
      </c>
      <c r="J183" s="16">
        <f t="shared" si="27"/>
        <v>117.90220809095669</v>
      </c>
      <c r="K183" s="66">
        <v>240434</v>
      </c>
      <c r="L183" s="16">
        <f t="shared" si="28"/>
        <v>0.3</v>
      </c>
      <c r="M183" s="16">
        <f t="shared" si="29"/>
        <v>152.05070260033568</v>
      </c>
      <c r="N183" s="16">
        <v>0</v>
      </c>
      <c r="O183" s="16">
        <f t="shared" si="30"/>
        <v>0</v>
      </c>
      <c r="P183" s="16">
        <f t="shared" si="31"/>
        <v>0</v>
      </c>
      <c r="Q183" s="16">
        <v>0</v>
      </c>
      <c r="R183" s="16">
        <f t="shared" si="32"/>
        <v>0</v>
      </c>
      <c r="S183" s="16">
        <f t="shared" si="33"/>
        <v>0</v>
      </c>
    </row>
    <row r="184" spans="1:19" x14ac:dyDescent="0.3">
      <c r="A184" s="65">
        <v>20180927</v>
      </c>
      <c r="B184" s="65" t="s">
        <v>88</v>
      </c>
      <c r="C184" s="139">
        <f t="shared" si="34"/>
        <v>119689345.93563133</v>
      </c>
      <c r="D184" s="139">
        <f t="shared" si="35"/>
        <v>3.8918347632048034E-3</v>
      </c>
      <c r="E184" s="66">
        <v>47500</v>
      </c>
      <c r="F184" s="16">
        <f t="shared" si="24"/>
        <v>0.4</v>
      </c>
      <c r="G184" s="16">
        <f t="shared" si="25"/>
        <v>1004.8014547344341</v>
      </c>
      <c r="H184" s="66">
        <v>295719</v>
      </c>
      <c r="I184" s="16">
        <f t="shared" si="26"/>
        <v>0.3</v>
      </c>
      <c r="J184" s="16">
        <f t="shared" si="27"/>
        <v>117.90220809095669</v>
      </c>
      <c r="K184" s="66">
        <v>243967</v>
      </c>
      <c r="L184" s="16">
        <f t="shared" si="28"/>
        <v>0.3</v>
      </c>
      <c r="M184" s="16">
        <f t="shared" si="29"/>
        <v>152.05070260033568</v>
      </c>
      <c r="N184" s="16">
        <v>0</v>
      </c>
      <c r="O184" s="16">
        <f t="shared" si="30"/>
        <v>0</v>
      </c>
      <c r="P184" s="16">
        <f t="shared" si="31"/>
        <v>0</v>
      </c>
      <c r="Q184" s="16">
        <v>0</v>
      </c>
      <c r="R184" s="16">
        <f t="shared" si="32"/>
        <v>0</v>
      </c>
      <c r="S184" s="16">
        <f t="shared" si="33"/>
        <v>0</v>
      </c>
    </row>
    <row r="185" spans="1:19" x14ac:dyDescent="0.3">
      <c r="A185" s="65">
        <v>20180928</v>
      </c>
      <c r="B185" s="65" t="s">
        <v>88</v>
      </c>
      <c r="C185" s="139">
        <f t="shared" si="34"/>
        <v>117007152.65265974</v>
      </c>
      <c r="D185" s="139">
        <f t="shared" si="35"/>
        <v>-2.2409624365514275E-2</v>
      </c>
      <c r="E185" s="66">
        <v>46450</v>
      </c>
      <c r="F185" s="16">
        <f t="shared" si="24"/>
        <v>0.4</v>
      </c>
      <c r="G185" s="16">
        <f t="shared" si="25"/>
        <v>1004.8014547344341</v>
      </c>
      <c r="H185" s="66">
        <v>291789</v>
      </c>
      <c r="I185" s="16">
        <f t="shared" si="26"/>
        <v>0.3</v>
      </c>
      <c r="J185" s="16">
        <f t="shared" si="27"/>
        <v>117.90220809095669</v>
      </c>
      <c r="K185" s="66">
        <v>236313</v>
      </c>
      <c r="L185" s="16">
        <f t="shared" si="28"/>
        <v>0.3</v>
      </c>
      <c r="M185" s="16">
        <f t="shared" si="29"/>
        <v>152.05070260033568</v>
      </c>
      <c r="N185" s="16">
        <v>0</v>
      </c>
      <c r="O185" s="16">
        <f t="shared" si="30"/>
        <v>0</v>
      </c>
      <c r="P185" s="16">
        <f t="shared" si="31"/>
        <v>0</v>
      </c>
      <c r="Q185" s="16">
        <v>0</v>
      </c>
      <c r="R185" s="16">
        <f t="shared" si="32"/>
        <v>0</v>
      </c>
      <c r="S185" s="16">
        <f t="shared" si="33"/>
        <v>0</v>
      </c>
    </row>
    <row r="186" spans="1:19" x14ac:dyDescent="0.3">
      <c r="A186" s="65">
        <v>20181001</v>
      </c>
      <c r="B186" s="65" t="s">
        <v>88</v>
      </c>
      <c r="C186" s="139">
        <f t="shared" si="34"/>
        <v>116506500.53800413</v>
      </c>
      <c r="D186" s="139">
        <f t="shared" si="35"/>
        <v>-4.2788163228090767E-3</v>
      </c>
      <c r="E186" s="66">
        <v>46350</v>
      </c>
      <c r="F186" s="16">
        <f t="shared" si="24"/>
        <v>0.4</v>
      </c>
      <c r="G186" s="16">
        <f t="shared" si="25"/>
        <v>1004.8014547344341</v>
      </c>
      <c r="H186" s="66">
        <v>286877</v>
      </c>
      <c r="I186" s="16">
        <f t="shared" si="26"/>
        <v>0.3</v>
      </c>
      <c r="J186" s="16">
        <f t="shared" si="27"/>
        <v>117.90220809095669</v>
      </c>
      <c r="K186" s="66">
        <v>237490</v>
      </c>
      <c r="L186" s="16">
        <f t="shared" si="28"/>
        <v>0.3</v>
      </c>
      <c r="M186" s="16">
        <f t="shared" si="29"/>
        <v>152.05070260033568</v>
      </c>
      <c r="N186" s="16">
        <v>0</v>
      </c>
      <c r="O186" s="16">
        <f t="shared" si="30"/>
        <v>0</v>
      </c>
      <c r="P186" s="16">
        <f t="shared" si="31"/>
        <v>0</v>
      </c>
      <c r="Q186" s="16">
        <v>0</v>
      </c>
      <c r="R186" s="16">
        <f t="shared" si="32"/>
        <v>0</v>
      </c>
      <c r="S186" s="16">
        <f t="shared" si="33"/>
        <v>0</v>
      </c>
    </row>
    <row r="187" spans="1:19" x14ac:dyDescent="0.3">
      <c r="A187" s="65">
        <v>20181002</v>
      </c>
      <c r="B187" s="65" t="s">
        <v>88</v>
      </c>
      <c r="C187" s="139">
        <f t="shared" si="34"/>
        <v>114403477.62264025</v>
      </c>
      <c r="D187" s="139">
        <f t="shared" si="35"/>
        <v>-1.8050691640831468E-2</v>
      </c>
      <c r="E187" s="66">
        <v>45700</v>
      </c>
      <c r="F187" s="16">
        <f t="shared" si="24"/>
        <v>0.4</v>
      </c>
      <c r="G187" s="16">
        <f t="shared" si="25"/>
        <v>1004.8014547344341</v>
      </c>
      <c r="H187" s="66">
        <v>283438</v>
      </c>
      <c r="I187" s="16">
        <f t="shared" si="26"/>
        <v>0.3</v>
      </c>
      <c r="J187" s="16">
        <f t="shared" si="27"/>
        <v>117.90220809095669</v>
      </c>
      <c r="K187" s="66">
        <v>230621</v>
      </c>
      <c r="L187" s="16">
        <f t="shared" si="28"/>
        <v>0.3</v>
      </c>
      <c r="M187" s="16">
        <f t="shared" si="29"/>
        <v>152.05070260033568</v>
      </c>
      <c r="N187" s="16">
        <v>0</v>
      </c>
      <c r="O187" s="16">
        <f t="shared" si="30"/>
        <v>0</v>
      </c>
      <c r="P187" s="16">
        <f t="shared" si="31"/>
        <v>0</v>
      </c>
      <c r="Q187" s="16">
        <v>0</v>
      </c>
      <c r="R187" s="16">
        <f t="shared" si="32"/>
        <v>0</v>
      </c>
      <c r="S187" s="16">
        <f t="shared" si="33"/>
        <v>0</v>
      </c>
    </row>
    <row r="188" spans="1:19" x14ac:dyDescent="0.3">
      <c r="A188" s="65">
        <v>20181004</v>
      </c>
      <c r="B188" s="65" t="s">
        <v>88</v>
      </c>
      <c r="C188" s="139">
        <f t="shared" si="34"/>
        <v>113137861.78108203</v>
      </c>
      <c r="D188" s="139">
        <f t="shared" si="35"/>
        <v>-1.1062739244106289E-2</v>
      </c>
      <c r="E188" s="66">
        <v>44700</v>
      </c>
      <c r="F188" s="16">
        <f t="shared" si="24"/>
        <v>0.4</v>
      </c>
      <c r="G188" s="16">
        <f t="shared" si="25"/>
        <v>1004.8014547344341</v>
      </c>
      <c r="H188" s="66">
        <v>285403</v>
      </c>
      <c r="I188" s="16">
        <f t="shared" si="26"/>
        <v>0.3</v>
      </c>
      <c r="J188" s="16">
        <f t="shared" si="27"/>
        <v>117.90220809095669</v>
      </c>
      <c r="K188" s="66">
        <v>227382</v>
      </c>
      <c r="L188" s="16">
        <f t="shared" si="28"/>
        <v>0.3</v>
      </c>
      <c r="M188" s="16">
        <f t="shared" si="29"/>
        <v>152.05070260033568</v>
      </c>
      <c r="N188" s="16">
        <v>0</v>
      </c>
      <c r="O188" s="16">
        <f t="shared" si="30"/>
        <v>0</v>
      </c>
      <c r="P188" s="16">
        <f t="shared" si="31"/>
        <v>0</v>
      </c>
      <c r="Q188" s="16">
        <v>0</v>
      </c>
      <c r="R188" s="16">
        <f t="shared" si="32"/>
        <v>0</v>
      </c>
      <c r="S188" s="16">
        <f t="shared" si="33"/>
        <v>0</v>
      </c>
    </row>
    <row r="189" spans="1:19" x14ac:dyDescent="0.3">
      <c r="A189" s="65">
        <v>20181005</v>
      </c>
      <c r="B189" s="65" t="s">
        <v>88</v>
      </c>
      <c r="C189" s="139">
        <f t="shared" si="34"/>
        <v>111337587.56064017</v>
      </c>
      <c r="D189" s="139">
        <f t="shared" si="35"/>
        <v>-1.5912217113713295E-2</v>
      </c>
      <c r="E189" s="66">
        <v>44700</v>
      </c>
      <c r="F189" s="16">
        <f t="shared" si="24"/>
        <v>0.4</v>
      </c>
      <c r="G189" s="16">
        <f t="shared" si="25"/>
        <v>1004.8014547344341</v>
      </c>
      <c r="H189" s="66">
        <v>283929</v>
      </c>
      <c r="I189" s="16">
        <f t="shared" si="26"/>
        <v>0.3</v>
      </c>
      <c r="J189" s="16">
        <f t="shared" si="27"/>
        <v>117.90220809095669</v>
      </c>
      <c r="K189" s="66">
        <v>216685</v>
      </c>
      <c r="L189" s="16">
        <f t="shared" si="28"/>
        <v>0.3</v>
      </c>
      <c r="M189" s="16">
        <f t="shared" si="29"/>
        <v>152.05070260033568</v>
      </c>
      <c r="N189" s="16">
        <v>0</v>
      </c>
      <c r="O189" s="16">
        <f t="shared" si="30"/>
        <v>0</v>
      </c>
      <c r="P189" s="16">
        <f t="shared" si="31"/>
        <v>0</v>
      </c>
      <c r="Q189" s="16">
        <v>0</v>
      </c>
      <c r="R189" s="16">
        <f t="shared" si="32"/>
        <v>0</v>
      </c>
      <c r="S189" s="16">
        <f t="shared" si="33"/>
        <v>0</v>
      </c>
    </row>
    <row r="190" spans="1:19" x14ac:dyDescent="0.3">
      <c r="A190" s="65">
        <v>20181008</v>
      </c>
      <c r="B190" s="65" t="s">
        <v>88</v>
      </c>
      <c r="C190" s="139">
        <f t="shared" si="34"/>
        <v>111212345.61985731</v>
      </c>
      <c r="D190" s="139">
        <f t="shared" si="35"/>
        <v>-1.1248846281553095E-3</v>
      </c>
      <c r="E190" s="66">
        <v>44950</v>
      </c>
      <c r="F190" s="16">
        <f t="shared" si="24"/>
        <v>0.4</v>
      </c>
      <c r="G190" s="16">
        <f t="shared" si="25"/>
        <v>1004.8014547344341</v>
      </c>
      <c r="H190" s="66">
        <v>284912</v>
      </c>
      <c r="I190" s="16">
        <f t="shared" si="26"/>
        <v>0.3</v>
      </c>
      <c r="J190" s="16">
        <f t="shared" si="27"/>
        <v>117.90220809095669</v>
      </c>
      <c r="K190" s="66">
        <v>213447</v>
      </c>
      <c r="L190" s="16">
        <f t="shared" si="28"/>
        <v>0.3</v>
      </c>
      <c r="M190" s="16">
        <f t="shared" si="29"/>
        <v>152.05070260033568</v>
      </c>
      <c r="N190" s="16">
        <v>0</v>
      </c>
      <c r="O190" s="16">
        <f t="shared" si="30"/>
        <v>0</v>
      </c>
      <c r="P190" s="16">
        <f t="shared" si="31"/>
        <v>0</v>
      </c>
      <c r="Q190" s="16">
        <v>0</v>
      </c>
      <c r="R190" s="16">
        <f t="shared" si="32"/>
        <v>0</v>
      </c>
      <c r="S190" s="16">
        <f t="shared" si="33"/>
        <v>0</v>
      </c>
    </row>
    <row r="191" spans="1:19" x14ac:dyDescent="0.3">
      <c r="A191" s="65">
        <v>20181010</v>
      </c>
      <c r="B191" s="65" t="s">
        <v>88</v>
      </c>
      <c r="C191" s="139">
        <f t="shared" si="34"/>
        <v>111456883.91389143</v>
      </c>
      <c r="D191" s="139">
        <f t="shared" si="35"/>
        <v>2.1988412587753236E-3</v>
      </c>
      <c r="E191" s="66">
        <v>45300</v>
      </c>
      <c r="F191" s="16">
        <f t="shared" ref="F191:F247" si="36">$F$125</f>
        <v>0.4</v>
      </c>
      <c r="G191" s="16">
        <f t="shared" ref="G191:G247" si="37">$G$125</f>
        <v>1004.8014547344341</v>
      </c>
      <c r="H191" s="66">
        <v>281473</v>
      </c>
      <c r="I191" s="16">
        <f t="shared" ref="I191:I247" si="38">$I$125</f>
        <v>0.3</v>
      </c>
      <c r="J191" s="16">
        <f t="shared" ref="J191:J247" si="39">$J$125</f>
        <v>117.90220809095669</v>
      </c>
      <c r="K191" s="66">
        <v>215409</v>
      </c>
      <c r="L191" s="16">
        <f t="shared" ref="L191:L247" si="40">$L$125</f>
        <v>0.3</v>
      </c>
      <c r="M191" s="16">
        <f t="shared" ref="M191:M247" si="41">$M$125</f>
        <v>152.05070260033568</v>
      </c>
      <c r="N191" s="16">
        <v>0</v>
      </c>
      <c r="O191" s="16">
        <f t="shared" ref="O191:O247" si="42">$O$125</f>
        <v>0</v>
      </c>
      <c r="P191" s="16">
        <f t="shared" ref="P191:P247" si="43">$P$125</f>
        <v>0</v>
      </c>
      <c r="Q191" s="16">
        <v>0</v>
      </c>
      <c r="R191" s="16">
        <f t="shared" ref="R191:R247" si="44">$R$125</f>
        <v>0</v>
      </c>
      <c r="S191" s="16">
        <f t="shared" ref="S191:S247" si="45">$S$125</f>
        <v>0</v>
      </c>
    </row>
    <row r="192" spans="1:19" x14ac:dyDescent="0.3">
      <c r="A192" s="65">
        <v>20181011</v>
      </c>
      <c r="B192" s="65" t="s">
        <v>88</v>
      </c>
      <c r="C192" s="139">
        <f t="shared" si="34"/>
        <v>106255441.93130466</v>
      </c>
      <c r="D192" s="139">
        <f t="shared" si="35"/>
        <v>-4.6667749895154653E-2</v>
      </c>
      <c r="E192" s="66">
        <v>43100</v>
      </c>
      <c r="F192" s="16">
        <f t="shared" si="36"/>
        <v>0.4</v>
      </c>
      <c r="G192" s="16">
        <f t="shared" si="37"/>
        <v>1004.8014547344341</v>
      </c>
      <c r="H192" s="66">
        <v>266736</v>
      </c>
      <c r="I192" s="16">
        <f t="shared" si="38"/>
        <v>0.3</v>
      </c>
      <c r="J192" s="16">
        <f t="shared" si="39"/>
        <v>117.90220809095669</v>
      </c>
      <c r="K192" s="66">
        <v>207166</v>
      </c>
      <c r="L192" s="16">
        <f t="shared" si="40"/>
        <v>0.3</v>
      </c>
      <c r="M192" s="16">
        <f t="shared" si="41"/>
        <v>152.05070260033568</v>
      </c>
      <c r="N192" s="16">
        <v>0</v>
      </c>
      <c r="O192" s="16">
        <f t="shared" si="42"/>
        <v>0</v>
      </c>
      <c r="P192" s="16">
        <f t="shared" si="43"/>
        <v>0</v>
      </c>
      <c r="Q192" s="16">
        <v>0</v>
      </c>
      <c r="R192" s="16">
        <f t="shared" si="44"/>
        <v>0</v>
      </c>
      <c r="S192" s="16">
        <f t="shared" si="45"/>
        <v>0</v>
      </c>
    </row>
    <row r="193" spans="1:19" x14ac:dyDescent="0.3">
      <c r="A193" s="65">
        <v>20181012</v>
      </c>
      <c r="B193" s="65" t="s">
        <v>88</v>
      </c>
      <c r="C193" s="139">
        <f t="shared" si="34"/>
        <v>109163627.25344326</v>
      </c>
      <c r="D193" s="139">
        <f t="shared" si="35"/>
        <v>2.7369754144157314E-2</v>
      </c>
      <c r="E193" s="66">
        <v>44000</v>
      </c>
      <c r="F193" s="16">
        <f t="shared" si="36"/>
        <v>0.4</v>
      </c>
      <c r="G193" s="16">
        <f t="shared" si="37"/>
        <v>1004.8014547344341</v>
      </c>
      <c r="H193" s="66">
        <v>269684</v>
      </c>
      <c r="I193" s="16">
        <f t="shared" si="38"/>
        <v>0.3</v>
      </c>
      <c r="J193" s="16">
        <f t="shared" si="39"/>
        <v>117.90220809095669</v>
      </c>
      <c r="K193" s="66">
        <v>218059</v>
      </c>
      <c r="L193" s="16">
        <f t="shared" si="40"/>
        <v>0.3</v>
      </c>
      <c r="M193" s="16">
        <f t="shared" si="41"/>
        <v>152.05070260033568</v>
      </c>
      <c r="N193" s="16">
        <v>0</v>
      </c>
      <c r="O193" s="16">
        <f t="shared" si="42"/>
        <v>0</v>
      </c>
      <c r="P193" s="16">
        <f t="shared" si="43"/>
        <v>0</v>
      </c>
      <c r="Q193" s="16">
        <v>0</v>
      </c>
      <c r="R193" s="16">
        <f t="shared" si="44"/>
        <v>0</v>
      </c>
      <c r="S193" s="16">
        <f t="shared" si="45"/>
        <v>0</v>
      </c>
    </row>
    <row r="194" spans="1:19" x14ac:dyDescent="0.3">
      <c r="A194" s="65">
        <v>20181015</v>
      </c>
      <c r="B194" s="65" t="s">
        <v>88</v>
      </c>
      <c r="C194" s="139">
        <f t="shared" si="34"/>
        <v>105636316.89852485</v>
      </c>
      <c r="D194" s="139">
        <f t="shared" si="35"/>
        <v>-3.2312139525458528E-2</v>
      </c>
      <c r="E194" s="66">
        <v>43800</v>
      </c>
      <c r="F194" s="16">
        <f t="shared" si="36"/>
        <v>0.4</v>
      </c>
      <c r="G194" s="16">
        <f t="shared" si="37"/>
        <v>1004.8014547344341</v>
      </c>
      <c r="H194" s="66">
        <v>256912</v>
      </c>
      <c r="I194" s="16">
        <f t="shared" si="38"/>
        <v>0.3</v>
      </c>
      <c r="J194" s="16">
        <f t="shared" si="39"/>
        <v>117.90220809095669</v>
      </c>
      <c r="K194" s="66">
        <v>206086</v>
      </c>
      <c r="L194" s="16">
        <f t="shared" si="40"/>
        <v>0.3</v>
      </c>
      <c r="M194" s="16">
        <f t="shared" si="41"/>
        <v>152.05070260033568</v>
      </c>
      <c r="N194" s="16">
        <v>0</v>
      </c>
      <c r="O194" s="16">
        <f t="shared" si="42"/>
        <v>0</v>
      </c>
      <c r="P194" s="16">
        <f t="shared" si="43"/>
        <v>0</v>
      </c>
      <c r="Q194" s="16">
        <v>0</v>
      </c>
      <c r="R194" s="16">
        <f t="shared" si="44"/>
        <v>0</v>
      </c>
      <c r="S194" s="16">
        <f t="shared" si="45"/>
        <v>0</v>
      </c>
    </row>
    <row r="195" spans="1:19" x14ac:dyDescent="0.3">
      <c r="A195" s="65">
        <v>20181016</v>
      </c>
      <c r="B195" s="65" t="s">
        <v>88</v>
      </c>
      <c r="C195" s="139">
        <f t="shared" si="34"/>
        <v>106388673.179364</v>
      </c>
      <c r="D195" s="139">
        <f t="shared" si="35"/>
        <v>7.1221366186201389E-3</v>
      </c>
      <c r="E195" s="66">
        <v>43600</v>
      </c>
      <c r="F195" s="16">
        <f t="shared" si="36"/>
        <v>0.4</v>
      </c>
      <c r="G195" s="16">
        <f t="shared" si="37"/>
        <v>1004.8014547344341</v>
      </c>
      <c r="H195" s="66">
        <v>257403</v>
      </c>
      <c r="I195" s="16">
        <f t="shared" si="38"/>
        <v>0.3</v>
      </c>
      <c r="J195" s="16">
        <f t="shared" si="39"/>
        <v>117.90220809095669</v>
      </c>
      <c r="K195" s="66">
        <v>211975</v>
      </c>
      <c r="L195" s="16">
        <f t="shared" si="40"/>
        <v>0.3</v>
      </c>
      <c r="M195" s="16">
        <f t="shared" si="41"/>
        <v>152.05070260033568</v>
      </c>
      <c r="N195" s="16">
        <v>0</v>
      </c>
      <c r="O195" s="16">
        <f t="shared" si="42"/>
        <v>0</v>
      </c>
      <c r="P195" s="16">
        <f t="shared" si="43"/>
        <v>0</v>
      </c>
      <c r="Q195" s="16">
        <v>0</v>
      </c>
      <c r="R195" s="16">
        <f t="shared" si="44"/>
        <v>0</v>
      </c>
      <c r="S195" s="16">
        <f t="shared" si="45"/>
        <v>0</v>
      </c>
    </row>
    <row r="196" spans="1:19" x14ac:dyDescent="0.3">
      <c r="A196" s="65">
        <v>20181017</v>
      </c>
      <c r="B196" s="65" t="s">
        <v>88</v>
      </c>
      <c r="C196" s="139">
        <f t="shared" si="34"/>
        <v>107570598.30732045</v>
      </c>
      <c r="D196" s="139">
        <f t="shared" si="35"/>
        <v>1.1109501534658726E-2</v>
      </c>
      <c r="E196" s="66">
        <v>44150</v>
      </c>
      <c r="F196" s="16">
        <f t="shared" si="36"/>
        <v>0.4</v>
      </c>
      <c r="G196" s="16">
        <f t="shared" si="37"/>
        <v>1004.8014547344341</v>
      </c>
      <c r="H196" s="66">
        <v>260842</v>
      </c>
      <c r="I196" s="16">
        <f t="shared" si="38"/>
        <v>0.3</v>
      </c>
      <c r="J196" s="16">
        <f t="shared" si="39"/>
        <v>117.90220809095669</v>
      </c>
      <c r="K196" s="66">
        <v>213447</v>
      </c>
      <c r="L196" s="16">
        <f t="shared" si="40"/>
        <v>0.3</v>
      </c>
      <c r="M196" s="16">
        <f t="shared" si="41"/>
        <v>152.05070260033568</v>
      </c>
      <c r="N196" s="16">
        <v>0</v>
      </c>
      <c r="O196" s="16">
        <f t="shared" si="42"/>
        <v>0</v>
      </c>
      <c r="P196" s="16">
        <f t="shared" si="43"/>
        <v>0</v>
      </c>
      <c r="Q196" s="16">
        <v>0</v>
      </c>
      <c r="R196" s="16">
        <f t="shared" si="44"/>
        <v>0</v>
      </c>
      <c r="S196" s="16">
        <f t="shared" si="45"/>
        <v>0</v>
      </c>
    </row>
    <row r="197" spans="1:19" x14ac:dyDescent="0.3">
      <c r="A197" s="65">
        <v>20181018</v>
      </c>
      <c r="B197" s="65" t="s">
        <v>88</v>
      </c>
      <c r="C197" s="139">
        <f t="shared" ref="C197:C260" si="46">E197*G197+H197*J197+K197*M197+N197*P197+Q197*S197</f>
        <v>106323867.54349947</v>
      </c>
      <c r="D197" s="139">
        <f t="shared" si="35"/>
        <v>-1.158988407091655E-2</v>
      </c>
      <c r="E197" s="66">
        <v>44050</v>
      </c>
      <c r="F197" s="16">
        <f t="shared" si="36"/>
        <v>0.4</v>
      </c>
      <c r="G197" s="16">
        <f t="shared" si="37"/>
        <v>1004.8014547344341</v>
      </c>
      <c r="H197" s="66">
        <v>255929</v>
      </c>
      <c r="I197" s="16">
        <f t="shared" si="38"/>
        <v>0.3</v>
      </c>
      <c r="J197" s="16">
        <f t="shared" si="39"/>
        <v>117.90220809095669</v>
      </c>
      <c r="K197" s="66">
        <v>209718</v>
      </c>
      <c r="L197" s="16">
        <f t="shared" si="40"/>
        <v>0.3</v>
      </c>
      <c r="M197" s="16">
        <f t="shared" si="41"/>
        <v>152.05070260033568</v>
      </c>
      <c r="N197" s="16">
        <v>0</v>
      </c>
      <c r="O197" s="16">
        <f t="shared" si="42"/>
        <v>0</v>
      </c>
      <c r="P197" s="16">
        <f t="shared" si="43"/>
        <v>0</v>
      </c>
      <c r="Q197" s="16">
        <v>0</v>
      </c>
      <c r="R197" s="16">
        <f t="shared" si="44"/>
        <v>0</v>
      </c>
      <c r="S197" s="16">
        <f t="shared" si="45"/>
        <v>0</v>
      </c>
    </row>
    <row r="198" spans="1:19" x14ac:dyDescent="0.3">
      <c r="A198" s="65">
        <v>20181019</v>
      </c>
      <c r="B198" s="65" t="s">
        <v>88</v>
      </c>
      <c r="C198" s="139">
        <f t="shared" si="46"/>
        <v>109187834.7824482</v>
      </c>
      <c r="D198" s="139">
        <f t="shared" ref="D198:D261" si="47">(C198-C197)/C197</f>
        <v>2.6936259046229857E-2</v>
      </c>
      <c r="E198" s="66">
        <v>43900</v>
      </c>
      <c r="F198" s="16">
        <f t="shared" si="36"/>
        <v>0.4</v>
      </c>
      <c r="G198" s="16">
        <f t="shared" si="37"/>
        <v>1004.8014547344341</v>
      </c>
      <c r="H198" s="66">
        <v>268210</v>
      </c>
      <c r="I198" s="16">
        <f t="shared" si="38"/>
        <v>0.3</v>
      </c>
      <c r="J198" s="16">
        <f t="shared" si="39"/>
        <v>117.90220809095669</v>
      </c>
      <c r="K198" s="66">
        <v>220022</v>
      </c>
      <c r="L198" s="16">
        <f t="shared" si="40"/>
        <v>0.3</v>
      </c>
      <c r="M198" s="16">
        <f t="shared" si="41"/>
        <v>152.05070260033568</v>
      </c>
      <c r="N198" s="16">
        <v>0</v>
      </c>
      <c r="O198" s="16">
        <f t="shared" si="42"/>
        <v>0</v>
      </c>
      <c r="P198" s="16">
        <f t="shared" si="43"/>
        <v>0</v>
      </c>
      <c r="Q198" s="16">
        <v>0</v>
      </c>
      <c r="R198" s="16">
        <f t="shared" si="44"/>
        <v>0</v>
      </c>
      <c r="S198" s="16">
        <f t="shared" si="45"/>
        <v>0</v>
      </c>
    </row>
    <row r="199" spans="1:19" x14ac:dyDescent="0.3">
      <c r="A199" s="65">
        <v>20181022</v>
      </c>
      <c r="B199" s="65" t="s">
        <v>88</v>
      </c>
      <c r="C199" s="139">
        <f t="shared" si="46"/>
        <v>108359611.51788554</v>
      </c>
      <c r="D199" s="139">
        <f t="shared" si="47"/>
        <v>-7.5853071563591638E-3</v>
      </c>
      <c r="E199" s="66">
        <v>43550</v>
      </c>
      <c r="F199" s="16">
        <f t="shared" si="36"/>
        <v>0.4</v>
      </c>
      <c r="G199" s="16">
        <f t="shared" si="37"/>
        <v>1004.8014547344341</v>
      </c>
      <c r="H199" s="66">
        <v>263789</v>
      </c>
      <c r="I199" s="16">
        <f t="shared" si="38"/>
        <v>0.3</v>
      </c>
      <c r="J199" s="16">
        <f t="shared" si="39"/>
        <v>117.90220809095669</v>
      </c>
      <c r="K199" s="66">
        <v>220316</v>
      </c>
      <c r="L199" s="16">
        <f t="shared" si="40"/>
        <v>0.3</v>
      </c>
      <c r="M199" s="16">
        <f t="shared" si="41"/>
        <v>152.05070260033568</v>
      </c>
      <c r="N199" s="16">
        <v>0</v>
      </c>
      <c r="O199" s="16">
        <f t="shared" si="42"/>
        <v>0</v>
      </c>
      <c r="P199" s="16">
        <f t="shared" si="43"/>
        <v>0</v>
      </c>
      <c r="Q199" s="16">
        <v>0</v>
      </c>
      <c r="R199" s="16">
        <f t="shared" si="44"/>
        <v>0</v>
      </c>
      <c r="S199" s="16">
        <f t="shared" si="45"/>
        <v>0</v>
      </c>
    </row>
    <row r="200" spans="1:19" x14ac:dyDescent="0.3">
      <c r="A200" s="65">
        <v>20181023</v>
      </c>
      <c r="B200" s="65" t="s">
        <v>88</v>
      </c>
      <c r="C200" s="139">
        <f t="shared" si="46"/>
        <v>104025716.58559614</v>
      </c>
      <c r="D200" s="139">
        <f t="shared" si="47"/>
        <v>-3.9995482371898788E-2</v>
      </c>
      <c r="E200" s="66">
        <v>43050</v>
      </c>
      <c r="F200" s="16">
        <f t="shared" si="36"/>
        <v>0.4</v>
      </c>
      <c r="G200" s="16">
        <f t="shared" si="37"/>
        <v>1004.8014547344341</v>
      </c>
      <c r="H200" s="66">
        <v>242175</v>
      </c>
      <c r="I200" s="16">
        <f t="shared" si="38"/>
        <v>0.3</v>
      </c>
      <c r="J200" s="16">
        <f t="shared" si="39"/>
        <v>117.90220809095669</v>
      </c>
      <c r="K200" s="66">
        <v>211877</v>
      </c>
      <c r="L200" s="16">
        <f t="shared" si="40"/>
        <v>0.3</v>
      </c>
      <c r="M200" s="16">
        <f t="shared" si="41"/>
        <v>152.05070260033568</v>
      </c>
      <c r="N200" s="16">
        <v>0</v>
      </c>
      <c r="O200" s="16">
        <f t="shared" si="42"/>
        <v>0</v>
      </c>
      <c r="P200" s="16">
        <f t="shared" si="43"/>
        <v>0</v>
      </c>
      <c r="Q200" s="16">
        <v>0</v>
      </c>
      <c r="R200" s="16">
        <f t="shared" si="44"/>
        <v>0</v>
      </c>
      <c r="S200" s="16">
        <f t="shared" si="45"/>
        <v>0</v>
      </c>
    </row>
    <row r="201" spans="1:19" x14ac:dyDescent="0.3">
      <c r="A201" s="65">
        <v>20181024</v>
      </c>
      <c r="B201" s="65" t="s">
        <v>88</v>
      </c>
      <c r="C201" s="139">
        <f t="shared" si="46"/>
        <v>101210117.30243757</v>
      </c>
      <c r="D201" s="139">
        <f t="shared" si="47"/>
        <v>-2.706637719569846E-2</v>
      </c>
      <c r="E201" s="66">
        <v>42550</v>
      </c>
      <c r="F201" s="16">
        <f t="shared" si="36"/>
        <v>0.4</v>
      </c>
      <c r="G201" s="16">
        <f t="shared" si="37"/>
        <v>1004.8014547344341</v>
      </c>
      <c r="H201" s="66">
        <v>221543</v>
      </c>
      <c r="I201" s="16">
        <f t="shared" si="38"/>
        <v>0.3</v>
      </c>
      <c r="J201" s="16">
        <f t="shared" si="39"/>
        <v>117.90220809095669</v>
      </c>
      <c r="K201" s="66">
        <v>212662</v>
      </c>
      <c r="L201" s="16">
        <f t="shared" si="40"/>
        <v>0.3</v>
      </c>
      <c r="M201" s="16">
        <f t="shared" si="41"/>
        <v>152.05070260033568</v>
      </c>
      <c r="N201" s="16">
        <v>0</v>
      </c>
      <c r="O201" s="16">
        <f t="shared" si="42"/>
        <v>0</v>
      </c>
      <c r="P201" s="16">
        <f t="shared" si="43"/>
        <v>0</v>
      </c>
      <c r="Q201" s="16">
        <v>0</v>
      </c>
      <c r="R201" s="16">
        <f t="shared" si="44"/>
        <v>0</v>
      </c>
      <c r="S201" s="16">
        <f t="shared" si="45"/>
        <v>0</v>
      </c>
    </row>
    <row r="202" spans="1:19" x14ac:dyDescent="0.3">
      <c r="A202" s="65">
        <v>20181025</v>
      </c>
      <c r="B202" s="65" t="s">
        <v>88</v>
      </c>
      <c r="C202" s="139">
        <f t="shared" si="46"/>
        <v>98882522.513976663</v>
      </c>
      <c r="D202" s="139">
        <f t="shared" si="47"/>
        <v>-2.299764935066281E-2</v>
      </c>
      <c r="E202" s="66">
        <v>41000</v>
      </c>
      <c r="F202" s="16">
        <f t="shared" si="36"/>
        <v>0.4</v>
      </c>
      <c r="G202" s="16">
        <f t="shared" si="37"/>
        <v>1004.8014547344341</v>
      </c>
      <c r="H202" s="66">
        <v>232350</v>
      </c>
      <c r="I202" s="16">
        <f t="shared" si="38"/>
        <v>0.3</v>
      </c>
      <c r="J202" s="16">
        <f t="shared" si="39"/>
        <v>117.90220809095669</v>
      </c>
      <c r="K202" s="66">
        <v>199217</v>
      </c>
      <c r="L202" s="16">
        <f t="shared" si="40"/>
        <v>0.3</v>
      </c>
      <c r="M202" s="16">
        <f t="shared" si="41"/>
        <v>152.05070260033568</v>
      </c>
      <c r="N202" s="16">
        <v>0</v>
      </c>
      <c r="O202" s="16">
        <f t="shared" si="42"/>
        <v>0</v>
      </c>
      <c r="P202" s="16">
        <f t="shared" si="43"/>
        <v>0</v>
      </c>
      <c r="Q202" s="16">
        <v>0</v>
      </c>
      <c r="R202" s="16">
        <f t="shared" si="44"/>
        <v>0</v>
      </c>
      <c r="S202" s="16">
        <f t="shared" si="45"/>
        <v>0</v>
      </c>
    </row>
    <row r="203" spans="1:19" x14ac:dyDescent="0.3">
      <c r="A203" s="65">
        <v>20181026</v>
      </c>
      <c r="B203" s="65" t="s">
        <v>88</v>
      </c>
      <c r="C203" s="139">
        <f t="shared" si="46"/>
        <v>96689388.041447088</v>
      </c>
      <c r="D203" s="139">
        <f t="shared" si="47"/>
        <v>-2.2179192204765854E-2</v>
      </c>
      <c r="E203" s="66">
        <v>41000</v>
      </c>
      <c r="F203" s="16">
        <f t="shared" si="36"/>
        <v>0.4</v>
      </c>
      <c r="G203" s="16">
        <f t="shared" si="37"/>
        <v>1004.8014547344341</v>
      </c>
      <c r="H203" s="66">
        <v>224000</v>
      </c>
      <c r="I203" s="16">
        <f t="shared" si="38"/>
        <v>0.3</v>
      </c>
      <c r="J203" s="16">
        <f t="shared" si="39"/>
        <v>117.90220809095669</v>
      </c>
      <c r="K203" s="66">
        <v>191268</v>
      </c>
      <c r="L203" s="16">
        <f t="shared" si="40"/>
        <v>0.3</v>
      </c>
      <c r="M203" s="16">
        <f t="shared" si="41"/>
        <v>152.05070260033568</v>
      </c>
      <c r="N203" s="16">
        <v>0</v>
      </c>
      <c r="O203" s="16">
        <f t="shared" si="42"/>
        <v>0</v>
      </c>
      <c r="P203" s="16">
        <f t="shared" si="43"/>
        <v>0</v>
      </c>
      <c r="Q203" s="16">
        <v>0</v>
      </c>
      <c r="R203" s="16">
        <f t="shared" si="44"/>
        <v>0</v>
      </c>
      <c r="S203" s="16">
        <f t="shared" si="45"/>
        <v>0</v>
      </c>
    </row>
    <row r="204" spans="1:19" x14ac:dyDescent="0.3">
      <c r="A204" s="65">
        <v>20181029</v>
      </c>
      <c r="B204" s="65" t="s">
        <v>88</v>
      </c>
      <c r="C204" s="139">
        <f t="shared" si="46"/>
        <v>93978155.596217304</v>
      </c>
      <c r="D204" s="139">
        <f t="shared" si="47"/>
        <v>-2.8040641275623553E-2</v>
      </c>
      <c r="E204" s="66">
        <v>41400</v>
      </c>
      <c r="F204" s="16">
        <f t="shared" si="36"/>
        <v>0.4</v>
      </c>
      <c r="G204" s="16">
        <f t="shared" si="37"/>
        <v>1004.8014547344341</v>
      </c>
      <c r="H204" s="66">
        <v>214175</v>
      </c>
      <c r="I204" s="16">
        <f t="shared" si="38"/>
        <v>0.3</v>
      </c>
      <c r="J204" s="16">
        <f t="shared" si="39"/>
        <v>117.90220809095669</v>
      </c>
      <c r="K204" s="66">
        <v>178412</v>
      </c>
      <c r="L204" s="16">
        <f t="shared" si="40"/>
        <v>0.3</v>
      </c>
      <c r="M204" s="16">
        <f t="shared" si="41"/>
        <v>152.05070260033568</v>
      </c>
      <c r="N204" s="16">
        <v>0</v>
      </c>
      <c r="O204" s="16">
        <f t="shared" si="42"/>
        <v>0</v>
      </c>
      <c r="P204" s="16">
        <f t="shared" si="43"/>
        <v>0</v>
      </c>
      <c r="Q204" s="16">
        <v>0</v>
      </c>
      <c r="R204" s="16">
        <f t="shared" si="44"/>
        <v>0</v>
      </c>
      <c r="S204" s="16">
        <f t="shared" si="45"/>
        <v>0</v>
      </c>
    </row>
    <row r="205" spans="1:19" x14ac:dyDescent="0.3">
      <c r="A205" s="65">
        <v>20181030</v>
      </c>
      <c r="B205" s="65" t="s">
        <v>88</v>
      </c>
      <c r="C205" s="139">
        <f t="shared" si="46"/>
        <v>97099629.34623085</v>
      </c>
      <c r="D205" s="139">
        <f t="shared" si="47"/>
        <v>3.3214886270221573E-2</v>
      </c>
      <c r="E205" s="66">
        <v>42350</v>
      </c>
      <c r="F205" s="16">
        <f t="shared" si="36"/>
        <v>0.4</v>
      </c>
      <c r="G205" s="16">
        <f t="shared" si="37"/>
        <v>1004.8014547344341</v>
      </c>
      <c r="H205" s="66">
        <v>221543</v>
      </c>
      <c r="I205" s="16">
        <f t="shared" si="38"/>
        <v>0.3</v>
      </c>
      <c r="J205" s="16">
        <f t="shared" si="39"/>
        <v>117.90220809095669</v>
      </c>
      <c r="K205" s="66">
        <v>186950</v>
      </c>
      <c r="L205" s="16">
        <f t="shared" si="40"/>
        <v>0.3</v>
      </c>
      <c r="M205" s="16">
        <f t="shared" si="41"/>
        <v>152.05070260033568</v>
      </c>
      <c r="N205" s="16">
        <v>0</v>
      </c>
      <c r="O205" s="16">
        <f t="shared" si="42"/>
        <v>0</v>
      </c>
      <c r="P205" s="16">
        <f t="shared" si="43"/>
        <v>0</v>
      </c>
      <c r="Q205" s="16">
        <v>0</v>
      </c>
      <c r="R205" s="16">
        <f t="shared" si="44"/>
        <v>0</v>
      </c>
      <c r="S205" s="16">
        <f t="shared" si="45"/>
        <v>0</v>
      </c>
    </row>
    <row r="206" spans="1:19" x14ac:dyDescent="0.3">
      <c r="A206" s="65">
        <v>20181031</v>
      </c>
      <c r="B206" s="65" t="s">
        <v>88</v>
      </c>
      <c r="C206" s="139">
        <f t="shared" si="46"/>
        <v>95596522.969462171</v>
      </c>
      <c r="D206" s="139">
        <f t="shared" si="47"/>
        <v>-1.5480042373890123E-2</v>
      </c>
      <c r="E206" s="66">
        <v>42400</v>
      </c>
      <c r="F206" s="16">
        <f t="shared" si="36"/>
        <v>0.4</v>
      </c>
      <c r="G206" s="16">
        <f t="shared" si="37"/>
        <v>1004.8014547344341</v>
      </c>
      <c r="H206" s="66">
        <v>213684</v>
      </c>
      <c r="I206" s="16">
        <f t="shared" si="38"/>
        <v>0.3</v>
      </c>
      <c r="J206" s="16">
        <f t="shared" si="39"/>
        <v>117.90220809095669</v>
      </c>
      <c r="K206" s="66">
        <v>182828</v>
      </c>
      <c r="L206" s="16">
        <f t="shared" si="40"/>
        <v>0.3</v>
      </c>
      <c r="M206" s="16">
        <f t="shared" si="41"/>
        <v>152.05070260033568</v>
      </c>
      <c r="N206" s="16">
        <v>0</v>
      </c>
      <c r="O206" s="16">
        <f t="shared" si="42"/>
        <v>0</v>
      </c>
      <c r="P206" s="16">
        <f t="shared" si="43"/>
        <v>0</v>
      </c>
      <c r="Q206" s="16">
        <v>0</v>
      </c>
      <c r="R206" s="16">
        <f t="shared" si="44"/>
        <v>0</v>
      </c>
      <c r="S206" s="16">
        <f t="shared" si="45"/>
        <v>0</v>
      </c>
    </row>
    <row r="207" spans="1:19" x14ac:dyDescent="0.3">
      <c r="A207" s="65">
        <v>20181101</v>
      </c>
      <c r="B207" s="65" t="s">
        <v>88</v>
      </c>
      <c r="C207" s="139">
        <f t="shared" si="46"/>
        <v>96011253.723044232</v>
      </c>
      <c r="D207" s="139">
        <f t="shared" si="47"/>
        <v>4.3383455872609928E-3</v>
      </c>
      <c r="E207" s="66">
        <v>42150</v>
      </c>
      <c r="F207" s="16">
        <f t="shared" si="36"/>
        <v>0.4</v>
      </c>
      <c r="G207" s="16">
        <f t="shared" si="37"/>
        <v>1004.8014547344341</v>
      </c>
      <c r="H207" s="66">
        <v>223508</v>
      </c>
      <c r="I207" s="16">
        <f t="shared" si="38"/>
        <v>0.3</v>
      </c>
      <c r="J207" s="16">
        <f t="shared" si="39"/>
        <v>117.90220809095669</v>
      </c>
      <c r="K207" s="66">
        <v>179590</v>
      </c>
      <c r="L207" s="16">
        <f t="shared" si="40"/>
        <v>0.3</v>
      </c>
      <c r="M207" s="16">
        <f t="shared" si="41"/>
        <v>152.05070260033568</v>
      </c>
      <c r="N207" s="16">
        <v>0</v>
      </c>
      <c r="O207" s="16">
        <f t="shared" si="42"/>
        <v>0</v>
      </c>
      <c r="P207" s="16">
        <f t="shared" si="43"/>
        <v>0</v>
      </c>
      <c r="Q207" s="66">
        <v>26950</v>
      </c>
      <c r="R207" s="16">
        <f t="shared" si="44"/>
        <v>0</v>
      </c>
      <c r="S207" s="16">
        <f t="shared" si="45"/>
        <v>0</v>
      </c>
    </row>
    <row r="208" spans="1:19" x14ac:dyDescent="0.3">
      <c r="A208" s="65">
        <v>20181102</v>
      </c>
      <c r="B208" s="65" t="s">
        <v>88</v>
      </c>
      <c r="C208" s="139">
        <f t="shared" si="46"/>
        <v>101286633.32987544</v>
      </c>
      <c r="D208" s="139">
        <f t="shared" si="47"/>
        <v>5.4945429856052726E-2</v>
      </c>
      <c r="E208" s="66">
        <v>44150</v>
      </c>
      <c r="F208" s="16">
        <f t="shared" si="36"/>
        <v>0.4</v>
      </c>
      <c r="G208" s="16">
        <f t="shared" si="37"/>
        <v>1004.8014547344341</v>
      </c>
      <c r="H208" s="66">
        <v>232350</v>
      </c>
      <c r="I208" s="16">
        <f t="shared" si="38"/>
        <v>0.3</v>
      </c>
      <c r="J208" s="16">
        <f t="shared" si="39"/>
        <v>117.90220809095669</v>
      </c>
      <c r="K208" s="66">
        <v>194212</v>
      </c>
      <c r="L208" s="16">
        <f t="shared" si="40"/>
        <v>0.3</v>
      </c>
      <c r="M208" s="16">
        <f t="shared" si="41"/>
        <v>152.05070260033568</v>
      </c>
      <c r="N208" s="16">
        <v>0</v>
      </c>
      <c r="O208" s="16">
        <f t="shared" si="42"/>
        <v>0</v>
      </c>
      <c r="P208" s="16">
        <f t="shared" si="43"/>
        <v>0</v>
      </c>
      <c r="Q208" s="66">
        <v>27400</v>
      </c>
      <c r="R208" s="16">
        <f t="shared" si="44"/>
        <v>0</v>
      </c>
      <c r="S208" s="16">
        <f t="shared" si="45"/>
        <v>0</v>
      </c>
    </row>
    <row r="209" spans="1:19" x14ac:dyDescent="0.3">
      <c r="A209" s="65">
        <v>20181105</v>
      </c>
      <c r="B209" s="65" t="s">
        <v>88</v>
      </c>
      <c r="C209" s="139">
        <f t="shared" si="46"/>
        <v>102250594.0201088</v>
      </c>
      <c r="D209" s="139">
        <f t="shared" si="47"/>
        <v>9.5171560011663991E-3</v>
      </c>
      <c r="E209" s="66">
        <v>43800</v>
      </c>
      <c r="F209" s="16">
        <f t="shared" si="36"/>
        <v>0.4</v>
      </c>
      <c r="G209" s="16">
        <f t="shared" si="37"/>
        <v>1004.8014547344341</v>
      </c>
      <c r="H209" s="66">
        <v>235789</v>
      </c>
      <c r="I209" s="16">
        <f t="shared" si="38"/>
        <v>0.3</v>
      </c>
      <c r="J209" s="16">
        <f t="shared" si="39"/>
        <v>117.90220809095669</v>
      </c>
      <c r="K209" s="66">
        <v>200198</v>
      </c>
      <c r="L209" s="16">
        <f t="shared" si="40"/>
        <v>0.3</v>
      </c>
      <c r="M209" s="16">
        <f t="shared" si="41"/>
        <v>152.05070260033568</v>
      </c>
      <c r="N209" s="16">
        <v>0</v>
      </c>
      <c r="O209" s="16">
        <f t="shared" si="42"/>
        <v>0</v>
      </c>
      <c r="P209" s="16">
        <f t="shared" si="43"/>
        <v>0</v>
      </c>
      <c r="Q209" s="66">
        <v>26300</v>
      </c>
      <c r="R209" s="16">
        <f t="shared" si="44"/>
        <v>0</v>
      </c>
      <c r="S209" s="16">
        <f t="shared" si="45"/>
        <v>0</v>
      </c>
    </row>
    <row r="210" spans="1:19" x14ac:dyDescent="0.3">
      <c r="A210" s="65">
        <v>20181106</v>
      </c>
      <c r="B210" s="65" t="s">
        <v>88</v>
      </c>
      <c r="C210" s="139">
        <f t="shared" si="46"/>
        <v>102196774.11417614</v>
      </c>
      <c r="D210" s="139">
        <f t="shared" si="47"/>
        <v>-5.263529904000415E-4</v>
      </c>
      <c r="E210" s="66">
        <v>43750</v>
      </c>
      <c r="F210" s="16">
        <f t="shared" si="36"/>
        <v>0.4</v>
      </c>
      <c r="G210" s="16">
        <f t="shared" si="37"/>
        <v>1004.8014547344341</v>
      </c>
      <c r="H210" s="66">
        <v>236771</v>
      </c>
      <c r="I210" s="16">
        <f t="shared" si="38"/>
        <v>0.3</v>
      </c>
      <c r="J210" s="16">
        <f t="shared" si="39"/>
        <v>117.90220809095669</v>
      </c>
      <c r="K210" s="66">
        <v>199413</v>
      </c>
      <c r="L210" s="16">
        <f t="shared" si="40"/>
        <v>0.3</v>
      </c>
      <c r="M210" s="16">
        <f t="shared" si="41"/>
        <v>152.05070260033568</v>
      </c>
      <c r="N210" s="16">
        <v>0</v>
      </c>
      <c r="O210" s="16">
        <f t="shared" si="42"/>
        <v>0</v>
      </c>
      <c r="P210" s="16">
        <f t="shared" si="43"/>
        <v>0</v>
      </c>
      <c r="Q210" s="66">
        <v>26350</v>
      </c>
      <c r="R210" s="16">
        <f t="shared" si="44"/>
        <v>0</v>
      </c>
      <c r="S210" s="16">
        <f t="shared" si="45"/>
        <v>0</v>
      </c>
    </row>
    <row r="211" spans="1:19" x14ac:dyDescent="0.3">
      <c r="A211" s="65">
        <v>20181107</v>
      </c>
      <c r="B211" s="65" t="s">
        <v>88</v>
      </c>
      <c r="C211" s="139">
        <f t="shared" si="46"/>
        <v>101250993.54173146</v>
      </c>
      <c r="D211" s="139">
        <f t="shared" si="47"/>
        <v>-9.2545051508967757E-3</v>
      </c>
      <c r="E211" s="66">
        <v>44000</v>
      </c>
      <c r="F211" s="16">
        <f t="shared" si="36"/>
        <v>0.4</v>
      </c>
      <c r="G211" s="16">
        <f t="shared" si="37"/>
        <v>1004.8014547344341</v>
      </c>
      <c r="H211" s="66">
        <v>229403</v>
      </c>
      <c r="I211" s="16">
        <f t="shared" si="38"/>
        <v>0.3</v>
      </c>
      <c r="J211" s="16">
        <f t="shared" si="39"/>
        <v>117.90220809095669</v>
      </c>
      <c r="K211" s="66">
        <v>197254</v>
      </c>
      <c r="L211" s="16">
        <f t="shared" si="40"/>
        <v>0.3</v>
      </c>
      <c r="M211" s="16">
        <f t="shared" si="41"/>
        <v>152.05070260033568</v>
      </c>
      <c r="N211" s="16">
        <v>0</v>
      </c>
      <c r="O211" s="16">
        <f t="shared" si="42"/>
        <v>0</v>
      </c>
      <c r="P211" s="16">
        <f t="shared" si="43"/>
        <v>0</v>
      </c>
      <c r="Q211" s="66">
        <v>25150</v>
      </c>
      <c r="R211" s="16">
        <f t="shared" si="44"/>
        <v>0</v>
      </c>
      <c r="S211" s="16">
        <f t="shared" si="45"/>
        <v>0</v>
      </c>
    </row>
    <row r="212" spans="1:19" x14ac:dyDescent="0.3">
      <c r="A212" s="65">
        <v>20181108</v>
      </c>
      <c r="B212" s="65" t="s">
        <v>88</v>
      </c>
      <c r="C212" s="139">
        <f t="shared" si="46"/>
        <v>102133989.83254831</v>
      </c>
      <c r="D212" s="139">
        <f t="shared" si="47"/>
        <v>8.7208654446724911E-3</v>
      </c>
      <c r="E212" s="66">
        <v>44050</v>
      </c>
      <c r="F212" s="16">
        <f t="shared" si="36"/>
        <v>0.4</v>
      </c>
      <c r="G212" s="16">
        <f t="shared" si="37"/>
        <v>1004.8014547344341</v>
      </c>
      <c r="H212" s="66">
        <v>234315</v>
      </c>
      <c r="I212" s="16">
        <f t="shared" si="38"/>
        <v>0.3</v>
      </c>
      <c r="J212" s="16">
        <f t="shared" si="39"/>
        <v>117.90220809095669</v>
      </c>
      <c r="K212" s="66">
        <v>198922</v>
      </c>
      <c r="L212" s="16">
        <f t="shared" si="40"/>
        <v>0.3</v>
      </c>
      <c r="M212" s="16">
        <f t="shared" si="41"/>
        <v>152.05070260033568</v>
      </c>
      <c r="N212" s="16">
        <v>0</v>
      </c>
      <c r="O212" s="16">
        <f t="shared" si="42"/>
        <v>0</v>
      </c>
      <c r="P212" s="16">
        <f t="shared" si="43"/>
        <v>0</v>
      </c>
      <c r="Q212" s="66">
        <v>24250</v>
      </c>
      <c r="R212" s="16">
        <f t="shared" si="44"/>
        <v>0</v>
      </c>
      <c r="S212" s="16">
        <f t="shared" si="45"/>
        <v>0</v>
      </c>
    </row>
    <row r="213" spans="1:19" x14ac:dyDescent="0.3">
      <c r="A213" s="65">
        <v>20181109</v>
      </c>
      <c r="B213" s="65" t="s">
        <v>88</v>
      </c>
      <c r="C213" s="139">
        <f t="shared" si="46"/>
        <v>99984886.098070681</v>
      </c>
      <c r="D213" s="139">
        <f t="shared" si="47"/>
        <v>-2.1042003137262566E-2</v>
      </c>
      <c r="E213" s="66">
        <v>44300</v>
      </c>
      <c r="F213" s="16">
        <f t="shared" si="36"/>
        <v>0.4</v>
      </c>
      <c r="G213" s="16">
        <f t="shared" si="37"/>
        <v>1004.8014547344341</v>
      </c>
      <c r="H213" s="66">
        <v>225473</v>
      </c>
      <c r="I213" s="16">
        <f t="shared" si="38"/>
        <v>0.3</v>
      </c>
      <c r="J213" s="16">
        <f t="shared" si="39"/>
        <v>117.90220809095669</v>
      </c>
      <c r="K213" s="66">
        <v>189992</v>
      </c>
      <c r="L213" s="16">
        <f t="shared" si="40"/>
        <v>0.3</v>
      </c>
      <c r="M213" s="16">
        <f t="shared" si="41"/>
        <v>152.05070260033568</v>
      </c>
      <c r="N213" s="16">
        <v>0</v>
      </c>
      <c r="O213" s="16">
        <f t="shared" si="42"/>
        <v>0</v>
      </c>
      <c r="P213" s="16">
        <f t="shared" si="43"/>
        <v>0</v>
      </c>
      <c r="Q213" s="66">
        <v>23350</v>
      </c>
      <c r="R213" s="16">
        <f t="shared" si="44"/>
        <v>0</v>
      </c>
      <c r="S213" s="16">
        <f t="shared" si="45"/>
        <v>0</v>
      </c>
    </row>
    <row r="214" spans="1:19" x14ac:dyDescent="0.3">
      <c r="A214" s="65">
        <v>20181112</v>
      </c>
      <c r="B214" s="65" t="s">
        <v>88</v>
      </c>
      <c r="C214" s="139">
        <f t="shared" si="46"/>
        <v>95823736.513685137</v>
      </c>
      <c r="D214" s="139">
        <f t="shared" si="47"/>
        <v>-4.161778591520382E-2</v>
      </c>
      <c r="E214" s="66">
        <v>45200</v>
      </c>
      <c r="F214" s="16">
        <f t="shared" si="36"/>
        <v>0.4</v>
      </c>
      <c r="G214" s="16">
        <f t="shared" si="37"/>
        <v>1004.8014547344341</v>
      </c>
      <c r="H214" s="66">
        <v>198456</v>
      </c>
      <c r="I214" s="16">
        <f t="shared" si="38"/>
        <v>0.3</v>
      </c>
      <c r="J214" s="16">
        <f t="shared" si="39"/>
        <v>117.90220809095669</v>
      </c>
      <c r="K214" s="66">
        <v>177627</v>
      </c>
      <c r="L214" s="16">
        <f t="shared" si="40"/>
        <v>0.3</v>
      </c>
      <c r="M214" s="16">
        <f t="shared" si="41"/>
        <v>152.05070260033568</v>
      </c>
      <c r="N214" s="16">
        <v>0</v>
      </c>
      <c r="O214" s="16">
        <f t="shared" si="42"/>
        <v>0</v>
      </c>
      <c r="P214" s="16">
        <f t="shared" si="43"/>
        <v>0</v>
      </c>
      <c r="Q214" s="66">
        <v>22200</v>
      </c>
      <c r="R214" s="16">
        <f t="shared" si="44"/>
        <v>0</v>
      </c>
      <c r="S214" s="16">
        <f t="shared" si="45"/>
        <v>0</v>
      </c>
    </row>
    <row r="215" spans="1:19" x14ac:dyDescent="0.3">
      <c r="A215" s="65">
        <v>20181113</v>
      </c>
      <c r="B215" s="65" t="s">
        <v>88</v>
      </c>
      <c r="C215" s="139">
        <f t="shared" si="46"/>
        <v>95632944.512182876</v>
      </c>
      <c r="D215" s="139">
        <f t="shared" si="47"/>
        <v>-1.9910724465958649E-3</v>
      </c>
      <c r="E215" s="66">
        <v>44500</v>
      </c>
      <c r="F215" s="16">
        <f t="shared" si="36"/>
        <v>0.4</v>
      </c>
      <c r="G215" s="16">
        <f t="shared" si="37"/>
        <v>1004.8014547344341</v>
      </c>
      <c r="H215" s="66">
        <v>196982</v>
      </c>
      <c r="I215" s="16">
        <f t="shared" si="38"/>
        <v>0.3</v>
      </c>
      <c r="J215" s="16">
        <f t="shared" si="39"/>
        <v>117.90220809095669</v>
      </c>
      <c r="K215" s="66">
        <v>182141</v>
      </c>
      <c r="L215" s="16">
        <f t="shared" si="40"/>
        <v>0.3</v>
      </c>
      <c r="M215" s="16">
        <f t="shared" si="41"/>
        <v>152.05070260033568</v>
      </c>
      <c r="N215" s="16">
        <v>0</v>
      </c>
      <c r="O215" s="16">
        <f t="shared" si="42"/>
        <v>0</v>
      </c>
      <c r="P215" s="16">
        <f t="shared" si="43"/>
        <v>0</v>
      </c>
      <c r="Q215" s="66">
        <v>22250</v>
      </c>
      <c r="R215" s="16">
        <f t="shared" si="44"/>
        <v>0</v>
      </c>
      <c r="S215" s="16">
        <f t="shared" si="45"/>
        <v>0</v>
      </c>
    </row>
    <row r="216" spans="1:19" x14ac:dyDescent="0.3">
      <c r="A216" s="65">
        <v>20181114</v>
      </c>
      <c r="B216" s="65" t="s">
        <v>88</v>
      </c>
      <c r="C216" s="139">
        <f t="shared" si="46"/>
        <v>96069925.461793616</v>
      </c>
      <c r="D216" s="139">
        <f t="shared" si="47"/>
        <v>4.5693557992985568E-3</v>
      </c>
      <c r="E216" s="66">
        <v>44100</v>
      </c>
      <c r="F216" s="16">
        <f t="shared" si="36"/>
        <v>0.4</v>
      </c>
      <c r="G216" s="16">
        <f t="shared" si="37"/>
        <v>1004.8014547344341</v>
      </c>
      <c r="H216" s="66">
        <v>204350</v>
      </c>
      <c r="I216" s="16">
        <f t="shared" si="38"/>
        <v>0.3</v>
      </c>
      <c r="J216" s="16">
        <f t="shared" si="39"/>
        <v>117.90220809095669</v>
      </c>
      <c r="K216" s="66">
        <v>181945</v>
      </c>
      <c r="L216" s="16">
        <f t="shared" si="40"/>
        <v>0.3</v>
      </c>
      <c r="M216" s="16">
        <f t="shared" si="41"/>
        <v>152.05070260033568</v>
      </c>
      <c r="N216" s="16">
        <v>0</v>
      </c>
      <c r="O216" s="16">
        <f t="shared" si="42"/>
        <v>0</v>
      </c>
      <c r="P216" s="16">
        <f t="shared" si="43"/>
        <v>0</v>
      </c>
      <c r="Q216" s="66">
        <v>20500</v>
      </c>
      <c r="R216" s="16">
        <f t="shared" si="44"/>
        <v>0</v>
      </c>
      <c r="S216" s="16">
        <f t="shared" si="45"/>
        <v>0</v>
      </c>
    </row>
    <row r="217" spans="1:19" x14ac:dyDescent="0.3">
      <c r="A217" s="65">
        <v>20181115</v>
      </c>
      <c r="B217" s="65" t="s">
        <v>88</v>
      </c>
      <c r="C217" s="139">
        <f t="shared" si="46"/>
        <v>97690545.430607438</v>
      </c>
      <c r="D217" s="139">
        <f t="shared" si="47"/>
        <v>1.6869170669423821E-2</v>
      </c>
      <c r="E217" s="66">
        <v>44250</v>
      </c>
      <c r="F217" s="16">
        <f t="shared" si="36"/>
        <v>0.4</v>
      </c>
      <c r="G217" s="16">
        <f t="shared" si="37"/>
        <v>1004.8014547344341</v>
      </c>
      <c r="H217" s="134">
        <v>214666</v>
      </c>
      <c r="I217" s="16">
        <f t="shared" si="38"/>
        <v>0.3</v>
      </c>
      <c r="J217" s="16">
        <f t="shared" si="39"/>
        <v>117.90220809095669</v>
      </c>
      <c r="K217" s="66">
        <v>183613</v>
      </c>
      <c r="L217" s="16">
        <f t="shared" si="40"/>
        <v>0.3</v>
      </c>
      <c r="M217" s="16">
        <f t="shared" si="41"/>
        <v>152.05070260033568</v>
      </c>
      <c r="N217" s="16">
        <v>0</v>
      </c>
      <c r="O217" s="16">
        <f t="shared" si="42"/>
        <v>0</v>
      </c>
      <c r="P217" s="16">
        <f t="shared" si="43"/>
        <v>0</v>
      </c>
      <c r="Q217" s="66">
        <v>20200</v>
      </c>
      <c r="R217" s="16">
        <f t="shared" si="44"/>
        <v>0</v>
      </c>
      <c r="S217" s="16">
        <f t="shared" si="45"/>
        <v>0</v>
      </c>
    </row>
    <row r="218" spans="1:19" x14ac:dyDescent="0.3">
      <c r="A218" s="65">
        <v>20181116</v>
      </c>
      <c r="B218" s="65" t="s">
        <v>88</v>
      </c>
      <c r="C218" s="139">
        <f t="shared" si="46"/>
        <v>98568980.825169861</v>
      </c>
      <c r="D218" s="139">
        <f t="shared" si="47"/>
        <v>8.9920205756902297E-3</v>
      </c>
      <c r="E218" s="66">
        <v>44000</v>
      </c>
      <c r="F218" s="16">
        <f t="shared" si="36"/>
        <v>0.4</v>
      </c>
      <c r="G218" s="16">
        <f t="shared" si="37"/>
        <v>1004.8014547344341</v>
      </c>
      <c r="H218" s="66">
        <v>220070</v>
      </c>
      <c r="I218" s="16">
        <f t="shared" si="38"/>
        <v>0.3</v>
      </c>
      <c r="J218" s="16">
        <f t="shared" si="39"/>
        <v>117.90220809095669</v>
      </c>
      <c r="K218" s="66">
        <v>186852</v>
      </c>
      <c r="L218" s="16">
        <f t="shared" si="40"/>
        <v>0.3</v>
      </c>
      <c r="M218" s="16">
        <f t="shared" si="41"/>
        <v>152.05070260033568</v>
      </c>
      <c r="N218" s="16">
        <v>0</v>
      </c>
      <c r="O218" s="16">
        <f t="shared" si="42"/>
        <v>0</v>
      </c>
      <c r="P218" s="16">
        <f t="shared" si="43"/>
        <v>0</v>
      </c>
      <c r="Q218" s="66">
        <v>21050</v>
      </c>
      <c r="R218" s="16">
        <f t="shared" si="44"/>
        <v>0</v>
      </c>
      <c r="S218" s="16">
        <f t="shared" si="45"/>
        <v>0</v>
      </c>
    </row>
    <row r="219" spans="1:19" x14ac:dyDescent="0.3">
      <c r="A219" s="65">
        <v>20181119</v>
      </c>
      <c r="B219" s="65" t="s">
        <v>88</v>
      </c>
      <c r="C219" s="139">
        <f t="shared" si="46"/>
        <v>100482526.20329072</v>
      </c>
      <c r="D219" s="139">
        <f t="shared" si="47"/>
        <v>1.9413261272477573E-2</v>
      </c>
      <c r="E219" s="66">
        <v>43650</v>
      </c>
      <c r="F219" s="16">
        <f t="shared" si="36"/>
        <v>0.4</v>
      </c>
      <c r="G219" s="16">
        <f t="shared" si="37"/>
        <v>1004.8014547344341</v>
      </c>
      <c r="H219" s="66">
        <v>224982</v>
      </c>
      <c r="I219" s="16">
        <f t="shared" si="38"/>
        <v>0.3</v>
      </c>
      <c r="J219" s="16">
        <f t="shared" si="39"/>
        <v>117.90220809095669</v>
      </c>
      <c r="K219" s="66">
        <v>197941</v>
      </c>
      <c r="L219" s="16">
        <f t="shared" si="40"/>
        <v>0.3</v>
      </c>
      <c r="M219" s="16">
        <f t="shared" si="41"/>
        <v>152.05070260033568</v>
      </c>
      <c r="N219" s="16">
        <v>0</v>
      </c>
      <c r="O219" s="16">
        <f t="shared" si="42"/>
        <v>0</v>
      </c>
      <c r="P219" s="16">
        <f t="shared" si="43"/>
        <v>0</v>
      </c>
      <c r="Q219" s="66">
        <v>20850</v>
      </c>
      <c r="R219" s="16">
        <f t="shared" si="44"/>
        <v>0</v>
      </c>
      <c r="S219" s="16">
        <f t="shared" si="45"/>
        <v>0</v>
      </c>
    </row>
    <row r="220" spans="1:19" x14ac:dyDescent="0.3">
      <c r="A220" s="65">
        <v>20181120</v>
      </c>
      <c r="B220" s="65" t="s">
        <v>88</v>
      </c>
      <c r="C220" s="139">
        <f t="shared" si="46"/>
        <v>98335563.940901905</v>
      </c>
      <c r="D220" s="139">
        <f t="shared" si="47"/>
        <v>-2.1366523549031746E-2</v>
      </c>
      <c r="E220" s="66">
        <v>42800</v>
      </c>
      <c r="F220" s="16">
        <f t="shared" si="36"/>
        <v>0.4</v>
      </c>
      <c r="G220" s="16">
        <f t="shared" si="37"/>
        <v>1004.8014547344341</v>
      </c>
      <c r="H220" s="66">
        <v>223508</v>
      </c>
      <c r="I220" s="16">
        <f t="shared" si="38"/>
        <v>0.3</v>
      </c>
      <c r="J220" s="16">
        <f t="shared" si="39"/>
        <v>117.90220809095669</v>
      </c>
      <c r="K220" s="66">
        <v>190581</v>
      </c>
      <c r="L220" s="16">
        <f t="shared" si="40"/>
        <v>0.3</v>
      </c>
      <c r="M220" s="16">
        <f t="shared" si="41"/>
        <v>152.05070260033568</v>
      </c>
      <c r="N220" s="66">
        <v>10190</v>
      </c>
      <c r="O220" s="16">
        <f t="shared" si="42"/>
        <v>0</v>
      </c>
      <c r="P220" s="16">
        <f t="shared" si="43"/>
        <v>0</v>
      </c>
      <c r="Q220" s="66">
        <v>19700</v>
      </c>
      <c r="R220" s="16">
        <f t="shared" si="44"/>
        <v>0</v>
      </c>
      <c r="S220" s="16">
        <f t="shared" si="45"/>
        <v>0</v>
      </c>
    </row>
    <row r="221" spans="1:19" x14ac:dyDescent="0.3">
      <c r="A221" s="65">
        <v>20181121</v>
      </c>
      <c r="B221" s="65" t="s">
        <v>88</v>
      </c>
      <c r="C221" s="139">
        <f t="shared" si="46"/>
        <v>96880096.862206191</v>
      </c>
      <c r="D221" s="139">
        <f t="shared" si="47"/>
        <v>-1.4801024373749734E-2</v>
      </c>
      <c r="E221" s="66">
        <v>42100</v>
      </c>
      <c r="F221" s="16">
        <f t="shared" si="36"/>
        <v>0.4</v>
      </c>
      <c r="G221" s="16">
        <f t="shared" si="37"/>
        <v>1004.8014547344341</v>
      </c>
      <c r="H221" s="66">
        <v>221052</v>
      </c>
      <c r="I221" s="16">
        <f t="shared" si="38"/>
        <v>0.3</v>
      </c>
      <c r="J221" s="16">
        <f t="shared" si="39"/>
        <v>117.90220809095669</v>
      </c>
      <c r="K221" s="66">
        <v>187539</v>
      </c>
      <c r="L221" s="16">
        <f t="shared" si="40"/>
        <v>0.3</v>
      </c>
      <c r="M221" s="16">
        <f t="shared" si="41"/>
        <v>152.05070260033568</v>
      </c>
      <c r="N221" s="66">
        <v>10090</v>
      </c>
      <c r="O221" s="16">
        <f t="shared" si="42"/>
        <v>0</v>
      </c>
      <c r="P221" s="16">
        <f t="shared" si="43"/>
        <v>0</v>
      </c>
      <c r="Q221" s="66">
        <v>19050</v>
      </c>
      <c r="R221" s="16">
        <f t="shared" si="44"/>
        <v>0</v>
      </c>
      <c r="S221" s="16">
        <f t="shared" si="45"/>
        <v>0</v>
      </c>
    </row>
    <row r="222" spans="1:19" x14ac:dyDescent="0.3">
      <c r="A222" s="65">
        <v>20181122</v>
      </c>
      <c r="B222" s="65" t="s">
        <v>88</v>
      </c>
      <c r="C222" s="139">
        <f t="shared" si="46"/>
        <v>97567096.602461144</v>
      </c>
      <c r="D222" s="139">
        <f t="shared" si="47"/>
        <v>7.0912371323501268E-3</v>
      </c>
      <c r="E222" s="66">
        <v>42450</v>
      </c>
      <c r="F222" s="16">
        <f t="shared" si="36"/>
        <v>0.4</v>
      </c>
      <c r="G222" s="16">
        <f t="shared" si="37"/>
        <v>1004.8014547344341</v>
      </c>
      <c r="H222" s="66">
        <v>219087</v>
      </c>
      <c r="I222" s="16">
        <f t="shared" si="38"/>
        <v>0.3</v>
      </c>
      <c r="J222" s="16">
        <f t="shared" si="39"/>
        <v>117.90220809095669</v>
      </c>
      <c r="K222" s="66">
        <v>191268</v>
      </c>
      <c r="L222" s="16">
        <f t="shared" si="40"/>
        <v>0.3</v>
      </c>
      <c r="M222" s="16">
        <f t="shared" si="41"/>
        <v>152.05070260033568</v>
      </c>
      <c r="N222" s="66">
        <v>10115</v>
      </c>
      <c r="O222" s="16">
        <f t="shared" si="42"/>
        <v>0</v>
      </c>
      <c r="P222" s="16">
        <f t="shared" si="43"/>
        <v>0</v>
      </c>
      <c r="Q222" s="66">
        <v>18350</v>
      </c>
      <c r="R222" s="16">
        <f t="shared" si="44"/>
        <v>0</v>
      </c>
      <c r="S222" s="16">
        <f t="shared" si="45"/>
        <v>0</v>
      </c>
    </row>
    <row r="223" spans="1:19" x14ac:dyDescent="0.3">
      <c r="A223" s="65">
        <v>20181123</v>
      </c>
      <c r="B223" s="65" t="s">
        <v>88</v>
      </c>
      <c r="C223" s="139">
        <f t="shared" si="46"/>
        <v>96434607.060479432</v>
      </c>
      <c r="D223" s="139">
        <f t="shared" si="47"/>
        <v>-1.1607289561931525E-2</v>
      </c>
      <c r="E223" s="66">
        <v>42400</v>
      </c>
      <c r="F223" s="16">
        <f t="shared" si="36"/>
        <v>0.4</v>
      </c>
      <c r="G223" s="16">
        <f t="shared" si="37"/>
        <v>1004.8014547344341</v>
      </c>
      <c r="H223" s="66">
        <v>217122</v>
      </c>
      <c r="I223" s="16">
        <f t="shared" si="38"/>
        <v>0.3</v>
      </c>
      <c r="J223" s="16">
        <f t="shared" si="39"/>
        <v>117.90220809095669</v>
      </c>
      <c r="K223" s="66">
        <v>185674</v>
      </c>
      <c r="L223" s="16">
        <f t="shared" si="40"/>
        <v>0.3</v>
      </c>
      <c r="M223" s="16">
        <f t="shared" si="41"/>
        <v>152.05070260033568</v>
      </c>
      <c r="N223" s="66">
        <v>10065</v>
      </c>
      <c r="O223" s="16">
        <f t="shared" si="42"/>
        <v>0</v>
      </c>
      <c r="P223" s="16">
        <f t="shared" si="43"/>
        <v>0</v>
      </c>
      <c r="Q223" s="66">
        <v>17200</v>
      </c>
      <c r="R223" s="16">
        <f t="shared" si="44"/>
        <v>0</v>
      </c>
      <c r="S223" s="16">
        <f t="shared" si="45"/>
        <v>0</v>
      </c>
    </row>
    <row r="224" spans="1:19" x14ac:dyDescent="0.3">
      <c r="A224" s="65">
        <v>20181126</v>
      </c>
      <c r="B224" s="65" t="s">
        <v>88</v>
      </c>
      <c r="C224" s="139">
        <f t="shared" si="46"/>
        <v>99715107.546669483</v>
      </c>
      <c r="D224" s="139">
        <f t="shared" si="47"/>
        <v>3.4017875803990877E-2</v>
      </c>
      <c r="E224" s="66">
        <v>42600</v>
      </c>
      <c r="F224" s="16">
        <f t="shared" si="36"/>
        <v>0.4</v>
      </c>
      <c r="G224" s="16">
        <f t="shared" si="37"/>
        <v>1004.8014547344341</v>
      </c>
      <c r="H224" s="66">
        <v>236280</v>
      </c>
      <c r="I224" s="16">
        <f t="shared" si="38"/>
        <v>0.3</v>
      </c>
      <c r="J224" s="16">
        <f t="shared" si="39"/>
        <v>117.90220809095669</v>
      </c>
      <c r="K224" s="66">
        <v>191072</v>
      </c>
      <c r="L224" s="16">
        <f t="shared" si="40"/>
        <v>0.3</v>
      </c>
      <c r="M224" s="16">
        <f t="shared" si="41"/>
        <v>152.05070260033568</v>
      </c>
      <c r="N224" s="66">
        <v>10190</v>
      </c>
      <c r="O224" s="16">
        <f t="shared" si="42"/>
        <v>0</v>
      </c>
      <c r="P224" s="16">
        <f t="shared" si="43"/>
        <v>0</v>
      </c>
      <c r="Q224" s="66">
        <v>17400</v>
      </c>
      <c r="R224" s="16">
        <f t="shared" si="44"/>
        <v>0</v>
      </c>
      <c r="S224" s="16">
        <f t="shared" si="45"/>
        <v>0</v>
      </c>
    </row>
    <row r="225" spans="1:19" x14ac:dyDescent="0.3">
      <c r="A225" s="65">
        <v>20181127</v>
      </c>
      <c r="B225" s="65" t="s">
        <v>88</v>
      </c>
      <c r="C225" s="139">
        <f t="shared" si="46"/>
        <v>101086351.41319865</v>
      </c>
      <c r="D225" s="139">
        <f t="shared" si="47"/>
        <v>1.3751615981433766E-2</v>
      </c>
      <c r="E225" s="66">
        <v>43050</v>
      </c>
      <c r="F225" s="16">
        <f t="shared" si="36"/>
        <v>0.4</v>
      </c>
      <c r="G225" s="16">
        <f t="shared" si="37"/>
        <v>1004.8014547344341</v>
      </c>
      <c r="H225" s="66">
        <v>233824</v>
      </c>
      <c r="I225" s="16">
        <f t="shared" si="38"/>
        <v>0.3</v>
      </c>
      <c r="J225" s="16">
        <f t="shared" si="39"/>
        <v>117.90220809095669</v>
      </c>
      <c r="K225" s="66">
        <v>199021</v>
      </c>
      <c r="L225" s="16">
        <f t="shared" si="40"/>
        <v>0.3</v>
      </c>
      <c r="M225" s="16">
        <f t="shared" si="41"/>
        <v>152.05070260033568</v>
      </c>
      <c r="N225" s="66">
        <v>10290</v>
      </c>
      <c r="O225" s="16">
        <f t="shared" si="42"/>
        <v>0</v>
      </c>
      <c r="P225" s="16">
        <f t="shared" si="43"/>
        <v>0</v>
      </c>
      <c r="Q225" s="66">
        <v>18150</v>
      </c>
      <c r="R225" s="16">
        <f t="shared" si="44"/>
        <v>0</v>
      </c>
      <c r="S225" s="16">
        <f t="shared" si="45"/>
        <v>0</v>
      </c>
    </row>
    <row r="226" spans="1:19" x14ac:dyDescent="0.3">
      <c r="A226" s="65">
        <v>20181128</v>
      </c>
      <c r="B226" s="65" t="s">
        <v>88</v>
      </c>
      <c r="C226" s="139">
        <f t="shared" si="46"/>
        <v>100388004.59907411</v>
      </c>
      <c r="D226" s="139">
        <f t="shared" si="47"/>
        <v>-6.9084184398939307E-3</v>
      </c>
      <c r="E226" s="66">
        <v>43150</v>
      </c>
      <c r="F226" s="16">
        <f t="shared" si="36"/>
        <v>0.4</v>
      </c>
      <c r="G226" s="16">
        <f t="shared" si="37"/>
        <v>1004.8014547344341</v>
      </c>
      <c r="H226" s="66">
        <v>231859</v>
      </c>
      <c r="I226" s="16">
        <f t="shared" si="38"/>
        <v>0.3</v>
      </c>
      <c r="J226" s="16">
        <f t="shared" si="39"/>
        <v>117.90220809095669</v>
      </c>
      <c r="K226" s="66">
        <v>195291</v>
      </c>
      <c r="L226" s="16">
        <f t="shared" si="40"/>
        <v>0.3</v>
      </c>
      <c r="M226" s="16">
        <f t="shared" si="41"/>
        <v>152.05070260033568</v>
      </c>
      <c r="N226" s="66">
        <v>10300</v>
      </c>
      <c r="O226" s="16">
        <f t="shared" si="42"/>
        <v>0</v>
      </c>
      <c r="P226" s="16">
        <f t="shared" si="43"/>
        <v>0</v>
      </c>
      <c r="Q226" s="66">
        <v>18500</v>
      </c>
      <c r="R226" s="16">
        <f t="shared" si="44"/>
        <v>0</v>
      </c>
      <c r="S226" s="16">
        <f t="shared" si="45"/>
        <v>0</v>
      </c>
    </row>
    <row r="227" spans="1:19" x14ac:dyDescent="0.3">
      <c r="A227" s="65">
        <v>20181129</v>
      </c>
      <c r="B227" s="65" t="s">
        <v>88</v>
      </c>
      <c r="C227" s="139">
        <f t="shared" si="46"/>
        <v>100086219.1895844</v>
      </c>
      <c r="D227" s="139">
        <f t="shared" si="47"/>
        <v>-3.0061899396742224E-3</v>
      </c>
      <c r="E227" s="66">
        <v>43150</v>
      </c>
      <c r="F227" s="16">
        <f t="shared" si="36"/>
        <v>0.4</v>
      </c>
      <c r="G227" s="16">
        <f t="shared" si="37"/>
        <v>1004.8014547344341</v>
      </c>
      <c r="H227" s="66">
        <v>232842</v>
      </c>
      <c r="I227" s="16">
        <f t="shared" si="38"/>
        <v>0.3</v>
      </c>
      <c r="J227" s="16">
        <f t="shared" si="39"/>
        <v>117.90220809095669</v>
      </c>
      <c r="K227" s="66">
        <v>192544</v>
      </c>
      <c r="L227" s="16">
        <f t="shared" si="40"/>
        <v>0.3</v>
      </c>
      <c r="M227" s="16">
        <f t="shared" si="41"/>
        <v>152.05070260033568</v>
      </c>
      <c r="N227" s="66">
        <v>10320</v>
      </c>
      <c r="O227" s="16">
        <f t="shared" si="42"/>
        <v>0</v>
      </c>
      <c r="P227" s="16">
        <f t="shared" si="43"/>
        <v>0</v>
      </c>
      <c r="Q227" s="66">
        <v>17950</v>
      </c>
      <c r="R227" s="16">
        <f t="shared" si="44"/>
        <v>0</v>
      </c>
      <c r="S227" s="16">
        <f t="shared" si="45"/>
        <v>0</v>
      </c>
    </row>
    <row r="228" spans="1:19" x14ac:dyDescent="0.3">
      <c r="A228" s="65">
        <v>20181130</v>
      </c>
      <c r="B228" s="65" t="s">
        <v>88</v>
      </c>
      <c r="C228" s="139">
        <f t="shared" si="46"/>
        <v>99233607.829606786</v>
      </c>
      <c r="D228" s="139">
        <f t="shared" si="47"/>
        <v>-8.5187687863660048E-3</v>
      </c>
      <c r="E228" s="66">
        <v>41850</v>
      </c>
      <c r="F228" s="16">
        <f t="shared" si="36"/>
        <v>0.4</v>
      </c>
      <c r="G228" s="16">
        <f t="shared" si="37"/>
        <v>1004.8014547344341</v>
      </c>
      <c r="H228" s="66">
        <v>235298</v>
      </c>
      <c r="I228" s="16">
        <f t="shared" si="38"/>
        <v>0.3</v>
      </c>
      <c r="J228" s="16">
        <f t="shared" si="39"/>
        <v>117.90220809095669</v>
      </c>
      <c r="K228" s="66">
        <v>193623</v>
      </c>
      <c r="L228" s="16">
        <f t="shared" si="40"/>
        <v>0.3</v>
      </c>
      <c r="M228" s="16">
        <f t="shared" si="41"/>
        <v>152.05070260033568</v>
      </c>
      <c r="N228" s="66">
        <v>10235</v>
      </c>
      <c r="O228" s="16">
        <f t="shared" si="42"/>
        <v>0</v>
      </c>
      <c r="P228" s="16">
        <f t="shared" si="43"/>
        <v>0</v>
      </c>
      <c r="Q228" s="66">
        <v>18850</v>
      </c>
      <c r="R228" s="16">
        <f t="shared" si="44"/>
        <v>0</v>
      </c>
      <c r="S228" s="16">
        <f t="shared" si="45"/>
        <v>0</v>
      </c>
    </row>
    <row r="229" spans="1:19" x14ac:dyDescent="0.3">
      <c r="A229" s="65">
        <v>20181203</v>
      </c>
      <c r="B229" s="65" t="s">
        <v>88</v>
      </c>
      <c r="C229" s="139">
        <f t="shared" si="46"/>
        <v>102084120.67109165</v>
      </c>
      <c r="D229" s="139">
        <f t="shared" si="47"/>
        <v>2.8725276686296156E-2</v>
      </c>
      <c r="E229" s="66">
        <v>43250</v>
      </c>
      <c r="F229" s="16">
        <f t="shared" si="36"/>
        <v>0.4</v>
      </c>
      <c r="G229" s="16">
        <f t="shared" si="37"/>
        <v>1004.8014547344341</v>
      </c>
      <c r="H229" s="66">
        <v>236280</v>
      </c>
      <c r="I229" s="16">
        <f t="shared" si="38"/>
        <v>0.3</v>
      </c>
      <c r="J229" s="16">
        <f t="shared" si="39"/>
        <v>117.90220809095669</v>
      </c>
      <c r="K229" s="66">
        <v>202357</v>
      </c>
      <c r="L229" s="16">
        <f t="shared" si="40"/>
        <v>0.3</v>
      </c>
      <c r="M229" s="16">
        <f t="shared" si="41"/>
        <v>152.05070260033568</v>
      </c>
      <c r="N229" s="66">
        <v>10430</v>
      </c>
      <c r="O229" s="16">
        <f t="shared" si="42"/>
        <v>0</v>
      </c>
      <c r="P229" s="16">
        <f t="shared" si="43"/>
        <v>0</v>
      </c>
      <c r="Q229" s="66">
        <v>19150</v>
      </c>
      <c r="R229" s="16">
        <f t="shared" si="44"/>
        <v>0</v>
      </c>
      <c r="S229" s="16">
        <f t="shared" si="45"/>
        <v>0</v>
      </c>
    </row>
    <row r="230" spans="1:19" x14ac:dyDescent="0.3">
      <c r="A230" s="65">
        <v>20181204</v>
      </c>
      <c r="B230" s="65" t="s">
        <v>88</v>
      </c>
      <c r="C230" s="139">
        <f t="shared" si="46"/>
        <v>101266810.90491658</v>
      </c>
      <c r="D230" s="139">
        <f t="shared" si="47"/>
        <v>-8.0062380006032472E-3</v>
      </c>
      <c r="E230" s="66">
        <v>42150</v>
      </c>
      <c r="F230" s="16">
        <f t="shared" si="36"/>
        <v>0.4</v>
      </c>
      <c r="G230" s="16">
        <f t="shared" si="37"/>
        <v>1004.8014547344341</v>
      </c>
      <c r="H230" s="66">
        <v>239228</v>
      </c>
      <c r="I230" s="16">
        <f t="shared" si="38"/>
        <v>0.3</v>
      </c>
      <c r="J230" s="16">
        <f t="shared" si="39"/>
        <v>117.90220809095669</v>
      </c>
      <c r="K230" s="66">
        <v>201965</v>
      </c>
      <c r="L230" s="16">
        <f t="shared" si="40"/>
        <v>0.3</v>
      </c>
      <c r="M230" s="16">
        <f t="shared" si="41"/>
        <v>152.05070260033568</v>
      </c>
      <c r="N230" s="66">
        <v>10310</v>
      </c>
      <c r="O230" s="16">
        <f t="shared" si="42"/>
        <v>0</v>
      </c>
      <c r="P230" s="16">
        <f t="shared" si="43"/>
        <v>0</v>
      </c>
      <c r="Q230" s="66">
        <v>19400</v>
      </c>
      <c r="R230" s="16">
        <f t="shared" si="44"/>
        <v>0</v>
      </c>
      <c r="S230" s="16">
        <f t="shared" si="45"/>
        <v>0</v>
      </c>
    </row>
    <row r="231" spans="1:19" x14ac:dyDescent="0.3">
      <c r="A231" s="65">
        <v>20181205</v>
      </c>
      <c r="B231" s="65" t="s">
        <v>88</v>
      </c>
      <c r="C231" s="139">
        <f t="shared" si="46"/>
        <v>99748008.066902995</v>
      </c>
      <c r="D231" s="139">
        <f t="shared" si="47"/>
        <v>-1.4998031679299681E-2</v>
      </c>
      <c r="E231" s="66">
        <v>41450</v>
      </c>
      <c r="F231" s="16">
        <f t="shared" si="36"/>
        <v>0.4</v>
      </c>
      <c r="G231" s="16">
        <f t="shared" si="37"/>
        <v>1004.8014547344341</v>
      </c>
      <c r="H231" s="66">
        <v>237754</v>
      </c>
      <c r="I231" s="16">
        <f t="shared" si="38"/>
        <v>0.3</v>
      </c>
      <c r="J231" s="16">
        <f t="shared" si="39"/>
        <v>117.90220809095669</v>
      </c>
      <c r="K231" s="66">
        <v>197745</v>
      </c>
      <c r="L231" s="16">
        <f t="shared" si="40"/>
        <v>0.3</v>
      </c>
      <c r="M231" s="16">
        <f t="shared" si="41"/>
        <v>152.05070260033568</v>
      </c>
      <c r="N231" s="66">
        <v>10265</v>
      </c>
      <c r="O231" s="16">
        <f t="shared" si="42"/>
        <v>0</v>
      </c>
      <c r="P231" s="16">
        <f t="shared" si="43"/>
        <v>0</v>
      </c>
      <c r="Q231" s="66">
        <v>18900</v>
      </c>
      <c r="R231" s="16">
        <f t="shared" si="44"/>
        <v>0</v>
      </c>
      <c r="S231" s="16">
        <f t="shared" si="45"/>
        <v>0</v>
      </c>
    </row>
    <row r="232" spans="1:19" x14ac:dyDescent="0.3">
      <c r="A232" s="65">
        <v>20181206</v>
      </c>
      <c r="B232" s="65" t="s">
        <v>88</v>
      </c>
      <c r="C232" s="139">
        <f t="shared" si="46"/>
        <v>96995934.857172132</v>
      </c>
      <c r="D232" s="139">
        <f t="shared" si="47"/>
        <v>-2.7590257320075934E-2</v>
      </c>
      <c r="E232" s="66">
        <v>40500</v>
      </c>
      <c r="F232" s="16">
        <f t="shared" si="36"/>
        <v>0.4</v>
      </c>
      <c r="G232" s="16">
        <f t="shared" si="37"/>
        <v>1004.8014547344341</v>
      </c>
      <c r="H232" s="66">
        <v>231368</v>
      </c>
      <c r="I232" s="16">
        <f t="shared" si="38"/>
        <v>0.3</v>
      </c>
      <c r="J232" s="16">
        <f t="shared" si="39"/>
        <v>117.90220809095669</v>
      </c>
      <c r="K232" s="66">
        <v>190875</v>
      </c>
      <c r="L232" s="16">
        <f t="shared" si="40"/>
        <v>0.3</v>
      </c>
      <c r="M232" s="16">
        <f t="shared" si="41"/>
        <v>152.05070260033568</v>
      </c>
      <c r="N232" s="66">
        <v>10080</v>
      </c>
      <c r="O232" s="16">
        <f t="shared" si="42"/>
        <v>0</v>
      </c>
      <c r="P232" s="16">
        <f t="shared" si="43"/>
        <v>0</v>
      </c>
      <c r="Q232" s="66">
        <v>18200</v>
      </c>
      <c r="R232" s="16">
        <f t="shared" si="44"/>
        <v>0</v>
      </c>
      <c r="S232" s="16">
        <f t="shared" si="45"/>
        <v>0</v>
      </c>
    </row>
    <row r="233" spans="1:19" x14ac:dyDescent="0.3">
      <c r="A233" s="65">
        <v>20181207</v>
      </c>
      <c r="B233" s="65" t="s">
        <v>88</v>
      </c>
      <c r="C233" s="139">
        <f t="shared" si="46"/>
        <v>99173363.874084815</v>
      </c>
      <c r="D233" s="139">
        <f t="shared" si="47"/>
        <v>2.2448662617861031E-2</v>
      </c>
      <c r="E233" s="66">
        <v>40950</v>
      </c>
      <c r="F233" s="16">
        <f t="shared" si="36"/>
        <v>0.4</v>
      </c>
      <c r="G233" s="16">
        <f t="shared" si="37"/>
        <v>1004.8014547344341</v>
      </c>
      <c r="H233" s="66">
        <v>241192</v>
      </c>
      <c r="I233" s="16">
        <f t="shared" si="38"/>
        <v>0.3</v>
      </c>
      <c r="J233" s="16">
        <f t="shared" si="39"/>
        <v>117.90220809095669</v>
      </c>
      <c r="K233" s="66">
        <v>194604</v>
      </c>
      <c r="L233" s="16">
        <f t="shared" si="40"/>
        <v>0.3</v>
      </c>
      <c r="M233" s="16">
        <f t="shared" si="41"/>
        <v>152.05070260033568</v>
      </c>
      <c r="N233" s="66">
        <v>10120</v>
      </c>
      <c r="O233" s="16">
        <f t="shared" si="42"/>
        <v>0</v>
      </c>
      <c r="P233" s="16">
        <f t="shared" si="43"/>
        <v>0</v>
      </c>
      <c r="Q233" s="66">
        <v>18050</v>
      </c>
      <c r="R233" s="16">
        <f t="shared" si="44"/>
        <v>0</v>
      </c>
      <c r="S233" s="16">
        <f t="shared" si="45"/>
        <v>0</v>
      </c>
    </row>
    <row r="234" spans="1:19" x14ac:dyDescent="0.3">
      <c r="A234" s="65">
        <v>20181210</v>
      </c>
      <c r="B234" s="65" t="s">
        <v>88</v>
      </c>
      <c r="C234" s="139">
        <f t="shared" si="46"/>
        <v>97856345.546233281</v>
      </c>
      <c r="D234" s="139">
        <f t="shared" si="47"/>
        <v>-1.3279960227261047E-2</v>
      </c>
      <c r="E234" s="66">
        <v>40200</v>
      </c>
      <c r="F234" s="16">
        <f t="shared" si="36"/>
        <v>0.4</v>
      </c>
      <c r="G234" s="16">
        <f t="shared" si="37"/>
        <v>1004.8014547344341</v>
      </c>
      <c r="H234" s="66">
        <v>240210</v>
      </c>
      <c r="I234" s="16">
        <f t="shared" si="38"/>
        <v>0.3</v>
      </c>
      <c r="J234" s="16">
        <f t="shared" si="39"/>
        <v>117.90220809095669</v>
      </c>
      <c r="K234" s="66">
        <v>191660</v>
      </c>
      <c r="L234" s="16">
        <f t="shared" si="40"/>
        <v>0.3</v>
      </c>
      <c r="M234" s="16">
        <f t="shared" si="41"/>
        <v>152.05070260033568</v>
      </c>
      <c r="N234" s="66">
        <v>10020</v>
      </c>
      <c r="O234" s="16">
        <f t="shared" si="42"/>
        <v>0</v>
      </c>
      <c r="P234" s="16">
        <f t="shared" si="43"/>
        <v>0</v>
      </c>
      <c r="Q234" s="66">
        <v>17500</v>
      </c>
      <c r="R234" s="16">
        <f t="shared" si="44"/>
        <v>0</v>
      </c>
      <c r="S234" s="16">
        <f t="shared" si="45"/>
        <v>0</v>
      </c>
    </row>
    <row r="235" spans="1:19" x14ac:dyDescent="0.3">
      <c r="A235" s="65">
        <v>20181211</v>
      </c>
      <c r="B235" s="65" t="s">
        <v>88</v>
      </c>
      <c r="C235" s="139">
        <f t="shared" si="46"/>
        <v>95083732.489778116</v>
      </c>
      <c r="D235" s="139">
        <f t="shared" si="47"/>
        <v>-2.8333502962720126E-2</v>
      </c>
      <c r="E235" s="66">
        <v>40250</v>
      </c>
      <c r="F235" s="16">
        <f t="shared" si="36"/>
        <v>0.4</v>
      </c>
      <c r="G235" s="16">
        <f t="shared" si="37"/>
        <v>1004.8014547344341</v>
      </c>
      <c r="H235" s="66">
        <v>216140</v>
      </c>
      <c r="I235" s="16">
        <f t="shared" si="38"/>
        <v>0.3</v>
      </c>
      <c r="J235" s="16">
        <f t="shared" si="39"/>
        <v>117.90220809095669</v>
      </c>
      <c r="K235" s="66">
        <v>191759</v>
      </c>
      <c r="L235" s="16">
        <f t="shared" si="40"/>
        <v>0.3</v>
      </c>
      <c r="M235" s="16">
        <f t="shared" si="41"/>
        <v>152.05070260033568</v>
      </c>
      <c r="N235" s="66">
        <v>9980</v>
      </c>
      <c r="O235" s="16">
        <f t="shared" si="42"/>
        <v>0</v>
      </c>
      <c r="P235" s="16">
        <f t="shared" si="43"/>
        <v>0</v>
      </c>
      <c r="Q235" s="66">
        <v>17450</v>
      </c>
      <c r="R235" s="16">
        <f t="shared" si="44"/>
        <v>0</v>
      </c>
      <c r="S235" s="16">
        <f t="shared" si="45"/>
        <v>0</v>
      </c>
    </row>
    <row r="236" spans="1:19" x14ac:dyDescent="0.3">
      <c r="A236" s="65">
        <v>20181212</v>
      </c>
      <c r="B236" s="65" t="s">
        <v>88</v>
      </c>
      <c r="C236" s="139">
        <f t="shared" si="46"/>
        <v>97171610.421587169</v>
      </c>
      <c r="D236" s="139">
        <f t="shared" si="47"/>
        <v>2.1958308504911796E-2</v>
      </c>
      <c r="E236" s="133">
        <v>40450</v>
      </c>
      <c r="F236" s="16">
        <f t="shared" si="36"/>
        <v>0.4</v>
      </c>
      <c r="G236" s="16">
        <f t="shared" si="37"/>
        <v>1004.8014547344341</v>
      </c>
      <c r="H236" s="66">
        <v>222526</v>
      </c>
      <c r="I236" s="16">
        <f t="shared" si="38"/>
        <v>0.3</v>
      </c>
      <c r="J236" s="16">
        <f t="shared" si="39"/>
        <v>117.90220809095669</v>
      </c>
      <c r="K236" s="66">
        <v>199217</v>
      </c>
      <c r="L236" s="16">
        <f t="shared" si="40"/>
        <v>0.3</v>
      </c>
      <c r="M236" s="16">
        <f t="shared" si="41"/>
        <v>152.05070260033568</v>
      </c>
      <c r="N236" s="66">
        <v>10115</v>
      </c>
      <c r="O236" s="16">
        <f t="shared" si="42"/>
        <v>0</v>
      </c>
      <c r="P236" s="16">
        <f t="shared" si="43"/>
        <v>0</v>
      </c>
      <c r="Q236" s="66">
        <v>18900</v>
      </c>
      <c r="R236" s="16">
        <f t="shared" si="44"/>
        <v>0</v>
      </c>
      <c r="S236" s="16">
        <f t="shared" si="45"/>
        <v>0</v>
      </c>
    </row>
    <row r="237" spans="1:19" x14ac:dyDescent="0.3">
      <c r="A237" s="65">
        <v>20181213</v>
      </c>
      <c r="B237" s="65" t="s">
        <v>88</v>
      </c>
      <c r="C237" s="139">
        <f t="shared" si="46"/>
        <v>96079892.804907322</v>
      </c>
      <c r="D237" s="139">
        <f t="shared" si="47"/>
        <v>-1.1234944156460296E-2</v>
      </c>
      <c r="E237" s="66">
        <v>40000</v>
      </c>
      <c r="F237" s="16">
        <f t="shared" si="36"/>
        <v>0.4</v>
      </c>
      <c r="G237" s="16">
        <f t="shared" si="37"/>
        <v>1004.8014547344341</v>
      </c>
      <c r="H237" s="66">
        <v>213684</v>
      </c>
      <c r="I237" s="16">
        <f t="shared" si="38"/>
        <v>0.3</v>
      </c>
      <c r="J237" s="16">
        <f t="shared" si="39"/>
        <v>117.90220809095669</v>
      </c>
      <c r="K237" s="66">
        <v>201867</v>
      </c>
      <c r="L237" s="16">
        <f t="shared" si="40"/>
        <v>0.3</v>
      </c>
      <c r="M237" s="16">
        <f t="shared" si="41"/>
        <v>152.05070260033568</v>
      </c>
      <c r="N237" s="66">
        <v>10195</v>
      </c>
      <c r="O237" s="16">
        <f t="shared" si="42"/>
        <v>0</v>
      </c>
      <c r="P237" s="16">
        <f t="shared" si="43"/>
        <v>0</v>
      </c>
      <c r="Q237" s="66">
        <v>20050</v>
      </c>
      <c r="R237" s="16">
        <f t="shared" si="44"/>
        <v>0</v>
      </c>
      <c r="S237" s="16">
        <f t="shared" si="45"/>
        <v>0</v>
      </c>
    </row>
    <row r="238" spans="1:19" x14ac:dyDescent="0.3">
      <c r="A238" s="65">
        <v>20181214</v>
      </c>
      <c r="B238" s="65" t="s">
        <v>88</v>
      </c>
      <c r="C238" s="139">
        <f t="shared" si="46"/>
        <v>93014024.510646954</v>
      </c>
      <c r="D238" s="139">
        <f t="shared" si="47"/>
        <v>-3.1909572385615495E-2</v>
      </c>
      <c r="E238" s="66">
        <v>38950</v>
      </c>
      <c r="F238" s="16">
        <f t="shared" si="36"/>
        <v>0.4</v>
      </c>
      <c r="G238" s="16">
        <f t="shared" si="37"/>
        <v>1004.8014547344341</v>
      </c>
      <c r="H238" s="66">
        <v>204350</v>
      </c>
      <c r="I238" s="16">
        <f t="shared" si="38"/>
        <v>0.3</v>
      </c>
      <c r="J238" s="16">
        <f t="shared" si="39"/>
        <v>117.90220809095669</v>
      </c>
      <c r="K238" s="66">
        <v>195880</v>
      </c>
      <c r="L238" s="16">
        <f t="shared" si="40"/>
        <v>0.3</v>
      </c>
      <c r="M238" s="16">
        <f t="shared" si="41"/>
        <v>152.05070260033568</v>
      </c>
      <c r="N238" s="66">
        <v>9995</v>
      </c>
      <c r="O238" s="16">
        <f t="shared" si="42"/>
        <v>0</v>
      </c>
      <c r="P238" s="16">
        <f t="shared" si="43"/>
        <v>0</v>
      </c>
      <c r="Q238" s="66">
        <v>20200</v>
      </c>
      <c r="R238" s="16">
        <f t="shared" si="44"/>
        <v>0</v>
      </c>
      <c r="S238" s="16">
        <f t="shared" si="45"/>
        <v>0</v>
      </c>
    </row>
    <row r="239" spans="1:19" x14ac:dyDescent="0.3">
      <c r="A239" s="65">
        <v>20181217</v>
      </c>
      <c r="B239" s="65" t="s">
        <v>88</v>
      </c>
      <c r="C239" s="139">
        <f t="shared" si="46"/>
        <v>94326139.75778909</v>
      </c>
      <c r="D239" s="139">
        <f t="shared" si="47"/>
        <v>1.4106638800388035E-2</v>
      </c>
      <c r="E239" s="66">
        <v>39150</v>
      </c>
      <c r="F239" s="16">
        <f t="shared" si="36"/>
        <v>0.4</v>
      </c>
      <c r="G239" s="16">
        <f t="shared" si="37"/>
        <v>1004.8014547344341</v>
      </c>
      <c r="H239" s="66">
        <v>210736</v>
      </c>
      <c r="I239" s="16">
        <f t="shared" si="38"/>
        <v>0.3</v>
      </c>
      <c r="J239" s="16">
        <f t="shared" si="39"/>
        <v>117.90220809095669</v>
      </c>
      <c r="K239" s="66">
        <v>198236</v>
      </c>
      <c r="L239" s="16">
        <f t="shared" si="40"/>
        <v>0.3</v>
      </c>
      <c r="M239" s="16">
        <f t="shared" si="41"/>
        <v>152.05070260033568</v>
      </c>
      <c r="N239" s="66">
        <v>10020</v>
      </c>
      <c r="O239" s="16">
        <f t="shared" si="42"/>
        <v>0</v>
      </c>
      <c r="P239" s="16">
        <f t="shared" si="43"/>
        <v>0</v>
      </c>
      <c r="Q239" s="66">
        <v>20050</v>
      </c>
      <c r="R239" s="16">
        <f t="shared" si="44"/>
        <v>0</v>
      </c>
      <c r="S239" s="16">
        <f t="shared" si="45"/>
        <v>0</v>
      </c>
    </row>
    <row r="240" spans="1:19" x14ac:dyDescent="0.3">
      <c r="A240" s="65">
        <v>20181218</v>
      </c>
      <c r="B240" s="65" t="s">
        <v>88</v>
      </c>
      <c r="C240" s="139">
        <f t="shared" si="46"/>
        <v>96478005.884975433</v>
      </c>
      <c r="D240" s="139">
        <f t="shared" si="47"/>
        <v>2.2813041355364595E-2</v>
      </c>
      <c r="E240" s="66">
        <v>38900</v>
      </c>
      <c r="F240" s="16">
        <f t="shared" si="36"/>
        <v>0.4</v>
      </c>
      <c r="G240" s="16">
        <f t="shared" si="37"/>
        <v>1004.8014547344341</v>
      </c>
      <c r="H240" s="66">
        <v>214666</v>
      </c>
      <c r="I240" s="16">
        <f t="shared" si="38"/>
        <v>0.3</v>
      </c>
      <c r="J240" s="16">
        <f t="shared" si="39"/>
        <v>117.90220809095669</v>
      </c>
      <c r="K240" s="66">
        <v>210993</v>
      </c>
      <c r="L240" s="16">
        <f t="shared" si="40"/>
        <v>0.3</v>
      </c>
      <c r="M240" s="16">
        <f t="shared" si="41"/>
        <v>152.05070260033568</v>
      </c>
      <c r="N240" s="66">
        <v>9960</v>
      </c>
      <c r="O240" s="16">
        <f t="shared" si="42"/>
        <v>0</v>
      </c>
      <c r="P240" s="16">
        <f t="shared" si="43"/>
        <v>0</v>
      </c>
      <c r="Q240" s="66">
        <v>19550</v>
      </c>
      <c r="R240" s="16">
        <f t="shared" si="44"/>
        <v>0</v>
      </c>
      <c r="S240" s="16">
        <f t="shared" si="45"/>
        <v>0</v>
      </c>
    </row>
    <row r="241" spans="1:19" x14ac:dyDescent="0.3">
      <c r="A241" s="65">
        <v>20181219</v>
      </c>
      <c r="B241" s="65" t="s">
        <v>88</v>
      </c>
      <c r="C241" s="139">
        <f t="shared" si="46"/>
        <v>97743552.283603787</v>
      </c>
      <c r="D241" s="139">
        <f t="shared" si="47"/>
        <v>1.3117460161201759E-2</v>
      </c>
      <c r="E241" s="66">
        <v>39100</v>
      </c>
      <c r="F241" s="16">
        <f t="shared" si="36"/>
        <v>0.4</v>
      </c>
      <c r="G241" s="16">
        <f t="shared" si="37"/>
        <v>1004.8014547344341</v>
      </c>
      <c r="H241" s="66">
        <v>221543</v>
      </c>
      <c r="I241" s="16">
        <f t="shared" si="38"/>
        <v>0.3</v>
      </c>
      <c r="J241" s="16">
        <f t="shared" si="39"/>
        <v>117.90220809095669</v>
      </c>
      <c r="K241" s="66">
        <v>212662</v>
      </c>
      <c r="L241" s="16">
        <f t="shared" si="40"/>
        <v>0.3</v>
      </c>
      <c r="M241" s="16">
        <f t="shared" si="41"/>
        <v>152.05070260033568</v>
      </c>
      <c r="N241" s="66">
        <v>10055</v>
      </c>
      <c r="O241" s="16">
        <f t="shared" si="42"/>
        <v>0</v>
      </c>
      <c r="P241" s="16">
        <f t="shared" si="43"/>
        <v>0</v>
      </c>
      <c r="Q241" s="66">
        <v>20450</v>
      </c>
      <c r="R241" s="16">
        <f t="shared" si="44"/>
        <v>0</v>
      </c>
      <c r="S241" s="16">
        <f t="shared" si="45"/>
        <v>0</v>
      </c>
    </row>
    <row r="242" spans="1:19" x14ac:dyDescent="0.3">
      <c r="A242" s="65">
        <v>20181220</v>
      </c>
      <c r="B242" s="65" t="s">
        <v>88</v>
      </c>
      <c r="C242" s="139">
        <f t="shared" si="46"/>
        <v>98281517.754158273</v>
      </c>
      <c r="D242" s="139">
        <f t="shared" si="47"/>
        <v>5.5038461155327602E-3</v>
      </c>
      <c r="E242" s="66">
        <v>38650</v>
      </c>
      <c r="F242" s="16">
        <f t="shared" si="36"/>
        <v>0.4</v>
      </c>
      <c r="G242" s="16">
        <f t="shared" si="37"/>
        <v>1004.8014547344341</v>
      </c>
      <c r="H242" s="66">
        <v>220070</v>
      </c>
      <c r="I242" s="16">
        <f t="shared" si="38"/>
        <v>0.3</v>
      </c>
      <c r="J242" s="16">
        <f t="shared" si="39"/>
        <v>117.90220809095669</v>
      </c>
      <c r="K242" s="66">
        <v>220316</v>
      </c>
      <c r="L242" s="16">
        <f t="shared" si="40"/>
        <v>0.3</v>
      </c>
      <c r="M242" s="16">
        <f t="shared" si="41"/>
        <v>152.05070260033568</v>
      </c>
      <c r="N242" s="66">
        <v>9910</v>
      </c>
      <c r="O242" s="16">
        <f t="shared" si="42"/>
        <v>0</v>
      </c>
      <c r="P242" s="16">
        <f t="shared" si="43"/>
        <v>0</v>
      </c>
      <c r="Q242" s="66">
        <v>20350</v>
      </c>
      <c r="R242" s="16">
        <f t="shared" si="44"/>
        <v>0</v>
      </c>
      <c r="S242" s="16">
        <f t="shared" si="45"/>
        <v>0</v>
      </c>
    </row>
    <row r="243" spans="1:19" x14ac:dyDescent="0.3">
      <c r="A243" s="65">
        <v>20181221</v>
      </c>
      <c r="B243" s="65" t="s">
        <v>88</v>
      </c>
      <c r="C243" s="139">
        <f t="shared" si="46"/>
        <v>98385159.146357462</v>
      </c>
      <c r="D243" s="139">
        <f t="shared" si="47"/>
        <v>1.0545359348075739E-3</v>
      </c>
      <c r="E243" s="66">
        <v>38650</v>
      </c>
      <c r="F243" s="16">
        <f t="shared" si="36"/>
        <v>0.4</v>
      </c>
      <c r="G243" s="16">
        <f t="shared" si="37"/>
        <v>1004.8014547344341</v>
      </c>
      <c r="H243" s="66">
        <v>216140</v>
      </c>
      <c r="I243" s="16">
        <f t="shared" si="38"/>
        <v>0.3</v>
      </c>
      <c r="J243" s="16">
        <f t="shared" si="39"/>
        <v>117.90220809095669</v>
      </c>
      <c r="K243" s="66">
        <v>224045</v>
      </c>
      <c r="L243" s="16">
        <f t="shared" si="40"/>
        <v>0.3</v>
      </c>
      <c r="M243" s="16">
        <f t="shared" si="41"/>
        <v>152.05070260033568</v>
      </c>
      <c r="N243" s="66">
        <v>9880</v>
      </c>
      <c r="O243" s="16">
        <f t="shared" si="42"/>
        <v>0</v>
      </c>
      <c r="P243" s="16">
        <f t="shared" si="43"/>
        <v>0</v>
      </c>
      <c r="Q243" s="66">
        <v>20800</v>
      </c>
      <c r="R243" s="16">
        <f t="shared" si="44"/>
        <v>0</v>
      </c>
      <c r="S243" s="16">
        <f t="shared" si="45"/>
        <v>0</v>
      </c>
    </row>
    <row r="244" spans="1:19" x14ac:dyDescent="0.3">
      <c r="A244" s="65">
        <v>20181224</v>
      </c>
      <c r="B244" s="65" t="s">
        <v>88</v>
      </c>
      <c r="C244" s="139">
        <f t="shared" si="46"/>
        <v>97226732.441784471</v>
      </c>
      <c r="D244" s="139">
        <f t="shared" si="47"/>
        <v>-1.1774404947088804E-2</v>
      </c>
      <c r="E244" s="66">
        <v>38800</v>
      </c>
      <c r="F244" s="16">
        <f t="shared" si="36"/>
        <v>0.4</v>
      </c>
      <c r="G244" s="16">
        <f t="shared" si="37"/>
        <v>1004.8014547344341</v>
      </c>
      <c r="H244" s="66">
        <v>206807</v>
      </c>
      <c r="I244" s="16">
        <f t="shared" si="38"/>
        <v>0.3</v>
      </c>
      <c r="J244" s="16">
        <f t="shared" si="39"/>
        <v>117.90220809095669</v>
      </c>
      <c r="K244" s="66">
        <v>222672</v>
      </c>
      <c r="L244" s="16">
        <f t="shared" si="40"/>
        <v>0.3</v>
      </c>
      <c r="M244" s="16">
        <f t="shared" si="41"/>
        <v>152.05070260033568</v>
      </c>
      <c r="N244" s="66">
        <v>9955</v>
      </c>
      <c r="O244" s="16">
        <f t="shared" si="42"/>
        <v>0</v>
      </c>
      <c r="P244" s="16">
        <f t="shared" si="43"/>
        <v>0</v>
      </c>
      <c r="Q244" s="66">
        <v>20600</v>
      </c>
      <c r="R244" s="16">
        <f t="shared" si="44"/>
        <v>0</v>
      </c>
      <c r="S244" s="16">
        <f t="shared" si="45"/>
        <v>0</v>
      </c>
    </row>
    <row r="245" spans="1:19" x14ac:dyDescent="0.3">
      <c r="A245" s="65">
        <v>20181226</v>
      </c>
      <c r="B245" s="65" t="s">
        <v>88</v>
      </c>
      <c r="C245" s="139">
        <f t="shared" si="46"/>
        <v>99726740.925482243</v>
      </c>
      <c r="D245" s="139">
        <f t="shared" si="47"/>
        <v>2.571318011941498E-2</v>
      </c>
      <c r="E245" s="66">
        <v>38350</v>
      </c>
      <c r="F245" s="16">
        <f t="shared" si="36"/>
        <v>0.4</v>
      </c>
      <c r="G245" s="16">
        <f t="shared" si="37"/>
        <v>1004.8014547344341</v>
      </c>
      <c r="H245" s="66">
        <v>224000</v>
      </c>
      <c r="I245" s="16">
        <f t="shared" si="38"/>
        <v>0.3</v>
      </c>
      <c r="J245" s="16">
        <f t="shared" si="39"/>
        <v>117.90220809095669</v>
      </c>
      <c r="K245" s="66">
        <v>228756</v>
      </c>
      <c r="L245" s="16">
        <f t="shared" si="40"/>
        <v>0.3</v>
      </c>
      <c r="M245" s="16">
        <f t="shared" si="41"/>
        <v>152.05070260033568</v>
      </c>
      <c r="N245" s="66">
        <v>9790</v>
      </c>
      <c r="O245" s="16">
        <f t="shared" si="42"/>
        <v>0</v>
      </c>
      <c r="P245" s="16">
        <f t="shared" si="43"/>
        <v>0</v>
      </c>
      <c r="Q245" s="66">
        <v>20300</v>
      </c>
      <c r="R245" s="16">
        <f t="shared" si="44"/>
        <v>0</v>
      </c>
      <c r="S245" s="16">
        <f t="shared" si="45"/>
        <v>0</v>
      </c>
    </row>
    <row r="246" spans="1:19" x14ac:dyDescent="0.3">
      <c r="A246" s="65">
        <v>20181227</v>
      </c>
      <c r="B246" s="65" t="s">
        <v>88</v>
      </c>
      <c r="C246" s="139">
        <f t="shared" si="46"/>
        <v>101075089.0115117</v>
      </c>
      <c r="D246" s="139">
        <f t="shared" si="47"/>
        <v>1.3520426653037492E-2</v>
      </c>
      <c r="E246" s="66">
        <v>38250</v>
      </c>
      <c r="F246" s="16">
        <f t="shared" si="36"/>
        <v>0.4</v>
      </c>
      <c r="G246" s="16">
        <f t="shared" si="37"/>
        <v>1004.8014547344341</v>
      </c>
      <c r="H246" s="134">
        <v>223000</v>
      </c>
      <c r="I246" s="16">
        <f t="shared" si="38"/>
        <v>0.3</v>
      </c>
      <c r="J246" s="16">
        <f t="shared" si="39"/>
        <v>117.90220809095669</v>
      </c>
      <c r="K246" s="66">
        <v>239060</v>
      </c>
      <c r="L246" s="16">
        <f t="shared" si="40"/>
        <v>0.3</v>
      </c>
      <c r="M246" s="16">
        <f t="shared" si="41"/>
        <v>152.05070260033568</v>
      </c>
      <c r="N246" s="66">
        <v>9940</v>
      </c>
      <c r="O246" s="16">
        <f t="shared" si="42"/>
        <v>0</v>
      </c>
      <c r="P246" s="16">
        <f t="shared" si="43"/>
        <v>0</v>
      </c>
      <c r="Q246" s="66">
        <v>19750</v>
      </c>
      <c r="R246" s="16">
        <f t="shared" si="44"/>
        <v>0</v>
      </c>
      <c r="S246" s="16">
        <f t="shared" si="45"/>
        <v>0</v>
      </c>
    </row>
    <row r="247" spans="1:19" x14ac:dyDescent="0.3">
      <c r="A247" s="65">
        <v>20181228</v>
      </c>
      <c r="B247" s="65" t="s">
        <v>88</v>
      </c>
      <c r="C247" s="139">
        <f t="shared" si="46"/>
        <v>103020280.08353834</v>
      </c>
      <c r="D247" s="139">
        <f t="shared" si="47"/>
        <v>1.9245009735337434E-2</v>
      </c>
      <c r="E247" s="66">
        <v>38700</v>
      </c>
      <c r="F247" s="16">
        <f t="shared" si="36"/>
        <v>0.4</v>
      </c>
      <c r="G247" s="16">
        <f t="shared" si="37"/>
        <v>1004.8014547344341</v>
      </c>
      <c r="H247" s="66">
        <v>222500</v>
      </c>
      <c r="I247" s="16">
        <f t="shared" si="38"/>
        <v>0.3</v>
      </c>
      <c r="J247" s="16">
        <f t="shared" si="39"/>
        <v>117.90220809095669</v>
      </c>
      <c r="K247" s="66">
        <v>249267</v>
      </c>
      <c r="L247" s="16">
        <f t="shared" si="40"/>
        <v>0.3</v>
      </c>
      <c r="M247" s="16">
        <f t="shared" si="41"/>
        <v>152.05070260033568</v>
      </c>
      <c r="N247" s="66">
        <v>10040</v>
      </c>
      <c r="O247" s="16">
        <f t="shared" si="42"/>
        <v>0</v>
      </c>
      <c r="P247" s="16">
        <f t="shared" si="43"/>
        <v>0</v>
      </c>
      <c r="Q247" s="66">
        <v>19650</v>
      </c>
      <c r="R247" s="16">
        <f t="shared" si="44"/>
        <v>0</v>
      </c>
      <c r="S247" s="16">
        <f t="shared" si="45"/>
        <v>0</v>
      </c>
    </row>
    <row r="248" spans="1:19" x14ac:dyDescent="0.3">
      <c r="A248" s="121">
        <v>20190102</v>
      </c>
      <c r="B248" s="121" t="s">
        <v>89</v>
      </c>
      <c r="C248" s="139">
        <f t="shared" si="46"/>
        <v>103062733.70238772</v>
      </c>
      <c r="D248" s="139">
        <f t="shared" si="47"/>
        <v>4.1208991875149728E-4</v>
      </c>
      <c r="E248" s="136">
        <v>38750</v>
      </c>
      <c r="F248" s="137">
        <v>0.3</v>
      </c>
      <c r="G248" s="137">
        <f>C247*F248/E247</f>
        <v>798.60682235301033</v>
      </c>
      <c r="H248" s="136">
        <v>214500</v>
      </c>
      <c r="I248" s="137">
        <v>0.15</v>
      </c>
      <c r="J248" s="137">
        <f>C247*I248/H247</f>
        <v>69.451874213621352</v>
      </c>
      <c r="K248" s="136">
        <v>255155</v>
      </c>
      <c r="L248" s="137">
        <v>0.15</v>
      </c>
      <c r="M248" s="137">
        <f>C247*L248/K247</f>
        <v>61.993934265389122</v>
      </c>
      <c r="N248" s="136">
        <v>9845</v>
      </c>
      <c r="O248" s="137">
        <v>0.1</v>
      </c>
      <c r="P248" s="137">
        <f>C247*O248/N247</f>
        <v>1026.0984072065573</v>
      </c>
      <c r="Q248" s="136">
        <v>19900</v>
      </c>
      <c r="R248" s="137">
        <v>0.3</v>
      </c>
      <c r="S248" s="137">
        <f>C247*R248/Q247</f>
        <v>1572.8287035654707</v>
      </c>
    </row>
    <row r="249" spans="1:19" x14ac:dyDescent="0.3">
      <c r="A249" s="65">
        <v>20190103</v>
      </c>
      <c r="B249" s="65" t="s">
        <v>88</v>
      </c>
      <c r="C249" s="139">
        <f t="shared" si="46"/>
        <v>99472655.974236041</v>
      </c>
      <c r="D249" s="139">
        <f t="shared" si="47"/>
        <v>-3.4833907457943798E-2</v>
      </c>
      <c r="E249" s="66">
        <v>37600</v>
      </c>
      <c r="F249" s="16">
        <f>$F$248</f>
        <v>0.3</v>
      </c>
      <c r="G249" s="16">
        <f>$G$248</f>
        <v>798.60682235301033</v>
      </c>
      <c r="H249" s="66">
        <v>210500</v>
      </c>
      <c r="I249" s="16">
        <f>$I$248</f>
        <v>0.15</v>
      </c>
      <c r="J249" s="16">
        <f>$J$248</f>
        <v>69.451874213621352</v>
      </c>
      <c r="K249" s="66">
        <v>244752</v>
      </c>
      <c r="L249" s="16">
        <f>$L$248</f>
        <v>0.15</v>
      </c>
      <c r="M249" s="16">
        <f>$M$248</f>
        <v>61.993934265389122</v>
      </c>
      <c r="N249" s="66">
        <v>9750</v>
      </c>
      <c r="O249" s="16">
        <f>$O$248</f>
        <v>0.1</v>
      </c>
      <c r="P249" s="16">
        <f>P248</f>
        <v>1026.0984072065573</v>
      </c>
      <c r="Q249" s="66">
        <v>18850</v>
      </c>
      <c r="R249" s="16">
        <f>$R$248</f>
        <v>0.3</v>
      </c>
      <c r="S249" s="16">
        <f>$S$248</f>
        <v>1572.8287035654707</v>
      </c>
    </row>
    <row r="250" spans="1:19" x14ac:dyDescent="0.3">
      <c r="A250" s="65">
        <v>20190104</v>
      </c>
      <c r="B250" s="65" t="s">
        <v>88</v>
      </c>
      <c r="C250" s="139">
        <f t="shared" si="46"/>
        <v>99894428.473599508</v>
      </c>
      <c r="D250" s="139">
        <f t="shared" si="47"/>
        <v>4.2400848276606638E-3</v>
      </c>
      <c r="E250" s="66">
        <v>37450</v>
      </c>
      <c r="F250" s="16">
        <f t="shared" ref="F250:F313" si="48">$F$248</f>
        <v>0.3</v>
      </c>
      <c r="G250" s="16">
        <f t="shared" ref="G250:G313" si="49">$G$248</f>
        <v>798.60682235301033</v>
      </c>
      <c r="H250" s="66">
        <v>220000</v>
      </c>
      <c r="I250" s="16">
        <f t="shared" ref="I250:I313" si="50">$I$248</f>
        <v>0.15</v>
      </c>
      <c r="J250" s="16">
        <f t="shared" ref="J250:J313" si="51">$J$248</f>
        <v>69.451874213621352</v>
      </c>
      <c r="K250" s="66">
        <v>249463</v>
      </c>
      <c r="L250" s="16">
        <f t="shared" ref="L250:L313" si="52">$L$248</f>
        <v>0.15</v>
      </c>
      <c r="M250" s="16">
        <f t="shared" ref="M250:M313" si="53">$M$248</f>
        <v>61.993934265389122</v>
      </c>
      <c r="N250" s="66">
        <v>9810</v>
      </c>
      <c r="O250" s="16">
        <f t="shared" ref="O250:O313" si="54">$O$248</f>
        <v>0.1</v>
      </c>
      <c r="P250" s="16">
        <f t="shared" ref="P250:P313" si="55">P249</f>
        <v>1026.0984072065573</v>
      </c>
      <c r="Q250" s="66">
        <v>18550</v>
      </c>
      <c r="R250" s="16">
        <f t="shared" ref="R250:R313" si="56">$R$248</f>
        <v>0.3</v>
      </c>
      <c r="S250" s="16">
        <f t="shared" ref="S250:S313" si="57">$S$248</f>
        <v>1572.8287035654707</v>
      </c>
    </row>
    <row r="251" spans="1:19" x14ac:dyDescent="0.3">
      <c r="A251" s="65">
        <v>20190107</v>
      </c>
      <c r="B251" s="65" t="s">
        <v>88</v>
      </c>
      <c r="C251" s="139">
        <f t="shared" si="46"/>
        <v>102312628.77683231</v>
      </c>
      <c r="D251" s="139">
        <f t="shared" si="47"/>
        <v>2.4207559322208801E-2</v>
      </c>
      <c r="E251" s="66">
        <v>38750</v>
      </c>
      <c r="F251" s="16">
        <f t="shared" si="48"/>
        <v>0.3</v>
      </c>
      <c r="G251" s="16">
        <f t="shared" si="49"/>
        <v>798.60682235301033</v>
      </c>
      <c r="H251" s="66">
        <v>216000</v>
      </c>
      <c r="I251" s="16">
        <f t="shared" si="50"/>
        <v>0.15</v>
      </c>
      <c r="J251" s="16">
        <f t="shared" si="51"/>
        <v>69.451874213621352</v>
      </c>
      <c r="K251" s="66">
        <v>250640</v>
      </c>
      <c r="L251" s="16">
        <f t="shared" si="52"/>
        <v>0.15</v>
      </c>
      <c r="M251" s="16">
        <f t="shared" si="53"/>
        <v>61.993934265389122</v>
      </c>
      <c r="N251" s="66">
        <v>9975</v>
      </c>
      <c r="O251" s="16">
        <f t="shared" si="54"/>
        <v>0.1</v>
      </c>
      <c r="P251" s="16">
        <f t="shared" si="55"/>
        <v>1026.0984072065573</v>
      </c>
      <c r="Q251" s="66">
        <v>19450</v>
      </c>
      <c r="R251" s="16">
        <f t="shared" si="56"/>
        <v>0.3</v>
      </c>
      <c r="S251" s="16">
        <f t="shared" si="57"/>
        <v>1572.8287035654707</v>
      </c>
    </row>
    <row r="252" spans="1:19" x14ac:dyDescent="0.3">
      <c r="A252" s="65">
        <v>20190108</v>
      </c>
      <c r="B252" s="65" t="s">
        <v>88</v>
      </c>
      <c r="C252" s="139">
        <f t="shared" si="46"/>
        <v>102853559.70378222</v>
      </c>
      <c r="D252" s="139">
        <f t="shared" si="47"/>
        <v>5.2870396686786319E-3</v>
      </c>
      <c r="E252" s="66">
        <v>38100</v>
      </c>
      <c r="F252" s="16">
        <f t="shared" si="48"/>
        <v>0.3</v>
      </c>
      <c r="G252" s="16">
        <f t="shared" si="49"/>
        <v>798.60682235301033</v>
      </c>
      <c r="H252" s="66">
        <v>213500</v>
      </c>
      <c r="I252" s="16">
        <f t="shared" si="50"/>
        <v>0.15</v>
      </c>
      <c r="J252" s="16">
        <f t="shared" si="51"/>
        <v>69.451874213621352</v>
      </c>
      <c r="K252" s="66">
        <v>254959</v>
      </c>
      <c r="L252" s="16">
        <f t="shared" si="52"/>
        <v>0.15</v>
      </c>
      <c r="M252" s="16">
        <f t="shared" si="53"/>
        <v>61.993934265389122</v>
      </c>
      <c r="N252" s="66">
        <v>9920</v>
      </c>
      <c r="O252" s="16">
        <f t="shared" si="54"/>
        <v>0.1</v>
      </c>
      <c r="P252" s="16">
        <f t="shared" si="55"/>
        <v>1026.0984072065573</v>
      </c>
      <c r="Q252" s="66">
        <v>20100</v>
      </c>
      <c r="R252" s="16">
        <f t="shared" si="56"/>
        <v>0.3</v>
      </c>
      <c r="S252" s="16">
        <f t="shared" si="57"/>
        <v>1572.8287035654707</v>
      </c>
    </row>
    <row r="253" spans="1:19" x14ac:dyDescent="0.3">
      <c r="A253" s="65">
        <v>20190109</v>
      </c>
      <c r="B253" s="65" t="s">
        <v>88</v>
      </c>
      <c r="C253" s="139">
        <f t="shared" si="46"/>
        <v>106011372.65070817</v>
      </c>
      <c r="D253" s="139">
        <f t="shared" si="47"/>
        <v>3.0702028748644576E-2</v>
      </c>
      <c r="E253" s="66">
        <v>39600</v>
      </c>
      <c r="F253" s="16">
        <f t="shared" si="48"/>
        <v>0.3</v>
      </c>
      <c r="G253" s="16">
        <f t="shared" si="49"/>
        <v>798.60682235301033</v>
      </c>
      <c r="H253" s="66">
        <v>214000</v>
      </c>
      <c r="I253" s="16">
        <f t="shared" si="50"/>
        <v>0.15</v>
      </c>
      <c r="J253" s="16">
        <f t="shared" si="51"/>
        <v>69.451874213621352</v>
      </c>
      <c r="K253" s="66">
        <v>239159</v>
      </c>
      <c r="L253" s="16">
        <f t="shared" si="52"/>
        <v>0.15</v>
      </c>
      <c r="M253" s="16">
        <f t="shared" si="53"/>
        <v>61.993934265389122</v>
      </c>
      <c r="N253" s="66">
        <v>10145</v>
      </c>
      <c r="O253" s="16">
        <f t="shared" si="54"/>
        <v>0.1</v>
      </c>
      <c r="P253" s="16">
        <f t="shared" si="55"/>
        <v>1026.0984072065573</v>
      </c>
      <c r="Q253" s="66">
        <v>21800</v>
      </c>
      <c r="R253" s="16">
        <f t="shared" si="56"/>
        <v>0.3</v>
      </c>
      <c r="S253" s="16">
        <f t="shared" si="57"/>
        <v>1572.8287035654707</v>
      </c>
    </row>
    <row r="254" spans="1:19" x14ac:dyDescent="0.3">
      <c r="A254" s="65">
        <v>20190110</v>
      </c>
      <c r="B254" s="65" t="s">
        <v>88</v>
      </c>
      <c r="C254" s="139">
        <f t="shared" si="46"/>
        <v>107923121.36420938</v>
      </c>
      <c r="D254" s="139">
        <f t="shared" si="47"/>
        <v>1.8033430430149648E-2</v>
      </c>
      <c r="E254" s="66">
        <v>39800</v>
      </c>
      <c r="F254" s="16">
        <f t="shared" si="48"/>
        <v>0.3</v>
      </c>
      <c r="G254" s="16">
        <f t="shared" si="49"/>
        <v>798.60682235301033</v>
      </c>
      <c r="H254" s="66">
        <v>216500</v>
      </c>
      <c r="I254" s="16">
        <f t="shared" si="50"/>
        <v>0.15</v>
      </c>
      <c r="J254" s="16">
        <f t="shared" si="51"/>
        <v>69.451874213621352</v>
      </c>
      <c r="K254" s="66">
        <v>244654</v>
      </c>
      <c r="L254" s="16">
        <f t="shared" si="52"/>
        <v>0.15</v>
      </c>
      <c r="M254" s="16">
        <f t="shared" si="53"/>
        <v>61.993934265389122</v>
      </c>
      <c r="N254" s="66">
        <v>10125</v>
      </c>
      <c r="O254" s="16">
        <f t="shared" si="54"/>
        <v>0.1</v>
      </c>
      <c r="P254" s="16">
        <f t="shared" si="55"/>
        <v>1026.0984072065573</v>
      </c>
      <c r="Q254" s="66">
        <v>22600</v>
      </c>
      <c r="R254" s="16">
        <f t="shared" si="56"/>
        <v>0.3</v>
      </c>
      <c r="S254" s="16">
        <f t="shared" si="57"/>
        <v>1572.8287035654707</v>
      </c>
    </row>
    <row r="255" spans="1:19" x14ac:dyDescent="0.3">
      <c r="A255" s="65">
        <v>20190111</v>
      </c>
      <c r="B255" s="65" t="s">
        <v>88</v>
      </c>
      <c r="C255" s="139">
        <f t="shared" si="46"/>
        <v>108170425.85351156</v>
      </c>
      <c r="D255" s="139">
        <f t="shared" si="47"/>
        <v>2.291487553140647E-3</v>
      </c>
      <c r="E255" s="66">
        <v>40500</v>
      </c>
      <c r="F255" s="16">
        <f t="shared" si="48"/>
        <v>0.3</v>
      </c>
      <c r="G255" s="16">
        <f t="shared" si="49"/>
        <v>798.60682235301033</v>
      </c>
      <c r="H255" s="66">
        <v>216500</v>
      </c>
      <c r="I255" s="16">
        <f t="shared" si="50"/>
        <v>0.15</v>
      </c>
      <c r="J255" s="16">
        <f t="shared" si="51"/>
        <v>69.451874213621352</v>
      </c>
      <c r="K255" s="66">
        <v>244065</v>
      </c>
      <c r="L255" s="16">
        <f t="shared" si="52"/>
        <v>0.15</v>
      </c>
      <c r="M255" s="16">
        <f t="shared" si="53"/>
        <v>61.993934265389122</v>
      </c>
      <c r="N255" s="66">
        <v>10240</v>
      </c>
      <c r="O255" s="16">
        <f t="shared" si="54"/>
        <v>0.1</v>
      </c>
      <c r="P255" s="16">
        <f t="shared" si="55"/>
        <v>1026.0984072065573</v>
      </c>
      <c r="Q255" s="66">
        <v>22350</v>
      </c>
      <c r="R255" s="16">
        <f t="shared" si="56"/>
        <v>0.3</v>
      </c>
      <c r="S255" s="16">
        <f t="shared" si="57"/>
        <v>1572.8287035654707</v>
      </c>
    </row>
    <row r="256" spans="1:19" x14ac:dyDescent="0.3">
      <c r="A256" s="65">
        <v>20190114</v>
      </c>
      <c r="B256" s="65" t="s">
        <v>88</v>
      </c>
      <c r="C256" s="139">
        <f t="shared" si="46"/>
        <v>107011315.26786324</v>
      </c>
      <c r="D256" s="139">
        <f t="shared" si="47"/>
        <v>-1.071559602823441E-2</v>
      </c>
      <c r="E256" s="66">
        <v>40050</v>
      </c>
      <c r="F256" s="16">
        <f t="shared" si="48"/>
        <v>0.3</v>
      </c>
      <c r="G256" s="16">
        <f t="shared" si="49"/>
        <v>798.60682235301033</v>
      </c>
      <c r="H256" s="66">
        <v>211000</v>
      </c>
      <c r="I256" s="16">
        <f t="shared" si="50"/>
        <v>0.15</v>
      </c>
      <c r="J256" s="16">
        <f t="shared" si="51"/>
        <v>69.451874213621352</v>
      </c>
      <c r="K256" s="66">
        <v>239257</v>
      </c>
      <c r="L256" s="16">
        <f t="shared" si="52"/>
        <v>0.15</v>
      </c>
      <c r="M256" s="16">
        <f t="shared" si="53"/>
        <v>61.993934265389122</v>
      </c>
      <c r="N256" s="66">
        <v>10200</v>
      </c>
      <c r="O256" s="16">
        <f t="shared" si="54"/>
        <v>0.1</v>
      </c>
      <c r="P256" s="16">
        <f t="shared" si="55"/>
        <v>1026.0984072065573</v>
      </c>
      <c r="Q256" s="66">
        <v>22300</v>
      </c>
      <c r="R256" s="16">
        <f t="shared" si="56"/>
        <v>0.3</v>
      </c>
      <c r="S256" s="16">
        <f t="shared" si="57"/>
        <v>1572.8287035654707</v>
      </c>
    </row>
    <row r="257" spans="1:19" x14ac:dyDescent="0.3">
      <c r="A257" s="65">
        <v>20190115</v>
      </c>
      <c r="B257" s="65" t="s">
        <v>88</v>
      </c>
      <c r="C257" s="139">
        <f t="shared" si="46"/>
        <v>107039930.79246119</v>
      </c>
      <c r="D257" s="139">
        <f t="shared" si="47"/>
        <v>2.6740653104126839E-4</v>
      </c>
      <c r="E257" s="66">
        <v>41100</v>
      </c>
      <c r="F257" s="16">
        <f t="shared" si="48"/>
        <v>0.3</v>
      </c>
      <c r="G257" s="16">
        <f t="shared" si="49"/>
        <v>798.60682235301033</v>
      </c>
      <c r="H257" s="66">
        <v>207500</v>
      </c>
      <c r="I257" s="16">
        <f t="shared" si="50"/>
        <v>0.15</v>
      </c>
      <c r="J257" s="16">
        <f t="shared" si="51"/>
        <v>69.451874213621352</v>
      </c>
      <c r="K257" s="66">
        <v>242495</v>
      </c>
      <c r="L257" s="16">
        <f t="shared" si="52"/>
        <v>0.15</v>
      </c>
      <c r="M257" s="16">
        <f t="shared" si="53"/>
        <v>61.993934265389122</v>
      </c>
      <c r="N257" s="66">
        <v>10295</v>
      </c>
      <c r="O257" s="16">
        <f t="shared" si="54"/>
        <v>0.1</v>
      </c>
      <c r="P257" s="16">
        <f t="shared" si="55"/>
        <v>1026.0984072065573</v>
      </c>
      <c r="Q257" s="66">
        <v>21750</v>
      </c>
      <c r="R257" s="16">
        <f t="shared" si="56"/>
        <v>0.3</v>
      </c>
      <c r="S257" s="16">
        <f t="shared" si="57"/>
        <v>1572.8287035654707</v>
      </c>
    </row>
    <row r="258" spans="1:19" x14ac:dyDescent="0.3">
      <c r="A258" s="65">
        <v>20190116</v>
      </c>
      <c r="B258" s="65" t="s">
        <v>88</v>
      </c>
      <c r="C258" s="139">
        <f t="shared" si="46"/>
        <v>106543836.22196129</v>
      </c>
      <c r="D258" s="139">
        <f t="shared" si="47"/>
        <v>-4.6346682665721313E-3</v>
      </c>
      <c r="E258" s="66">
        <v>41450</v>
      </c>
      <c r="F258" s="16">
        <f t="shared" si="48"/>
        <v>0.3</v>
      </c>
      <c r="G258" s="16">
        <f t="shared" si="49"/>
        <v>798.60682235301033</v>
      </c>
      <c r="H258" s="66">
        <v>202000</v>
      </c>
      <c r="I258" s="16">
        <f t="shared" si="50"/>
        <v>0.15</v>
      </c>
      <c r="J258" s="16">
        <f t="shared" si="51"/>
        <v>69.451874213621352</v>
      </c>
      <c r="K258" s="66">
        <v>244556</v>
      </c>
      <c r="L258" s="16">
        <f t="shared" si="52"/>
        <v>0.15</v>
      </c>
      <c r="M258" s="16">
        <f t="shared" si="53"/>
        <v>61.993934265389122</v>
      </c>
      <c r="N258" s="66">
        <v>10400</v>
      </c>
      <c r="O258" s="16">
        <f t="shared" si="54"/>
        <v>0.1</v>
      </c>
      <c r="P258" s="16">
        <f t="shared" si="55"/>
        <v>1026.0984072065573</v>
      </c>
      <c r="Q258" s="66">
        <v>21350</v>
      </c>
      <c r="R258" s="16">
        <f t="shared" si="56"/>
        <v>0.3</v>
      </c>
      <c r="S258" s="16">
        <f t="shared" si="57"/>
        <v>1572.8287035654707</v>
      </c>
    </row>
    <row r="259" spans="1:19" x14ac:dyDescent="0.3">
      <c r="A259" s="65">
        <v>20190117</v>
      </c>
      <c r="B259" s="65" t="s">
        <v>88</v>
      </c>
      <c r="C259" s="139">
        <f t="shared" si="46"/>
        <v>105759928.22172208</v>
      </c>
      <c r="D259" s="139">
        <f t="shared" si="47"/>
        <v>-7.357610050816114E-3</v>
      </c>
      <c r="E259" s="66">
        <v>41950</v>
      </c>
      <c r="F259" s="16">
        <f t="shared" si="48"/>
        <v>0.3</v>
      </c>
      <c r="G259" s="16">
        <f t="shared" si="49"/>
        <v>798.60682235301033</v>
      </c>
      <c r="H259" s="66">
        <v>195500</v>
      </c>
      <c r="I259" s="16">
        <f t="shared" si="50"/>
        <v>0.15</v>
      </c>
      <c r="J259" s="16">
        <f t="shared" si="51"/>
        <v>69.451874213621352</v>
      </c>
      <c r="K259" s="66">
        <v>250346</v>
      </c>
      <c r="L259" s="16">
        <f t="shared" si="52"/>
        <v>0.15</v>
      </c>
      <c r="M259" s="16">
        <f t="shared" si="53"/>
        <v>61.993934265389122</v>
      </c>
      <c r="N259" s="66">
        <v>10410</v>
      </c>
      <c r="O259" s="16">
        <f t="shared" si="54"/>
        <v>0.1</v>
      </c>
      <c r="P259" s="16">
        <f t="shared" si="55"/>
        <v>1026.0984072065573</v>
      </c>
      <c r="Q259" s="66">
        <v>20650</v>
      </c>
      <c r="R259" s="16">
        <f t="shared" si="56"/>
        <v>0.3</v>
      </c>
      <c r="S259" s="16">
        <f t="shared" si="57"/>
        <v>1572.8287035654707</v>
      </c>
    </row>
    <row r="260" spans="1:19" x14ac:dyDescent="0.3">
      <c r="A260" s="65">
        <v>20190118</v>
      </c>
      <c r="B260" s="65" t="s">
        <v>88</v>
      </c>
      <c r="C260" s="139">
        <f t="shared" si="46"/>
        <v>109358462.62725431</v>
      </c>
      <c r="D260" s="139">
        <f t="shared" si="47"/>
        <v>3.4025499695763989E-2</v>
      </c>
      <c r="E260" s="66">
        <v>42300</v>
      </c>
      <c r="F260" s="16">
        <f t="shared" si="48"/>
        <v>0.3</v>
      </c>
      <c r="G260" s="16">
        <f t="shared" si="49"/>
        <v>798.60682235301033</v>
      </c>
      <c r="H260" s="66">
        <v>201000</v>
      </c>
      <c r="I260" s="16">
        <f t="shared" si="50"/>
        <v>0.15</v>
      </c>
      <c r="J260" s="16">
        <f t="shared" si="51"/>
        <v>69.451874213621352</v>
      </c>
      <c r="K260" s="66">
        <v>256136</v>
      </c>
      <c r="L260" s="16">
        <f t="shared" si="52"/>
        <v>0.15</v>
      </c>
      <c r="M260" s="16">
        <f t="shared" si="53"/>
        <v>61.993934265389122</v>
      </c>
      <c r="N260" s="66">
        <v>10470</v>
      </c>
      <c r="O260" s="16">
        <f t="shared" si="54"/>
        <v>0.1</v>
      </c>
      <c r="P260" s="16">
        <f t="shared" si="55"/>
        <v>1026.0984072065573</v>
      </c>
      <c r="Q260" s="66">
        <v>22250</v>
      </c>
      <c r="R260" s="16">
        <f t="shared" si="56"/>
        <v>0.3</v>
      </c>
      <c r="S260" s="16">
        <f t="shared" si="57"/>
        <v>1572.8287035654707</v>
      </c>
    </row>
    <row r="261" spans="1:19" x14ac:dyDescent="0.3">
      <c r="A261" s="65">
        <v>20190121</v>
      </c>
      <c r="B261" s="65" t="s">
        <v>88</v>
      </c>
      <c r="C261" s="139">
        <f t="shared" ref="C261:C324" si="58">E261*G261+H261*J261+K261*M261+N261*P261+Q261*S261</f>
        <v>109302067.32693288</v>
      </c>
      <c r="D261" s="139">
        <f t="shared" si="47"/>
        <v>-5.1569214641990712E-4</v>
      </c>
      <c r="E261" s="66">
        <v>42750</v>
      </c>
      <c r="F261" s="16">
        <f t="shared" si="48"/>
        <v>0.3</v>
      </c>
      <c r="G261" s="16">
        <f t="shared" si="49"/>
        <v>798.60682235301033</v>
      </c>
      <c r="H261" s="66">
        <v>198000</v>
      </c>
      <c r="I261" s="16">
        <f t="shared" si="50"/>
        <v>0.15</v>
      </c>
      <c r="J261" s="16">
        <f t="shared" si="51"/>
        <v>69.451874213621352</v>
      </c>
      <c r="K261" s="66">
        <v>252211</v>
      </c>
      <c r="L261" s="16">
        <f t="shared" si="52"/>
        <v>0.15</v>
      </c>
      <c r="M261" s="16">
        <f t="shared" si="53"/>
        <v>61.993934265389122</v>
      </c>
      <c r="N261" s="66">
        <v>10505</v>
      </c>
      <c r="O261" s="16">
        <f t="shared" si="54"/>
        <v>0.1</v>
      </c>
      <c r="P261" s="16">
        <f t="shared" si="55"/>
        <v>1026.0984072065573</v>
      </c>
      <c r="Q261" s="66">
        <v>22250</v>
      </c>
      <c r="R261" s="16">
        <f t="shared" si="56"/>
        <v>0.3</v>
      </c>
      <c r="S261" s="16">
        <f t="shared" si="57"/>
        <v>1572.8287035654707</v>
      </c>
    </row>
    <row r="262" spans="1:19" x14ac:dyDescent="0.3">
      <c r="A262" s="65">
        <v>20190122</v>
      </c>
      <c r="B262" s="65" t="s">
        <v>88</v>
      </c>
      <c r="C262" s="139">
        <f t="shared" si="58"/>
        <v>108203674.05850551</v>
      </c>
      <c r="D262" s="139">
        <f t="shared" ref="D262:D325" si="59">(C262-C261)/C261</f>
        <v>-1.0049153646307285E-2</v>
      </c>
      <c r="E262" s="66">
        <v>42150</v>
      </c>
      <c r="F262" s="16">
        <f t="shared" si="48"/>
        <v>0.3</v>
      </c>
      <c r="G262" s="16">
        <f t="shared" si="49"/>
        <v>798.60682235301033</v>
      </c>
      <c r="H262" s="66">
        <v>200000</v>
      </c>
      <c r="I262" s="16">
        <f t="shared" si="50"/>
        <v>0.15</v>
      </c>
      <c r="J262" s="16">
        <f t="shared" si="51"/>
        <v>69.451874213621352</v>
      </c>
      <c r="K262" s="66">
        <v>252309</v>
      </c>
      <c r="L262" s="16">
        <f t="shared" si="52"/>
        <v>0.15</v>
      </c>
      <c r="M262" s="16">
        <f t="shared" si="53"/>
        <v>61.993934265389122</v>
      </c>
      <c r="N262" s="66">
        <v>10450</v>
      </c>
      <c r="O262" s="16">
        <f t="shared" si="54"/>
        <v>0.1</v>
      </c>
      <c r="P262" s="16">
        <f t="shared" si="55"/>
        <v>1026.0984072065573</v>
      </c>
      <c r="Q262" s="66">
        <v>21800</v>
      </c>
      <c r="R262" s="16">
        <f t="shared" si="56"/>
        <v>0.3</v>
      </c>
      <c r="S262" s="16">
        <f t="shared" si="57"/>
        <v>1572.8287035654707</v>
      </c>
    </row>
    <row r="263" spans="1:19" x14ac:dyDescent="0.3">
      <c r="A263" s="65">
        <v>20190123</v>
      </c>
      <c r="B263" s="65" t="s">
        <v>88</v>
      </c>
      <c r="C263" s="139">
        <f t="shared" si="58"/>
        <v>107567517.12731367</v>
      </c>
      <c r="D263" s="139">
        <f t="shared" si="59"/>
        <v>-5.8792544405457349E-3</v>
      </c>
      <c r="E263" s="66">
        <v>42000</v>
      </c>
      <c r="F263" s="16">
        <f t="shared" si="48"/>
        <v>0.3</v>
      </c>
      <c r="G263" s="16">
        <f t="shared" si="49"/>
        <v>798.60682235301033</v>
      </c>
      <c r="H263" s="66">
        <v>200000</v>
      </c>
      <c r="I263" s="16">
        <f t="shared" si="50"/>
        <v>0.15</v>
      </c>
      <c r="J263" s="16">
        <f t="shared" si="51"/>
        <v>69.451874213621352</v>
      </c>
      <c r="K263" s="66">
        <v>247206</v>
      </c>
      <c r="L263" s="16">
        <f t="shared" si="52"/>
        <v>0.15</v>
      </c>
      <c r="M263" s="16">
        <f t="shared" si="53"/>
        <v>61.993934265389122</v>
      </c>
      <c r="N263" s="66">
        <v>10485</v>
      </c>
      <c r="O263" s="16">
        <f t="shared" si="54"/>
        <v>0.1</v>
      </c>
      <c r="P263" s="16">
        <f t="shared" si="55"/>
        <v>1026.0984072065573</v>
      </c>
      <c r="Q263" s="66">
        <v>21650</v>
      </c>
      <c r="R263" s="16">
        <f t="shared" si="56"/>
        <v>0.3</v>
      </c>
      <c r="S263" s="16">
        <f t="shared" si="57"/>
        <v>1572.8287035654707</v>
      </c>
    </row>
    <row r="264" spans="1:19" x14ac:dyDescent="0.3">
      <c r="A264" s="65">
        <v>20190124</v>
      </c>
      <c r="B264" s="65" t="s">
        <v>88</v>
      </c>
      <c r="C264" s="139">
        <f t="shared" si="58"/>
        <v>109445072.45365351</v>
      </c>
      <c r="D264" s="139">
        <f t="shared" si="59"/>
        <v>1.7454668253777977E-2</v>
      </c>
      <c r="E264" s="66">
        <v>43050</v>
      </c>
      <c r="F264" s="16">
        <f t="shared" si="48"/>
        <v>0.3</v>
      </c>
      <c r="G264" s="16">
        <f t="shared" si="49"/>
        <v>798.60682235301033</v>
      </c>
      <c r="H264" s="66">
        <v>208000</v>
      </c>
      <c r="I264" s="16">
        <f t="shared" si="50"/>
        <v>0.15</v>
      </c>
      <c r="J264" s="16">
        <f t="shared" si="51"/>
        <v>69.451874213621352</v>
      </c>
      <c r="K264" s="66">
        <v>256823</v>
      </c>
      <c r="L264" s="16">
        <f t="shared" si="52"/>
        <v>0.15</v>
      </c>
      <c r="M264" s="16">
        <f t="shared" si="53"/>
        <v>61.993934265389122</v>
      </c>
      <c r="N264" s="66">
        <v>10605</v>
      </c>
      <c r="O264" s="16">
        <f t="shared" si="54"/>
        <v>0.1</v>
      </c>
      <c r="P264" s="16">
        <f t="shared" si="55"/>
        <v>1026.0984072065573</v>
      </c>
      <c r="Q264" s="66">
        <v>21500</v>
      </c>
      <c r="R264" s="16">
        <f t="shared" si="56"/>
        <v>0.3</v>
      </c>
      <c r="S264" s="16">
        <f t="shared" si="57"/>
        <v>1572.8287035654707</v>
      </c>
    </row>
    <row r="265" spans="1:19" x14ac:dyDescent="0.3">
      <c r="A265" s="65">
        <v>20190125</v>
      </c>
      <c r="B265" s="65" t="s">
        <v>88</v>
      </c>
      <c r="C265" s="139">
        <f t="shared" si="58"/>
        <v>112073841.57312505</v>
      </c>
      <c r="D265" s="139">
        <f t="shared" si="59"/>
        <v>2.4019072403508479E-2</v>
      </c>
      <c r="E265" s="66">
        <v>44750</v>
      </c>
      <c r="F265" s="16">
        <f t="shared" si="48"/>
        <v>0.3</v>
      </c>
      <c r="G265" s="16">
        <f t="shared" si="49"/>
        <v>798.60682235301033</v>
      </c>
      <c r="H265" s="66">
        <v>208500</v>
      </c>
      <c r="I265" s="16">
        <f t="shared" si="50"/>
        <v>0.15</v>
      </c>
      <c r="J265" s="16">
        <f t="shared" si="51"/>
        <v>69.451874213621352</v>
      </c>
      <c r="K265" s="66">
        <v>255449</v>
      </c>
      <c r="L265" s="16">
        <f t="shared" si="52"/>
        <v>0.15</v>
      </c>
      <c r="M265" s="16">
        <f t="shared" si="53"/>
        <v>61.993934265389122</v>
      </c>
      <c r="N265" s="66">
        <v>10820</v>
      </c>
      <c r="O265" s="16">
        <f t="shared" si="54"/>
        <v>0.1</v>
      </c>
      <c r="P265" s="16">
        <f t="shared" si="55"/>
        <v>1026.0984072065573</v>
      </c>
      <c r="Q265" s="66">
        <v>22200</v>
      </c>
      <c r="R265" s="16">
        <f t="shared" si="56"/>
        <v>0.3</v>
      </c>
      <c r="S265" s="16">
        <f t="shared" si="57"/>
        <v>1572.8287035654707</v>
      </c>
    </row>
    <row r="266" spans="1:19" x14ac:dyDescent="0.3">
      <c r="A266" s="65">
        <v>20190128</v>
      </c>
      <c r="B266" s="65" t="s">
        <v>88</v>
      </c>
      <c r="C266" s="139">
        <f t="shared" si="58"/>
        <v>111903070.08117363</v>
      </c>
      <c r="D266" s="139">
        <f t="shared" si="59"/>
        <v>-1.5237408618673724E-3</v>
      </c>
      <c r="E266" s="66">
        <v>45050</v>
      </c>
      <c r="F266" s="16">
        <f t="shared" si="48"/>
        <v>0.3</v>
      </c>
      <c r="G266" s="16">
        <f t="shared" si="49"/>
        <v>798.60682235301033</v>
      </c>
      <c r="H266" s="66">
        <v>211000</v>
      </c>
      <c r="I266" s="16">
        <f t="shared" si="50"/>
        <v>0.15</v>
      </c>
      <c r="J266" s="16">
        <f t="shared" si="51"/>
        <v>69.451874213621352</v>
      </c>
      <c r="K266" s="66">
        <v>257804</v>
      </c>
      <c r="L266" s="16">
        <f t="shared" si="52"/>
        <v>0.15</v>
      </c>
      <c r="M266" s="16">
        <f t="shared" si="53"/>
        <v>61.993934265389122</v>
      </c>
      <c r="N266" s="66">
        <v>10875</v>
      </c>
      <c r="O266" s="16">
        <f t="shared" si="54"/>
        <v>0.1</v>
      </c>
      <c r="P266" s="16">
        <f t="shared" si="55"/>
        <v>1026.0984072065573</v>
      </c>
      <c r="Q266" s="66">
        <v>21700</v>
      </c>
      <c r="R266" s="16">
        <f t="shared" si="56"/>
        <v>0.3</v>
      </c>
      <c r="S266" s="16">
        <f t="shared" si="57"/>
        <v>1572.8287035654707</v>
      </c>
    </row>
    <row r="267" spans="1:19" x14ac:dyDescent="0.3">
      <c r="A267" s="65">
        <v>20190129</v>
      </c>
      <c r="B267" s="65" t="s">
        <v>88</v>
      </c>
      <c r="C267" s="139">
        <f t="shared" si="58"/>
        <v>111328861.95561424</v>
      </c>
      <c r="D267" s="139">
        <f t="shared" si="59"/>
        <v>-5.131299124705546E-3</v>
      </c>
      <c r="E267" s="66">
        <v>45500</v>
      </c>
      <c r="F267" s="16">
        <f t="shared" si="48"/>
        <v>0.3</v>
      </c>
      <c r="G267" s="16">
        <f t="shared" si="49"/>
        <v>798.60682235301033</v>
      </c>
      <c r="H267" s="66">
        <v>210500</v>
      </c>
      <c r="I267" s="16">
        <f t="shared" si="50"/>
        <v>0.15</v>
      </c>
      <c r="J267" s="16">
        <f t="shared" si="51"/>
        <v>69.451874213621352</v>
      </c>
      <c r="K267" s="66">
        <v>264870</v>
      </c>
      <c r="L267" s="16">
        <f t="shared" si="52"/>
        <v>0.15</v>
      </c>
      <c r="M267" s="16">
        <f t="shared" si="53"/>
        <v>61.993934265389122</v>
      </c>
      <c r="N267" s="66">
        <v>10875</v>
      </c>
      <c r="O267" s="16">
        <f t="shared" si="54"/>
        <v>0.1</v>
      </c>
      <c r="P267" s="16">
        <f t="shared" si="55"/>
        <v>1026.0984072065573</v>
      </c>
      <c r="Q267" s="66">
        <v>20850</v>
      </c>
      <c r="R267" s="16">
        <f t="shared" si="56"/>
        <v>0.3</v>
      </c>
      <c r="S267" s="16">
        <f t="shared" si="57"/>
        <v>1572.8287035654707</v>
      </c>
    </row>
    <row r="268" spans="1:19" x14ac:dyDescent="0.3">
      <c r="A268" s="65">
        <v>20190130</v>
      </c>
      <c r="B268" s="65" t="s">
        <v>88</v>
      </c>
      <c r="C268" s="139">
        <f t="shared" si="58"/>
        <v>113042516.10921092</v>
      </c>
      <c r="D268" s="139">
        <f t="shared" si="59"/>
        <v>1.5392721379653571E-2</v>
      </c>
      <c r="E268" s="66">
        <v>46400</v>
      </c>
      <c r="F268" s="16">
        <f t="shared" si="48"/>
        <v>0.3</v>
      </c>
      <c r="G268" s="16">
        <f t="shared" si="49"/>
        <v>798.60682235301033</v>
      </c>
      <c r="H268" s="66">
        <v>215000</v>
      </c>
      <c r="I268" s="16">
        <f t="shared" si="50"/>
        <v>0.15</v>
      </c>
      <c r="J268" s="16">
        <f t="shared" si="51"/>
        <v>69.451874213621352</v>
      </c>
      <c r="K268" s="66">
        <v>268403</v>
      </c>
      <c r="L268" s="16">
        <f t="shared" si="52"/>
        <v>0.15</v>
      </c>
      <c r="M268" s="16">
        <f t="shared" si="53"/>
        <v>61.993934265389122</v>
      </c>
      <c r="N268" s="66">
        <v>11020</v>
      </c>
      <c r="O268" s="16">
        <f t="shared" si="54"/>
        <v>0.1</v>
      </c>
      <c r="P268" s="16">
        <f t="shared" si="55"/>
        <v>1026.0984072065573</v>
      </c>
      <c r="Q268" s="66">
        <v>21050</v>
      </c>
      <c r="R268" s="16">
        <f t="shared" si="56"/>
        <v>0.3</v>
      </c>
      <c r="S268" s="16">
        <f t="shared" si="57"/>
        <v>1572.8287035654707</v>
      </c>
    </row>
    <row r="269" spans="1:19" x14ac:dyDescent="0.3">
      <c r="A269" s="65">
        <v>20190131</v>
      </c>
      <c r="B269" s="65" t="s">
        <v>88</v>
      </c>
      <c r="C269" s="139">
        <f t="shared" si="58"/>
        <v>113062533.16980976</v>
      </c>
      <c r="D269" s="139">
        <f t="shared" si="59"/>
        <v>1.7707550475519113E-4</v>
      </c>
      <c r="E269" s="66">
        <v>46150</v>
      </c>
      <c r="F269" s="16">
        <f t="shared" si="48"/>
        <v>0.3</v>
      </c>
      <c r="G269" s="16">
        <f t="shared" si="49"/>
        <v>798.60682235301033</v>
      </c>
      <c r="H269" s="66">
        <v>219000</v>
      </c>
      <c r="I269" s="16">
        <f t="shared" si="50"/>
        <v>0.15</v>
      </c>
      <c r="J269" s="16">
        <f t="shared" si="51"/>
        <v>69.451874213621352</v>
      </c>
      <c r="K269" s="66">
        <v>270857</v>
      </c>
      <c r="L269" s="16">
        <f t="shared" si="52"/>
        <v>0.15</v>
      </c>
      <c r="M269" s="16">
        <f t="shared" si="53"/>
        <v>61.993934265389122</v>
      </c>
      <c r="N269" s="66">
        <v>11045</v>
      </c>
      <c r="O269" s="16">
        <f t="shared" si="54"/>
        <v>0.1</v>
      </c>
      <c r="P269" s="16">
        <f t="shared" si="55"/>
        <v>1026.0984072065573</v>
      </c>
      <c r="Q269" s="66">
        <v>20900</v>
      </c>
      <c r="R269" s="16">
        <f t="shared" si="56"/>
        <v>0.3</v>
      </c>
      <c r="S269" s="16">
        <f t="shared" si="57"/>
        <v>1572.8287035654707</v>
      </c>
    </row>
    <row r="270" spans="1:19" x14ac:dyDescent="0.3">
      <c r="A270" s="65">
        <v>20190201</v>
      </c>
      <c r="B270" s="65" t="s">
        <v>88</v>
      </c>
      <c r="C270" s="139">
        <f t="shared" si="58"/>
        <v>112792250.22275513</v>
      </c>
      <c r="D270" s="139">
        <f t="shared" si="59"/>
        <v>-2.3905615722290947E-3</v>
      </c>
      <c r="E270" s="66">
        <v>46350</v>
      </c>
      <c r="F270" s="16">
        <f t="shared" si="48"/>
        <v>0.3</v>
      </c>
      <c r="G270" s="16">
        <f t="shared" si="49"/>
        <v>798.60682235301033</v>
      </c>
      <c r="H270" s="66">
        <v>214500</v>
      </c>
      <c r="I270" s="16">
        <f t="shared" si="50"/>
        <v>0.15</v>
      </c>
      <c r="J270" s="16">
        <f t="shared" si="51"/>
        <v>69.451874213621352</v>
      </c>
      <c r="K270" s="66">
        <v>273016</v>
      </c>
      <c r="L270" s="16">
        <f t="shared" si="52"/>
        <v>0.15</v>
      </c>
      <c r="M270" s="16">
        <f t="shared" si="53"/>
        <v>61.993934265389122</v>
      </c>
      <c r="N270" s="66">
        <v>11030</v>
      </c>
      <c r="O270" s="16">
        <f t="shared" si="54"/>
        <v>0.1</v>
      </c>
      <c r="P270" s="16">
        <f t="shared" si="55"/>
        <v>1026.0984072065573</v>
      </c>
      <c r="Q270" s="66">
        <v>20750</v>
      </c>
      <c r="R270" s="16">
        <f t="shared" si="56"/>
        <v>0.3</v>
      </c>
      <c r="S270" s="16">
        <f t="shared" si="57"/>
        <v>1572.8287035654707</v>
      </c>
    </row>
    <row r="271" spans="1:19" x14ac:dyDescent="0.3">
      <c r="A271" s="65">
        <v>20190207</v>
      </c>
      <c r="B271" s="65" t="s">
        <v>88</v>
      </c>
      <c r="C271" s="139">
        <f t="shared" si="58"/>
        <v>113937516.26621601</v>
      </c>
      <c r="D271" s="139">
        <f t="shared" si="59"/>
        <v>1.0153765362416942E-2</v>
      </c>
      <c r="E271" s="66">
        <v>46200</v>
      </c>
      <c r="F271" s="16">
        <f t="shared" si="48"/>
        <v>0.3</v>
      </c>
      <c r="G271" s="16">
        <f t="shared" si="49"/>
        <v>798.60682235301033</v>
      </c>
      <c r="H271" s="66">
        <v>214000</v>
      </c>
      <c r="I271" s="16">
        <f t="shared" si="50"/>
        <v>0.15</v>
      </c>
      <c r="J271" s="16">
        <f t="shared" si="51"/>
        <v>69.451874213621352</v>
      </c>
      <c r="K271" s="66">
        <v>282731</v>
      </c>
      <c r="L271" s="16">
        <f t="shared" si="52"/>
        <v>0.15</v>
      </c>
      <c r="M271" s="16">
        <f t="shared" si="53"/>
        <v>61.993934265389122</v>
      </c>
      <c r="N271" s="66">
        <v>11020</v>
      </c>
      <c r="O271" s="16">
        <f t="shared" si="54"/>
        <v>0.1</v>
      </c>
      <c r="P271" s="16">
        <f t="shared" si="55"/>
        <v>1026.0984072065573</v>
      </c>
      <c r="Q271" s="66">
        <v>21200</v>
      </c>
      <c r="R271" s="16">
        <f t="shared" si="56"/>
        <v>0.3</v>
      </c>
      <c r="S271" s="16">
        <f t="shared" si="57"/>
        <v>1572.8287035654707</v>
      </c>
    </row>
    <row r="272" spans="1:19" x14ac:dyDescent="0.3">
      <c r="A272" s="65">
        <v>20190208</v>
      </c>
      <c r="B272" s="65" t="s">
        <v>88</v>
      </c>
      <c r="C272" s="139">
        <f t="shared" si="58"/>
        <v>112933587.68723746</v>
      </c>
      <c r="D272" s="139">
        <f t="shared" si="59"/>
        <v>-8.8112204994258911E-3</v>
      </c>
      <c r="E272" s="66">
        <v>44800</v>
      </c>
      <c r="F272" s="16">
        <f t="shared" si="48"/>
        <v>0.3</v>
      </c>
      <c r="G272" s="16">
        <f t="shared" si="49"/>
        <v>798.60682235301033</v>
      </c>
      <c r="H272" s="66">
        <v>215000</v>
      </c>
      <c r="I272" s="16">
        <f t="shared" si="50"/>
        <v>0.15</v>
      </c>
      <c r="J272" s="16">
        <f t="shared" si="51"/>
        <v>69.451874213621352</v>
      </c>
      <c r="K272" s="66">
        <v>283811</v>
      </c>
      <c r="L272" s="16">
        <f t="shared" si="52"/>
        <v>0.15</v>
      </c>
      <c r="M272" s="16">
        <f t="shared" si="53"/>
        <v>61.993934265389122</v>
      </c>
      <c r="N272" s="66">
        <v>10845</v>
      </c>
      <c r="O272" s="16">
        <f t="shared" si="54"/>
        <v>0.1</v>
      </c>
      <c r="P272" s="16">
        <f t="shared" si="55"/>
        <v>1026.0984072065573</v>
      </c>
      <c r="Q272" s="66">
        <v>21300</v>
      </c>
      <c r="R272" s="16">
        <f t="shared" si="56"/>
        <v>0.3</v>
      </c>
      <c r="S272" s="16">
        <f t="shared" si="57"/>
        <v>1572.8287035654707</v>
      </c>
    </row>
    <row r="273" spans="1:19" x14ac:dyDescent="0.3">
      <c r="A273" s="65">
        <v>20190211</v>
      </c>
      <c r="B273" s="65" t="s">
        <v>88</v>
      </c>
      <c r="C273" s="139">
        <f t="shared" si="58"/>
        <v>113969929.12566973</v>
      </c>
      <c r="D273" s="139">
        <f t="shared" si="59"/>
        <v>9.1765564138665233E-3</v>
      </c>
      <c r="E273" s="66">
        <v>45000</v>
      </c>
      <c r="F273" s="16">
        <f t="shared" si="48"/>
        <v>0.3</v>
      </c>
      <c r="G273" s="16">
        <f t="shared" si="49"/>
        <v>798.60682235301033</v>
      </c>
      <c r="H273" s="66">
        <v>215500</v>
      </c>
      <c r="I273" s="16">
        <f t="shared" si="50"/>
        <v>0.15</v>
      </c>
      <c r="J273" s="16">
        <f t="shared" si="51"/>
        <v>69.451874213621352</v>
      </c>
      <c r="K273" s="66">
        <v>284596</v>
      </c>
      <c r="L273" s="16">
        <f t="shared" si="52"/>
        <v>0.15</v>
      </c>
      <c r="M273" s="16">
        <f t="shared" si="53"/>
        <v>61.993934265389122</v>
      </c>
      <c r="N273" s="66">
        <v>10775</v>
      </c>
      <c r="O273" s="16">
        <f t="shared" si="54"/>
        <v>0.1</v>
      </c>
      <c r="P273" s="16">
        <f t="shared" si="55"/>
        <v>1026.0984072065573</v>
      </c>
      <c r="Q273" s="66">
        <v>21850</v>
      </c>
      <c r="R273" s="16">
        <f t="shared" si="56"/>
        <v>0.3</v>
      </c>
      <c r="S273" s="16">
        <f t="shared" si="57"/>
        <v>1572.8287035654707</v>
      </c>
    </row>
    <row r="274" spans="1:19" x14ac:dyDescent="0.3">
      <c r="A274" s="65">
        <v>20190212</v>
      </c>
      <c r="B274" s="65" t="s">
        <v>88</v>
      </c>
      <c r="C274" s="139">
        <f t="shared" si="58"/>
        <v>114270570.97828828</v>
      </c>
      <c r="D274" s="139">
        <f t="shared" si="59"/>
        <v>2.637905059035708E-3</v>
      </c>
      <c r="E274" s="66">
        <v>46050</v>
      </c>
      <c r="F274" s="16">
        <f t="shared" si="48"/>
        <v>0.3</v>
      </c>
      <c r="G274" s="16">
        <f t="shared" si="49"/>
        <v>798.60682235301033</v>
      </c>
      <c r="H274" s="66">
        <v>212500</v>
      </c>
      <c r="I274" s="16">
        <f t="shared" si="50"/>
        <v>0.15</v>
      </c>
      <c r="J274" s="16">
        <f t="shared" si="51"/>
        <v>69.451874213621352</v>
      </c>
      <c r="K274" s="66">
        <v>274095</v>
      </c>
      <c r="L274" s="16">
        <f t="shared" si="52"/>
        <v>0.15</v>
      </c>
      <c r="M274" s="16">
        <f t="shared" si="53"/>
        <v>61.993934265389122</v>
      </c>
      <c r="N274" s="66">
        <v>10935</v>
      </c>
      <c r="O274" s="16">
        <f t="shared" si="54"/>
        <v>0.1</v>
      </c>
      <c r="P274" s="16">
        <f t="shared" si="55"/>
        <v>1026.0984072065573</v>
      </c>
      <c r="Q274" s="66">
        <v>21950</v>
      </c>
      <c r="R274" s="16">
        <f t="shared" si="56"/>
        <v>0.3</v>
      </c>
      <c r="S274" s="16">
        <f t="shared" si="57"/>
        <v>1572.8287035654707</v>
      </c>
    </row>
    <row r="275" spans="1:19" x14ac:dyDescent="0.3">
      <c r="A275" s="65">
        <v>20190213</v>
      </c>
      <c r="B275" s="65" t="s">
        <v>88</v>
      </c>
      <c r="C275" s="139">
        <f t="shared" si="58"/>
        <v>114612869.83001637</v>
      </c>
      <c r="D275" s="139">
        <f t="shared" si="59"/>
        <v>2.9955118697458363E-3</v>
      </c>
      <c r="E275" s="66">
        <v>46200</v>
      </c>
      <c r="F275" s="16">
        <f t="shared" si="48"/>
        <v>0.3</v>
      </c>
      <c r="G275" s="16">
        <f t="shared" si="49"/>
        <v>798.60682235301033</v>
      </c>
      <c r="H275" s="66">
        <v>212000</v>
      </c>
      <c r="I275" s="16">
        <f t="shared" si="50"/>
        <v>0.15</v>
      </c>
      <c r="J275" s="16">
        <f t="shared" si="51"/>
        <v>69.451874213621352</v>
      </c>
      <c r="K275" s="66">
        <v>277334</v>
      </c>
      <c r="L275" s="16">
        <f t="shared" si="52"/>
        <v>0.15</v>
      </c>
      <c r="M275" s="16">
        <f t="shared" si="53"/>
        <v>61.993934265389122</v>
      </c>
      <c r="N275" s="66">
        <v>10990</v>
      </c>
      <c r="O275" s="16">
        <f t="shared" si="54"/>
        <v>0.1</v>
      </c>
      <c r="P275" s="16">
        <f t="shared" si="55"/>
        <v>1026.0984072065573</v>
      </c>
      <c r="Q275" s="66">
        <v>21950</v>
      </c>
      <c r="R275" s="16">
        <f t="shared" si="56"/>
        <v>0.3</v>
      </c>
      <c r="S275" s="16">
        <f t="shared" si="57"/>
        <v>1572.8287035654707</v>
      </c>
    </row>
    <row r="276" spans="1:19" x14ac:dyDescent="0.3">
      <c r="A276" s="65">
        <v>20190214</v>
      </c>
      <c r="B276" s="65" t="s">
        <v>88</v>
      </c>
      <c r="C276" s="139">
        <f t="shared" si="58"/>
        <v>115849763.44701479</v>
      </c>
      <c r="D276" s="139">
        <f t="shared" si="59"/>
        <v>1.0791926062342473E-2</v>
      </c>
      <c r="E276" s="66">
        <v>47500</v>
      </c>
      <c r="F276" s="16">
        <f t="shared" si="48"/>
        <v>0.3</v>
      </c>
      <c r="G276" s="16">
        <f t="shared" si="49"/>
        <v>798.60682235301033</v>
      </c>
      <c r="H276" s="66">
        <v>210000</v>
      </c>
      <c r="I276" s="16">
        <f t="shared" si="50"/>
        <v>0.15</v>
      </c>
      <c r="J276" s="16">
        <f t="shared" si="51"/>
        <v>69.451874213621352</v>
      </c>
      <c r="K276" s="66">
        <v>274782</v>
      </c>
      <c r="L276" s="16">
        <f t="shared" si="52"/>
        <v>0.15</v>
      </c>
      <c r="M276" s="16">
        <f t="shared" si="53"/>
        <v>61.993934265389122</v>
      </c>
      <c r="N276" s="66">
        <v>11090</v>
      </c>
      <c r="O276" s="16">
        <f t="shared" si="54"/>
        <v>0.1</v>
      </c>
      <c r="P276" s="16">
        <f t="shared" si="55"/>
        <v>1026.0984072065573</v>
      </c>
      <c r="Q276" s="66">
        <v>22200</v>
      </c>
      <c r="R276" s="16">
        <f t="shared" si="56"/>
        <v>0.3</v>
      </c>
      <c r="S276" s="16">
        <f t="shared" si="57"/>
        <v>1572.8287035654707</v>
      </c>
    </row>
    <row r="277" spans="1:19" x14ac:dyDescent="0.3">
      <c r="A277" s="65">
        <v>20190215</v>
      </c>
      <c r="B277" s="65" t="s">
        <v>88</v>
      </c>
      <c r="C277" s="139">
        <f t="shared" si="58"/>
        <v>115737948.58935669</v>
      </c>
      <c r="D277" s="139">
        <f t="shared" si="59"/>
        <v>-9.6517122116734325E-4</v>
      </c>
      <c r="E277" s="66">
        <v>46050</v>
      </c>
      <c r="F277" s="16">
        <f t="shared" si="48"/>
        <v>0.3</v>
      </c>
      <c r="G277" s="16">
        <f t="shared" si="49"/>
        <v>798.60682235301033</v>
      </c>
      <c r="H277" s="66">
        <v>209500</v>
      </c>
      <c r="I277" s="16">
        <f t="shared" si="50"/>
        <v>0.15</v>
      </c>
      <c r="J277" s="16">
        <f t="shared" si="51"/>
        <v>69.451874213621352</v>
      </c>
      <c r="K277" s="66">
        <v>279395</v>
      </c>
      <c r="L277" s="16">
        <f t="shared" si="52"/>
        <v>0.15</v>
      </c>
      <c r="M277" s="16">
        <f t="shared" si="53"/>
        <v>61.993934265389122</v>
      </c>
      <c r="N277" s="66">
        <v>10945</v>
      </c>
      <c r="O277" s="16">
        <f t="shared" si="54"/>
        <v>0.1</v>
      </c>
      <c r="P277" s="16">
        <f t="shared" si="55"/>
        <v>1026.0984072065573</v>
      </c>
      <c r="Q277" s="66">
        <v>22800</v>
      </c>
      <c r="R277" s="16">
        <f t="shared" si="56"/>
        <v>0.3</v>
      </c>
      <c r="S277" s="16">
        <f t="shared" si="57"/>
        <v>1572.8287035654707</v>
      </c>
    </row>
    <row r="278" spans="1:19" x14ac:dyDescent="0.3">
      <c r="A278" s="65">
        <v>20190218</v>
      </c>
      <c r="B278" s="65" t="s">
        <v>88</v>
      </c>
      <c r="C278" s="139">
        <f t="shared" si="58"/>
        <v>115895396.77821583</v>
      </c>
      <c r="D278" s="139">
        <f t="shared" si="59"/>
        <v>1.3603851699304605E-3</v>
      </c>
      <c r="E278" s="66">
        <v>46200</v>
      </c>
      <c r="F278" s="16">
        <f t="shared" si="48"/>
        <v>0.3</v>
      </c>
      <c r="G278" s="16">
        <f t="shared" si="49"/>
        <v>798.60682235301033</v>
      </c>
      <c r="H278" s="66">
        <v>212000</v>
      </c>
      <c r="I278" s="16">
        <f t="shared" si="50"/>
        <v>0.15</v>
      </c>
      <c r="J278" s="16">
        <f t="shared" si="51"/>
        <v>69.451874213621352</v>
      </c>
      <c r="K278" s="66">
        <v>273506</v>
      </c>
      <c r="L278" s="16">
        <f t="shared" si="52"/>
        <v>0.15</v>
      </c>
      <c r="M278" s="16">
        <f t="shared" si="53"/>
        <v>61.993934265389122</v>
      </c>
      <c r="N278" s="66">
        <v>11015</v>
      </c>
      <c r="O278" s="16">
        <f t="shared" si="54"/>
        <v>0.1</v>
      </c>
      <c r="P278" s="16">
        <f t="shared" si="55"/>
        <v>1026.0984072065573</v>
      </c>
      <c r="Q278" s="66">
        <v>22900</v>
      </c>
      <c r="R278" s="16">
        <f t="shared" si="56"/>
        <v>0.3</v>
      </c>
      <c r="S278" s="16">
        <f t="shared" si="57"/>
        <v>1572.8287035654707</v>
      </c>
    </row>
    <row r="279" spans="1:19" x14ac:dyDescent="0.3">
      <c r="A279" s="65">
        <v>20190219</v>
      </c>
      <c r="B279" s="65" t="s">
        <v>88</v>
      </c>
      <c r="C279" s="139">
        <f t="shared" si="58"/>
        <v>114795631.47495067</v>
      </c>
      <c r="D279" s="139">
        <f t="shared" si="59"/>
        <v>-9.4892923605044404E-3</v>
      </c>
      <c r="E279" s="66">
        <v>45950</v>
      </c>
      <c r="F279" s="16">
        <f t="shared" si="48"/>
        <v>0.3</v>
      </c>
      <c r="G279" s="16">
        <f t="shared" si="49"/>
        <v>798.60682235301033</v>
      </c>
      <c r="H279" s="66">
        <v>215000</v>
      </c>
      <c r="I279" s="16">
        <f t="shared" si="50"/>
        <v>0.15</v>
      </c>
      <c r="J279" s="16">
        <f t="shared" si="51"/>
        <v>69.451874213621352</v>
      </c>
      <c r="K279" s="66">
        <v>282927</v>
      </c>
      <c r="L279" s="16">
        <f t="shared" si="52"/>
        <v>0.15</v>
      </c>
      <c r="M279" s="16">
        <f t="shared" si="53"/>
        <v>61.993934265389122</v>
      </c>
      <c r="N279" s="66">
        <v>10975</v>
      </c>
      <c r="O279" s="16">
        <f t="shared" si="54"/>
        <v>0.1</v>
      </c>
      <c r="P279" s="16">
        <f t="shared" si="55"/>
        <v>1026.0984072065573</v>
      </c>
      <c r="Q279" s="66">
        <v>21850</v>
      </c>
      <c r="R279" s="16">
        <f t="shared" si="56"/>
        <v>0.3</v>
      </c>
      <c r="S279" s="16">
        <f t="shared" si="57"/>
        <v>1572.8287035654707</v>
      </c>
    </row>
    <row r="280" spans="1:19" x14ac:dyDescent="0.3">
      <c r="A280" s="65">
        <v>20190220</v>
      </c>
      <c r="B280" s="65" t="s">
        <v>88</v>
      </c>
      <c r="C280" s="139">
        <f t="shared" si="58"/>
        <v>115157623.71901768</v>
      </c>
      <c r="D280" s="139">
        <f t="shared" si="59"/>
        <v>3.1533625401590553E-3</v>
      </c>
      <c r="E280" s="66">
        <v>46900</v>
      </c>
      <c r="F280" s="16">
        <f t="shared" si="48"/>
        <v>0.3</v>
      </c>
      <c r="G280" s="16">
        <f t="shared" si="49"/>
        <v>798.60682235301033</v>
      </c>
      <c r="H280" s="134">
        <v>213500</v>
      </c>
      <c r="I280" s="16">
        <f t="shared" si="50"/>
        <v>0.15</v>
      </c>
      <c r="J280" s="16">
        <f t="shared" si="51"/>
        <v>69.451874213621352</v>
      </c>
      <c r="K280" s="66">
        <v>285185</v>
      </c>
      <c r="L280" s="16">
        <f t="shared" si="52"/>
        <v>0.15</v>
      </c>
      <c r="M280" s="16">
        <f t="shared" si="53"/>
        <v>61.993934265389122</v>
      </c>
      <c r="N280" s="66">
        <v>11090</v>
      </c>
      <c r="O280" s="16">
        <f t="shared" si="54"/>
        <v>0.1</v>
      </c>
      <c r="P280" s="16">
        <f t="shared" si="55"/>
        <v>1026.0984072065573</v>
      </c>
      <c r="Q280" s="66">
        <v>21500</v>
      </c>
      <c r="R280" s="16">
        <f t="shared" si="56"/>
        <v>0.3</v>
      </c>
      <c r="S280" s="16">
        <f t="shared" si="57"/>
        <v>1572.8287035654707</v>
      </c>
    </row>
    <row r="281" spans="1:19" x14ac:dyDescent="0.3">
      <c r="A281" s="65">
        <v>20190221</v>
      </c>
      <c r="B281" s="65" t="s">
        <v>88</v>
      </c>
      <c r="C281" s="139">
        <f t="shared" si="58"/>
        <v>115994645.38145494</v>
      </c>
      <c r="D281" s="139">
        <f t="shared" si="59"/>
        <v>7.2684867523801671E-3</v>
      </c>
      <c r="E281" s="66">
        <v>46950</v>
      </c>
      <c r="F281" s="16">
        <f t="shared" si="48"/>
        <v>0.3</v>
      </c>
      <c r="G281" s="16">
        <f t="shared" si="49"/>
        <v>798.60682235301033</v>
      </c>
      <c r="H281" s="66">
        <v>207500</v>
      </c>
      <c r="I281" s="16">
        <f t="shared" si="50"/>
        <v>0.15</v>
      </c>
      <c r="J281" s="16">
        <f t="shared" si="51"/>
        <v>69.451874213621352</v>
      </c>
      <c r="K281" s="66">
        <v>281848</v>
      </c>
      <c r="L281" s="16">
        <f t="shared" si="52"/>
        <v>0.15</v>
      </c>
      <c r="M281" s="16">
        <f t="shared" si="53"/>
        <v>61.993934265389122</v>
      </c>
      <c r="N281" s="66">
        <v>11095</v>
      </c>
      <c r="O281" s="16">
        <f t="shared" si="54"/>
        <v>0.1</v>
      </c>
      <c r="P281" s="16">
        <f t="shared" si="55"/>
        <v>1026.0984072065573</v>
      </c>
      <c r="Q281" s="66">
        <v>22400</v>
      </c>
      <c r="R281" s="16">
        <f t="shared" si="56"/>
        <v>0.3</v>
      </c>
      <c r="S281" s="16">
        <f t="shared" si="57"/>
        <v>1572.8287035654707</v>
      </c>
    </row>
    <row r="282" spans="1:19" x14ac:dyDescent="0.3">
      <c r="A282" s="65">
        <v>20190222</v>
      </c>
      <c r="B282" s="65" t="s">
        <v>88</v>
      </c>
      <c r="C282" s="139">
        <f t="shared" si="58"/>
        <v>115881420.7518138</v>
      </c>
      <c r="D282" s="139">
        <f t="shared" si="59"/>
        <v>-9.7611945162468384E-4</v>
      </c>
      <c r="E282" s="66">
        <v>47150</v>
      </c>
      <c r="F282" s="16">
        <f t="shared" si="48"/>
        <v>0.3</v>
      </c>
      <c r="G282" s="16">
        <f t="shared" si="49"/>
        <v>798.60682235301033</v>
      </c>
      <c r="H282" s="66">
        <v>207000</v>
      </c>
      <c r="I282" s="16">
        <f t="shared" si="50"/>
        <v>0.15</v>
      </c>
      <c r="J282" s="16">
        <f t="shared" si="51"/>
        <v>69.451874213621352</v>
      </c>
      <c r="K282" s="66">
        <v>282142</v>
      </c>
      <c r="L282" s="16">
        <f t="shared" si="52"/>
        <v>0.15</v>
      </c>
      <c r="M282" s="16">
        <f t="shared" si="53"/>
        <v>61.993934265389122</v>
      </c>
      <c r="N282" s="66">
        <v>11075</v>
      </c>
      <c r="O282" s="16">
        <f t="shared" si="54"/>
        <v>0.1</v>
      </c>
      <c r="P282" s="16">
        <f t="shared" si="55"/>
        <v>1026.0984072065573</v>
      </c>
      <c r="Q282" s="66">
        <v>22250</v>
      </c>
      <c r="R282" s="16">
        <f t="shared" si="56"/>
        <v>0.3</v>
      </c>
      <c r="S282" s="16">
        <f t="shared" si="57"/>
        <v>1572.8287035654707</v>
      </c>
    </row>
    <row r="283" spans="1:19" x14ac:dyDescent="0.3">
      <c r="A283" s="65">
        <v>20190225</v>
      </c>
      <c r="B283" s="65" t="s">
        <v>88</v>
      </c>
      <c r="C283" s="139">
        <f t="shared" si="58"/>
        <v>116165946.73857188</v>
      </c>
      <c r="D283" s="139">
        <f t="shared" si="59"/>
        <v>2.4553201446110991E-3</v>
      </c>
      <c r="E283" s="66">
        <v>47350</v>
      </c>
      <c r="F283" s="16">
        <f t="shared" si="48"/>
        <v>0.3</v>
      </c>
      <c r="G283" s="16">
        <f t="shared" si="49"/>
        <v>798.60682235301033</v>
      </c>
      <c r="H283" s="66">
        <v>204000</v>
      </c>
      <c r="I283" s="16">
        <f t="shared" si="50"/>
        <v>0.15</v>
      </c>
      <c r="J283" s="16">
        <f t="shared" si="51"/>
        <v>69.451874213621352</v>
      </c>
      <c r="K283" s="66">
        <v>277726</v>
      </c>
      <c r="L283" s="16">
        <f t="shared" si="52"/>
        <v>0.15</v>
      </c>
      <c r="M283" s="16">
        <f t="shared" si="53"/>
        <v>61.993934265389122</v>
      </c>
      <c r="N283" s="66">
        <v>11130</v>
      </c>
      <c r="O283" s="16">
        <f t="shared" si="54"/>
        <v>0.1</v>
      </c>
      <c r="P283" s="16">
        <f t="shared" si="55"/>
        <v>1026.0984072065573</v>
      </c>
      <c r="Q283" s="66">
        <v>22600</v>
      </c>
      <c r="R283" s="16">
        <f t="shared" si="56"/>
        <v>0.3</v>
      </c>
      <c r="S283" s="16">
        <f t="shared" si="57"/>
        <v>1572.8287035654707</v>
      </c>
    </row>
    <row r="284" spans="1:19" x14ac:dyDescent="0.3">
      <c r="A284" s="65">
        <v>20190226</v>
      </c>
      <c r="B284" s="65" t="s">
        <v>88</v>
      </c>
      <c r="C284" s="139">
        <f t="shared" si="58"/>
        <v>115751622.93713254</v>
      </c>
      <c r="D284" s="139">
        <f t="shared" si="59"/>
        <v>-3.5666545409539742E-3</v>
      </c>
      <c r="E284" s="66">
        <v>46750</v>
      </c>
      <c r="F284" s="16">
        <f t="shared" si="48"/>
        <v>0.3</v>
      </c>
      <c r="G284" s="16">
        <f t="shared" si="49"/>
        <v>798.60682235301033</v>
      </c>
      <c r="H284" s="66">
        <v>204500</v>
      </c>
      <c r="I284" s="16">
        <f t="shared" si="50"/>
        <v>0.15</v>
      </c>
      <c r="J284" s="16">
        <f t="shared" si="51"/>
        <v>69.451874213621352</v>
      </c>
      <c r="K284" s="66">
        <v>276254</v>
      </c>
      <c r="L284" s="16">
        <f t="shared" si="52"/>
        <v>0.15</v>
      </c>
      <c r="M284" s="16">
        <f t="shared" si="53"/>
        <v>61.993934265389122</v>
      </c>
      <c r="N284" s="66">
        <v>11095</v>
      </c>
      <c r="O284" s="16">
        <f t="shared" si="54"/>
        <v>0.1</v>
      </c>
      <c r="P284" s="16">
        <f t="shared" si="55"/>
        <v>1026.0984072065573</v>
      </c>
      <c r="Q284" s="66">
        <v>22700</v>
      </c>
      <c r="R284" s="16">
        <f t="shared" si="56"/>
        <v>0.3</v>
      </c>
      <c r="S284" s="16">
        <f t="shared" si="57"/>
        <v>1572.8287035654707</v>
      </c>
    </row>
    <row r="285" spans="1:19" x14ac:dyDescent="0.3">
      <c r="A285" s="65">
        <v>20190227</v>
      </c>
      <c r="B285" s="65" t="s">
        <v>88</v>
      </c>
      <c r="C285" s="139">
        <f t="shared" si="58"/>
        <v>117087291.76558539</v>
      </c>
      <c r="D285" s="139">
        <f t="shared" si="59"/>
        <v>1.1539093747119977E-2</v>
      </c>
      <c r="E285" s="66">
        <v>46750</v>
      </c>
      <c r="F285" s="16">
        <f t="shared" si="48"/>
        <v>0.3</v>
      </c>
      <c r="G285" s="16">
        <f t="shared" si="49"/>
        <v>798.60682235301033</v>
      </c>
      <c r="H285" s="66">
        <v>202500</v>
      </c>
      <c r="I285" s="16">
        <f t="shared" si="50"/>
        <v>0.15</v>
      </c>
      <c r="J285" s="16">
        <f t="shared" si="51"/>
        <v>69.451874213621352</v>
      </c>
      <c r="K285" s="66">
        <v>272132</v>
      </c>
      <c r="L285" s="16">
        <f t="shared" si="52"/>
        <v>0.15</v>
      </c>
      <c r="M285" s="16">
        <f t="shared" si="53"/>
        <v>61.993934265389122</v>
      </c>
      <c r="N285" s="66">
        <v>11095</v>
      </c>
      <c r="O285" s="16">
        <f t="shared" si="54"/>
        <v>0.1</v>
      </c>
      <c r="P285" s="16">
        <f t="shared" si="55"/>
        <v>1026.0984072065573</v>
      </c>
      <c r="Q285" s="66">
        <v>23800</v>
      </c>
      <c r="R285" s="16">
        <f t="shared" si="56"/>
        <v>0.3</v>
      </c>
      <c r="S285" s="16">
        <f t="shared" si="57"/>
        <v>1572.8287035654707</v>
      </c>
    </row>
    <row r="286" spans="1:19" x14ac:dyDescent="0.3">
      <c r="A286" s="65">
        <v>20190228</v>
      </c>
      <c r="B286" s="65" t="s">
        <v>88</v>
      </c>
      <c r="C286" s="139">
        <f t="shared" si="58"/>
        <v>114846451.78767022</v>
      </c>
      <c r="D286" s="139">
        <f t="shared" si="59"/>
        <v>-1.9138199749307049E-2</v>
      </c>
      <c r="E286" s="66">
        <v>45100</v>
      </c>
      <c r="F286" s="16">
        <f t="shared" si="48"/>
        <v>0.3</v>
      </c>
      <c r="G286" s="16">
        <f t="shared" si="49"/>
        <v>798.60682235301033</v>
      </c>
      <c r="H286" s="66">
        <v>204500</v>
      </c>
      <c r="I286" s="16">
        <f t="shared" si="50"/>
        <v>0.15</v>
      </c>
      <c r="J286" s="16">
        <f t="shared" si="51"/>
        <v>69.451874213621352</v>
      </c>
      <c r="K286" s="66">
        <v>272623</v>
      </c>
      <c r="L286" s="16">
        <f t="shared" si="52"/>
        <v>0.15</v>
      </c>
      <c r="M286" s="16">
        <f t="shared" si="53"/>
        <v>61.993934265389122</v>
      </c>
      <c r="N286" s="66">
        <v>10950</v>
      </c>
      <c r="O286" s="16">
        <f t="shared" si="54"/>
        <v>0.1</v>
      </c>
      <c r="P286" s="16">
        <f t="shared" si="55"/>
        <v>1026.0984072065573</v>
      </c>
      <c r="Q286" s="66">
        <v>23200</v>
      </c>
      <c r="R286" s="16">
        <f t="shared" si="56"/>
        <v>0.3</v>
      </c>
      <c r="S286" s="16">
        <f t="shared" si="57"/>
        <v>1572.8287035654707</v>
      </c>
    </row>
    <row r="287" spans="1:19" x14ac:dyDescent="0.3">
      <c r="A287" s="65">
        <v>20190304</v>
      </c>
      <c r="B287" s="65" t="s">
        <v>88</v>
      </c>
      <c r="C287" s="139">
        <f t="shared" si="58"/>
        <v>116376053.25746706</v>
      </c>
      <c r="D287" s="139">
        <f t="shared" si="59"/>
        <v>1.3318665452762838E-2</v>
      </c>
      <c r="E287" s="66">
        <v>44850</v>
      </c>
      <c r="F287" s="16">
        <f t="shared" si="48"/>
        <v>0.3</v>
      </c>
      <c r="G287" s="16">
        <f t="shared" si="49"/>
        <v>798.60682235301033</v>
      </c>
      <c r="H287" s="66">
        <v>207500</v>
      </c>
      <c r="I287" s="16">
        <f t="shared" si="50"/>
        <v>0.15</v>
      </c>
      <c r="J287" s="16">
        <f t="shared" si="51"/>
        <v>69.451874213621352</v>
      </c>
      <c r="K287" s="66">
        <v>285381</v>
      </c>
      <c r="L287" s="16">
        <f t="shared" si="52"/>
        <v>0.15</v>
      </c>
      <c r="M287" s="16">
        <f t="shared" si="53"/>
        <v>61.993934265389122</v>
      </c>
      <c r="N287" s="66">
        <v>10895</v>
      </c>
      <c r="O287" s="16">
        <f t="shared" si="54"/>
        <v>0.1</v>
      </c>
      <c r="P287" s="16">
        <f t="shared" si="55"/>
        <v>1026.0984072065573</v>
      </c>
      <c r="Q287" s="66">
        <v>23700</v>
      </c>
      <c r="R287" s="16">
        <f t="shared" si="56"/>
        <v>0.3</v>
      </c>
      <c r="S287" s="16">
        <f t="shared" si="57"/>
        <v>1572.8287035654707</v>
      </c>
    </row>
    <row r="288" spans="1:19" x14ac:dyDescent="0.3">
      <c r="A288" s="65">
        <v>20190305</v>
      </c>
      <c r="B288" s="65" t="s">
        <v>88</v>
      </c>
      <c r="C288" s="139">
        <f t="shared" si="58"/>
        <v>115944370.5213903</v>
      </c>
      <c r="D288" s="139">
        <f t="shared" si="59"/>
        <v>-3.70937769406662E-3</v>
      </c>
      <c r="E288" s="66">
        <v>44250</v>
      </c>
      <c r="F288" s="16">
        <f t="shared" si="48"/>
        <v>0.3</v>
      </c>
      <c r="G288" s="16">
        <f t="shared" si="49"/>
        <v>798.60682235301033</v>
      </c>
      <c r="H288" s="66">
        <v>210000</v>
      </c>
      <c r="I288" s="16">
        <f t="shared" si="50"/>
        <v>0.15</v>
      </c>
      <c r="J288" s="16">
        <f t="shared" si="51"/>
        <v>69.451874213621352</v>
      </c>
      <c r="K288" s="66">
        <v>292447</v>
      </c>
      <c r="L288" s="16">
        <f t="shared" si="52"/>
        <v>0.15</v>
      </c>
      <c r="M288" s="16">
        <f t="shared" si="53"/>
        <v>61.993934265389122</v>
      </c>
      <c r="N288" s="66">
        <v>10805</v>
      </c>
      <c r="O288" s="16">
        <f t="shared" si="54"/>
        <v>0.1</v>
      </c>
      <c r="P288" s="16">
        <f t="shared" si="55"/>
        <v>1026.0984072065573</v>
      </c>
      <c r="Q288" s="66">
        <v>23400</v>
      </c>
      <c r="R288" s="16">
        <f t="shared" si="56"/>
        <v>0.3</v>
      </c>
      <c r="S288" s="16">
        <f t="shared" si="57"/>
        <v>1572.8287035654707</v>
      </c>
    </row>
    <row r="289" spans="1:19" x14ac:dyDescent="0.3">
      <c r="A289" s="65">
        <v>20190306</v>
      </c>
      <c r="B289" s="65" t="s">
        <v>88</v>
      </c>
      <c r="C289" s="139">
        <f t="shared" si="58"/>
        <v>116078720.35438231</v>
      </c>
      <c r="D289" s="139">
        <f t="shared" si="59"/>
        <v>1.1587439078572296E-3</v>
      </c>
      <c r="E289" s="66">
        <v>44000</v>
      </c>
      <c r="F289" s="16">
        <f t="shared" si="48"/>
        <v>0.3</v>
      </c>
      <c r="G289" s="16">
        <f t="shared" si="49"/>
        <v>798.60682235301033</v>
      </c>
      <c r="H289" s="66">
        <v>211000</v>
      </c>
      <c r="I289" s="16">
        <f t="shared" si="50"/>
        <v>0.15</v>
      </c>
      <c r="J289" s="16">
        <f t="shared" si="51"/>
        <v>69.451874213621352</v>
      </c>
      <c r="K289" s="66">
        <v>292054</v>
      </c>
      <c r="L289" s="16">
        <f t="shared" si="52"/>
        <v>0.15</v>
      </c>
      <c r="M289" s="16">
        <f t="shared" si="53"/>
        <v>61.993934265389122</v>
      </c>
      <c r="N289" s="66">
        <v>10780</v>
      </c>
      <c r="O289" s="16">
        <f t="shared" si="54"/>
        <v>0.1</v>
      </c>
      <c r="P289" s="16">
        <f t="shared" si="55"/>
        <v>1026.0984072065573</v>
      </c>
      <c r="Q289" s="66">
        <v>23600</v>
      </c>
      <c r="R289" s="16">
        <f t="shared" si="56"/>
        <v>0.3</v>
      </c>
      <c r="S289" s="16">
        <f t="shared" si="57"/>
        <v>1572.8287035654707</v>
      </c>
    </row>
    <row r="290" spans="1:19" x14ac:dyDescent="0.3">
      <c r="A290" s="65">
        <v>20190307</v>
      </c>
      <c r="B290" s="65" t="s">
        <v>88</v>
      </c>
      <c r="C290" s="139">
        <f t="shared" si="58"/>
        <v>114505456.5928098</v>
      </c>
      <c r="D290" s="139">
        <f t="shared" si="59"/>
        <v>-1.3553420960960091E-2</v>
      </c>
      <c r="E290" s="66">
        <v>44450</v>
      </c>
      <c r="F290" s="16">
        <f t="shared" si="48"/>
        <v>0.3</v>
      </c>
      <c r="G290" s="16">
        <f t="shared" si="49"/>
        <v>798.60682235301033</v>
      </c>
      <c r="H290" s="66">
        <v>207000</v>
      </c>
      <c r="I290" s="16">
        <f t="shared" si="50"/>
        <v>0.15</v>
      </c>
      <c r="J290" s="16">
        <f t="shared" si="51"/>
        <v>69.451874213621352</v>
      </c>
      <c r="K290" s="66">
        <v>278708</v>
      </c>
      <c r="L290" s="16">
        <f t="shared" si="52"/>
        <v>0.15</v>
      </c>
      <c r="M290" s="16">
        <f t="shared" si="53"/>
        <v>61.993934265389122</v>
      </c>
      <c r="N290" s="66">
        <v>10740</v>
      </c>
      <c r="O290" s="16">
        <f t="shared" si="54"/>
        <v>0.1</v>
      </c>
      <c r="P290" s="16">
        <f t="shared" si="55"/>
        <v>1026.0984072065573</v>
      </c>
      <c r="Q290" s="66">
        <v>23100</v>
      </c>
      <c r="R290" s="16">
        <f t="shared" si="56"/>
        <v>0.3</v>
      </c>
      <c r="S290" s="16">
        <f t="shared" si="57"/>
        <v>1572.8287035654707</v>
      </c>
    </row>
    <row r="291" spans="1:19" x14ac:dyDescent="0.3">
      <c r="A291" s="65">
        <v>20190308</v>
      </c>
      <c r="B291" s="65" t="s">
        <v>88</v>
      </c>
      <c r="C291" s="139">
        <f t="shared" si="58"/>
        <v>113132199.25055501</v>
      </c>
      <c r="D291" s="139">
        <f t="shared" si="59"/>
        <v>-1.1992942372503665E-2</v>
      </c>
      <c r="E291" s="66">
        <v>43800</v>
      </c>
      <c r="F291" s="16">
        <f t="shared" si="48"/>
        <v>0.3</v>
      </c>
      <c r="G291" s="16">
        <f t="shared" si="49"/>
        <v>798.60682235301033</v>
      </c>
      <c r="H291" s="66">
        <v>206000</v>
      </c>
      <c r="I291" s="16">
        <f t="shared" si="50"/>
        <v>0.15</v>
      </c>
      <c r="J291" s="16">
        <f t="shared" si="51"/>
        <v>69.451874213621352</v>
      </c>
      <c r="K291" s="66">
        <v>276254</v>
      </c>
      <c r="L291" s="16">
        <f t="shared" si="52"/>
        <v>0.15</v>
      </c>
      <c r="M291" s="16">
        <f t="shared" si="53"/>
        <v>61.993934265389122</v>
      </c>
      <c r="N291" s="66">
        <v>10660</v>
      </c>
      <c r="O291" s="16">
        <f t="shared" si="54"/>
        <v>0.1</v>
      </c>
      <c r="P291" s="16">
        <f t="shared" si="55"/>
        <v>1026.0984072065573</v>
      </c>
      <c r="Q291" s="66">
        <v>22750</v>
      </c>
      <c r="R291" s="16">
        <f t="shared" si="56"/>
        <v>0.3</v>
      </c>
      <c r="S291" s="16">
        <f t="shared" si="57"/>
        <v>1572.8287035654707</v>
      </c>
    </row>
    <row r="292" spans="1:19" x14ac:dyDescent="0.3">
      <c r="A292" s="65">
        <v>20190311</v>
      </c>
      <c r="B292" s="65" t="s">
        <v>88</v>
      </c>
      <c r="C292" s="139">
        <f t="shared" si="58"/>
        <v>116517484.98717426</v>
      </c>
      <c r="D292" s="139">
        <f t="shared" si="59"/>
        <v>2.9923273471611941E-2</v>
      </c>
      <c r="E292" s="66">
        <v>43650</v>
      </c>
      <c r="F292" s="16">
        <f t="shared" si="48"/>
        <v>0.3</v>
      </c>
      <c r="G292" s="16">
        <f t="shared" si="49"/>
        <v>798.60682235301033</v>
      </c>
      <c r="H292" s="66">
        <v>205000</v>
      </c>
      <c r="I292" s="16">
        <f t="shared" si="50"/>
        <v>0.15</v>
      </c>
      <c r="J292" s="16">
        <f t="shared" si="51"/>
        <v>69.451874213621352</v>
      </c>
      <c r="K292" s="66">
        <v>282731</v>
      </c>
      <c r="L292" s="16">
        <f t="shared" si="52"/>
        <v>0.15</v>
      </c>
      <c r="M292" s="16">
        <f t="shared" si="53"/>
        <v>61.993934265389122</v>
      </c>
      <c r="N292" s="66">
        <v>10610</v>
      </c>
      <c r="O292" s="16">
        <f t="shared" si="54"/>
        <v>0.1</v>
      </c>
      <c r="P292" s="16">
        <f t="shared" si="55"/>
        <v>1026.0984072065573</v>
      </c>
      <c r="Q292" s="66">
        <v>24800</v>
      </c>
      <c r="R292" s="16">
        <f t="shared" si="56"/>
        <v>0.3</v>
      </c>
      <c r="S292" s="16">
        <f t="shared" si="57"/>
        <v>1572.8287035654707</v>
      </c>
    </row>
    <row r="293" spans="1:19" x14ac:dyDescent="0.3">
      <c r="A293" s="65">
        <v>20190312</v>
      </c>
      <c r="B293" s="65" t="s">
        <v>88</v>
      </c>
      <c r="C293" s="139">
        <f t="shared" si="58"/>
        <v>118763045.16433519</v>
      </c>
      <c r="D293" s="139">
        <f t="shared" si="59"/>
        <v>1.9272302156265346E-2</v>
      </c>
      <c r="E293" s="66">
        <v>44650</v>
      </c>
      <c r="F293" s="16">
        <f t="shared" si="48"/>
        <v>0.3</v>
      </c>
      <c r="G293" s="16">
        <f t="shared" si="49"/>
        <v>798.60682235301033</v>
      </c>
      <c r="H293" s="66">
        <v>209000</v>
      </c>
      <c r="I293" s="16">
        <f t="shared" si="50"/>
        <v>0.15</v>
      </c>
      <c r="J293" s="16">
        <f t="shared" si="51"/>
        <v>69.451874213621352</v>
      </c>
      <c r="K293" s="66">
        <v>295881</v>
      </c>
      <c r="L293" s="16">
        <f t="shared" si="52"/>
        <v>0.15</v>
      </c>
      <c r="M293" s="16">
        <f t="shared" si="53"/>
        <v>61.993934265389122</v>
      </c>
      <c r="N293" s="66">
        <v>10725</v>
      </c>
      <c r="O293" s="16">
        <f t="shared" si="54"/>
        <v>0.1</v>
      </c>
      <c r="P293" s="16">
        <f t="shared" si="55"/>
        <v>1026.0984072065573</v>
      </c>
      <c r="Q293" s="66">
        <v>24950</v>
      </c>
      <c r="R293" s="16">
        <f t="shared" si="56"/>
        <v>0.3</v>
      </c>
      <c r="S293" s="16">
        <f t="shared" si="57"/>
        <v>1572.8287035654707</v>
      </c>
    </row>
    <row r="294" spans="1:19" x14ac:dyDescent="0.3">
      <c r="A294" s="65">
        <v>20190313</v>
      </c>
      <c r="B294" s="65" t="s">
        <v>88</v>
      </c>
      <c r="C294" s="139">
        <f t="shared" si="58"/>
        <v>119281273.76677305</v>
      </c>
      <c r="D294" s="139">
        <f t="shared" si="59"/>
        <v>4.3635509827216774E-3</v>
      </c>
      <c r="E294" s="66">
        <v>43850</v>
      </c>
      <c r="F294" s="16">
        <f t="shared" si="48"/>
        <v>0.3</v>
      </c>
      <c r="G294" s="16">
        <f t="shared" si="49"/>
        <v>798.60682235301033</v>
      </c>
      <c r="H294" s="66">
        <v>207500</v>
      </c>
      <c r="I294" s="16">
        <f t="shared" si="50"/>
        <v>0.15</v>
      </c>
      <c r="J294" s="16">
        <f t="shared" si="51"/>
        <v>69.451874213621352</v>
      </c>
      <c r="K294" s="66">
        <v>306382</v>
      </c>
      <c r="L294" s="16">
        <f t="shared" si="52"/>
        <v>0.15</v>
      </c>
      <c r="M294" s="16">
        <f t="shared" si="53"/>
        <v>61.993934265389122</v>
      </c>
      <c r="N294" s="66">
        <v>10630</v>
      </c>
      <c r="O294" s="16">
        <f t="shared" si="54"/>
        <v>0.1</v>
      </c>
      <c r="P294" s="16">
        <f t="shared" si="55"/>
        <v>1026.0984072065573</v>
      </c>
      <c r="Q294" s="66">
        <v>25400</v>
      </c>
      <c r="R294" s="16">
        <f t="shared" si="56"/>
        <v>0.3</v>
      </c>
      <c r="S294" s="16">
        <f t="shared" si="57"/>
        <v>1572.8287035654707</v>
      </c>
    </row>
    <row r="295" spans="1:19" x14ac:dyDescent="0.3">
      <c r="A295" s="65">
        <v>20190314</v>
      </c>
      <c r="B295" s="65" t="s">
        <v>88</v>
      </c>
      <c r="C295" s="139">
        <f t="shared" si="58"/>
        <v>118209197.63228208</v>
      </c>
      <c r="D295" s="139">
        <f t="shared" si="59"/>
        <v>-8.987799179502088E-3</v>
      </c>
      <c r="E295" s="66">
        <v>43850</v>
      </c>
      <c r="F295" s="16">
        <f t="shared" si="48"/>
        <v>0.3</v>
      </c>
      <c r="G295" s="16">
        <f t="shared" si="49"/>
        <v>798.60682235301033</v>
      </c>
      <c r="H295" s="66">
        <v>206000</v>
      </c>
      <c r="I295" s="16">
        <f t="shared" si="50"/>
        <v>0.15</v>
      </c>
      <c r="J295" s="16">
        <f t="shared" si="51"/>
        <v>69.451874213621352</v>
      </c>
      <c r="K295" s="66">
        <v>301083</v>
      </c>
      <c r="L295" s="16">
        <f t="shared" si="52"/>
        <v>0.15</v>
      </c>
      <c r="M295" s="16">
        <f t="shared" si="53"/>
        <v>61.993934265389122</v>
      </c>
      <c r="N295" s="66">
        <v>10620</v>
      </c>
      <c r="O295" s="16">
        <f t="shared" si="54"/>
        <v>0.1</v>
      </c>
      <c r="P295" s="16">
        <f t="shared" si="55"/>
        <v>1026.0984072065573</v>
      </c>
      <c r="Q295" s="66">
        <v>25000</v>
      </c>
      <c r="R295" s="16">
        <f t="shared" si="56"/>
        <v>0.3</v>
      </c>
      <c r="S295" s="16">
        <f t="shared" si="57"/>
        <v>1572.8287035654707</v>
      </c>
    </row>
    <row r="296" spans="1:19" x14ac:dyDescent="0.3">
      <c r="A296" s="65">
        <v>20190315</v>
      </c>
      <c r="B296" s="65" t="s">
        <v>88</v>
      </c>
      <c r="C296" s="139">
        <f t="shared" si="58"/>
        <v>121348669.92723353</v>
      </c>
      <c r="D296" s="139">
        <f t="shared" si="59"/>
        <v>2.6558612678495051E-2</v>
      </c>
      <c r="E296" s="66">
        <v>44200</v>
      </c>
      <c r="F296" s="16">
        <f t="shared" si="48"/>
        <v>0.3</v>
      </c>
      <c r="G296" s="16">
        <f t="shared" si="49"/>
        <v>798.60682235301033</v>
      </c>
      <c r="H296" s="66">
        <v>203000</v>
      </c>
      <c r="I296" s="16">
        <f t="shared" si="50"/>
        <v>0.15</v>
      </c>
      <c r="J296" s="16">
        <f t="shared" si="51"/>
        <v>69.451874213621352</v>
      </c>
      <c r="K296" s="66">
        <v>299807</v>
      </c>
      <c r="L296" s="16">
        <f t="shared" si="52"/>
        <v>0.15</v>
      </c>
      <c r="M296" s="16">
        <f t="shared" si="53"/>
        <v>61.993934265389122</v>
      </c>
      <c r="N296" s="66">
        <v>10775</v>
      </c>
      <c r="O296" s="16">
        <f t="shared" si="54"/>
        <v>0.1</v>
      </c>
      <c r="P296" s="16">
        <f t="shared" si="55"/>
        <v>1026.0984072065573</v>
      </c>
      <c r="Q296" s="66">
        <v>26900</v>
      </c>
      <c r="R296" s="16">
        <f t="shared" si="56"/>
        <v>0.3</v>
      </c>
      <c r="S296" s="16">
        <f t="shared" si="57"/>
        <v>1572.8287035654707</v>
      </c>
    </row>
    <row r="297" spans="1:19" x14ac:dyDescent="0.3">
      <c r="A297" s="65">
        <v>20190318</v>
      </c>
      <c r="B297" s="65" t="s">
        <v>88</v>
      </c>
      <c r="C297" s="139">
        <f t="shared" si="58"/>
        <v>121441183.76629058</v>
      </c>
      <c r="D297" s="139">
        <f t="shared" si="59"/>
        <v>7.62380330270772E-4</v>
      </c>
      <c r="E297" s="66">
        <v>43700</v>
      </c>
      <c r="F297" s="16">
        <f t="shared" si="48"/>
        <v>0.3</v>
      </c>
      <c r="G297" s="16">
        <f t="shared" si="49"/>
        <v>798.60682235301033</v>
      </c>
      <c r="H297" s="66">
        <v>201000</v>
      </c>
      <c r="I297" s="16">
        <f t="shared" si="50"/>
        <v>0.15</v>
      </c>
      <c r="J297" s="16">
        <f t="shared" si="51"/>
        <v>69.451874213621352</v>
      </c>
      <c r="K297" s="66">
        <v>293821</v>
      </c>
      <c r="L297" s="16">
        <f t="shared" si="52"/>
        <v>0.15</v>
      </c>
      <c r="M297" s="16">
        <f t="shared" si="53"/>
        <v>61.993934265389122</v>
      </c>
      <c r="N297" s="66">
        <v>10755</v>
      </c>
      <c r="O297" s="16">
        <f t="shared" si="54"/>
        <v>0.1</v>
      </c>
      <c r="P297" s="16">
        <f t="shared" si="55"/>
        <v>1026.0984072065573</v>
      </c>
      <c r="Q297" s="66">
        <v>27550</v>
      </c>
      <c r="R297" s="16">
        <f t="shared" si="56"/>
        <v>0.3</v>
      </c>
      <c r="S297" s="16">
        <f t="shared" si="57"/>
        <v>1572.8287035654707</v>
      </c>
    </row>
    <row r="298" spans="1:19" x14ac:dyDescent="0.3">
      <c r="A298" s="65">
        <v>20190319</v>
      </c>
      <c r="B298" s="65" t="s">
        <v>88</v>
      </c>
      <c r="C298" s="139">
        <f t="shared" si="58"/>
        <v>119524815.85387459</v>
      </c>
      <c r="D298" s="139">
        <f t="shared" si="59"/>
        <v>-1.5780214363720024E-2</v>
      </c>
      <c r="E298" s="66">
        <v>43900</v>
      </c>
      <c r="F298" s="16">
        <f t="shared" si="48"/>
        <v>0.3</v>
      </c>
      <c r="G298" s="16">
        <f t="shared" si="49"/>
        <v>798.60682235301033</v>
      </c>
      <c r="H298" s="66">
        <v>203000</v>
      </c>
      <c r="I298" s="16">
        <f t="shared" si="50"/>
        <v>0.15</v>
      </c>
      <c r="J298" s="16">
        <f t="shared" si="51"/>
        <v>69.451874213621352</v>
      </c>
      <c r="K298" s="66">
        <v>284400</v>
      </c>
      <c r="L298" s="16">
        <f t="shared" si="52"/>
        <v>0.15</v>
      </c>
      <c r="M298" s="16">
        <f t="shared" si="53"/>
        <v>61.993934265389122</v>
      </c>
      <c r="N298" s="66">
        <v>10775</v>
      </c>
      <c r="O298" s="16">
        <f t="shared" si="54"/>
        <v>0.1</v>
      </c>
      <c r="P298" s="16">
        <f t="shared" si="55"/>
        <v>1026.0984072065573</v>
      </c>
      <c r="Q298" s="66">
        <v>26500</v>
      </c>
      <c r="R298" s="16">
        <f t="shared" si="56"/>
        <v>0.3</v>
      </c>
      <c r="S298" s="16">
        <f t="shared" si="57"/>
        <v>1572.8287035654707</v>
      </c>
    </row>
    <row r="299" spans="1:19" x14ac:dyDescent="0.3">
      <c r="A299" s="65">
        <v>20190320</v>
      </c>
      <c r="B299" s="65" t="s">
        <v>88</v>
      </c>
      <c r="C299" s="139">
        <f t="shared" si="58"/>
        <v>120920141.5333522</v>
      </c>
      <c r="D299" s="139">
        <f t="shared" si="59"/>
        <v>1.1673941260729166E-2</v>
      </c>
      <c r="E299" s="66">
        <v>44050</v>
      </c>
      <c r="F299" s="16">
        <f t="shared" si="48"/>
        <v>0.3</v>
      </c>
      <c r="G299" s="16">
        <f t="shared" si="49"/>
        <v>798.60682235301033</v>
      </c>
      <c r="H299" s="66">
        <v>201000</v>
      </c>
      <c r="I299" s="16">
        <f t="shared" si="50"/>
        <v>0.15</v>
      </c>
      <c r="J299" s="16">
        <f t="shared" si="51"/>
        <v>69.451874213621352</v>
      </c>
      <c r="K299" s="66">
        <v>289208</v>
      </c>
      <c r="L299" s="16">
        <f t="shared" si="52"/>
        <v>0.15</v>
      </c>
      <c r="M299" s="16">
        <f t="shared" si="53"/>
        <v>61.993934265389122</v>
      </c>
      <c r="N299" s="66">
        <v>10790</v>
      </c>
      <c r="O299" s="16">
        <f t="shared" si="54"/>
        <v>0.1</v>
      </c>
      <c r="P299" s="16">
        <f t="shared" si="55"/>
        <v>1026.0984072065573</v>
      </c>
      <c r="Q299" s="66">
        <v>27200</v>
      </c>
      <c r="R299" s="16">
        <f t="shared" si="56"/>
        <v>0.3</v>
      </c>
      <c r="S299" s="16">
        <f t="shared" si="57"/>
        <v>1572.8287035654707</v>
      </c>
    </row>
    <row r="300" spans="1:19" x14ac:dyDescent="0.3">
      <c r="A300" s="65">
        <v>20190321</v>
      </c>
      <c r="B300" s="65" t="s">
        <v>88</v>
      </c>
      <c r="C300" s="139">
        <f t="shared" si="58"/>
        <v>120374909.13889168</v>
      </c>
      <c r="D300" s="139">
        <f t="shared" si="59"/>
        <v>-4.5090287486152852E-3</v>
      </c>
      <c r="E300" s="66">
        <v>45850</v>
      </c>
      <c r="F300" s="16">
        <f t="shared" si="48"/>
        <v>0.3</v>
      </c>
      <c r="G300" s="16">
        <f t="shared" si="49"/>
        <v>798.60682235301033</v>
      </c>
      <c r="H300" s="66">
        <v>200500</v>
      </c>
      <c r="I300" s="16">
        <f t="shared" si="50"/>
        <v>0.15</v>
      </c>
      <c r="J300" s="16">
        <f t="shared" si="51"/>
        <v>69.451874213621352</v>
      </c>
      <c r="K300" s="66">
        <v>277530</v>
      </c>
      <c r="L300" s="16">
        <f t="shared" si="52"/>
        <v>0.15</v>
      </c>
      <c r="M300" s="16">
        <f t="shared" si="53"/>
        <v>61.993934265389122</v>
      </c>
      <c r="N300" s="66">
        <v>10900</v>
      </c>
      <c r="O300" s="16">
        <f t="shared" si="54"/>
        <v>0.1</v>
      </c>
      <c r="P300" s="16">
        <f t="shared" si="55"/>
        <v>1026.0984072065573</v>
      </c>
      <c r="Q300" s="66">
        <v>26350</v>
      </c>
      <c r="R300" s="16">
        <f t="shared" si="56"/>
        <v>0.3</v>
      </c>
      <c r="S300" s="16">
        <f t="shared" si="57"/>
        <v>1572.8287035654707</v>
      </c>
    </row>
    <row r="301" spans="1:19" x14ac:dyDescent="0.3">
      <c r="A301" s="65">
        <v>20190322</v>
      </c>
      <c r="B301" s="65" t="s">
        <v>88</v>
      </c>
      <c r="C301" s="139">
        <f t="shared" si="58"/>
        <v>120327030.81819704</v>
      </c>
      <c r="D301" s="139">
        <f t="shared" si="59"/>
        <v>-3.9774335895362576E-4</v>
      </c>
      <c r="E301" s="66">
        <v>46550</v>
      </c>
      <c r="F301" s="16">
        <f t="shared" si="48"/>
        <v>0.3</v>
      </c>
      <c r="G301" s="16">
        <f t="shared" si="49"/>
        <v>798.60682235301033</v>
      </c>
      <c r="H301" s="66">
        <v>199500</v>
      </c>
      <c r="I301" s="16">
        <f t="shared" si="50"/>
        <v>0.15</v>
      </c>
      <c r="J301" s="16">
        <f t="shared" si="51"/>
        <v>69.451874213621352</v>
      </c>
      <c r="K301" s="66">
        <v>276058</v>
      </c>
      <c r="L301" s="16">
        <f t="shared" si="52"/>
        <v>0.15</v>
      </c>
      <c r="M301" s="16">
        <f t="shared" si="53"/>
        <v>61.993934265389122</v>
      </c>
      <c r="N301" s="66">
        <v>10925</v>
      </c>
      <c r="O301" s="16">
        <f t="shared" si="54"/>
        <v>0.1</v>
      </c>
      <c r="P301" s="16">
        <f t="shared" si="55"/>
        <v>1026.0984072065573</v>
      </c>
      <c r="Q301" s="66">
        <v>26050</v>
      </c>
      <c r="R301" s="16">
        <f t="shared" si="56"/>
        <v>0.3</v>
      </c>
      <c r="S301" s="16">
        <f t="shared" si="57"/>
        <v>1572.8287035654707</v>
      </c>
    </row>
    <row r="302" spans="1:19" x14ac:dyDescent="0.3">
      <c r="A302" s="65">
        <v>20190325</v>
      </c>
      <c r="B302" s="65" t="s">
        <v>88</v>
      </c>
      <c r="C302" s="139">
        <f t="shared" si="58"/>
        <v>119442763.7971251</v>
      </c>
      <c r="D302" s="139">
        <f t="shared" si="59"/>
        <v>-7.3488642997265171E-3</v>
      </c>
      <c r="E302" s="66">
        <v>45500</v>
      </c>
      <c r="F302" s="16">
        <f t="shared" si="48"/>
        <v>0.3</v>
      </c>
      <c r="G302" s="16">
        <f t="shared" si="49"/>
        <v>798.60682235301033</v>
      </c>
      <c r="H302" s="66">
        <v>198000</v>
      </c>
      <c r="I302" s="16">
        <f t="shared" si="50"/>
        <v>0.15</v>
      </c>
      <c r="J302" s="16">
        <f t="shared" si="51"/>
        <v>69.451874213621352</v>
      </c>
      <c r="K302" s="66">
        <v>266440</v>
      </c>
      <c r="L302" s="16">
        <f t="shared" si="52"/>
        <v>0.15</v>
      </c>
      <c r="M302" s="16">
        <f t="shared" si="53"/>
        <v>61.993934265389122</v>
      </c>
      <c r="N302" s="66">
        <v>10720</v>
      </c>
      <c r="O302" s="16">
        <f t="shared" si="54"/>
        <v>0.1</v>
      </c>
      <c r="P302" s="16">
        <f t="shared" si="55"/>
        <v>1026.0984072065573</v>
      </c>
      <c r="Q302" s="66">
        <v>26600</v>
      </c>
      <c r="R302" s="16">
        <f t="shared" si="56"/>
        <v>0.3</v>
      </c>
      <c r="S302" s="16">
        <f t="shared" si="57"/>
        <v>1572.8287035654707</v>
      </c>
    </row>
    <row r="303" spans="1:19" x14ac:dyDescent="0.3">
      <c r="A303" s="65">
        <v>20190326</v>
      </c>
      <c r="B303" s="65" t="s">
        <v>88</v>
      </c>
      <c r="C303" s="139">
        <f t="shared" si="58"/>
        <v>123556899.53526796</v>
      </c>
      <c r="D303" s="139">
        <f t="shared" si="59"/>
        <v>3.4444411761358512E-2</v>
      </c>
      <c r="E303" s="66">
        <v>45250</v>
      </c>
      <c r="F303" s="16">
        <f t="shared" si="48"/>
        <v>0.3</v>
      </c>
      <c r="G303" s="16">
        <f t="shared" si="49"/>
        <v>798.60682235301033</v>
      </c>
      <c r="H303" s="66">
        <v>192500</v>
      </c>
      <c r="I303" s="16">
        <f t="shared" si="50"/>
        <v>0.15</v>
      </c>
      <c r="J303" s="16">
        <f t="shared" si="51"/>
        <v>69.451874213621352</v>
      </c>
      <c r="K303" s="66">
        <v>280965</v>
      </c>
      <c r="L303" s="16">
        <f t="shared" si="52"/>
        <v>0.15</v>
      </c>
      <c r="M303" s="16">
        <f t="shared" si="53"/>
        <v>61.993934265389122</v>
      </c>
      <c r="N303" s="66">
        <v>10740</v>
      </c>
      <c r="O303" s="16">
        <f t="shared" si="54"/>
        <v>0.1</v>
      </c>
      <c r="P303" s="16">
        <f t="shared" si="55"/>
        <v>1026.0984072065573</v>
      </c>
      <c r="Q303" s="66">
        <v>29000</v>
      </c>
      <c r="R303" s="16">
        <f t="shared" si="56"/>
        <v>0.3</v>
      </c>
      <c r="S303" s="16">
        <f t="shared" si="57"/>
        <v>1572.8287035654707</v>
      </c>
    </row>
    <row r="304" spans="1:19" x14ac:dyDescent="0.3">
      <c r="A304" s="65">
        <v>20190327</v>
      </c>
      <c r="B304" s="65" t="s">
        <v>88</v>
      </c>
      <c r="C304" s="139">
        <f t="shared" si="58"/>
        <v>121024066.14833292</v>
      </c>
      <c r="D304" s="139">
        <f t="shared" si="59"/>
        <v>-2.0499327811411058E-2</v>
      </c>
      <c r="E304" s="66">
        <v>45350</v>
      </c>
      <c r="F304" s="16">
        <f t="shared" si="48"/>
        <v>0.3</v>
      </c>
      <c r="G304" s="16">
        <f t="shared" si="49"/>
        <v>798.60682235301033</v>
      </c>
      <c r="H304" s="66">
        <v>183000</v>
      </c>
      <c r="I304" s="16">
        <f t="shared" si="50"/>
        <v>0.15</v>
      </c>
      <c r="J304" s="16">
        <f t="shared" si="51"/>
        <v>69.451874213621352</v>
      </c>
      <c r="K304" s="66">
        <v>264576</v>
      </c>
      <c r="L304" s="16">
        <f t="shared" si="52"/>
        <v>0.15</v>
      </c>
      <c r="M304" s="16">
        <f t="shared" si="53"/>
        <v>61.993934265389122</v>
      </c>
      <c r="N304" s="66">
        <v>10670</v>
      </c>
      <c r="O304" s="16">
        <f t="shared" si="54"/>
        <v>0.1</v>
      </c>
      <c r="P304" s="16">
        <f t="shared" si="55"/>
        <v>1026.0984072065573</v>
      </c>
      <c r="Q304" s="66">
        <v>28450</v>
      </c>
      <c r="R304" s="16">
        <f t="shared" si="56"/>
        <v>0.3</v>
      </c>
      <c r="S304" s="16">
        <f t="shared" si="57"/>
        <v>1572.8287035654707</v>
      </c>
    </row>
    <row r="305" spans="1:19" x14ac:dyDescent="0.3">
      <c r="A305" s="65">
        <v>20190328</v>
      </c>
      <c r="B305" s="65" t="s">
        <v>88</v>
      </c>
      <c r="C305" s="139">
        <f t="shared" si="58"/>
        <v>122340073.39245299</v>
      </c>
      <c r="D305" s="139">
        <f t="shared" si="59"/>
        <v>1.0873930169451583E-2</v>
      </c>
      <c r="E305" s="66">
        <v>44850</v>
      </c>
      <c r="F305" s="16">
        <f t="shared" si="48"/>
        <v>0.3</v>
      </c>
      <c r="G305" s="16">
        <f t="shared" si="49"/>
        <v>798.60682235301033</v>
      </c>
      <c r="H305" s="66">
        <v>180500</v>
      </c>
      <c r="I305" s="16">
        <f t="shared" si="50"/>
        <v>0.15</v>
      </c>
      <c r="J305" s="16">
        <f t="shared" si="51"/>
        <v>69.451874213621352</v>
      </c>
      <c r="K305" s="66">
        <v>265263</v>
      </c>
      <c r="L305" s="16">
        <f t="shared" si="52"/>
        <v>0.15</v>
      </c>
      <c r="M305" s="16">
        <f t="shared" si="53"/>
        <v>61.993934265389122</v>
      </c>
      <c r="N305" s="66">
        <v>10630</v>
      </c>
      <c r="O305" s="16">
        <f t="shared" si="54"/>
        <v>0.1</v>
      </c>
      <c r="P305" s="16">
        <f t="shared" si="55"/>
        <v>1026.0984072065573</v>
      </c>
      <c r="Q305" s="66">
        <v>29650</v>
      </c>
      <c r="R305" s="16">
        <f t="shared" si="56"/>
        <v>0.3</v>
      </c>
      <c r="S305" s="16">
        <f t="shared" si="57"/>
        <v>1572.8287035654707</v>
      </c>
    </row>
    <row r="306" spans="1:19" x14ac:dyDescent="0.3">
      <c r="A306" s="65">
        <v>20190329</v>
      </c>
      <c r="B306" s="65" t="s">
        <v>88</v>
      </c>
      <c r="C306" s="139">
        <f t="shared" si="58"/>
        <v>123430755.82510588</v>
      </c>
      <c r="D306" s="139">
        <f t="shared" si="59"/>
        <v>8.9151690235962661E-3</v>
      </c>
      <c r="E306" s="66">
        <v>44650</v>
      </c>
      <c r="F306" s="16">
        <f t="shared" si="48"/>
        <v>0.3</v>
      </c>
      <c r="G306" s="16">
        <f t="shared" si="49"/>
        <v>798.60682235301033</v>
      </c>
      <c r="H306" s="66">
        <v>181000</v>
      </c>
      <c r="I306" s="16">
        <f t="shared" si="50"/>
        <v>0.15</v>
      </c>
      <c r="J306" s="16">
        <f t="shared" si="51"/>
        <v>69.451874213621352</v>
      </c>
      <c r="K306" s="66">
        <v>274586</v>
      </c>
      <c r="L306" s="16">
        <f t="shared" si="52"/>
        <v>0.15</v>
      </c>
      <c r="M306" s="16">
        <f t="shared" si="53"/>
        <v>61.993934265389122</v>
      </c>
      <c r="N306" s="66">
        <v>10715</v>
      </c>
      <c r="O306" s="16">
        <f t="shared" si="54"/>
        <v>0.1</v>
      </c>
      <c r="P306" s="16">
        <f t="shared" si="55"/>
        <v>1026.0984072065573</v>
      </c>
      <c r="Q306" s="66">
        <v>30000</v>
      </c>
      <c r="R306" s="16">
        <f t="shared" si="56"/>
        <v>0.3</v>
      </c>
      <c r="S306" s="16">
        <f t="shared" si="57"/>
        <v>1572.8287035654707</v>
      </c>
    </row>
    <row r="307" spans="1:19" x14ac:dyDescent="0.3">
      <c r="A307" s="65">
        <v>20190401</v>
      </c>
      <c r="B307" s="65" t="s">
        <v>88</v>
      </c>
      <c r="C307" s="139">
        <f t="shared" si="58"/>
        <v>123109554.83710343</v>
      </c>
      <c r="D307" s="139">
        <f t="shared" si="59"/>
        <v>-2.602276765262397E-3</v>
      </c>
      <c r="E307" s="66">
        <v>45050</v>
      </c>
      <c r="F307" s="16">
        <f t="shared" si="48"/>
        <v>0.3</v>
      </c>
      <c r="G307" s="16">
        <f t="shared" si="49"/>
        <v>798.60682235301033</v>
      </c>
      <c r="H307" s="66">
        <v>182000</v>
      </c>
      <c r="I307" s="16">
        <f t="shared" si="50"/>
        <v>0.15</v>
      </c>
      <c r="J307" s="16">
        <f t="shared" si="51"/>
        <v>69.451874213621352</v>
      </c>
      <c r="K307" s="66">
        <v>269777</v>
      </c>
      <c r="L307" s="16">
        <f t="shared" si="52"/>
        <v>0.15</v>
      </c>
      <c r="M307" s="16">
        <f t="shared" si="53"/>
        <v>61.993934265389122</v>
      </c>
      <c r="N307" s="66">
        <v>10850</v>
      </c>
      <c r="O307" s="16">
        <f t="shared" si="54"/>
        <v>0.1</v>
      </c>
      <c r="P307" s="16">
        <f t="shared" si="55"/>
        <v>1026.0984072065573</v>
      </c>
      <c r="Q307" s="66">
        <v>29650</v>
      </c>
      <c r="R307" s="16">
        <f t="shared" si="56"/>
        <v>0.3</v>
      </c>
      <c r="S307" s="16">
        <f t="shared" si="57"/>
        <v>1572.8287035654707</v>
      </c>
    </row>
    <row r="308" spans="1:19" x14ac:dyDescent="0.3">
      <c r="A308" s="65">
        <v>20190402</v>
      </c>
      <c r="B308" s="65" t="s">
        <v>88</v>
      </c>
      <c r="C308" s="139">
        <f t="shared" si="58"/>
        <v>124104094.76073581</v>
      </c>
      <c r="D308" s="139">
        <f t="shared" si="59"/>
        <v>8.0784950034815933E-3</v>
      </c>
      <c r="E308" s="66">
        <v>45750</v>
      </c>
      <c r="F308" s="16">
        <f t="shared" si="48"/>
        <v>0.3</v>
      </c>
      <c r="G308" s="16">
        <f t="shared" si="49"/>
        <v>798.60682235301033</v>
      </c>
      <c r="H308" s="66">
        <v>190000</v>
      </c>
      <c r="I308" s="16">
        <f t="shared" si="50"/>
        <v>0.15</v>
      </c>
      <c r="J308" s="16">
        <f t="shared" si="51"/>
        <v>69.451874213621352</v>
      </c>
      <c r="K308" s="66">
        <v>271838</v>
      </c>
      <c r="L308" s="16">
        <f t="shared" si="52"/>
        <v>0.15</v>
      </c>
      <c r="M308" s="16">
        <f t="shared" si="53"/>
        <v>61.993934265389122</v>
      </c>
      <c r="N308" s="66">
        <v>10915</v>
      </c>
      <c r="O308" s="16">
        <f t="shared" si="54"/>
        <v>0.1</v>
      </c>
      <c r="P308" s="16">
        <f t="shared" si="55"/>
        <v>1026.0984072065573</v>
      </c>
      <c r="Q308" s="66">
        <v>29450</v>
      </c>
      <c r="R308" s="16">
        <f t="shared" si="56"/>
        <v>0.3</v>
      </c>
      <c r="S308" s="16">
        <f t="shared" si="57"/>
        <v>1572.8287035654707</v>
      </c>
    </row>
    <row r="309" spans="1:19" x14ac:dyDescent="0.3">
      <c r="A309" s="65">
        <v>20190403</v>
      </c>
      <c r="B309" s="65" t="s">
        <v>88</v>
      </c>
      <c r="C309" s="139">
        <f t="shared" si="58"/>
        <v>128021178.27348693</v>
      </c>
      <c r="D309" s="139">
        <f t="shared" si="59"/>
        <v>3.156288694827504E-2</v>
      </c>
      <c r="E309" s="66">
        <v>46600</v>
      </c>
      <c r="F309" s="16">
        <f t="shared" si="48"/>
        <v>0.3</v>
      </c>
      <c r="G309" s="16">
        <f t="shared" si="49"/>
        <v>798.60682235301033</v>
      </c>
      <c r="H309" s="66">
        <v>193500</v>
      </c>
      <c r="I309" s="16">
        <f t="shared" si="50"/>
        <v>0.15</v>
      </c>
      <c r="J309" s="16">
        <f t="shared" si="51"/>
        <v>69.451874213621352</v>
      </c>
      <c r="K309" s="66">
        <v>274291</v>
      </c>
      <c r="L309" s="16">
        <f t="shared" si="52"/>
        <v>0.15</v>
      </c>
      <c r="M309" s="16">
        <f t="shared" si="53"/>
        <v>61.993934265389122</v>
      </c>
      <c r="N309" s="66">
        <v>11080</v>
      </c>
      <c r="O309" s="16">
        <f t="shared" si="54"/>
        <v>0.1</v>
      </c>
      <c r="P309" s="16">
        <f t="shared" si="55"/>
        <v>1026.0984072065573</v>
      </c>
      <c r="Q309" s="66">
        <v>31150</v>
      </c>
      <c r="R309" s="16">
        <f t="shared" si="56"/>
        <v>0.3</v>
      </c>
      <c r="S309" s="16">
        <f t="shared" si="57"/>
        <v>1572.8287035654707</v>
      </c>
    </row>
    <row r="310" spans="1:19" x14ac:dyDescent="0.3">
      <c r="A310" s="65">
        <v>20190404</v>
      </c>
      <c r="B310" s="65" t="s">
        <v>88</v>
      </c>
      <c r="C310" s="139">
        <f t="shared" si="58"/>
        <v>127870748.01114818</v>
      </c>
      <c r="D310" s="139">
        <f t="shared" si="59"/>
        <v>-1.1750420076386424E-3</v>
      </c>
      <c r="E310" s="66">
        <v>46950</v>
      </c>
      <c r="F310" s="16">
        <f t="shared" si="48"/>
        <v>0.3</v>
      </c>
      <c r="G310" s="16">
        <f t="shared" si="49"/>
        <v>798.60682235301033</v>
      </c>
      <c r="H310" s="66">
        <v>192500</v>
      </c>
      <c r="I310" s="16">
        <f t="shared" si="50"/>
        <v>0.15</v>
      </c>
      <c r="J310" s="16">
        <f t="shared" si="51"/>
        <v>69.451874213621352</v>
      </c>
      <c r="K310" s="66">
        <v>267814</v>
      </c>
      <c r="L310" s="16">
        <f t="shared" si="52"/>
        <v>0.15</v>
      </c>
      <c r="M310" s="16">
        <f t="shared" si="53"/>
        <v>61.993934265389122</v>
      </c>
      <c r="N310" s="66">
        <v>11120</v>
      </c>
      <c r="O310" s="16">
        <f t="shared" si="54"/>
        <v>0.1</v>
      </c>
      <c r="P310" s="16">
        <f t="shared" si="55"/>
        <v>1026.0984072065573</v>
      </c>
      <c r="Q310" s="66">
        <v>31150</v>
      </c>
      <c r="R310" s="16">
        <f t="shared" si="56"/>
        <v>0.3</v>
      </c>
      <c r="S310" s="16">
        <f t="shared" si="57"/>
        <v>1572.8287035654707</v>
      </c>
    </row>
    <row r="311" spans="1:19" x14ac:dyDescent="0.3">
      <c r="A311" s="65">
        <v>20190405</v>
      </c>
      <c r="B311" s="65" t="s">
        <v>88</v>
      </c>
      <c r="C311" s="139">
        <f t="shared" si="58"/>
        <v>125708831.11537334</v>
      </c>
      <c r="D311" s="139">
        <f t="shared" si="59"/>
        <v>-1.690704816700031E-2</v>
      </c>
      <c r="E311" s="66">
        <v>46850</v>
      </c>
      <c r="F311" s="16">
        <f t="shared" si="48"/>
        <v>0.3</v>
      </c>
      <c r="G311" s="16">
        <f t="shared" si="49"/>
        <v>798.60682235301033</v>
      </c>
      <c r="H311" s="66">
        <v>192000</v>
      </c>
      <c r="I311" s="16">
        <f t="shared" si="50"/>
        <v>0.15</v>
      </c>
      <c r="J311" s="16">
        <f t="shared" si="51"/>
        <v>69.451874213621352</v>
      </c>
      <c r="K311" s="66">
        <v>260160</v>
      </c>
      <c r="L311" s="16">
        <f t="shared" si="52"/>
        <v>0.15</v>
      </c>
      <c r="M311" s="16">
        <f t="shared" si="53"/>
        <v>61.993934265389122</v>
      </c>
      <c r="N311" s="66">
        <v>11120</v>
      </c>
      <c r="O311" s="16">
        <f t="shared" si="54"/>
        <v>0.1</v>
      </c>
      <c r="P311" s="16">
        <f t="shared" si="55"/>
        <v>1026.0984072065573</v>
      </c>
      <c r="Q311" s="66">
        <v>30150</v>
      </c>
      <c r="R311" s="16">
        <f t="shared" si="56"/>
        <v>0.3</v>
      </c>
      <c r="S311" s="16">
        <f t="shared" si="57"/>
        <v>1572.8287035654707</v>
      </c>
    </row>
    <row r="312" spans="1:19" x14ac:dyDescent="0.3">
      <c r="A312" s="65">
        <v>20190408</v>
      </c>
      <c r="B312" s="65" t="s">
        <v>88</v>
      </c>
      <c r="C312" s="139">
        <f t="shared" si="58"/>
        <v>125125556.86773737</v>
      </c>
      <c r="D312" s="139">
        <f t="shared" si="59"/>
        <v>-4.6398828344896203E-3</v>
      </c>
      <c r="E312" s="66">
        <v>46650</v>
      </c>
      <c r="F312" s="16">
        <f t="shared" si="48"/>
        <v>0.3</v>
      </c>
      <c r="G312" s="16">
        <f t="shared" si="49"/>
        <v>798.60682235301033</v>
      </c>
      <c r="H312" s="66">
        <v>195500</v>
      </c>
      <c r="I312" s="16">
        <f t="shared" si="50"/>
        <v>0.15</v>
      </c>
      <c r="J312" s="16">
        <f t="shared" si="51"/>
        <v>69.451874213621352</v>
      </c>
      <c r="K312" s="66">
        <v>266146</v>
      </c>
      <c r="L312" s="16">
        <f t="shared" si="52"/>
        <v>0.15</v>
      </c>
      <c r="M312" s="16">
        <f t="shared" si="53"/>
        <v>61.993934265389122</v>
      </c>
      <c r="N312" s="66">
        <v>11105</v>
      </c>
      <c r="O312" s="16">
        <f t="shared" si="54"/>
        <v>0.1</v>
      </c>
      <c r="P312" s="16">
        <f t="shared" si="55"/>
        <v>1026.0984072065573</v>
      </c>
      <c r="Q312" s="66">
        <v>29500</v>
      </c>
      <c r="R312" s="16">
        <f t="shared" si="56"/>
        <v>0.3</v>
      </c>
      <c r="S312" s="16">
        <f t="shared" si="57"/>
        <v>1572.8287035654707</v>
      </c>
    </row>
    <row r="313" spans="1:19" x14ac:dyDescent="0.3">
      <c r="A313" s="65">
        <v>20190409</v>
      </c>
      <c r="B313" s="65" t="s">
        <v>88</v>
      </c>
      <c r="C313" s="139">
        <f t="shared" si="58"/>
        <v>125804224.40749039</v>
      </c>
      <c r="D313" s="139">
        <f t="shared" si="59"/>
        <v>5.4238922626366256E-3</v>
      </c>
      <c r="E313" s="66">
        <v>46650</v>
      </c>
      <c r="F313" s="16">
        <f t="shared" si="48"/>
        <v>0.3</v>
      </c>
      <c r="G313" s="16">
        <f t="shared" si="49"/>
        <v>798.60682235301033</v>
      </c>
      <c r="H313" s="66">
        <v>204500</v>
      </c>
      <c r="I313" s="16">
        <f t="shared" si="50"/>
        <v>0.15</v>
      </c>
      <c r="J313" s="16">
        <f t="shared" si="51"/>
        <v>69.451874213621352</v>
      </c>
      <c r="K313" s="66">
        <v>265852</v>
      </c>
      <c r="L313" s="16">
        <f t="shared" si="52"/>
        <v>0.15</v>
      </c>
      <c r="M313" s="16">
        <f t="shared" si="53"/>
        <v>61.993934265389122</v>
      </c>
      <c r="N313" s="66">
        <v>11175</v>
      </c>
      <c r="O313" s="16">
        <f t="shared" si="54"/>
        <v>0.1</v>
      </c>
      <c r="P313" s="16">
        <f t="shared" si="55"/>
        <v>1026.0984072065573</v>
      </c>
      <c r="Q313" s="66">
        <v>29500</v>
      </c>
      <c r="R313" s="16">
        <f t="shared" si="56"/>
        <v>0.3</v>
      </c>
      <c r="S313" s="16">
        <f t="shared" si="57"/>
        <v>1572.8287035654707</v>
      </c>
    </row>
    <row r="314" spans="1:19" x14ac:dyDescent="0.3">
      <c r="A314" s="65">
        <v>20190410</v>
      </c>
      <c r="B314" s="65" t="s">
        <v>88</v>
      </c>
      <c r="C314" s="139">
        <f t="shared" si="58"/>
        <v>127123355.78519708</v>
      </c>
      <c r="D314" s="139">
        <f t="shared" si="59"/>
        <v>1.0485588889558389E-2</v>
      </c>
      <c r="E314" s="66">
        <v>46700</v>
      </c>
      <c r="F314" s="16">
        <f t="shared" ref="F314:F368" si="60">$F$248</f>
        <v>0.3</v>
      </c>
      <c r="G314" s="16">
        <f t="shared" ref="G314:G368" si="61">$G$248</f>
        <v>798.60682235301033</v>
      </c>
      <c r="H314" s="66">
        <v>205500</v>
      </c>
      <c r="I314" s="16">
        <f t="shared" ref="I314:I368" si="62">$I$248</f>
        <v>0.15</v>
      </c>
      <c r="J314" s="16">
        <f t="shared" ref="J314:J368" si="63">$J$248</f>
        <v>69.451874213621352</v>
      </c>
      <c r="K314" s="66">
        <v>272819</v>
      </c>
      <c r="L314" s="16">
        <f t="shared" ref="L314:L368" si="64">$L$248</f>
        <v>0.15</v>
      </c>
      <c r="M314" s="16">
        <f t="shared" ref="M314:M368" si="65">$M$248</f>
        <v>61.993934265389122</v>
      </c>
      <c r="N314" s="66">
        <v>11090</v>
      </c>
      <c r="O314" s="16">
        <f t="shared" ref="O314:O368" si="66">$O$248</f>
        <v>0.1</v>
      </c>
      <c r="P314" s="16">
        <f t="shared" ref="P314:P368" si="67">P313</f>
        <v>1026.0984072065573</v>
      </c>
      <c r="Q314" s="66">
        <v>30050</v>
      </c>
      <c r="R314" s="16">
        <f t="shared" ref="R314:R368" si="68">$R$248</f>
        <v>0.3</v>
      </c>
      <c r="S314" s="16">
        <f t="shared" ref="S314:S368" si="69">$S$248</f>
        <v>1572.8287035654707</v>
      </c>
    </row>
    <row r="315" spans="1:19" x14ac:dyDescent="0.3">
      <c r="A315" s="65">
        <v>20190411</v>
      </c>
      <c r="B315" s="65" t="s">
        <v>88</v>
      </c>
      <c r="C315" s="139">
        <f t="shared" si="58"/>
        <v>126563854.54686478</v>
      </c>
      <c r="D315" s="139">
        <f t="shared" si="59"/>
        <v>-4.4012466070963542E-3</v>
      </c>
      <c r="E315" s="66">
        <v>46250</v>
      </c>
      <c r="F315" s="16">
        <f t="shared" si="60"/>
        <v>0.3</v>
      </c>
      <c r="G315" s="16">
        <f t="shared" si="61"/>
        <v>798.60682235301033</v>
      </c>
      <c r="H315" s="66">
        <v>210500</v>
      </c>
      <c r="I315" s="16">
        <f t="shared" si="62"/>
        <v>0.15</v>
      </c>
      <c r="J315" s="16">
        <f t="shared" si="63"/>
        <v>69.451874213621352</v>
      </c>
      <c r="K315" s="66">
        <v>273310</v>
      </c>
      <c r="L315" s="16">
        <f t="shared" si="64"/>
        <v>0.15</v>
      </c>
      <c r="M315" s="16">
        <f t="shared" si="65"/>
        <v>61.993934265389122</v>
      </c>
      <c r="N315" s="66">
        <v>11140</v>
      </c>
      <c r="O315" s="16">
        <f t="shared" si="66"/>
        <v>0.1</v>
      </c>
      <c r="P315" s="16">
        <f t="shared" si="67"/>
        <v>1026.0984072065573</v>
      </c>
      <c r="Q315" s="66">
        <v>29650</v>
      </c>
      <c r="R315" s="16">
        <f t="shared" si="68"/>
        <v>0.3</v>
      </c>
      <c r="S315" s="16">
        <f t="shared" si="69"/>
        <v>1572.8287035654707</v>
      </c>
    </row>
    <row r="316" spans="1:19" x14ac:dyDescent="0.3">
      <c r="A316" s="65">
        <v>20190412</v>
      </c>
      <c r="B316" s="65" t="s">
        <v>88</v>
      </c>
      <c r="C316" s="139">
        <f t="shared" si="58"/>
        <v>125501790.47719616</v>
      </c>
      <c r="D316" s="139">
        <f t="shared" si="59"/>
        <v>-8.3915275294918715E-3</v>
      </c>
      <c r="E316" s="66">
        <v>46850</v>
      </c>
      <c r="F316" s="16">
        <f t="shared" si="60"/>
        <v>0.3</v>
      </c>
      <c r="G316" s="16">
        <f t="shared" si="61"/>
        <v>798.60682235301033</v>
      </c>
      <c r="H316" s="66">
        <v>209000</v>
      </c>
      <c r="I316" s="16">
        <f t="shared" si="62"/>
        <v>0.15</v>
      </c>
      <c r="J316" s="16">
        <f t="shared" si="63"/>
        <v>69.451874213621352</v>
      </c>
      <c r="K316" s="66">
        <v>268992</v>
      </c>
      <c r="L316" s="16">
        <f t="shared" si="64"/>
        <v>0.15</v>
      </c>
      <c r="M316" s="16">
        <f t="shared" si="65"/>
        <v>61.993934265389122</v>
      </c>
      <c r="N316" s="66">
        <v>11150</v>
      </c>
      <c r="O316" s="16">
        <f t="shared" si="66"/>
        <v>0.1</v>
      </c>
      <c r="P316" s="16">
        <f t="shared" si="67"/>
        <v>1026.0984072065573</v>
      </c>
      <c r="Q316" s="66">
        <v>28900</v>
      </c>
      <c r="R316" s="16">
        <f t="shared" si="68"/>
        <v>0.3</v>
      </c>
      <c r="S316" s="16">
        <f t="shared" si="69"/>
        <v>1572.8287035654707</v>
      </c>
    </row>
    <row r="317" spans="1:19" x14ac:dyDescent="0.3">
      <c r="A317" s="65">
        <v>20190415</v>
      </c>
      <c r="B317" s="65" t="s">
        <v>88</v>
      </c>
      <c r="C317" s="139">
        <f t="shared" si="58"/>
        <v>122614533.34615132</v>
      </c>
      <c r="D317" s="139">
        <f t="shared" si="59"/>
        <v>-2.3005704700041339E-2</v>
      </c>
      <c r="E317" s="66">
        <v>47050</v>
      </c>
      <c r="F317" s="16">
        <f t="shared" si="60"/>
        <v>0.3</v>
      </c>
      <c r="G317" s="16">
        <f t="shared" si="61"/>
        <v>798.60682235301033</v>
      </c>
      <c r="H317" s="66">
        <v>203500</v>
      </c>
      <c r="I317" s="16">
        <f t="shared" si="62"/>
        <v>0.15</v>
      </c>
      <c r="J317" s="16">
        <f t="shared" si="63"/>
        <v>69.451874213621352</v>
      </c>
      <c r="K317" s="66">
        <v>263398</v>
      </c>
      <c r="L317" s="16">
        <f t="shared" si="64"/>
        <v>0.15</v>
      </c>
      <c r="M317" s="16">
        <f t="shared" si="65"/>
        <v>61.993934265389122</v>
      </c>
      <c r="N317" s="66">
        <v>11190</v>
      </c>
      <c r="O317" s="16">
        <f t="shared" si="66"/>
        <v>0.1</v>
      </c>
      <c r="P317" s="16">
        <f t="shared" si="67"/>
        <v>1026.0984072065573</v>
      </c>
      <c r="Q317" s="66">
        <v>27400</v>
      </c>
      <c r="R317" s="16">
        <f t="shared" si="68"/>
        <v>0.3</v>
      </c>
      <c r="S317" s="16">
        <f t="shared" si="69"/>
        <v>1572.8287035654707</v>
      </c>
    </row>
    <row r="318" spans="1:19" x14ac:dyDescent="0.3">
      <c r="A318" s="65">
        <v>20190416</v>
      </c>
      <c r="B318" s="65" t="s">
        <v>88</v>
      </c>
      <c r="C318" s="139">
        <f t="shared" si="58"/>
        <v>124605062.71296525</v>
      </c>
      <c r="D318" s="139">
        <f t="shared" si="59"/>
        <v>1.6234041043034379E-2</v>
      </c>
      <c r="E318" s="66">
        <v>47250</v>
      </c>
      <c r="F318" s="16">
        <f t="shared" si="60"/>
        <v>0.3</v>
      </c>
      <c r="G318" s="16">
        <f t="shared" si="61"/>
        <v>798.60682235301033</v>
      </c>
      <c r="H318" s="66">
        <v>208000</v>
      </c>
      <c r="I318" s="16">
        <f t="shared" si="62"/>
        <v>0.15</v>
      </c>
      <c r="J318" s="16">
        <f t="shared" si="63"/>
        <v>69.451874213621352</v>
      </c>
      <c r="K318" s="66">
        <v>265165</v>
      </c>
      <c r="L318" s="16">
        <f t="shared" si="64"/>
        <v>0.15</v>
      </c>
      <c r="M318" s="16">
        <f t="shared" si="65"/>
        <v>61.993934265389122</v>
      </c>
      <c r="N318" s="66">
        <v>11260</v>
      </c>
      <c r="O318" s="16">
        <f t="shared" si="66"/>
        <v>0.1</v>
      </c>
      <c r="P318" s="16">
        <f t="shared" si="67"/>
        <v>1026.0984072065573</v>
      </c>
      <c r="Q318" s="66">
        <v>28250</v>
      </c>
      <c r="R318" s="16">
        <f t="shared" si="68"/>
        <v>0.3</v>
      </c>
      <c r="S318" s="16">
        <f t="shared" si="69"/>
        <v>1572.8287035654707</v>
      </c>
    </row>
    <row r="319" spans="1:19" x14ac:dyDescent="0.3">
      <c r="A319" s="65">
        <v>20190417</v>
      </c>
      <c r="B319" s="65" t="s">
        <v>88</v>
      </c>
      <c r="C319" s="139">
        <f t="shared" si="58"/>
        <v>124176325.87510557</v>
      </c>
      <c r="D319" s="139">
        <f t="shared" si="59"/>
        <v>-3.4407657965494919E-3</v>
      </c>
      <c r="E319" s="66">
        <v>47050</v>
      </c>
      <c r="F319" s="16">
        <f t="shared" si="60"/>
        <v>0.3</v>
      </c>
      <c r="G319" s="16">
        <f t="shared" si="61"/>
        <v>798.60682235301033</v>
      </c>
      <c r="H319" s="66">
        <v>208500</v>
      </c>
      <c r="I319" s="16">
        <f t="shared" si="62"/>
        <v>0.15</v>
      </c>
      <c r="J319" s="16">
        <f t="shared" si="63"/>
        <v>69.451874213621352</v>
      </c>
      <c r="K319" s="66">
        <v>261534</v>
      </c>
      <c r="L319" s="16">
        <f t="shared" si="64"/>
        <v>0.15</v>
      </c>
      <c r="M319" s="16">
        <f t="shared" si="65"/>
        <v>61.993934265389122</v>
      </c>
      <c r="N319" s="66">
        <v>11260</v>
      </c>
      <c r="O319" s="16">
        <f t="shared" si="66"/>
        <v>0.1</v>
      </c>
      <c r="P319" s="16">
        <f t="shared" si="67"/>
        <v>1026.0984072065573</v>
      </c>
      <c r="Q319" s="66">
        <v>28200</v>
      </c>
      <c r="R319" s="16">
        <f t="shared" si="68"/>
        <v>0.3</v>
      </c>
      <c r="S319" s="16">
        <f t="shared" si="69"/>
        <v>1572.8287035654707</v>
      </c>
    </row>
    <row r="320" spans="1:19" x14ac:dyDescent="0.3">
      <c r="A320" s="65">
        <v>20190418</v>
      </c>
      <c r="B320" s="65" t="s">
        <v>88</v>
      </c>
      <c r="C320" s="139">
        <f t="shared" si="58"/>
        <v>119584683.91365007</v>
      </c>
      <c r="D320" s="139">
        <f t="shared" si="59"/>
        <v>-3.6976790294743496E-2</v>
      </c>
      <c r="E320" s="66">
        <v>45600</v>
      </c>
      <c r="F320" s="16">
        <f t="shared" si="60"/>
        <v>0.3</v>
      </c>
      <c r="G320" s="16">
        <f t="shared" si="61"/>
        <v>798.60682235301033</v>
      </c>
      <c r="H320" s="66">
        <v>203500</v>
      </c>
      <c r="I320" s="16">
        <f t="shared" si="62"/>
        <v>0.15</v>
      </c>
      <c r="J320" s="16">
        <f t="shared" si="63"/>
        <v>69.451874213621352</v>
      </c>
      <c r="K320" s="66">
        <v>252701</v>
      </c>
      <c r="L320" s="16">
        <f t="shared" si="64"/>
        <v>0.15</v>
      </c>
      <c r="M320" s="16">
        <f t="shared" si="65"/>
        <v>61.993934265389122</v>
      </c>
      <c r="N320" s="66">
        <v>11085</v>
      </c>
      <c r="O320" s="16">
        <f t="shared" si="66"/>
        <v>0.1</v>
      </c>
      <c r="P320" s="16">
        <f t="shared" si="67"/>
        <v>1026.0984072065573</v>
      </c>
      <c r="Q320" s="66">
        <v>26700</v>
      </c>
      <c r="R320" s="16">
        <f t="shared" si="68"/>
        <v>0.3</v>
      </c>
      <c r="S320" s="16">
        <f t="shared" si="69"/>
        <v>1572.8287035654707</v>
      </c>
    </row>
    <row r="321" spans="1:19" x14ac:dyDescent="0.3">
      <c r="A321" s="65">
        <v>20190419</v>
      </c>
      <c r="B321" s="65" t="s">
        <v>88</v>
      </c>
      <c r="C321" s="139">
        <f t="shared" si="58"/>
        <v>121381956.58075035</v>
      </c>
      <c r="D321" s="139">
        <f t="shared" si="59"/>
        <v>1.5029288101794529E-2</v>
      </c>
      <c r="E321" s="66">
        <v>45300</v>
      </c>
      <c r="F321" s="16">
        <f t="shared" si="60"/>
        <v>0.3</v>
      </c>
      <c r="G321" s="16">
        <f t="shared" si="61"/>
        <v>798.60682235301033</v>
      </c>
      <c r="H321" s="66">
        <v>218000</v>
      </c>
      <c r="I321" s="16">
        <f t="shared" si="62"/>
        <v>0.15</v>
      </c>
      <c r="J321" s="16">
        <f t="shared" si="63"/>
        <v>69.451874213621352</v>
      </c>
      <c r="K321" s="66">
        <v>256627</v>
      </c>
      <c r="L321" s="16">
        <f t="shared" si="64"/>
        <v>0.15</v>
      </c>
      <c r="M321" s="16">
        <f t="shared" si="65"/>
        <v>61.993934265389122</v>
      </c>
      <c r="N321" s="66">
        <v>11085</v>
      </c>
      <c r="O321" s="16">
        <f t="shared" si="66"/>
        <v>0.1</v>
      </c>
      <c r="P321" s="16">
        <f t="shared" si="67"/>
        <v>1026.0984072065573</v>
      </c>
      <c r="Q321" s="66">
        <v>27200</v>
      </c>
      <c r="R321" s="16">
        <f t="shared" si="68"/>
        <v>0.3</v>
      </c>
      <c r="S321" s="16">
        <f t="shared" si="69"/>
        <v>1572.8287035654707</v>
      </c>
    </row>
    <row r="322" spans="1:19" x14ac:dyDescent="0.3">
      <c r="A322" s="65">
        <v>20190422</v>
      </c>
      <c r="B322" s="65" t="s">
        <v>88</v>
      </c>
      <c r="C322" s="139">
        <f t="shared" si="58"/>
        <v>120360691.61082724</v>
      </c>
      <c r="D322" s="139">
        <f t="shared" si="59"/>
        <v>-8.4136472890326483E-3</v>
      </c>
      <c r="E322" s="66">
        <v>45350</v>
      </c>
      <c r="F322" s="16">
        <f t="shared" si="60"/>
        <v>0.3</v>
      </c>
      <c r="G322" s="16">
        <f t="shared" si="61"/>
        <v>798.60682235301033</v>
      </c>
      <c r="H322" s="66">
        <v>220500</v>
      </c>
      <c r="I322" s="16">
        <f t="shared" si="62"/>
        <v>0.15</v>
      </c>
      <c r="J322" s="16">
        <f t="shared" si="63"/>
        <v>69.451874213621352</v>
      </c>
      <c r="K322" s="66">
        <v>254468</v>
      </c>
      <c r="L322" s="16">
        <f t="shared" si="64"/>
        <v>0.15</v>
      </c>
      <c r="M322" s="16">
        <f t="shared" si="65"/>
        <v>61.993934265389122</v>
      </c>
      <c r="N322" s="66">
        <v>11085</v>
      </c>
      <c r="O322" s="16">
        <f t="shared" si="66"/>
        <v>0.1</v>
      </c>
      <c r="P322" s="16">
        <f t="shared" si="67"/>
        <v>1026.0984072065573</v>
      </c>
      <c r="Q322" s="66">
        <v>26500</v>
      </c>
      <c r="R322" s="16">
        <f t="shared" si="68"/>
        <v>0.3</v>
      </c>
      <c r="S322" s="16">
        <f t="shared" si="69"/>
        <v>1572.8287035654707</v>
      </c>
    </row>
    <row r="323" spans="1:19" x14ac:dyDescent="0.3">
      <c r="A323" s="65">
        <v>20190423</v>
      </c>
      <c r="B323" s="65" t="s">
        <v>88</v>
      </c>
      <c r="C323" s="139">
        <f t="shared" si="58"/>
        <v>121883181.16525337</v>
      </c>
      <c r="D323" s="139">
        <f t="shared" si="59"/>
        <v>1.2649391874125586E-2</v>
      </c>
      <c r="E323" s="66">
        <v>45200</v>
      </c>
      <c r="F323" s="16">
        <f t="shared" si="60"/>
        <v>0.3</v>
      </c>
      <c r="G323" s="16">
        <f t="shared" si="61"/>
        <v>798.60682235301033</v>
      </c>
      <c r="H323" s="66">
        <v>221500</v>
      </c>
      <c r="I323" s="16">
        <f t="shared" si="62"/>
        <v>0.15</v>
      </c>
      <c r="J323" s="16">
        <f t="shared" si="63"/>
        <v>69.451874213621352</v>
      </c>
      <c r="K323" s="66">
        <v>254468</v>
      </c>
      <c r="L323" s="16">
        <f t="shared" si="64"/>
        <v>0.15</v>
      </c>
      <c r="M323" s="16">
        <f t="shared" si="65"/>
        <v>61.993934265389122</v>
      </c>
      <c r="N323" s="66">
        <v>11085</v>
      </c>
      <c r="O323" s="16">
        <f t="shared" si="66"/>
        <v>0.1</v>
      </c>
      <c r="P323" s="16">
        <f t="shared" si="67"/>
        <v>1026.0984072065573</v>
      </c>
      <c r="Q323" s="66">
        <v>27500</v>
      </c>
      <c r="R323" s="16">
        <f t="shared" si="68"/>
        <v>0.3</v>
      </c>
      <c r="S323" s="16">
        <f t="shared" si="69"/>
        <v>1572.8287035654707</v>
      </c>
    </row>
    <row r="324" spans="1:19" x14ac:dyDescent="0.3">
      <c r="A324" s="65">
        <v>20190424</v>
      </c>
      <c r="B324" s="65" t="s">
        <v>88</v>
      </c>
      <c r="C324" s="139">
        <f t="shared" si="58"/>
        <v>120504099.62898958</v>
      </c>
      <c r="D324" s="139">
        <f t="shared" si="59"/>
        <v>-1.131478127727884E-2</v>
      </c>
      <c r="E324" s="66">
        <v>44750</v>
      </c>
      <c r="F324" s="16">
        <f t="shared" si="60"/>
        <v>0.3</v>
      </c>
      <c r="G324" s="16">
        <f t="shared" si="61"/>
        <v>798.60682235301033</v>
      </c>
      <c r="H324" s="134">
        <v>218000</v>
      </c>
      <c r="I324" s="16">
        <f t="shared" si="62"/>
        <v>0.15</v>
      </c>
      <c r="J324" s="16">
        <f t="shared" si="63"/>
        <v>69.451874213621352</v>
      </c>
      <c r="K324" s="66">
        <v>254075</v>
      </c>
      <c r="L324" s="16">
        <f t="shared" si="64"/>
        <v>0.15</v>
      </c>
      <c r="M324" s="16">
        <f t="shared" si="65"/>
        <v>61.993934265389122</v>
      </c>
      <c r="N324" s="66">
        <v>10965</v>
      </c>
      <c r="O324" s="16">
        <f t="shared" si="66"/>
        <v>0.1</v>
      </c>
      <c r="P324" s="16">
        <f t="shared" si="67"/>
        <v>1026.0984072065573</v>
      </c>
      <c r="Q324" s="66">
        <v>27100</v>
      </c>
      <c r="R324" s="16">
        <f t="shared" si="68"/>
        <v>0.3</v>
      </c>
      <c r="S324" s="16">
        <f t="shared" si="69"/>
        <v>1572.8287035654707</v>
      </c>
    </row>
    <row r="325" spans="1:19" x14ac:dyDescent="0.3">
      <c r="A325" s="65">
        <v>20190425</v>
      </c>
      <c r="B325" s="65" t="s">
        <v>88</v>
      </c>
      <c r="C325" s="139">
        <f t="shared" ref="C325:C381" si="70">E325*G325+H325*J325+K325*M325+N325*P325+Q325*S325</f>
        <v>117720849.86007692</v>
      </c>
      <c r="D325" s="139">
        <f t="shared" si="59"/>
        <v>-2.3096722663227084E-2</v>
      </c>
      <c r="E325" s="66">
        <v>44650</v>
      </c>
      <c r="F325" s="16">
        <f t="shared" si="60"/>
        <v>0.3</v>
      </c>
      <c r="G325" s="16">
        <f t="shared" si="61"/>
        <v>798.60682235301033</v>
      </c>
      <c r="H325" s="66">
        <v>211500</v>
      </c>
      <c r="I325" s="16">
        <f t="shared" si="62"/>
        <v>0.15</v>
      </c>
      <c r="J325" s="16">
        <f t="shared" si="63"/>
        <v>69.451874213621352</v>
      </c>
      <c r="K325" s="66">
        <v>249463</v>
      </c>
      <c r="L325" s="16">
        <f t="shared" si="64"/>
        <v>0.15</v>
      </c>
      <c r="M325" s="16">
        <f t="shared" si="65"/>
        <v>61.993934265389122</v>
      </c>
      <c r="N325" s="66">
        <v>10965</v>
      </c>
      <c r="O325" s="16">
        <f t="shared" si="66"/>
        <v>0.1</v>
      </c>
      <c r="P325" s="16">
        <f t="shared" si="67"/>
        <v>1026.0984072065573</v>
      </c>
      <c r="Q325" s="66">
        <v>25850</v>
      </c>
      <c r="R325" s="16">
        <f t="shared" si="68"/>
        <v>0.3</v>
      </c>
      <c r="S325" s="16">
        <f t="shared" si="69"/>
        <v>1572.8287035654707</v>
      </c>
    </row>
    <row r="326" spans="1:19" x14ac:dyDescent="0.3">
      <c r="A326" s="65">
        <v>20190426</v>
      </c>
      <c r="B326" s="65" t="s">
        <v>88</v>
      </c>
      <c r="C326" s="139">
        <f t="shared" si="70"/>
        <v>118566634.66586244</v>
      </c>
      <c r="D326" s="139">
        <f t="shared" ref="D326:D381" si="71">(C326-C325)/C325</f>
        <v>7.1846644565582247E-3</v>
      </c>
      <c r="E326" s="66">
        <v>44850</v>
      </c>
      <c r="F326" s="16">
        <f t="shared" si="60"/>
        <v>0.3</v>
      </c>
      <c r="G326" s="16">
        <f t="shared" si="61"/>
        <v>798.60682235301033</v>
      </c>
      <c r="H326" s="66">
        <v>212000</v>
      </c>
      <c r="I326" s="16">
        <f t="shared" si="62"/>
        <v>0.15</v>
      </c>
      <c r="J326" s="16">
        <f t="shared" si="63"/>
        <v>69.451874213621352</v>
      </c>
      <c r="K326" s="66">
        <v>249463</v>
      </c>
      <c r="L326" s="16">
        <f t="shared" si="64"/>
        <v>0.15</v>
      </c>
      <c r="M326" s="16">
        <f t="shared" si="65"/>
        <v>61.993934265389122</v>
      </c>
      <c r="N326" s="66">
        <v>10910</v>
      </c>
      <c r="O326" s="16">
        <f t="shared" si="66"/>
        <v>0.1</v>
      </c>
      <c r="P326" s="16">
        <f t="shared" si="67"/>
        <v>1026.0984072065573</v>
      </c>
      <c r="Q326" s="66">
        <v>26300</v>
      </c>
      <c r="R326" s="16">
        <f t="shared" si="68"/>
        <v>0.3</v>
      </c>
      <c r="S326" s="16">
        <f t="shared" si="69"/>
        <v>1572.8287035654707</v>
      </c>
    </row>
    <row r="327" spans="1:19" x14ac:dyDescent="0.3">
      <c r="A327" s="65">
        <v>20190429</v>
      </c>
      <c r="B327" s="65" t="s">
        <v>88</v>
      </c>
      <c r="C327" s="139">
        <f t="shared" si="70"/>
        <v>121644380.66403748</v>
      </c>
      <c r="D327" s="139">
        <f t="shared" si="71"/>
        <v>2.5957943453894627E-2</v>
      </c>
      <c r="E327" s="66">
        <v>46150</v>
      </c>
      <c r="F327" s="16">
        <f t="shared" si="60"/>
        <v>0.3</v>
      </c>
      <c r="G327" s="16">
        <f t="shared" si="61"/>
        <v>798.60682235301033</v>
      </c>
      <c r="H327" s="66">
        <v>216000</v>
      </c>
      <c r="I327" s="16">
        <f t="shared" si="62"/>
        <v>0.15</v>
      </c>
      <c r="J327" s="16">
        <f t="shared" si="63"/>
        <v>69.451874213621352</v>
      </c>
      <c r="K327" s="66">
        <v>253585</v>
      </c>
      <c r="L327" s="16">
        <f t="shared" si="64"/>
        <v>0.15</v>
      </c>
      <c r="M327" s="16">
        <f t="shared" si="65"/>
        <v>61.993934265389122</v>
      </c>
      <c r="N327" s="66">
        <v>11075</v>
      </c>
      <c r="O327" s="16">
        <f t="shared" si="66"/>
        <v>0.1</v>
      </c>
      <c r="P327" s="16">
        <f t="shared" si="67"/>
        <v>1026.0984072065573</v>
      </c>
      <c r="Q327" s="66">
        <v>27150</v>
      </c>
      <c r="R327" s="16">
        <f t="shared" si="68"/>
        <v>0.3</v>
      </c>
      <c r="S327" s="16">
        <f t="shared" si="69"/>
        <v>1572.8287035654707</v>
      </c>
    </row>
    <row r="328" spans="1:19" x14ac:dyDescent="0.3">
      <c r="A328" s="65">
        <v>20190430</v>
      </c>
      <c r="B328" s="65" t="s">
        <v>88</v>
      </c>
      <c r="C328" s="139">
        <f t="shared" si="70"/>
        <v>120844210.14602038</v>
      </c>
      <c r="D328" s="139">
        <f t="shared" si="71"/>
        <v>-6.5779488838620713E-3</v>
      </c>
      <c r="E328" s="66">
        <v>45850</v>
      </c>
      <c r="F328" s="16">
        <f t="shared" si="60"/>
        <v>0.3</v>
      </c>
      <c r="G328" s="16">
        <f t="shared" si="61"/>
        <v>798.60682235301033</v>
      </c>
      <c r="H328" s="66">
        <v>212000</v>
      </c>
      <c r="I328" s="16">
        <f t="shared" si="62"/>
        <v>0.15</v>
      </c>
      <c r="J328" s="16">
        <f t="shared" si="63"/>
        <v>69.451874213621352</v>
      </c>
      <c r="K328" s="66">
        <v>255449</v>
      </c>
      <c r="L328" s="16">
        <f t="shared" si="64"/>
        <v>0.15</v>
      </c>
      <c r="M328" s="16">
        <f t="shared" si="65"/>
        <v>61.993934265389122</v>
      </c>
      <c r="N328" s="66">
        <v>11070</v>
      </c>
      <c r="O328" s="16">
        <f t="shared" si="66"/>
        <v>0.1</v>
      </c>
      <c r="P328" s="16">
        <f t="shared" si="67"/>
        <v>1026.0984072065573</v>
      </c>
      <c r="Q328" s="66">
        <v>26900</v>
      </c>
      <c r="R328" s="16">
        <f t="shared" si="68"/>
        <v>0.3</v>
      </c>
      <c r="S328" s="16">
        <f t="shared" si="69"/>
        <v>1572.8287035654707</v>
      </c>
    </row>
    <row r="329" spans="1:19" x14ac:dyDescent="0.3">
      <c r="A329" s="65">
        <v>20190502</v>
      </c>
      <c r="B329" s="65" t="s">
        <v>88</v>
      </c>
      <c r="C329" s="139">
        <f t="shared" si="70"/>
        <v>119489496.96539989</v>
      </c>
      <c r="D329" s="139">
        <f t="shared" si="71"/>
        <v>-1.1210410320722383E-2</v>
      </c>
      <c r="E329" s="66">
        <v>45900</v>
      </c>
      <c r="F329" s="16">
        <f t="shared" si="60"/>
        <v>0.3</v>
      </c>
      <c r="G329" s="16">
        <f t="shared" si="61"/>
        <v>798.60682235301033</v>
      </c>
      <c r="H329" s="66">
        <v>207000</v>
      </c>
      <c r="I329" s="16">
        <f t="shared" si="62"/>
        <v>0.15</v>
      </c>
      <c r="J329" s="16">
        <f t="shared" si="63"/>
        <v>69.451874213621352</v>
      </c>
      <c r="K329" s="66">
        <v>245145</v>
      </c>
      <c r="L329" s="16">
        <f t="shared" si="64"/>
        <v>0.15</v>
      </c>
      <c r="M329" s="16">
        <f t="shared" si="65"/>
        <v>61.993934265389122</v>
      </c>
      <c r="N329" s="66">
        <v>11055</v>
      </c>
      <c r="O329" s="16">
        <f t="shared" si="66"/>
        <v>0.1</v>
      </c>
      <c r="P329" s="16">
        <f t="shared" si="67"/>
        <v>1026.0984072065573</v>
      </c>
      <c r="Q329" s="66">
        <v>26650</v>
      </c>
      <c r="R329" s="16">
        <f t="shared" si="68"/>
        <v>0.3</v>
      </c>
      <c r="S329" s="16">
        <f t="shared" si="69"/>
        <v>1572.8287035654707</v>
      </c>
    </row>
    <row r="330" spans="1:19" x14ac:dyDescent="0.3">
      <c r="A330" s="65">
        <v>20190503</v>
      </c>
      <c r="B330" s="65" t="s">
        <v>88</v>
      </c>
      <c r="C330" s="139">
        <f t="shared" si="70"/>
        <v>119995683.85153154</v>
      </c>
      <c r="D330" s="139">
        <f t="shared" si="71"/>
        <v>4.236245854129077E-3</v>
      </c>
      <c r="E330" s="66">
        <v>45300</v>
      </c>
      <c r="F330" s="16">
        <f t="shared" si="60"/>
        <v>0.3</v>
      </c>
      <c r="G330" s="16">
        <f t="shared" si="61"/>
        <v>798.60682235301033</v>
      </c>
      <c r="H330" s="66">
        <v>204500</v>
      </c>
      <c r="I330" s="16">
        <f t="shared" si="62"/>
        <v>0.15</v>
      </c>
      <c r="J330" s="16">
        <f t="shared" si="63"/>
        <v>69.451874213621352</v>
      </c>
      <c r="K330" s="66">
        <v>243378</v>
      </c>
      <c r="L330" s="16">
        <f t="shared" si="64"/>
        <v>0.15</v>
      </c>
      <c r="M330" s="16">
        <f t="shared" si="65"/>
        <v>61.993934265389122</v>
      </c>
      <c r="N330" s="66">
        <v>11065</v>
      </c>
      <c r="O330" s="16">
        <f t="shared" si="66"/>
        <v>0.1</v>
      </c>
      <c r="P330" s="16">
        <f t="shared" si="67"/>
        <v>1026.0984072065573</v>
      </c>
      <c r="Q330" s="66">
        <v>27450</v>
      </c>
      <c r="R330" s="16">
        <f t="shared" si="68"/>
        <v>0.3</v>
      </c>
      <c r="S330" s="16">
        <f t="shared" si="69"/>
        <v>1572.8287035654707</v>
      </c>
    </row>
    <row r="331" spans="1:19" x14ac:dyDescent="0.3">
      <c r="A331" s="65">
        <v>20190507</v>
      </c>
      <c r="B331" s="65" t="s">
        <v>88</v>
      </c>
      <c r="C331" s="139">
        <f t="shared" si="70"/>
        <v>118374842.05525532</v>
      </c>
      <c r="D331" s="139">
        <f t="shared" si="71"/>
        <v>-1.3507500805459384E-2</v>
      </c>
      <c r="E331" s="66">
        <v>44850</v>
      </c>
      <c r="F331" s="16">
        <f t="shared" si="60"/>
        <v>0.3</v>
      </c>
      <c r="G331" s="16">
        <f t="shared" si="61"/>
        <v>798.60682235301033</v>
      </c>
      <c r="H331" s="66">
        <v>205500</v>
      </c>
      <c r="I331" s="16">
        <f t="shared" si="62"/>
        <v>0.15</v>
      </c>
      <c r="J331" s="16">
        <f t="shared" si="63"/>
        <v>69.451874213621352</v>
      </c>
      <c r="K331" s="66">
        <v>235037</v>
      </c>
      <c r="L331" s="16">
        <f t="shared" si="64"/>
        <v>0.15</v>
      </c>
      <c r="M331" s="16">
        <f t="shared" si="65"/>
        <v>61.993934265389122</v>
      </c>
      <c r="N331" s="66">
        <v>10885</v>
      </c>
      <c r="O331" s="16">
        <f t="shared" si="66"/>
        <v>0.1</v>
      </c>
      <c r="P331" s="16">
        <f t="shared" si="67"/>
        <v>1026.0984072065573</v>
      </c>
      <c r="Q331" s="66">
        <v>27050</v>
      </c>
      <c r="R331" s="16">
        <f t="shared" si="68"/>
        <v>0.3</v>
      </c>
      <c r="S331" s="16">
        <f t="shared" si="69"/>
        <v>1572.8287035654707</v>
      </c>
    </row>
    <row r="332" spans="1:19" x14ac:dyDescent="0.3">
      <c r="A332" s="65">
        <v>20190508</v>
      </c>
      <c r="B332" s="65" t="s">
        <v>88</v>
      </c>
      <c r="C332" s="139">
        <f t="shared" si="70"/>
        <v>116972822.64470236</v>
      </c>
      <c r="D332" s="139">
        <f t="shared" si="71"/>
        <v>-1.1843896779169727E-2</v>
      </c>
      <c r="E332" s="66">
        <v>44250</v>
      </c>
      <c r="F332" s="16">
        <f t="shared" si="60"/>
        <v>0.3</v>
      </c>
      <c r="G332" s="16">
        <f t="shared" si="61"/>
        <v>798.60682235301033</v>
      </c>
      <c r="H332" s="66">
        <v>205500</v>
      </c>
      <c r="I332" s="16">
        <f t="shared" si="62"/>
        <v>0.15</v>
      </c>
      <c r="J332" s="16">
        <f t="shared" si="63"/>
        <v>69.451874213621352</v>
      </c>
      <c r="K332" s="66">
        <v>226990</v>
      </c>
      <c r="L332" s="16">
        <f t="shared" si="64"/>
        <v>0.15</v>
      </c>
      <c r="M332" s="16">
        <f t="shared" si="65"/>
        <v>61.993934265389122</v>
      </c>
      <c r="N332" s="66">
        <v>10855</v>
      </c>
      <c r="O332" s="16">
        <f t="shared" si="66"/>
        <v>0.1</v>
      </c>
      <c r="P332" s="16">
        <f t="shared" si="67"/>
        <v>1026.0984072065573</v>
      </c>
      <c r="Q332" s="66">
        <v>26800</v>
      </c>
      <c r="R332" s="16">
        <f t="shared" si="68"/>
        <v>0.3</v>
      </c>
      <c r="S332" s="16">
        <f t="shared" si="69"/>
        <v>1572.8287035654707</v>
      </c>
    </row>
    <row r="333" spans="1:19" x14ac:dyDescent="0.3">
      <c r="A333" s="65">
        <v>20190509</v>
      </c>
      <c r="B333" s="65" t="s">
        <v>88</v>
      </c>
      <c r="C333" s="139">
        <f t="shared" si="70"/>
        <v>113233937.61763515</v>
      </c>
      <c r="D333" s="139">
        <f t="shared" si="71"/>
        <v>-3.1963706975113734E-2</v>
      </c>
      <c r="E333" s="66">
        <v>42450</v>
      </c>
      <c r="F333" s="16">
        <f t="shared" si="60"/>
        <v>0.3</v>
      </c>
      <c r="G333" s="16">
        <f t="shared" si="61"/>
        <v>798.60682235301033</v>
      </c>
      <c r="H333" s="66">
        <v>210000</v>
      </c>
      <c r="I333" s="16">
        <f t="shared" si="62"/>
        <v>0.15</v>
      </c>
      <c r="J333" s="16">
        <f t="shared" si="63"/>
        <v>69.451874213621352</v>
      </c>
      <c r="K333" s="66">
        <v>223849</v>
      </c>
      <c r="L333" s="16">
        <f t="shared" si="64"/>
        <v>0.15</v>
      </c>
      <c r="M333" s="16">
        <f t="shared" si="65"/>
        <v>61.993934265389122</v>
      </c>
      <c r="N333" s="66">
        <v>10490</v>
      </c>
      <c r="O333" s="16">
        <f t="shared" si="66"/>
        <v>0.1</v>
      </c>
      <c r="P333" s="16">
        <f t="shared" si="67"/>
        <v>1026.0984072065573</v>
      </c>
      <c r="Q333" s="66">
        <v>25500</v>
      </c>
      <c r="R333" s="16">
        <f t="shared" si="68"/>
        <v>0.3</v>
      </c>
      <c r="S333" s="16">
        <f t="shared" si="69"/>
        <v>1572.8287035654707</v>
      </c>
    </row>
    <row r="334" spans="1:19" x14ac:dyDescent="0.3">
      <c r="A334" s="65">
        <v>20190510</v>
      </c>
      <c r="B334" s="65" t="s">
        <v>88</v>
      </c>
      <c r="C334" s="139">
        <f t="shared" si="70"/>
        <v>112492659.99096411</v>
      </c>
      <c r="D334" s="139">
        <f t="shared" si="71"/>
        <v>-6.5464262946869729E-3</v>
      </c>
      <c r="E334" s="66">
        <v>42900</v>
      </c>
      <c r="F334" s="16">
        <f t="shared" si="60"/>
        <v>0.3</v>
      </c>
      <c r="G334" s="16">
        <f t="shared" si="61"/>
        <v>798.60682235301033</v>
      </c>
      <c r="H334" s="66">
        <v>201500</v>
      </c>
      <c r="I334" s="16">
        <f t="shared" si="62"/>
        <v>0.15</v>
      </c>
      <c r="J334" s="16">
        <f t="shared" si="63"/>
        <v>69.451874213621352</v>
      </c>
      <c r="K334" s="66">
        <v>221298</v>
      </c>
      <c r="L334" s="16">
        <f t="shared" si="64"/>
        <v>0.15</v>
      </c>
      <c r="M334" s="16">
        <f t="shared" si="65"/>
        <v>61.993934265389122</v>
      </c>
      <c r="N334" s="66">
        <v>10530</v>
      </c>
      <c r="O334" s="16">
        <f t="shared" si="66"/>
        <v>0.1</v>
      </c>
      <c r="P334" s="16">
        <f t="shared" si="67"/>
        <v>1026.0984072065573</v>
      </c>
      <c r="Q334" s="66">
        <v>25250</v>
      </c>
      <c r="R334" s="16">
        <f t="shared" si="68"/>
        <v>0.3</v>
      </c>
      <c r="S334" s="16">
        <f t="shared" si="69"/>
        <v>1572.8287035654707</v>
      </c>
    </row>
    <row r="335" spans="1:19" x14ac:dyDescent="0.3">
      <c r="A335" s="65">
        <v>20190513</v>
      </c>
      <c r="B335" s="65" t="s">
        <v>88</v>
      </c>
      <c r="C335" s="139">
        <f t="shared" si="70"/>
        <v>111196354.37538552</v>
      </c>
      <c r="D335" s="139">
        <f t="shared" si="71"/>
        <v>-1.1523468426141907E-2</v>
      </c>
      <c r="E335" s="66">
        <v>42650</v>
      </c>
      <c r="F335" s="16">
        <f t="shared" si="60"/>
        <v>0.3</v>
      </c>
      <c r="G335" s="16">
        <f t="shared" si="61"/>
        <v>798.60682235301033</v>
      </c>
      <c r="H335" s="66">
        <v>194500</v>
      </c>
      <c r="I335" s="16">
        <f t="shared" si="62"/>
        <v>0.15</v>
      </c>
      <c r="J335" s="16">
        <f t="shared" si="63"/>
        <v>69.451874213621352</v>
      </c>
      <c r="K335" s="66">
        <v>219531</v>
      </c>
      <c r="L335" s="16">
        <f t="shared" si="64"/>
        <v>0.15</v>
      </c>
      <c r="M335" s="16">
        <f t="shared" si="65"/>
        <v>61.993934265389122</v>
      </c>
      <c r="N335" s="66">
        <v>10425</v>
      </c>
      <c r="O335" s="16">
        <f t="shared" si="66"/>
        <v>0.1</v>
      </c>
      <c r="P335" s="16">
        <f t="shared" si="67"/>
        <v>1026.0984072065573</v>
      </c>
      <c r="Q335" s="66">
        <v>25000</v>
      </c>
      <c r="R335" s="16">
        <f t="shared" si="68"/>
        <v>0.3</v>
      </c>
      <c r="S335" s="16">
        <f t="shared" si="69"/>
        <v>1572.8287035654707</v>
      </c>
    </row>
    <row r="336" spans="1:19" x14ac:dyDescent="0.3">
      <c r="A336" s="65">
        <v>20190514</v>
      </c>
      <c r="B336" s="65" t="s">
        <v>88</v>
      </c>
      <c r="C336" s="139">
        <f t="shared" si="70"/>
        <v>111679654.2880871</v>
      </c>
      <c r="D336" s="139">
        <f t="shared" si="71"/>
        <v>4.3463647294587964E-3</v>
      </c>
      <c r="E336" s="66">
        <v>42650</v>
      </c>
      <c r="F336" s="16">
        <f t="shared" si="60"/>
        <v>0.3</v>
      </c>
      <c r="G336" s="16">
        <f t="shared" si="61"/>
        <v>798.60682235301033</v>
      </c>
      <c r="H336" s="66">
        <v>195500</v>
      </c>
      <c r="I336" s="16">
        <f t="shared" si="62"/>
        <v>0.15</v>
      </c>
      <c r="J336" s="16">
        <f t="shared" si="63"/>
        <v>69.451874213621352</v>
      </c>
      <c r="K336" s="66">
        <v>221298</v>
      </c>
      <c r="L336" s="16">
        <f t="shared" si="64"/>
        <v>0.15</v>
      </c>
      <c r="M336" s="16">
        <f t="shared" si="65"/>
        <v>61.993934265389122</v>
      </c>
      <c r="N336" s="66">
        <v>10415</v>
      </c>
      <c r="O336" s="16">
        <f t="shared" si="66"/>
        <v>0.1</v>
      </c>
      <c r="P336" s="16">
        <f t="shared" si="67"/>
        <v>1026.0984072065573</v>
      </c>
      <c r="Q336" s="66">
        <v>25200</v>
      </c>
      <c r="R336" s="16">
        <f t="shared" si="68"/>
        <v>0.3</v>
      </c>
      <c r="S336" s="16">
        <f t="shared" si="69"/>
        <v>1572.8287035654707</v>
      </c>
    </row>
    <row r="337" spans="1:19" x14ac:dyDescent="0.3">
      <c r="A337" s="65">
        <v>20190515</v>
      </c>
      <c r="B337" s="65" t="s">
        <v>88</v>
      </c>
      <c r="C337" s="139">
        <f t="shared" si="70"/>
        <v>113921377.09366187</v>
      </c>
      <c r="D337" s="139">
        <f t="shared" si="71"/>
        <v>2.0072794994440629E-2</v>
      </c>
      <c r="E337" s="66">
        <v>42550</v>
      </c>
      <c r="F337" s="16">
        <f t="shared" si="60"/>
        <v>0.3</v>
      </c>
      <c r="G337" s="16">
        <f t="shared" si="61"/>
        <v>798.60682235301033</v>
      </c>
      <c r="H337" s="66">
        <v>196000</v>
      </c>
      <c r="I337" s="16">
        <f t="shared" si="62"/>
        <v>0.15</v>
      </c>
      <c r="J337" s="16">
        <f t="shared" si="63"/>
        <v>69.451874213621352</v>
      </c>
      <c r="K337" s="66">
        <v>234939</v>
      </c>
      <c r="L337" s="16">
        <f t="shared" si="64"/>
        <v>0.15</v>
      </c>
      <c r="M337" s="16">
        <f t="shared" si="65"/>
        <v>61.993934265389122</v>
      </c>
      <c r="N337" s="66">
        <v>10440</v>
      </c>
      <c r="O337" s="16">
        <f t="shared" si="66"/>
        <v>0.1</v>
      </c>
      <c r="P337" s="16">
        <f t="shared" si="67"/>
        <v>1026.0984072065573</v>
      </c>
      <c r="Q337" s="66">
        <v>26100</v>
      </c>
      <c r="R337" s="16">
        <f t="shared" si="68"/>
        <v>0.3</v>
      </c>
      <c r="S337" s="16">
        <f t="shared" si="69"/>
        <v>1572.8287035654707</v>
      </c>
    </row>
    <row r="338" spans="1:19" x14ac:dyDescent="0.3">
      <c r="A338" s="65">
        <v>20190516</v>
      </c>
      <c r="B338" s="65" t="s">
        <v>88</v>
      </c>
      <c r="C338" s="139">
        <f t="shared" si="70"/>
        <v>111366859.43477935</v>
      </c>
      <c r="D338" s="139">
        <f t="shared" si="71"/>
        <v>-2.2423514568142029E-2</v>
      </c>
      <c r="E338" s="66">
        <v>41550</v>
      </c>
      <c r="F338" s="16">
        <f t="shared" si="60"/>
        <v>0.3</v>
      </c>
      <c r="G338" s="16">
        <f t="shared" si="61"/>
        <v>798.60682235301033</v>
      </c>
      <c r="H338" s="66">
        <v>196500</v>
      </c>
      <c r="I338" s="16">
        <f t="shared" si="62"/>
        <v>0.15</v>
      </c>
      <c r="J338" s="16">
        <f t="shared" si="63"/>
        <v>69.451874213621352</v>
      </c>
      <c r="K338" s="66">
        <v>220120</v>
      </c>
      <c r="L338" s="16">
        <f t="shared" si="64"/>
        <v>0.15</v>
      </c>
      <c r="M338" s="16">
        <f t="shared" si="65"/>
        <v>61.993934265389122</v>
      </c>
      <c r="N338" s="66">
        <v>10280</v>
      </c>
      <c r="O338" s="16">
        <f t="shared" si="66"/>
        <v>0.1</v>
      </c>
      <c r="P338" s="16">
        <f t="shared" si="67"/>
        <v>1026.0984072065573</v>
      </c>
      <c r="Q338" s="66">
        <v>25650</v>
      </c>
      <c r="R338" s="16">
        <f t="shared" si="68"/>
        <v>0.3</v>
      </c>
      <c r="S338" s="16">
        <f t="shared" si="69"/>
        <v>1572.8287035654707</v>
      </c>
    </row>
    <row r="339" spans="1:19" x14ac:dyDescent="0.3">
      <c r="A339" s="65">
        <v>20190517</v>
      </c>
      <c r="B339" s="65" t="s">
        <v>88</v>
      </c>
      <c r="C339" s="139">
        <f t="shared" si="70"/>
        <v>110616054.16689833</v>
      </c>
      <c r="D339" s="139">
        <f t="shared" si="71"/>
        <v>-6.7417297362212221E-3</v>
      </c>
      <c r="E339" s="66">
        <v>41200</v>
      </c>
      <c r="F339" s="16">
        <f t="shared" si="60"/>
        <v>0.3</v>
      </c>
      <c r="G339" s="16">
        <f t="shared" si="61"/>
        <v>798.60682235301033</v>
      </c>
      <c r="H339" s="134">
        <v>195500</v>
      </c>
      <c r="I339" s="16">
        <f t="shared" si="62"/>
        <v>0.15</v>
      </c>
      <c r="J339" s="16">
        <f t="shared" si="63"/>
        <v>69.451874213621352</v>
      </c>
      <c r="K339" s="66">
        <v>218354</v>
      </c>
      <c r="L339" s="16">
        <f t="shared" si="64"/>
        <v>0.15</v>
      </c>
      <c r="M339" s="16">
        <f t="shared" si="65"/>
        <v>61.993934265389122</v>
      </c>
      <c r="N339" s="66">
        <v>10225</v>
      </c>
      <c r="O339" s="16">
        <f t="shared" si="66"/>
        <v>0.1</v>
      </c>
      <c r="P339" s="16">
        <f t="shared" si="67"/>
        <v>1026.0984072065573</v>
      </c>
      <c r="Q339" s="66">
        <v>25500</v>
      </c>
      <c r="R339" s="16">
        <f t="shared" si="68"/>
        <v>0.3</v>
      </c>
      <c r="S339" s="16">
        <f t="shared" si="69"/>
        <v>1572.8287035654707</v>
      </c>
    </row>
    <row r="340" spans="1:19" x14ac:dyDescent="0.3">
      <c r="A340" s="65">
        <v>20190520</v>
      </c>
      <c r="B340" s="65" t="s">
        <v>88</v>
      </c>
      <c r="C340" s="139">
        <f t="shared" si="70"/>
        <v>110260117.9618426</v>
      </c>
      <c r="D340" s="139">
        <f t="shared" si="71"/>
        <v>-3.2177626271019336E-3</v>
      </c>
      <c r="E340" s="66">
        <v>42000</v>
      </c>
      <c r="F340" s="16">
        <f t="shared" si="60"/>
        <v>0.3</v>
      </c>
      <c r="G340" s="16">
        <f t="shared" si="61"/>
        <v>798.60682235301033</v>
      </c>
      <c r="H340" s="66">
        <v>188000</v>
      </c>
      <c r="I340" s="16">
        <f t="shared" si="62"/>
        <v>0.15</v>
      </c>
      <c r="J340" s="16">
        <f t="shared" si="63"/>
        <v>69.451874213621352</v>
      </c>
      <c r="K340" s="66">
        <v>207951</v>
      </c>
      <c r="L340" s="16">
        <f t="shared" si="64"/>
        <v>0.15</v>
      </c>
      <c r="M340" s="16">
        <f t="shared" si="65"/>
        <v>61.993934265389122</v>
      </c>
      <c r="N340" s="66">
        <v>10315</v>
      </c>
      <c r="O340" s="16">
        <f t="shared" si="66"/>
        <v>0.1</v>
      </c>
      <c r="P340" s="16">
        <f t="shared" si="67"/>
        <v>1026.0984072065573</v>
      </c>
      <c r="Q340" s="66">
        <v>25550</v>
      </c>
      <c r="R340" s="16">
        <f t="shared" si="68"/>
        <v>0.3</v>
      </c>
      <c r="S340" s="16">
        <f t="shared" si="69"/>
        <v>1572.8287035654707</v>
      </c>
    </row>
    <row r="341" spans="1:19" x14ac:dyDescent="0.3">
      <c r="A341" s="65">
        <v>20190521</v>
      </c>
      <c r="B341" s="65" t="s">
        <v>88</v>
      </c>
      <c r="C341" s="139">
        <f t="shared" si="70"/>
        <v>109315879.70652108</v>
      </c>
      <c r="D341" s="139">
        <f t="shared" si="71"/>
        <v>-8.56373340402454E-3</v>
      </c>
      <c r="E341" s="66">
        <v>43150</v>
      </c>
      <c r="F341" s="16">
        <f t="shared" si="60"/>
        <v>0.3</v>
      </c>
      <c r="G341" s="16">
        <f t="shared" si="61"/>
        <v>798.60682235301033</v>
      </c>
      <c r="H341" s="66">
        <v>181000</v>
      </c>
      <c r="I341" s="16">
        <f t="shared" si="62"/>
        <v>0.15</v>
      </c>
      <c r="J341" s="16">
        <f t="shared" si="63"/>
        <v>69.451874213621352</v>
      </c>
      <c r="K341" s="66">
        <v>210208</v>
      </c>
      <c r="L341" s="16">
        <f t="shared" si="64"/>
        <v>0.15</v>
      </c>
      <c r="M341" s="16">
        <f t="shared" si="65"/>
        <v>61.993934265389122</v>
      </c>
      <c r="N341" s="66">
        <v>10370</v>
      </c>
      <c r="O341" s="16">
        <f t="shared" si="66"/>
        <v>0.1</v>
      </c>
      <c r="P341" s="16">
        <f t="shared" si="67"/>
        <v>1026.0984072065573</v>
      </c>
      <c r="Q341" s="66">
        <v>24550</v>
      </c>
      <c r="R341" s="16">
        <f t="shared" si="68"/>
        <v>0.3</v>
      </c>
      <c r="S341" s="16">
        <f t="shared" si="69"/>
        <v>1572.8287035654707</v>
      </c>
    </row>
    <row r="342" spans="1:19" x14ac:dyDescent="0.3">
      <c r="A342" s="65">
        <v>20190522</v>
      </c>
      <c r="B342" s="65" t="s">
        <v>88</v>
      </c>
      <c r="C342" s="139">
        <f t="shared" si="70"/>
        <v>110350816.49855216</v>
      </c>
      <c r="D342" s="139">
        <f t="shared" si="71"/>
        <v>9.4673966381605395E-3</v>
      </c>
      <c r="E342" s="66">
        <v>43500</v>
      </c>
      <c r="F342" s="16">
        <f t="shared" si="60"/>
        <v>0.3</v>
      </c>
      <c r="G342" s="16">
        <f t="shared" si="61"/>
        <v>798.60682235301033</v>
      </c>
      <c r="H342" s="66">
        <v>184500</v>
      </c>
      <c r="I342" s="16">
        <f t="shared" si="62"/>
        <v>0.15</v>
      </c>
      <c r="J342" s="16">
        <f t="shared" si="63"/>
        <v>69.451874213621352</v>
      </c>
      <c r="K342" s="66">
        <v>210503</v>
      </c>
      <c r="L342" s="16">
        <f t="shared" si="64"/>
        <v>0.15</v>
      </c>
      <c r="M342" s="16">
        <f t="shared" si="65"/>
        <v>61.993934265389122</v>
      </c>
      <c r="N342" s="66">
        <v>10315</v>
      </c>
      <c r="O342" s="16">
        <f t="shared" si="66"/>
        <v>0.1</v>
      </c>
      <c r="P342" s="16">
        <f t="shared" si="67"/>
        <v>1026.0984072065573</v>
      </c>
      <c r="Q342" s="66">
        <v>24900</v>
      </c>
      <c r="R342" s="16">
        <f t="shared" si="68"/>
        <v>0.3</v>
      </c>
      <c r="S342" s="16">
        <f t="shared" si="69"/>
        <v>1572.8287035654707</v>
      </c>
    </row>
    <row r="343" spans="1:19" x14ac:dyDescent="0.3">
      <c r="A343" s="65">
        <v>20190523</v>
      </c>
      <c r="B343" s="65" t="s">
        <v>88</v>
      </c>
      <c r="C343" s="139">
        <f t="shared" si="70"/>
        <v>109054165.38770017</v>
      </c>
      <c r="D343" s="139">
        <f t="shared" si="71"/>
        <v>-1.1750262952236521E-2</v>
      </c>
      <c r="E343" s="66">
        <v>43850</v>
      </c>
      <c r="F343" s="16">
        <f t="shared" si="60"/>
        <v>0.3</v>
      </c>
      <c r="G343" s="16">
        <f t="shared" si="61"/>
        <v>798.60682235301033</v>
      </c>
      <c r="H343" s="66">
        <v>180500</v>
      </c>
      <c r="I343" s="16">
        <f t="shared" si="62"/>
        <v>0.15</v>
      </c>
      <c r="J343" s="16">
        <f t="shared" si="63"/>
        <v>69.451874213621352</v>
      </c>
      <c r="K343" s="66">
        <v>199708</v>
      </c>
      <c r="L343" s="16">
        <f t="shared" si="64"/>
        <v>0.15</v>
      </c>
      <c r="M343" s="16">
        <f t="shared" si="65"/>
        <v>61.993934265389122</v>
      </c>
      <c r="N343" s="66">
        <v>10315</v>
      </c>
      <c r="O343" s="16">
        <f t="shared" si="66"/>
        <v>0.1</v>
      </c>
      <c r="P343" s="16">
        <f t="shared" si="67"/>
        <v>1026.0984072065573</v>
      </c>
      <c r="Q343" s="66">
        <v>24500</v>
      </c>
      <c r="R343" s="16">
        <f t="shared" si="68"/>
        <v>0.3</v>
      </c>
      <c r="S343" s="16">
        <f t="shared" si="69"/>
        <v>1572.8287035654707</v>
      </c>
    </row>
    <row r="344" spans="1:19" x14ac:dyDescent="0.3">
      <c r="A344" s="65">
        <v>20190524</v>
      </c>
      <c r="B344" s="65" t="s">
        <v>88</v>
      </c>
      <c r="C344" s="139">
        <f t="shared" si="70"/>
        <v>107814358.09283948</v>
      </c>
      <c r="D344" s="139">
        <f t="shared" si="71"/>
        <v>-1.1368729387392335E-2</v>
      </c>
      <c r="E344" s="66">
        <v>42700</v>
      </c>
      <c r="F344" s="16">
        <f t="shared" si="60"/>
        <v>0.3</v>
      </c>
      <c r="G344" s="16">
        <f t="shared" si="61"/>
        <v>798.60682235301033</v>
      </c>
      <c r="H344" s="66">
        <v>181000</v>
      </c>
      <c r="I344" s="16">
        <f t="shared" si="62"/>
        <v>0.15</v>
      </c>
      <c r="J344" s="16">
        <f t="shared" si="63"/>
        <v>69.451874213621352</v>
      </c>
      <c r="K344" s="66">
        <v>207559</v>
      </c>
      <c r="L344" s="16">
        <f t="shared" si="64"/>
        <v>0.15</v>
      </c>
      <c r="M344" s="16">
        <f t="shared" si="65"/>
        <v>61.993934265389122</v>
      </c>
      <c r="N344" s="66">
        <v>10260</v>
      </c>
      <c r="O344" s="16">
        <f t="shared" si="66"/>
        <v>0.1</v>
      </c>
      <c r="P344" s="16">
        <f t="shared" si="67"/>
        <v>1026.0984072065573</v>
      </c>
      <c r="Q344" s="66">
        <v>24000</v>
      </c>
      <c r="R344" s="16">
        <f t="shared" si="68"/>
        <v>0.3</v>
      </c>
      <c r="S344" s="16">
        <f t="shared" si="69"/>
        <v>1572.8287035654707</v>
      </c>
    </row>
    <row r="345" spans="1:19" x14ac:dyDescent="0.3">
      <c r="A345" s="65">
        <v>20190527</v>
      </c>
      <c r="B345" s="65" t="s">
        <v>88</v>
      </c>
      <c r="C345" s="139">
        <f t="shared" si="70"/>
        <v>106460806.34415549</v>
      </c>
      <c r="D345" s="139">
        <f t="shared" si="71"/>
        <v>-1.2554466516588068E-2</v>
      </c>
      <c r="E345" s="66">
        <v>42650</v>
      </c>
      <c r="F345" s="16">
        <f t="shared" si="60"/>
        <v>0.3</v>
      </c>
      <c r="G345" s="16">
        <f t="shared" si="61"/>
        <v>798.60682235301033</v>
      </c>
      <c r="H345" s="66">
        <v>174000</v>
      </c>
      <c r="I345" s="16">
        <f t="shared" si="62"/>
        <v>0.15</v>
      </c>
      <c r="J345" s="16">
        <f t="shared" si="63"/>
        <v>69.451874213621352</v>
      </c>
      <c r="K345" s="66">
        <v>207559</v>
      </c>
      <c r="L345" s="16">
        <f t="shared" si="64"/>
        <v>0.15</v>
      </c>
      <c r="M345" s="16">
        <f t="shared" si="65"/>
        <v>61.993934265389122</v>
      </c>
      <c r="N345" s="66">
        <v>10220</v>
      </c>
      <c r="O345" s="16">
        <f t="shared" si="66"/>
        <v>0.1</v>
      </c>
      <c r="P345" s="16">
        <f t="shared" si="67"/>
        <v>1026.0984072065573</v>
      </c>
      <c r="Q345" s="66">
        <v>23500</v>
      </c>
      <c r="R345" s="16">
        <f t="shared" si="68"/>
        <v>0.3</v>
      </c>
      <c r="S345" s="16">
        <f t="shared" si="69"/>
        <v>1572.8287035654707</v>
      </c>
    </row>
    <row r="346" spans="1:19" x14ac:dyDescent="0.3">
      <c r="A346" s="65">
        <v>20190528</v>
      </c>
      <c r="B346" s="65" t="s">
        <v>88</v>
      </c>
      <c r="C346" s="139">
        <f t="shared" si="70"/>
        <v>107033890.72514066</v>
      </c>
      <c r="D346" s="139">
        <f t="shared" si="71"/>
        <v>5.3830550478132077E-3</v>
      </c>
      <c r="E346" s="66">
        <v>42550</v>
      </c>
      <c r="F346" s="16">
        <f t="shared" si="60"/>
        <v>0.3</v>
      </c>
      <c r="G346" s="16">
        <f t="shared" si="61"/>
        <v>798.60682235301033</v>
      </c>
      <c r="H346" s="66">
        <v>186000</v>
      </c>
      <c r="I346" s="16">
        <f t="shared" si="62"/>
        <v>0.15</v>
      </c>
      <c r="J346" s="16">
        <f t="shared" si="63"/>
        <v>69.451874213621352</v>
      </c>
      <c r="K346" s="66">
        <v>214134</v>
      </c>
      <c r="L346" s="16">
        <f t="shared" si="64"/>
        <v>0.15</v>
      </c>
      <c r="M346" s="16">
        <f t="shared" si="65"/>
        <v>61.993934265389122</v>
      </c>
      <c r="N346" s="66">
        <v>10260</v>
      </c>
      <c r="O346" s="16">
        <f t="shared" si="66"/>
        <v>0.1</v>
      </c>
      <c r="P346" s="16">
        <f t="shared" si="67"/>
        <v>1026.0984072065573</v>
      </c>
      <c r="Q346" s="66">
        <v>23100</v>
      </c>
      <c r="R346" s="16">
        <f t="shared" si="68"/>
        <v>0.3</v>
      </c>
      <c r="S346" s="16">
        <f t="shared" si="69"/>
        <v>1572.8287035654707</v>
      </c>
    </row>
    <row r="347" spans="1:19" x14ac:dyDescent="0.3">
      <c r="A347" s="65">
        <v>20190529</v>
      </c>
      <c r="B347" s="65" t="s">
        <v>88</v>
      </c>
      <c r="C347" s="139">
        <f t="shared" si="70"/>
        <v>103973722.66072887</v>
      </c>
      <c r="D347" s="139">
        <f t="shared" si="71"/>
        <v>-2.8590645856929515E-2</v>
      </c>
      <c r="E347" s="66">
        <v>41800</v>
      </c>
      <c r="F347" s="16">
        <f t="shared" si="60"/>
        <v>0.3</v>
      </c>
      <c r="G347" s="16">
        <f t="shared" si="61"/>
        <v>798.60682235301033</v>
      </c>
      <c r="H347" s="66">
        <v>185500</v>
      </c>
      <c r="I347" s="16">
        <f t="shared" si="62"/>
        <v>0.15</v>
      </c>
      <c r="J347" s="16">
        <f t="shared" si="63"/>
        <v>69.451874213621352</v>
      </c>
      <c r="K347" s="66">
        <v>184398</v>
      </c>
      <c r="L347" s="16">
        <f t="shared" si="64"/>
        <v>0.15</v>
      </c>
      <c r="M347" s="16">
        <f t="shared" si="65"/>
        <v>61.993934265389122</v>
      </c>
      <c r="N347" s="66">
        <v>10075</v>
      </c>
      <c r="O347" s="16">
        <f t="shared" si="66"/>
        <v>0.1</v>
      </c>
      <c r="P347" s="16">
        <f t="shared" si="67"/>
        <v>1026.0984072065573</v>
      </c>
      <c r="Q347" s="66">
        <v>22850</v>
      </c>
      <c r="R347" s="16">
        <f t="shared" si="68"/>
        <v>0.3</v>
      </c>
      <c r="S347" s="16">
        <f t="shared" si="69"/>
        <v>1572.8287035654707</v>
      </c>
    </row>
    <row r="348" spans="1:19" x14ac:dyDescent="0.3">
      <c r="A348" s="65">
        <v>20190530</v>
      </c>
      <c r="B348" s="65" t="s">
        <v>88</v>
      </c>
      <c r="C348" s="139">
        <f t="shared" si="70"/>
        <v>103914307.49003759</v>
      </c>
      <c r="D348" s="139">
        <f t="shared" si="71"/>
        <v>-5.7144410309474102E-4</v>
      </c>
      <c r="E348" s="66">
        <v>42550</v>
      </c>
      <c r="F348" s="16">
        <f t="shared" si="60"/>
        <v>0.3</v>
      </c>
      <c r="G348" s="16">
        <f t="shared" si="61"/>
        <v>798.60682235301033</v>
      </c>
      <c r="H348" s="66">
        <v>186000</v>
      </c>
      <c r="I348" s="16">
        <f t="shared" si="62"/>
        <v>0.15</v>
      </c>
      <c r="J348" s="16">
        <f t="shared" si="63"/>
        <v>69.451874213621352</v>
      </c>
      <c r="K348" s="66">
        <v>180277</v>
      </c>
      <c r="L348" s="16">
        <f t="shared" si="64"/>
        <v>0.15</v>
      </c>
      <c r="M348" s="16">
        <f t="shared" si="65"/>
        <v>61.993934265389122</v>
      </c>
      <c r="N348" s="66">
        <v>10185</v>
      </c>
      <c r="O348" s="16">
        <f t="shared" si="66"/>
        <v>0.1</v>
      </c>
      <c r="P348" s="16">
        <f t="shared" si="67"/>
        <v>1026.0984072065573</v>
      </c>
      <c r="Q348" s="66">
        <v>22500</v>
      </c>
      <c r="R348" s="16">
        <f t="shared" si="68"/>
        <v>0.3</v>
      </c>
      <c r="S348" s="16">
        <f t="shared" si="69"/>
        <v>1572.8287035654707</v>
      </c>
    </row>
    <row r="349" spans="1:19" x14ac:dyDescent="0.3">
      <c r="A349" s="65">
        <v>20190531</v>
      </c>
      <c r="B349" s="65" t="s">
        <v>88</v>
      </c>
      <c r="C349" s="139">
        <f t="shared" si="70"/>
        <v>106068672.0038338</v>
      </c>
      <c r="D349" s="139">
        <f t="shared" si="71"/>
        <v>2.073212597796268E-2</v>
      </c>
      <c r="E349" s="66">
        <v>42500</v>
      </c>
      <c r="F349" s="16">
        <f t="shared" si="60"/>
        <v>0.3</v>
      </c>
      <c r="G349" s="16">
        <f t="shared" si="61"/>
        <v>798.60682235301033</v>
      </c>
      <c r="H349" s="66">
        <v>190000</v>
      </c>
      <c r="I349" s="16">
        <f t="shared" si="62"/>
        <v>0.15</v>
      </c>
      <c r="J349" s="16">
        <f t="shared" si="63"/>
        <v>69.451874213621352</v>
      </c>
      <c r="K349" s="66">
        <v>191170</v>
      </c>
      <c r="L349" s="16">
        <f t="shared" si="64"/>
        <v>0.15</v>
      </c>
      <c r="M349" s="16">
        <f t="shared" si="65"/>
        <v>61.993934265389122</v>
      </c>
      <c r="N349" s="66">
        <v>10245</v>
      </c>
      <c r="O349" s="16">
        <f t="shared" si="66"/>
        <v>0.1</v>
      </c>
      <c r="P349" s="16">
        <f t="shared" si="67"/>
        <v>1026.0984072065573</v>
      </c>
      <c r="Q349" s="66">
        <v>23250</v>
      </c>
      <c r="R349" s="16">
        <f t="shared" si="68"/>
        <v>0.3</v>
      </c>
      <c r="S349" s="16">
        <f t="shared" si="69"/>
        <v>1572.8287035654707</v>
      </c>
    </row>
    <row r="350" spans="1:19" x14ac:dyDescent="0.3">
      <c r="A350" s="65">
        <v>20190603</v>
      </c>
      <c r="B350" s="65" t="s">
        <v>88</v>
      </c>
      <c r="C350" s="139">
        <f t="shared" si="70"/>
        <v>107047337.24915789</v>
      </c>
      <c r="D350" s="139">
        <f t="shared" si="71"/>
        <v>9.2267134756690156E-3</v>
      </c>
      <c r="E350" s="66">
        <v>43800</v>
      </c>
      <c r="F350" s="16">
        <f t="shared" si="60"/>
        <v>0.3</v>
      </c>
      <c r="G350" s="16">
        <f t="shared" si="61"/>
        <v>798.60682235301033</v>
      </c>
      <c r="H350" s="66">
        <v>193000</v>
      </c>
      <c r="I350" s="16">
        <f t="shared" si="62"/>
        <v>0.15</v>
      </c>
      <c r="J350" s="16">
        <f t="shared" si="63"/>
        <v>69.451874213621352</v>
      </c>
      <c r="K350" s="66">
        <v>186655</v>
      </c>
      <c r="L350" s="16">
        <f t="shared" si="64"/>
        <v>0.15</v>
      </c>
      <c r="M350" s="16">
        <f t="shared" si="65"/>
        <v>61.993934265389122</v>
      </c>
      <c r="N350" s="66">
        <v>10410</v>
      </c>
      <c r="O350" s="16">
        <f t="shared" si="66"/>
        <v>0.1</v>
      </c>
      <c r="P350" s="16">
        <f t="shared" si="67"/>
        <v>1026.0984072065573</v>
      </c>
      <c r="Q350" s="66">
        <v>23150</v>
      </c>
      <c r="R350" s="16">
        <f t="shared" si="68"/>
        <v>0.3</v>
      </c>
      <c r="S350" s="16">
        <f t="shared" si="69"/>
        <v>1572.8287035654707</v>
      </c>
    </row>
    <row r="351" spans="1:19" x14ac:dyDescent="0.3">
      <c r="A351" s="65">
        <v>20190604</v>
      </c>
      <c r="B351" s="65" t="s">
        <v>88</v>
      </c>
      <c r="C351" s="139">
        <f t="shared" si="70"/>
        <v>106800727.48179516</v>
      </c>
      <c r="D351" s="139">
        <f t="shared" si="71"/>
        <v>-2.3037449945039964E-3</v>
      </c>
      <c r="E351" s="66">
        <v>43450</v>
      </c>
      <c r="F351" s="16">
        <f t="shared" si="60"/>
        <v>0.3</v>
      </c>
      <c r="G351" s="16">
        <f t="shared" si="61"/>
        <v>798.60682235301033</v>
      </c>
      <c r="H351" s="66">
        <v>195500</v>
      </c>
      <c r="I351" s="16">
        <f t="shared" si="62"/>
        <v>0.15</v>
      </c>
      <c r="J351" s="16">
        <f t="shared" si="63"/>
        <v>69.451874213621352</v>
      </c>
      <c r="K351" s="66">
        <v>183613</v>
      </c>
      <c r="L351" s="16">
        <f t="shared" si="64"/>
        <v>0.15</v>
      </c>
      <c r="M351" s="16">
        <f t="shared" si="65"/>
        <v>61.993934265389122</v>
      </c>
      <c r="N351" s="66">
        <v>10380</v>
      </c>
      <c r="O351" s="16">
        <f t="shared" si="66"/>
        <v>0.1</v>
      </c>
      <c r="P351" s="16">
        <f t="shared" si="67"/>
        <v>1026.0984072065573</v>
      </c>
      <c r="Q351" s="66">
        <v>23200</v>
      </c>
      <c r="R351" s="16">
        <f t="shared" si="68"/>
        <v>0.3</v>
      </c>
      <c r="S351" s="16">
        <f t="shared" si="69"/>
        <v>1572.8287035654707</v>
      </c>
    </row>
    <row r="352" spans="1:19" x14ac:dyDescent="0.3">
      <c r="A352" s="65">
        <v>20190605</v>
      </c>
      <c r="B352" s="65" t="s">
        <v>88</v>
      </c>
      <c r="C352" s="139">
        <f t="shared" si="70"/>
        <v>106614360.24593297</v>
      </c>
      <c r="D352" s="139">
        <f t="shared" si="71"/>
        <v>-1.7449996854559155E-3</v>
      </c>
      <c r="E352" s="66">
        <v>43900</v>
      </c>
      <c r="F352" s="16">
        <f t="shared" si="60"/>
        <v>0.3</v>
      </c>
      <c r="G352" s="16">
        <f t="shared" si="61"/>
        <v>798.60682235301033</v>
      </c>
      <c r="H352" s="66">
        <v>196000</v>
      </c>
      <c r="I352" s="16">
        <f t="shared" si="62"/>
        <v>0.15</v>
      </c>
      <c r="J352" s="16">
        <f t="shared" si="63"/>
        <v>69.451874213621352</v>
      </c>
      <c r="K352" s="66">
        <v>184398</v>
      </c>
      <c r="L352" s="16">
        <f t="shared" si="64"/>
        <v>0.15</v>
      </c>
      <c r="M352" s="16">
        <f t="shared" si="65"/>
        <v>61.993934265389122</v>
      </c>
      <c r="N352" s="66">
        <v>10380</v>
      </c>
      <c r="O352" s="16">
        <f t="shared" si="66"/>
        <v>0.1</v>
      </c>
      <c r="P352" s="16">
        <f t="shared" si="67"/>
        <v>1026.0984072065573</v>
      </c>
      <c r="Q352" s="66">
        <v>22800</v>
      </c>
      <c r="R352" s="16">
        <f t="shared" si="68"/>
        <v>0.3</v>
      </c>
      <c r="S352" s="16">
        <f t="shared" si="69"/>
        <v>1572.8287035654707</v>
      </c>
    </row>
    <row r="353" spans="1:19" x14ac:dyDescent="0.3">
      <c r="A353" s="65">
        <v>20190607</v>
      </c>
      <c r="B353" s="65" t="s">
        <v>88</v>
      </c>
      <c r="C353" s="139">
        <f t="shared" si="70"/>
        <v>107006038.58610886</v>
      </c>
      <c r="D353" s="139">
        <f t="shared" si="71"/>
        <v>3.6737859634705101E-3</v>
      </c>
      <c r="E353" s="66">
        <v>44200</v>
      </c>
      <c r="F353" s="16">
        <f t="shared" si="60"/>
        <v>0.3</v>
      </c>
      <c r="G353" s="16">
        <f t="shared" si="61"/>
        <v>798.60682235301033</v>
      </c>
      <c r="H353" s="66">
        <v>196500</v>
      </c>
      <c r="I353" s="16">
        <f t="shared" si="62"/>
        <v>0.15</v>
      </c>
      <c r="J353" s="16">
        <f t="shared" si="63"/>
        <v>69.451874213621352</v>
      </c>
      <c r="K353" s="66">
        <v>187146</v>
      </c>
      <c r="L353" s="16">
        <f t="shared" si="64"/>
        <v>0.15</v>
      </c>
      <c r="M353" s="16">
        <f t="shared" si="65"/>
        <v>61.993934265389122</v>
      </c>
      <c r="N353" s="66">
        <v>10405</v>
      </c>
      <c r="O353" s="16">
        <f t="shared" si="66"/>
        <v>0.1</v>
      </c>
      <c r="P353" s="16">
        <f t="shared" si="67"/>
        <v>1026.0984072065573</v>
      </c>
      <c r="Q353" s="66">
        <v>22750</v>
      </c>
      <c r="R353" s="16">
        <f t="shared" si="68"/>
        <v>0.3</v>
      </c>
      <c r="S353" s="16">
        <f t="shared" si="69"/>
        <v>1572.8287035654707</v>
      </c>
    </row>
    <row r="354" spans="1:19" x14ac:dyDescent="0.3">
      <c r="A354" s="65">
        <v>20190610</v>
      </c>
      <c r="B354" s="65" t="s">
        <v>88</v>
      </c>
      <c r="C354" s="139">
        <f t="shared" si="70"/>
        <v>107214974.40723881</v>
      </c>
      <c r="D354" s="139">
        <f t="shared" si="71"/>
        <v>1.9525610319815277E-3</v>
      </c>
      <c r="E354" s="66">
        <v>44800</v>
      </c>
      <c r="F354" s="16">
        <f t="shared" si="60"/>
        <v>0.3</v>
      </c>
      <c r="G354" s="16">
        <f t="shared" si="61"/>
        <v>798.60682235301033</v>
      </c>
      <c r="H354" s="66">
        <v>198500</v>
      </c>
      <c r="I354" s="16">
        <f t="shared" si="62"/>
        <v>0.15</v>
      </c>
      <c r="J354" s="16">
        <f t="shared" si="63"/>
        <v>69.451874213621352</v>
      </c>
      <c r="K354" s="66">
        <v>187440</v>
      </c>
      <c r="L354" s="16">
        <f t="shared" si="64"/>
        <v>0.15</v>
      </c>
      <c r="M354" s="16">
        <f t="shared" si="65"/>
        <v>61.993934265389122</v>
      </c>
      <c r="N354" s="66">
        <v>10525</v>
      </c>
      <c r="O354" s="16">
        <f t="shared" si="66"/>
        <v>0.1</v>
      </c>
      <c r="P354" s="16">
        <f t="shared" si="67"/>
        <v>1026.0984072065573</v>
      </c>
      <c r="Q354" s="66">
        <v>22400</v>
      </c>
      <c r="R354" s="16">
        <f t="shared" si="68"/>
        <v>0.3</v>
      </c>
      <c r="S354" s="16">
        <f t="shared" si="69"/>
        <v>1572.8287035654707</v>
      </c>
    </row>
    <row r="355" spans="1:19" x14ac:dyDescent="0.3">
      <c r="A355" s="65">
        <v>20190611</v>
      </c>
      <c r="B355" s="65" t="s">
        <v>88</v>
      </c>
      <c r="C355" s="139">
        <f t="shared" si="70"/>
        <v>108955883.29486689</v>
      </c>
      <c r="D355" s="139">
        <f t="shared" si="71"/>
        <v>1.6237553543738362E-2</v>
      </c>
      <c r="E355" s="66">
        <v>44850</v>
      </c>
      <c r="F355" s="16">
        <f t="shared" si="60"/>
        <v>0.3</v>
      </c>
      <c r="G355" s="16">
        <f t="shared" si="61"/>
        <v>798.60682235301033</v>
      </c>
      <c r="H355" s="66">
        <v>202000</v>
      </c>
      <c r="I355" s="16">
        <f t="shared" si="62"/>
        <v>0.15</v>
      </c>
      <c r="J355" s="16">
        <f t="shared" si="63"/>
        <v>69.451874213621352</v>
      </c>
      <c r="K355" s="66">
        <v>193721</v>
      </c>
      <c r="L355" s="16">
        <f t="shared" si="64"/>
        <v>0.15</v>
      </c>
      <c r="M355" s="16">
        <f t="shared" si="65"/>
        <v>61.993934265389122</v>
      </c>
      <c r="N355" s="66">
        <v>10570</v>
      </c>
      <c r="O355" s="16">
        <f t="shared" si="66"/>
        <v>0.1</v>
      </c>
      <c r="P355" s="16">
        <f t="shared" si="67"/>
        <v>1026.0984072065573</v>
      </c>
      <c r="Q355" s="66">
        <v>23050</v>
      </c>
      <c r="R355" s="16">
        <f t="shared" si="68"/>
        <v>0.3</v>
      </c>
      <c r="S355" s="16">
        <f t="shared" si="69"/>
        <v>1572.8287035654707</v>
      </c>
    </row>
    <row r="356" spans="1:19" x14ac:dyDescent="0.3">
      <c r="A356" s="65">
        <v>20190612</v>
      </c>
      <c r="B356" s="65" t="s">
        <v>88</v>
      </c>
      <c r="C356" s="139">
        <f t="shared" si="70"/>
        <v>108211019.80303222</v>
      </c>
      <c r="D356" s="139">
        <f t="shared" si="71"/>
        <v>-6.836376974879356E-3</v>
      </c>
      <c r="E356" s="66">
        <v>44600</v>
      </c>
      <c r="F356" s="16">
        <f t="shared" si="60"/>
        <v>0.3</v>
      </c>
      <c r="G356" s="16">
        <f t="shared" si="61"/>
        <v>798.60682235301033</v>
      </c>
      <c r="H356" s="66">
        <v>204000</v>
      </c>
      <c r="I356" s="16">
        <f t="shared" si="62"/>
        <v>0.15</v>
      </c>
      <c r="J356" s="16">
        <f t="shared" si="63"/>
        <v>69.451874213621352</v>
      </c>
      <c r="K356" s="66">
        <v>188422</v>
      </c>
      <c r="L356" s="16">
        <f t="shared" si="64"/>
        <v>0.15</v>
      </c>
      <c r="M356" s="16">
        <f t="shared" si="65"/>
        <v>61.993934265389122</v>
      </c>
      <c r="N356" s="66">
        <v>10530</v>
      </c>
      <c r="O356" s="16">
        <f t="shared" si="66"/>
        <v>0.1</v>
      </c>
      <c r="P356" s="16">
        <f t="shared" si="67"/>
        <v>1026.0984072065573</v>
      </c>
      <c r="Q356" s="66">
        <v>22850</v>
      </c>
      <c r="R356" s="16">
        <f t="shared" si="68"/>
        <v>0.3</v>
      </c>
      <c r="S356" s="16">
        <f t="shared" si="69"/>
        <v>1572.8287035654707</v>
      </c>
    </row>
    <row r="357" spans="1:19" x14ac:dyDescent="0.3">
      <c r="A357" s="65">
        <v>20190613</v>
      </c>
      <c r="B357" s="65" t="s">
        <v>88</v>
      </c>
      <c r="C357" s="139">
        <f t="shared" si="70"/>
        <v>110069501.81838265</v>
      </c>
      <c r="D357" s="139">
        <f t="shared" si="71"/>
        <v>1.7174609561330038E-2</v>
      </c>
      <c r="E357" s="66">
        <v>43750</v>
      </c>
      <c r="F357" s="16">
        <f t="shared" si="60"/>
        <v>0.3</v>
      </c>
      <c r="G357" s="16">
        <f t="shared" si="61"/>
        <v>798.60682235301033</v>
      </c>
      <c r="H357" s="66">
        <v>207000</v>
      </c>
      <c r="I357" s="16">
        <f t="shared" si="62"/>
        <v>0.15</v>
      </c>
      <c r="J357" s="16">
        <f t="shared" si="63"/>
        <v>69.451874213621352</v>
      </c>
      <c r="K357" s="66">
        <v>187244</v>
      </c>
      <c r="L357" s="16">
        <f t="shared" si="64"/>
        <v>0.15</v>
      </c>
      <c r="M357" s="16">
        <f t="shared" si="65"/>
        <v>61.993934265389122</v>
      </c>
      <c r="N357" s="66">
        <v>10495</v>
      </c>
      <c r="O357" s="16">
        <f t="shared" si="66"/>
        <v>0.1</v>
      </c>
      <c r="P357" s="16">
        <f t="shared" si="67"/>
        <v>1026.0984072065573</v>
      </c>
      <c r="Q357" s="66">
        <v>24400</v>
      </c>
      <c r="R357" s="16">
        <f t="shared" si="68"/>
        <v>0.3</v>
      </c>
      <c r="S357" s="16">
        <f t="shared" si="69"/>
        <v>1572.8287035654707</v>
      </c>
    </row>
    <row r="358" spans="1:19" x14ac:dyDescent="0.3">
      <c r="A358" s="65">
        <v>20190614</v>
      </c>
      <c r="B358" s="65" t="s">
        <v>88</v>
      </c>
      <c r="C358" s="139">
        <f t="shared" si="70"/>
        <v>110099366.70941186</v>
      </c>
      <c r="D358" s="139">
        <f t="shared" si="71"/>
        <v>2.7132757517597101E-4</v>
      </c>
      <c r="E358" s="66">
        <v>44000</v>
      </c>
      <c r="F358" s="16">
        <f t="shared" si="60"/>
        <v>0.3</v>
      </c>
      <c r="G358" s="16">
        <f t="shared" si="61"/>
        <v>798.60682235301033</v>
      </c>
      <c r="H358" s="66">
        <v>201000</v>
      </c>
      <c r="I358" s="16">
        <f t="shared" si="62"/>
        <v>0.15</v>
      </c>
      <c r="J358" s="16">
        <f t="shared" si="63"/>
        <v>69.451874213621352</v>
      </c>
      <c r="K358" s="66">
        <v>187146</v>
      </c>
      <c r="L358" s="16">
        <f t="shared" si="64"/>
        <v>0.15</v>
      </c>
      <c r="M358" s="16">
        <f t="shared" si="65"/>
        <v>61.993934265389122</v>
      </c>
      <c r="N358" s="66">
        <v>10435</v>
      </c>
      <c r="O358" s="16">
        <f t="shared" si="66"/>
        <v>0.1</v>
      </c>
      <c r="P358" s="16">
        <f t="shared" si="67"/>
        <v>1026.0984072065573</v>
      </c>
      <c r="Q358" s="66">
        <v>24600</v>
      </c>
      <c r="R358" s="16">
        <f t="shared" si="68"/>
        <v>0.3</v>
      </c>
      <c r="S358" s="16">
        <f t="shared" si="69"/>
        <v>1572.8287035654707</v>
      </c>
    </row>
    <row r="359" spans="1:19" x14ac:dyDescent="0.3">
      <c r="A359" s="65">
        <v>20190617</v>
      </c>
      <c r="B359" s="65" t="s">
        <v>88</v>
      </c>
      <c r="C359" s="139">
        <f t="shared" si="70"/>
        <v>109151509.84115905</v>
      </c>
      <c r="D359" s="139">
        <f t="shared" si="71"/>
        <v>-8.6091037267681768E-3</v>
      </c>
      <c r="E359" s="66">
        <v>43900</v>
      </c>
      <c r="F359" s="16">
        <f t="shared" si="60"/>
        <v>0.3</v>
      </c>
      <c r="G359" s="16">
        <f t="shared" si="61"/>
        <v>798.60682235301033</v>
      </c>
      <c r="H359" s="66">
        <v>205000</v>
      </c>
      <c r="I359" s="16">
        <f t="shared" si="62"/>
        <v>0.15</v>
      </c>
      <c r="J359" s="16">
        <f t="shared" si="63"/>
        <v>69.451874213621352</v>
      </c>
      <c r="K359" s="66">
        <v>186754</v>
      </c>
      <c r="L359" s="16">
        <f t="shared" si="64"/>
        <v>0.15</v>
      </c>
      <c r="M359" s="16">
        <f t="shared" si="65"/>
        <v>61.993934265389122</v>
      </c>
      <c r="N359" s="66">
        <v>10415</v>
      </c>
      <c r="O359" s="16">
        <f t="shared" si="66"/>
        <v>0.1</v>
      </c>
      <c r="P359" s="16">
        <f t="shared" si="67"/>
        <v>1026.0984072065573</v>
      </c>
      <c r="Q359" s="66">
        <v>23900</v>
      </c>
      <c r="R359" s="16">
        <f t="shared" si="68"/>
        <v>0.3</v>
      </c>
      <c r="S359" s="16">
        <f t="shared" si="69"/>
        <v>1572.8287035654707</v>
      </c>
    </row>
    <row r="360" spans="1:19" x14ac:dyDescent="0.3">
      <c r="A360" s="65">
        <v>20190618</v>
      </c>
      <c r="B360" s="65" t="s">
        <v>88</v>
      </c>
      <c r="C360" s="139">
        <f t="shared" si="70"/>
        <v>107647325.22560647</v>
      </c>
      <c r="D360" s="139">
        <f t="shared" si="71"/>
        <v>-1.3780703700219214E-2</v>
      </c>
      <c r="E360" s="66">
        <v>44350</v>
      </c>
      <c r="F360" s="16">
        <f t="shared" si="60"/>
        <v>0.3</v>
      </c>
      <c r="G360" s="16">
        <f t="shared" si="61"/>
        <v>798.60682235301033</v>
      </c>
      <c r="H360" s="66">
        <v>208000</v>
      </c>
      <c r="I360" s="16">
        <f t="shared" si="62"/>
        <v>0.15</v>
      </c>
      <c r="J360" s="16">
        <f t="shared" si="63"/>
        <v>69.451874213621352</v>
      </c>
      <c r="K360" s="66">
        <v>181847</v>
      </c>
      <c r="L360" s="16">
        <f t="shared" si="64"/>
        <v>0.15</v>
      </c>
      <c r="M360" s="16">
        <f t="shared" si="65"/>
        <v>61.993934265389122</v>
      </c>
      <c r="N360" s="66">
        <v>10455</v>
      </c>
      <c r="O360" s="16">
        <f t="shared" si="66"/>
        <v>0.1</v>
      </c>
      <c r="P360" s="16">
        <f t="shared" si="67"/>
        <v>1026.0984072065573</v>
      </c>
      <c r="Q360" s="66">
        <v>22750</v>
      </c>
      <c r="R360" s="16">
        <f t="shared" si="68"/>
        <v>0.3</v>
      </c>
      <c r="S360" s="16">
        <f t="shared" si="69"/>
        <v>1572.8287035654707</v>
      </c>
    </row>
    <row r="361" spans="1:19" x14ac:dyDescent="0.3">
      <c r="A361" s="65">
        <v>20190619</v>
      </c>
      <c r="B361" s="65" t="s">
        <v>88</v>
      </c>
      <c r="C361" s="139">
        <f t="shared" si="70"/>
        <v>109628698.11685824</v>
      </c>
      <c r="D361" s="139">
        <f t="shared" si="71"/>
        <v>1.8406150706478084E-2</v>
      </c>
      <c r="E361" s="66">
        <v>45350</v>
      </c>
      <c r="F361" s="16">
        <f t="shared" si="60"/>
        <v>0.3</v>
      </c>
      <c r="G361" s="16">
        <f t="shared" si="61"/>
        <v>798.60682235301033</v>
      </c>
      <c r="H361" s="66">
        <v>211500</v>
      </c>
      <c r="I361" s="16">
        <f t="shared" si="62"/>
        <v>0.15</v>
      </c>
      <c r="J361" s="16">
        <f t="shared" si="63"/>
        <v>69.451874213621352</v>
      </c>
      <c r="K361" s="66">
        <v>187931</v>
      </c>
      <c r="L361" s="16">
        <f t="shared" si="64"/>
        <v>0.15</v>
      </c>
      <c r="M361" s="16">
        <f t="shared" si="65"/>
        <v>61.993934265389122</v>
      </c>
      <c r="N361" s="66">
        <v>10620</v>
      </c>
      <c r="O361" s="16">
        <f t="shared" si="66"/>
        <v>0.1</v>
      </c>
      <c r="P361" s="16">
        <f t="shared" si="67"/>
        <v>1026.0984072065573</v>
      </c>
      <c r="Q361" s="66">
        <v>23000</v>
      </c>
      <c r="R361" s="16">
        <f t="shared" si="68"/>
        <v>0.3</v>
      </c>
      <c r="S361" s="16">
        <f t="shared" si="69"/>
        <v>1572.8287035654707</v>
      </c>
    </row>
    <row r="362" spans="1:19" x14ac:dyDescent="0.3">
      <c r="A362" s="65">
        <v>20190620</v>
      </c>
      <c r="B362" s="65" t="s">
        <v>88</v>
      </c>
      <c r="C362" s="139">
        <f t="shared" si="70"/>
        <v>111510720.57279566</v>
      </c>
      <c r="D362" s="139">
        <f t="shared" si="71"/>
        <v>1.7167242594920553E-2</v>
      </c>
      <c r="E362" s="66">
        <v>45500</v>
      </c>
      <c r="F362" s="16">
        <f t="shared" si="60"/>
        <v>0.3</v>
      </c>
      <c r="G362" s="16">
        <f t="shared" si="61"/>
        <v>798.60682235301033</v>
      </c>
      <c r="H362" s="66">
        <v>214000</v>
      </c>
      <c r="I362" s="16">
        <f t="shared" si="62"/>
        <v>0.15</v>
      </c>
      <c r="J362" s="16">
        <f t="shared" si="63"/>
        <v>69.451874213621352</v>
      </c>
      <c r="K362" s="66">
        <v>191660</v>
      </c>
      <c r="L362" s="16">
        <f t="shared" si="64"/>
        <v>0.15</v>
      </c>
      <c r="M362" s="16">
        <f t="shared" si="65"/>
        <v>61.993934265389122</v>
      </c>
      <c r="N362" s="66">
        <v>10640</v>
      </c>
      <c r="O362" s="16">
        <f t="shared" si="66"/>
        <v>0.1</v>
      </c>
      <c r="P362" s="16">
        <f t="shared" si="67"/>
        <v>1026.0984072065573</v>
      </c>
      <c r="Q362" s="66">
        <v>23850</v>
      </c>
      <c r="R362" s="16">
        <f t="shared" si="68"/>
        <v>0.3</v>
      </c>
      <c r="S362" s="16">
        <f t="shared" si="69"/>
        <v>1572.8287035654707</v>
      </c>
    </row>
    <row r="363" spans="1:19" x14ac:dyDescent="0.3">
      <c r="A363" s="65">
        <v>20190621</v>
      </c>
      <c r="B363" s="65" t="s">
        <v>88</v>
      </c>
      <c r="C363" s="139">
        <f t="shared" si="70"/>
        <v>110891789.3286809</v>
      </c>
      <c r="D363" s="139">
        <f t="shared" si="71"/>
        <v>-5.550419196786646E-3</v>
      </c>
      <c r="E363" s="66">
        <v>45700</v>
      </c>
      <c r="F363" s="16">
        <f t="shared" si="60"/>
        <v>0.3</v>
      </c>
      <c r="G363" s="16">
        <f t="shared" si="61"/>
        <v>798.60682235301033</v>
      </c>
      <c r="H363" s="66">
        <v>212500</v>
      </c>
      <c r="I363" s="16">
        <f t="shared" si="62"/>
        <v>0.15</v>
      </c>
      <c r="J363" s="16">
        <f t="shared" si="63"/>
        <v>69.451874213621352</v>
      </c>
      <c r="K363" s="66">
        <v>188226</v>
      </c>
      <c r="L363" s="16">
        <f t="shared" si="64"/>
        <v>0.15</v>
      </c>
      <c r="M363" s="16">
        <f t="shared" si="65"/>
        <v>61.993934265389122</v>
      </c>
      <c r="N363" s="66">
        <v>10650</v>
      </c>
      <c r="O363" s="16">
        <f t="shared" si="66"/>
        <v>0.1</v>
      </c>
      <c r="P363" s="16">
        <f t="shared" si="67"/>
        <v>1026.0984072065573</v>
      </c>
      <c r="Q363" s="66">
        <v>23550</v>
      </c>
      <c r="R363" s="16">
        <f t="shared" si="68"/>
        <v>0.3</v>
      </c>
      <c r="S363" s="16">
        <f t="shared" si="69"/>
        <v>1572.8287035654707</v>
      </c>
    </row>
    <row r="364" spans="1:19" x14ac:dyDescent="0.3">
      <c r="A364" s="65">
        <v>20190624</v>
      </c>
      <c r="B364" s="65" t="s">
        <v>88</v>
      </c>
      <c r="C364" s="139">
        <f t="shared" si="70"/>
        <v>109559629.31462497</v>
      </c>
      <c r="D364" s="139">
        <f t="shared" si="71"/>
        <v>-1.2013152841347375E-2</v>
      </c>
      <c r="E364" s="66">
        <v>45500</v>
      </c>
      <c r="F364" s="16">
        <f t="shared" si="60"/>
        <v>0.3</v>
      </c>
      <c r="G364" s="16">
        <f t="shared" si="61"/>
        <v>798.60682235301033</v>
      </c>
      <c r="H364" s="66">
        <v>208500</v>
      </c>
      <c r="I364" s="16">
        <f t="shared" si="62"/>
        <v>0.15</v>
      </c>
      <c r="J364" s="16">
        <f t="shared" si="63"/>
        <v>69.451874213621352</v>
      </c>
      <c r="K364" s="66">
        <v>190286</v>
      </c>
      <c r="L364" s="16">
        <f t="shared" si="64"/>
        <v>0.15</v>
      </c>
      <c r="M364" s="16">
        <f t="shared" si="65"/>
        <v>61.993934265389122</v>
      </c>
      <c r="N364" s="66">
        <v>10650</v>
      </c>
      <c r="O364" s="16">
        <f t="shared" si="66"/>
        <v>0.1</v>
      </c>
      <c r="P364" s="16">
        <f t="shared" si="67"/>
        <v>1026.0984072065573</v>
      </c>
      <c r="Q364" s="66">
        <v>22900</v>
      </c>
      <c r="R364" s="16">
        <f t="shared" si="68"/>
        <v>0.3</v>
      </c>
      <c r="S364" s="16">
        <f t="shared" si="69"/>
        <v>1572.8287035654707</v>
      </c>
    </row>
    <row r="365" spans="1:19" x14ac:dyDescent="0.3">
      <c r="A365" s="65">
        <v>20190625</v>
      </c>
      <c r="B365" s="65" t="s">
        <v>88</v>
      </c>
      <c r="C365" s="139">
        <f t="shared" si="70"/>
        <v>109986283.24947318</v>
      </c>
      <c r="D365" s="139">
        <f t="shared" si="71"/>
        <v>3.8942623073594655E-3</v>
      </c>
      <c r="E365" s="66">
        <v>45600</v>
      </c>
      <c r="F365" s="16">
        <f t="shared" si="60"/>
        <v>0.3</v>
      </c>
      <c r="G365" s="16">
        <f t="shared" si="61"/>
        <v>798.60682235301033</v>
      </c>
      <c r="H365" s="66">
        <v>208000</v>
      </c>
      <c r="I365" s="16">
        <f t="shared" si="62"/>
        <v>0.15</v>
      </c>
      <c r="J365" s="16">
        <f t="shared" si="63"/>
        <v>69.451874213621352</v>
      </c>
      <c r="K365" s="66">
        <v>191366</v>
      </c>
      <c r="L365" s="16">
        <f t="shared" si="64"/>
        <v>0.15</v>
      </c>
      <c r="M365" s="16">
        <f t="shared" si="65"/>
        <v>61.993934265389122</v>
      </c>
      <c r="N365" s="66">
        <v>10650</v>
      </c>
      <c r="O365" s="16">
        <f t="shared" si="66"/>
        <v>0.1</v>
      </c>
      <c r="P365" s="16">
        <f t="shared" si="67"/>
        <v>1026.0984072065573</v>
      </c>
      <c r="Q365" s="66">
        <v>23100</v>
      </c>
      <c r="R365" s="16">
        <f t="shared" si="68"/>
        <v>0.3</v>
      </c>
      <c r="S365" s="16">
        <f t="shared" si="69"/>
        <v>1572.8287035654707</v>
      </c>
    </row>
    <row r="366" spans="1:19" x14ac:dyDescent="0.3">
      <c r="A366" s="65">
        <v>20190626</v>
      </c>
      <c r="B366" s="65" t="s">
        <v>88</v>
      </c>
      <c r="C366" s="139">
        <f t="shared" si="70"/>
        <v>111070485.85014126</v>
      </c>
      <c r="D366" s="139">
        <f t="shared" si="71"/>
        <v>9.8576165012219004E-3</v>
      </c>
      <c r="E366" s="66">
        <v>45700</v>
      </c>
      <c r="F366" s="16">
        <f t="shared" si="60"/>
        <v>0.3</v>
      </c>
      <c r="G366" s="16">
        <f t="shared" si="61"/>
        <v>798.60682235301033</v>
      </c>
      <c r="H366" s="66">
        <v>210500</v>
      </c>
      <c r="I366" s="16">
        <f t="shared" si="62"/>
        <v>0.15</v>
      </c>
      <c r="J366" s="16">
        <f t="shared" si="63"/>
        <v>69.451874213621352</v>
      </c>
      <c r="K366" s="66">
        <v>199609</v>
      </c>
      <c r="L366" s="16">
        <f t="shared" si="64"/>
        <v>0.15</v>
      </c>
      <c r="M366" s="16">
        <f t="shared" si="65"/>
        <v>61.993934265389122</v>
      </c>
      <c r="N366" s="66">
        <v>10655</v>
      </c>
      <c r="O366" s="16">
        <f t="shared" si="66"/>
        <v>0.1</v>
      </c>
      <c r="P366" s="16">
        <f t="shared" si="67"/>
        <v>1026.0984072065573</v>
      </c>
      <c r="Q366" s="66">
        <v>23300</v>
      </c>
      <c r="R366" s="16">
        <f t="shared" si="68"/>
        <v>0.3</v>
      </c>
      <c r="S366" s="16">
        <f t="shared" si="69"/>
        <v>1572.8287035654707</v>
      </c>
    </row>
    <row r="367" spans="1:19" x14ac:dyDescent="0.3">
      <c r="A367" s="65">
        <v>20190627</v>
      </c>
      <c r="B367" s="65" t="s">
        <v>88</v>
      </c>
      <c r="C367" s="139">
        <f t="shared" si="70"/>
        <v>109974154.29465491</v>
      </c>
      <c r="D367" s="139">
        <f t="shared" si="71"/>
        <v>-9.8705929581108156E-3</v>
      </c>
      <c r="E367" s="66">
        <v>46500</v>
      </c>
      <c r="F367" s="16">
        <f t="shared" si="60"/>
        <v>0.3</v>
      </c>
      <c r="G367" s="16">
        <f t="shared" si="61"/>
        <v>798.60682235301033</v>
      </c>
      <c r="H367" s="66">
        <v>204000</v>
      </c>
      <c r="I367" s="16">
        <f t="shared" si="62"/>
        <v>0.15</v>
      </c>
      <c r="J367" s="16">
        <f t="shared" si="63"/>
        <v>69.451874213621352</v>
      </c>
      <c r="K367" s="66">
        <v>189600</v>
      </c>
      <c r="L367" s="16">
        <f t="shared" si="64"/>
        <v>0.15</v>
      </c>
      <c r="M367" s="16">
        <f t="shared" si="65"/>
        <v>61.993934265389122</v>
      </c>
      <c r="N367" s="66">
        <v>10775</v>
      </c>
      <c r="O367" s="16">
        <f t="shared" si="66"/>
        <v>0.1</v>
      </c>
      <c r="P367" s="16">
        <f t="shared" si="67"/>
        <v>1026.0984072065573</v>
      </c>
      <c r="Q367" s="66">
        <v>22800</v>
      </c>
      <c r="R367" s="16">
        <f t="shared" si="68"/>
        <v>0.3</v>
      </c>
      <c r="S367" s="16">
        <f t="shared" si="69"/>
        <v>1572.8287035654707</v>
      </c>
    </row>
    <row r="368" spans="1:19" x14ac:dyDescent="0.3">
      <c r="A368" s="65">
        <v>20190628</v>
      </c>
      <c r="B368" s="65" t="s">
        <v>88</v>
      </c>
      <c r="C368" s="139">
        <f t="shared" si="70"/>
        <v>109127904.41461658</v>
      </c>
      <c r="D368" s="139">
        <f t="shared" si="71"/>
        <v>-7.694988749547051E-3</v>
      </c>
      <c r="E368" s="66">
        <v>47000</v>
      </c>
      <c r="F368" s="16">
        <f t="shared" si="60"/>
        <v>0.3</v>
      </c>
      <c r="G368" s="16">
        <f t="shared" si="61"/>
        <v>798.60682235301033</v>
      </c>
      <c r="H368" s="66">
        <v>205500</v>
      </c>
      <c r="I368" s="16">
        <f t="shared" si="62"/>
        <v>0.15</v>
      </c>
      <c r="J368" s="16">
        <f t="shared" si="63"/>
        <v>69.451874213621352</v>
      </c>
      <c r="K368" s="134">
        <v>168600</v>
      </c>
      <c r="L368" s="16">
        <f t="shared" si="64"/>
        <v>0.15</v>
      </c>
      <c r="M368" s="16">
        <f t="shared" si="65"/>
        <v>61.993934265389122</v>
      </c>
      <c r="N368" s="66">
        <v>10805</v>
      </c>
      <c r="O368" s="16">
        <f t="shared" si="66"/>
        <v>0.1</v>
      </c>
      <c r="P368" s="16">
        <f t="shared" si="67"/>
        <v>1026.0984072065573</v>
      </c>
      <c r="Q368" s="66">
        <v>22750</v>
      </c>
      <c r="R368" s="16">
        <f t="shared" si="68"/>
        <v>0.3</v>
      </c>
      <c r="S368" s="16">
        <f t="shared" si="69"/>
        <v>1572.8287035654707</v>
      </c>
    </row>
    <row r="369" spans="1:19" x14ac:dyDescent="0.3">
      <c r="A369" s="121">
        <v>20190701</v>
      </c>
      <c r="B369" s="121" t="s">
        <v>89</v>
      </c>
      <c r="C369" s="135">
        <f t="shared" si="70"/>
        <v>110429129.19308777</v>
      </c>
      <c r="D369" s="135">
        <f t="shared" si="71"/>
        <v>1.1923850141274232E-2</v>
      </c>
      <c r="E369" s="136">
        <v>46600</v>
      </c>
      <c r="F369" s="137">
        <v>0.2</v>
      </c>
      <c r="G369" s="137">
        <f>C368*F369/E368</f>
        <v>464.37406133879404</v>
      </c>
      <c r="H369" s="136">
        <v>208000</v>
      </c>
      <c r="I369" s="137">
        <v>0.2</v>
      </c>
      <c r="J369" s="137">
        <f>C368*I369/H368</f>
        <v>106.20720624293587</v>
      </c>
      <c r="K369" s="136">
        <v>181000</v>
      </c>
      <c r="L369" s="137">
        <v>0.2</v>
      </c>
      <c r="M369" s="137">
        <f>C368*L369/K368</f>
        <v>129.45184390820475</v>
      </c>
      <c r="N369" s="136">
        <v>10805</v>
      </c>
      <c r="O369" s="137">
        <v>0.2</v>
      </c>
      <c r="P369" s="137">
        <f>C368*O369/N368</f>
        <v>2019.9519558466748</v>
      </c>
      <c r="Q369" s="136">
        <v>22350</v>
      </c>
      <c r="R369" s="137">
        <v>0.2</v>
      </c>
      <c r="S369" s="137">
        <f>C368*R369/Q368</f>
        <v>959.36619265597005</v>
      </c>
    </row>
    <row r="370" spans="1:19" x14ac:dyDescent="0.3">
      <c r="A370" s="65">
        <v>20190702</v>
      </c>
      <c r="B370" s="65" t="s">
        <v>88</v>
      </c>
      <c r="C370" s="139">
        <f t="shared" si="70"/>
        <v>109323254.86830981</v>
      </c>
      <c r="D370" s="139">
        <f t="shared" si="71"/>
        <v>-1.0014335283259502E-2</v>
      </c>
      <c r="E370" s="66">
        <v>46250</v>
      </c>
      <c r="F370" s="16">
        <f>$F$369</f>
        <v>0.2</v>
      </c>
      <c r="G370" s="16">
        <f>$G$369</f>
        <v>464.37406133879404</v>
      </c>
      <c r="H370" s="66">
        <v>205000</v>
      </c>
      <c r="I370" s="16">
        <f>$I$369</f>
        <v>0.2</v>
      </c>
      <c r="J370" s="16">
        <f>$J$369</f>
        <v>106.20720624293587</v>
      </c>
      <c r="K370" s="66">
        <v>178300</v>
      </c>
      <c r="L370" s="16">
        <f>$L$369</f>
        <v>0.2</v>
      </c>
      <c r="M370" s="16">
        <f>$M$369</f>
        <v>129.45184390820475</v>
      </c>
      <c r="N370" s="66">
        <v>10740</v>
      </c>
      <c r="O370" s="16">
        <f>$O$369</f>
        <v>0.2</v>
      </c>
      <c r="P370" s="16">
        <f>$P$369</f>
        <v>2019.9519558466748</v>
      </c>
      <c r="Q370" s="66">
        <v>22200</v>
      </c>
      <c r="R370" s="16">
        <f>$R$369</f>
        <v>0.2</v>
      </c>
      <c r="S370" s="16">
        <f>$S$369</f>
        <v>959.36619265597005</v>
      </c>
    </row>
    <row r="371" spans="1:19" x14ac:dyDescent="0.3">
      <c r="A371" s="65">
        <v>20190703</v>
      </c>
      <c r="B371" s="65" t="s">
        <v>88</v>
      </c>
      <c r="C371" s="139">
        <f t="shared" si="70"/>
        <v>109177148.72095856</v>
      </c>
      <c r="D371" s="139">
        <f t="shared" si="71"/>
        <v>-1.336459909899762E-3</v>
      </c>
      <c r="E371" s="66">
        <v>45400</v>
      </c>
      <c r="F371" s="16">
        <f t="shared" ref="F371:F381" si="72">$F$369</f>
        <v>0.2</v>
      </c>
      <c r="G371" s="16">
        <f t="shared" ref="G371:G381" si="73">$G$369</f>
        <v>464.37406133879404</v>
      </c>
      <c r="H371" s="66">
        <v>206000</v>
      </c>
      <c r="I371" s="16">
        <f t="shared" ref="I371:I381" si="74">$I$369</f>
        <v>0.2</v>
      </c>
      <c r="J371" s="16">
        <f t="shared" ref="J371:J381" si="75">$J$369</f>
        <v>106.20720624293587</v>
      </c>
      <c r="K371" s="66">
        <v>184900</v>
      </c>
      <c r="L371" s="16">
        <f t="shared" ref="L371:L381" si="76">$L$369</f>
        <v>0.2</v>
      </c>
      <c r="M371" s="16">
        <f t="shared" ref="M371:M381" si="77">$M$369</f>
        <v>129.45184390820475</v>
      </c>
      <c r="N371" s="66">
        <v>10625</v>
      </c>
      <c r="O371" s="16">
        <f t="shared" ref="O371:O381" si="78">$O$369</f>
        <v>0.2</v>
      </c>
      <c r="P371" s="16">
        <f t="shared" ref="P371:P381" si="79">$P$369</f>
        <v>2019.9519558466748</v>
      </c>
      <c r="Q371" s="66">
        <v>21700</v>
      </c>
      <c r="R371" s="16">
        <f t="shared" ref="R371:R381" si="80">$R$369</f>
        <v>0.2</v>
      </c>
      <c r="S371" s="16">
        <f t="shared" ref="S371:S381" si="81">$S$369</f>
        <v>959.36619265597005</v>
      </c>
    </row>
    <row r="372" spans="1:19" x14ac:dyDescent="0.3">
      <c r="A372" s="65">
        <v>20190704</v>
      </c>
      <c r="B372" s="65" t="s">
        <v>88</v>
      </c>
      <c r="C372" s="139">
        <f t="shared" si="70"/>
        <v>108460801.11447044</v>
      </c>
      <c r="D372" s="139">
        <f t="shared" si="71"/>
        <v>-6.561332796105596E-3</v>
      </c>
      <c r="E372" s="66">
        <v>46000</v>
      </c>
      <c r="F372" s="16">
        <f t="shared" si="72"/>
        <v>0.2</v>
      </c>
      <c r="G372" s="16">
        <f t="shared" si="73"/>
        <v>464.37406133879404</v>
      </c>
      <c r="H372" s="66">
        <v>203500</v>
      </c>
      <c r="I372" s="16">
        <f t="shared" si="74"/>
        <v>0.2</v>
      </c>
      <c r="J372" s="16">
        <f t="shared" si="75"/>
        <v>106.20720624293587</v>
      </c>
      <c r="K372" s="66">
        <v>182600</v>
      </c>
      <c r="L372" s="16">
        <f t="shared" si="76"/>
        <v>0.2</v>
      </c>
      <c r="M372" s="16">
        <f t="shared" si="77"/>
        <v>129.45184390820475</v>
      </c>
      <c r="N372" s="66">
        <v>10625</v>
      </c>
      <c r="O372" s="16">
        <f t="shared" si="78"/>
        <v>0.2</v>
      </c>
      <c r="P372" s="16">
        <f t="shared" si="79"/>
        <v>2019.9519558466748</v>
      </c>
      <c r="Q372" s="66">
        <v>21250</v>
      </c>
      <c r="R372" s="16">
        <f t="shared" si="80"/>
        <v>0.2</v>
      </c>
      <c r="S372" s="16">
        <f t="shared" si="81"/>
        <v>959.36619265597005</v>
      </c>
    </row>
    <row r="373" spans="1:19" x14ac:dyDescent="0.3">
      <c r="A373" s="65">
        <v>20190705</v>
      </c>
      <c r="B373" s="65" t="s">
        <v>88</v>
      </c>
      <c r="C373" s="139">
        <f t="shared" si="70"/>
        <v>109884453.318005</v>
      </c>
      <c r="D373" s="139">
        <f t="shared" si="71"/>
        <v>1.3125960613475682E-2</v>
      </c>
      <c r="E373" s="66">
        <v>45650</v>
      </c>
      <c r="F373" s="16">
        <f t="shared" si="72"/>
        <v>0.2</v>
      </c>
      <c r="G373" s="16">
        <f t="shared" si="73"/>
        <v>464.37406133879404</v>
      </c>
      <c r="H373" s="66">
        <v>208000</v>
      </c>
      <c r="I373" s="16">
        <f t="shared" si="74"/>
        <v>0.2</v>
      </c>
      <c r="J373" s="16">
        <f t="shared" si="75"/>
        <v>106.20720624293587</v>
      </c>
      <c r="K373" s="66">
        <v>186500</v>
      </c>
      <c r="L373" s="16">
        <f t="shared" si="76"/>
        <v>0.2</v>
      </c>
      <c r="M373" s="16">
        <f t="shared" si="77"/>
        <v>129.45184390820475</v>
      </c>
      <c r="N373" s="66">
        <v>10615</v>
      </c>
      <c r="O373" s="16">
        <f t="shared" si="78"/>
        <v>0.2</v>
      </c>
      <c r="P373" s="16">
        <f t="shared" si="79"/>
        <v>2019.9519558466748</v>
      </c>
      <c r="Q373" s="66">
        <v>21900</v>
      </c>
      <c r="R373" s="16">
        <f t="shared" si="80"/>
        <v>0.2</v>
      </c>
      <c r="S373" s="16">
        <f t="shared" si="81"/>
        <v>959.36619265597005</v>
      </c>
    </row>
    <row r="374" spans="1:19" x14ac:dyDescent="0.3">
      <c r="A374" s="65">
        <v>20190708</v>
      </c>
      <c r="B374" s="65" t="s">
        <v>88</v>
      </c>
      <c r="C374" s="139">
        <f t="shared" si="70"/>
        <v>106967149.73181243</v>
      </c>
      <c r="D374" s="139">
        <f t="shared" si="71"/>
        <v>-2.6548829230190578E-2</v>
      </c>
      <c r="E374" s="66">
        <v>44400</v>
      </c>
      <c r="F374" s="16">
        <f t="shared" si="72"/>
        <v>0.2</v>
      </c>
      <c r="G374" s="16">
        <f t="shared" si="73"/>
        <v>464.37406133879404</v>
      </c>
      <c r="H374" s="66">
        <v>206000</v>
      </c>
      <c r="I374" s="16">
        <f t="shared" si="74"/>
        <v>0.2</v>
      </c>
      <c r="J374" s="16">
        <f t="shared" si="75"/>
        <v>106.20720624293587</v>
      </c>
      <c r="K374" s="66">
        <v>178300</v>
      </c>
      <c r="L374" s="16">
        <f t="shared" si="76"/>
        <v>0.2</v>
      </c>
      <c r="M374" s="16">
        <f t="shared" si="77"/>
        <v>129.45184390820475</v>
      </c>
      <c r="N374" s="66">
        <v>10445</v>
      </c>
      <c r="O374" s="16">
        <f t="shared" si="78"/>
        <v>0.2</v>
      </c>
      <c r="P374" s="16">
        <f t="shared" si="79"/>
        <v>2019.9519558466748</v>
      </c>
      <c r="Q374" s="66">
        <v>21150</v>
      </c>
      <c r="R374" s="16">
        <f t="shared" si="80"/>
        <v>0.2</v>
      </c>
      <c r="S374" s="16">
        <f t="shared" si="81"/>
        <v>959.36619265597005</v>
      </c>
    </row>
    <row r="375" spans="1:19" x14ac:dyDescent="0.3">
      <c r="A375" s="65">
        <v>20190709</v>
      </c>
      <c r="B375" s="65" t="s">
        <v>88</v>
      </c>
      <c r="C375" s="139">
        <f t="shared" si="70"/>
        <v>104944400.5653193</v>
      </c>
      <c r="D375" s="139">
        <f t="shared" si="71"/>
        <v>-1.8910003412866104E-2</v>
      </c>
      <c r="E375" s="66">
        <v>45100</v>
      </c>
      <c r="F375" s="16">
        <f t="shared" si="72"/>
        <v>0.2</v>
      </c>
      <c r="G375" s="16">
        <f t="shared" si="73"/>
        <v>464.37406133879404</v>
      </c>
      <c r="H375" s="66">
        <v>192500</v>
      </c>
      <c r="I375" s="16">
        <f t="shared" si="74"/>
        <v>0.2</v>
      </c>
      <c r="J375" s="16">
        <f t="shared" si="75"/>
        <v>106.20720624293587</v>
      </c>
      <c r="K375" s="66">
        <v>172000</v>
      </c>
      <c r="L375" s="16">
        <f t="shared" si="76"/>
        <v>0.2</v>
      </c>
      <c r="M375" s="16">
        <f t="shared" si="77"/>
        <v>129.45184390820475</v>
      </c>
      <c r="N375" s="66">
        <v>10420</v>
      </c>
      <c r="O375" s="16">
        <f t="shared" si="78"/>
        <v>0.2</v>
      </c>
      <c r="P375" s="16">
        <f t="shared" si="79"/>
        <v>2019.9519558466748</v>
      </c>
      <c r="Q375" s="66">
        <v>21100</v>
      </c>
      <c r="R375" s="16">
        <f t="shared" si="80"/>
        <v>0.2</v>
      </c>
      <c r="S375" s="16">
        <f t="shared" si="81"/>
        <v>959.36619265597005</v>
      </c>
    </row>
    <row r="376" spans="1:19" x14ac:dyDescent="0.3">
      <c r="A376" s="65">
        <v>20190710</v>
      </c>
      <c r="B376" s="65" t="s">
        <v>88</v>
      </c>
      <c r="C376" s="139">
        <f t="shared" si="70"/>
        <v>105466256.36101168</v>
      </c>
      <c r="D376" s="139">
        <f t="shared" si="71"/>
        <v>4.9726883271639802E-3</v>
      </c>
      <c r="E376" s="66">
        <v>45550</v>
      </c>
      <c r="F376" s="16">
        <f t="shared" si="72"/>
        <v>0.2</v>
      </c>
      <c r="G376" s="16">
        <f t="shared" si="73"/>
        <v>464.37406133879404</v>
      </c>
      <c r="H376" s="66">
        <v>189000</v>
      </c>
      <c r="I376" s="16">
        <f t="shared" si="74"/>
        <v>0.2</v>
      </c>
      <c r="J376" s="16">
        <f t="shared" si="75"/>
        <v>106.20720624293587</v>
      </c>
      <c r="K376" s="66">
        <v>173700</v>
      </c>
      <c r="L376" s="16">
        <f t="shared" si="76"/>
        <v>0.2</v>
      </c>
      <c r="M376" s="16">
        <f t="shared" si="77"/>
        <v>129.45184390820475</v>
      </c>
      <c r="N376" s="66">
        <v>10460</v>
      </c>
      <c r="O376" s="16">
        <f t="shared" si="78"/>
        <v>0.2</v>
      </c>
      <c r="P376" s="16">
        <f t="shared" si="79"/>
        <v>2019.9519558466748</v>
      </c>
      <c r="Q376" s="66">
        <v>21500</v>
      </c>
      <c r="R376" s="16">
        <f t="shared" si="80"/>
        <v>0.2</v>
      </c>
      <c r="S376" s="16">
        <f t="shared" si="81"/>
        <v>959.36619265597005</v>
      </c>
    </row>
    <row r="377" spans="1:19" x14ac:dyDescent="0.3">
      <c r="A377" s="65">
        <v>20190711</v>
      </c>
      <c r="B377" s="65" t="s">
        <v>88</v>
      </c>
      <c r="C377" s="139">
        <f t="shared" si="70"/>
        <v>106116260.62794493</v>
      </c>
      <c r="D377" s="139">
        <f t="shared" si="71"/>
        <v>6.1631491375618627E-3</v>
      </c>
      <c r="E377" s="66">
        <v>46200</v>
      </c>
      <c r="F377" s="16">
        <f t="shared" si="72"/>
        <v>0.2</v>
      </c>
      <c r="G377" s="16">
        <f t="shared" si="73"/>
        <v>464.37406133879404</v>
      </c>
      <c r="H377" s="66">
        <v>191500</v>
      </c>
      <c r="I377" s="16">
        <f t="shared" si="74"/>
        <v>0.2</v>
      </c>
      <c r="J377" s="16">
        <f t="shared" si="75"/>
        <v>106.20720624293587</v>
      </c>
      <c r="K377" s="66">
        <v>172700</v>
      </c>
      <c r="L377" s="16">
        <f t="shared" si="76"/>
        <v>0.2</v>
      </c>
      <c r="M377" s="16">
        <f t="shared" si="77"/>
        <v>129.45184390820475</v>
      </c>
      <c r="N377" s="66">
        <v>10565</v>
      </c>
      <c r="O377" s="16">
        <f t="shared" si="78"/>
        <v>0.2</v>
      </c>
      <c r="P377" s="16">
        <f t="shared" si="79"/>
        <v>2019.9519558466748</v>
      </c>
      <c r="Q377" s="66">
        <v>21500</v>
      </c>
      <c r="R377" s="16">
        <f t="shared" si="80"/>
        <v>0.2</v>
      </c>
      <c r="S377" s="16">
        <f t="shared" si="81"/>
        <v>959.36619265597005</v>
      </c>
    </row>
    <row r="378" spans="1:19" x14ac:dyDescent="0.3">
      <c r="A378" s="65">
        <v>20190712</v>
      </c>
      <c r="B378" s="65" t="s">
        <v>88</v>
      </c>
      <c r="C378" s="139">
        <f t="shared" si="70"/>
        <v>105546933.65698671</v>
      </c>
      <c r="D378" s="139">
        <f t="shared" si="71"/>
        <v>-5.3651246999207765E-3</v>
      </c>
      <c r="E378" s="66">
        <v>46300</v>
      </c>
      <c r="F378" s="16">
        <f t="shared" si="72"/>
        <v>0.2</v>
      </c>
      <c r="G378" s="16">
        <f t="shared" si="73"/>
        <v>464.37406133879404</v>
      </c>
      <c r="H378" s="66">
        <v>188500</v>
      </c>
      <c r="I378" s="16">
        <f t="shared" si="74"/>
        <v>0.2</v>
      </c>
      <c r="J378" s="16">
        <f t="shared" si="75"/>
        <v>106.20720624293587</v>
      </c>
      <c r="K378" s="66">
        <v>169800</v>
      </c>
      <c r="L378" s="16">
        <f t="shared" si="76"/>
        <v>0.2</v>
      </c>
      <c r="M378" s="16">
        <f t="shared" si="77"/>
        <v>129.45184390820475</v>
      </c>
      <c r="N378" s="66">
        <v>10580</v>
      </c>
      <c r="O378" s="16">
        <f t="shared" si="78"/>
        <v>0.2</v>
      </c>
      <c r="P378" s="16">
        <f t="shared" si="79"/>
        <v>2019.9519558466748</v>
      </c>
      <c r="Q378" s="66">
        <v>21550</v>
      </c>
      <c r="R378" s="16">
        <f t="shared" si="80"/>
        <v>0.2</v>
      </c>
      <c r="S378" s="16">
        <f t="shared" si="81"/>
        <v>959.36619265597005</v>
      </c>
    </row>
    <row r="379" spans="1:19" x14ac:dyDescent="0.3">
      <c r="A379" s="65">
        <v>20190715</v>
      </c>
      <c r="B379" s="65" t="s">
        <v>88</v>
      </c>
      <c r="C379" s="139">
        <f t="shared" si="70"/>
        <v>104955020.0965037</v>
      </c>
      <c r="D379" s="139">
        <f t="shared" si="71"/>
        <v>-5.6080602247209552E-3</v>
      </c>
      <c r="E379" s="66">
        <v>46450</v>
      </c>
      <c r="F379" s="16">
        <f t="shared" si="72"/>
        <v>0.2</v>
      </c>
      <c r="G379" s="16">
        <f t="shared" si="73"/>
        <v>464.37406133879404</v>
      </c>
      <c r="H379" s="66">
        <v>183500</v>
      </c>
      <c r="I379" s="16">
        <f t="shared" si="74"/>
        <v>0.2</v>
      </c>
      <c r="J379" s="16">
        <f t="shared" si="75"/>
        <v>106.20720624293587</v>
      </c>
      <c r="K379" s="66">
        <v>171600</v>
      </c>
      <c r="L379" s="16">
        <f t="shared" si="76"/>
        <v>0.2</v>
      </c>
      <c r="M379" s="16">
        <f t="shared" si="77"/>
        <v>129.45184390820475</v>
      </c>
      <c r="N379" s="66">
        <v>10590</v>
      </c>
      <c r="O379" s="16">
        <f t="shared" si="78"/>
        <v>0.2</v>
      </c>
      <c r="P379" s="16">
        <f t="shared" si="79"/>
        <v>2019.9519558466748</v>
      </c>
      <c r="Q379" s="66">
        <v>21150</v>
      </c>
      <c r="R379" s="16">
        <f t="shared" si="80"/>
        <v>0.2</v>
      </c>
      <c r="S379" s="16">
        <f t="shared" si="81"/>
        <v>959.36619265597005</v>
      </c>
    </row>
    <row r="380" spans="1:19" x14ac:dyDescent="0.3">
      <c r="A380" s="65">
        <v>20190716</v>
      </c>
      <c r="B380" s="65" t="s">
        <v>88</v>
      </c>
      <c r="C380" s="139">
        <f t="shared" si="70"/>
        <v>106188386.77456471</v>
      </c>
      <c r="D380" s="139">
        <f t="shared" si="71"/>
        <v>1.1751383372867314E-2</v>
      </c>
      <c r="E380" s="66">
        <v>46850</v>
      </c>
      <c r="F380" s="16">
        <f t="shared" si="72"/>
        <v>0.2</v>
      </c>
      <c r="G380" s="16">
        <f t="shared" si="73"/>
        <v>464.37406133879404</v>
      </c>
      <c r="H380" s="66">
        <v>188500</v>
      </c>
      <c r="I380" s="16">
        <f t="shared" si="74"/>
        <v>0.2</v>
      </c>
      <c r="J380" s="16">
        <f t="shared" si="75"/>
        <v>106.20720624293587</v>
      </c>
      <c r="K380" s="66">
        <v>176000</v>
      </c>
      <c r="L380" s="16">
        <f t="shared" si="76"/>
        <v>0.2</v>
      </c>
      <c r="M380" s="16">
        <f t="shared" si="77"/>
        <v>129.45184390820475</v>
      </c>
      <c r="N380" s="66">
        <v>10635</v>
      </c>
      <c r="O380" s="16">
        <f t="shared" si="78"/>
        <v>0.2</v>
      </c>
      <c r="P380" s="16">
        <f t="shared" si="79"/>
        <v>2019.9519558466748</v>
      </c>
      <c r="Q380" s="66">
        <v>21000</v>
      </c>
      <c r="R380" s="16">
        <f t="shared" si="80"/>
        <v>0.2</v>
      </c>
      <c r="S380" s="16">
        <f t="shared" si="81"/>
        <v>959.36619265597005</v>
      </c>
    </row>
    <row r="381" spans="1:19" x14ac:dyDescent="0.3">
      <c r="A381" s="65">
        <v>20190717</v>
      </c>
      <c r="B381" s="65" t="s">
        <v>88</v>
      </c>
      <c r="C381" s="139">
        <f t="shared" si="70"/>
        <v>105053894.60259002</v>
      </c>
      <c r="D381" s="139">
        <f t="shared" si="71"/>
        <v>-1.068376878521742E-2</v>
      </c>
      <c r="E381" s="66">
        <v>46050</v>
      </c>
      <c r="F381" s="16">
        <f t="shared" si="72"/>
        <v>0.2</v>
      </c>
      <c r="G381" s="16">
        <f t="shared" si="73"/>
        <v>464.37406133879404</v>
      </c>
      <c r="H381" s="66">
        <v>184500</v>
      </c>
      <c r="I381" s="16">
        <f t="shared" si="74"/>
        <v>0.2</v>
      </c>
      <c r="J381" s="16">
        <f t="shared" si="75"/>
        <v>106.20720624293587</v>
      </c>
      <c r="K381" s="66">
        <v>178400</v>
      </c>
      <c r="L381" s="16">
        <f t="shared" si="76"/>
        <v>0.2</v>
      </c>
      <c r="M381" s="16">
        <f t="shared" si="77"/>
        <v>129.45184390820475</v>
      </c>
      <c r="N381" s="66">
        <v>10575</v>
      </c>
      <c r="O381" s="16">
        <f t="shared" si="78"/>
        <v>0.2</v>
      </c>
      <c r="P381" s="16">
        <f t="shared" si="79"/>
        <v>2019.9519558466748</v>
      </c>
      <c r="Q381" s="66">
        <v>20450</v>
      </c>
      <c r="R381" s="16">
        <f t="shared" si="80"/>
        <v>0.2</v>
      </c>
      <c r="S381" s="16">
        <f t="shared" si="81"/>
        <v>959.36619265597005</v>
      </c>
    </row>
    <row r="382" spans="1:19" x14ac:dyDescent="0.3">
      <c r="Q382" s="66"/>
    </row>
    <row r="383" spans="1:19" x14ac:dyDescent="0.3">
      <c r="Q383" s="66"/>
    </row>
  </sheetData>
  <mergeCells count="5">
    <mergeCell ref="E2:G2"/>
    <mergeCell ref="H2:J2"/>
    <mergeCell ref="K2:M2"/>
    <mergeCell ref="N2:P2"/>
    <mergeCell ref="Q2:S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5"/>
  <sheetViews>
    <sheetView workbookViewId="0">
      <selection activeCell="E12" sqref="E12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4" s="34" customFormat="1" ht="20.25" x14ac:dyDescent="0.3">
      <c r="A1" s="33" t="s">
        <v>200</v>
      </c>
      <c r="B1" s="33" t="s">
        <v>201</v>
      </c>
    </row>
    <row r="2" spans="1:4" x14ac:dyDescent="0.3">
      <c r="A2" s="55"/>
    </row>
    <row r="3" spans="1:4" x14ac:dyDescent="0.3">
      <c r="A3" s="24" t="s">
        <v>97</v>
      </c>
    </row>
    <row r="4" spans="1:4" x14ac:dyDescent="0.3">
      <c r="A4" s="25" t="s">
        <v>49</v>
      </c>
      <c r="B4" s="20">
        <v>2018</v>
      </c>
      <c r="C4" s="20"/>
    </row>
    <row r="5" spans="1:4" x14ac:dyDescent="0.3">
      <c r="A5" s="25" t="s">
        <v>50</v>
      </c>
      <c r="B5" s="20" t="s">
        <v>51</v>
      </c>
      <c r="C5" s="20" t="s">
        <v>52</v>
      </c>
    </row>
    <row r="8" spans="1:4" s="36" customFormat="1" ht="19.5" x14ac:dyDescent="0.3">
      <c r="A8" s="35" t="s">
        <v>206</v>
      </c>
      <c r="B8" s="35" t="s">
        <v>207</v>
      </c>
    </row>
    <row r="9" spans="1:4" s="30" customFormat="1" x14ac:dyDescent="0.3">
      <c r="A9" s="29"/>
      <c r="B9" s="29"/>
    </row>
    <row r="10" spans="1:4" x14ac:dyDescent="0.3">
      <c r="B10" s="27" t="s">
        <v>1</v>
      </c>
      <c r="C10" s="27" t="s">
        <v>55</v>
      </c>
      <c r="D10" s="27" t="s">
        <v>56</v>
      </c>
    </row>
    <row r="11" spans="1:4" x14ac:dyDescent="0.3">
      <c r="A11" s="15"/>
      <c r="B11" s="21" t="s">
        <v>5</v>
      </c>
      <c r="C11" s="20" t="s">
        <v>54</v>
      </c>
      <c r="D11" s="26" t="s">
        <v>202</v>
      </c>
    </row>
    <row r="12" spans="1:4" x14ac:dyDescent="0.3">
      <c r="A12" s="15"/>
      <c r="B12" s="21" t="s">
        <v>10</v>
      </c>
      <c r="C12" s="20" t="s">
        <v>58</v>
      </c>
      <c r="D12" s="26" t="s">
        <v>203</v>
      </c>
    </row>
    <row r="13" spans="1:4" x14ac:dyDescent="0.3">
      <c r="A13" s="15"/>
      <c r="B13" s="21" t="s">
        <v>59</v>
      </c>
      <c r="C13" s="20" t="s">
        <v>60</v>
      </c>
      <c r="D13" s="26" t="s">
        <v>204</v>
      </c>
    </row>
    <row r="14" spans="1:4" x14ac:dyDescent="0.3">
      <c r="B14" s="20" t="s">
        <v>63</v>
      </c>
      <c r="C14" s="20"/>
      <c r="D14" s="26" t="s">
        <v>205</v>
      </c>
    </row>
    <row r="15" spans="1:4" x14ac:dyDescent="0.3">
      <c r="B15" s="31"/>
      <c r="C15" s="31"/>
      <c r="D15" s="32"/>
    </row>
    <row r="17" spans="1:9" s="36" customFormat="1" ht="19.5" x14ac:dyDescent="0.3">
      <c r="A17" s="35" t="s">
        <v>66</v>
      </c>
      <c r="B17" s="35" t="s">
        <v>208</v>
      </c>
    </row>
    <row r="18" spans="1:9" ht="17.25" thickBot="1" x14ac:dyDescent="0.35">
      <c r="A18" s="24"/>
      <c r="B18" s="24"/>
    </row>
    <row r="19" spans="1:9" ht="32.25" customHeight="1" x14ac:dyDescent="0.3">
      <c r="A19" s="157" t="s">
        <v>209</v>
      </c>
      <c r="B19" s="158"/>
      <c r="C19" s="159"/>
    </row>
    <row r="20" spans="1:9" ht="10.5" customHeight="1" thickBot="1" x14ac:dyDescent="0.35">
      <c r="A20" s="160"/>
      <c r="B20" s="161"/>
      <c r="C20" s="162"/>
    </row>
    <row r="22" spans="1:9" x14ac:dyDescent="0.3">
      <c r="A22" s="25" t="s">
        <v>68</v>
      </c>
      <c r="B22" s="25" t="s">
        <v>1</v>
      </c>
      <c r="C22" s="25" t="s">
        <v>70</v>
      </c>
      <c r="D22" s="25" t="s">
        <v>56</v>
      </c>
      <c r="E22" s="25" t="s">
        <v>138</v>
      </c>
      <c r="F22" s="93" t="s">
        <v>11</v>
      </c>
      <c r="G22" s="93" t="s">
        <v>6</v>
      </c>
      <c r="H22" s="93" t="s">
        <v>121</v>
      </c>
      <c r="I22" s="93" t="s">
        <v>72</v>
      </c>
    </row>
    <row r="23" spans="1:9" x14ac:dyDescent="0.3">
      <c r="A23" s="56" t="s">
        <v>77</v>
      </c>
      <c r="B23" s="57" t="s">
        <v>5</v>
      </c>
      <c r="C23" s="56" t="s">
        <v>54</v>
      </c>
      <c r="D23" s="26" t="s">
        <v>204</v>
      </c>
      <c r="E23" s="56"/>
      <c r="F23" s="94">
        <v>2548000</v>
      </c>
      <c r="G23" s="94">
        <v>129098494</v>
      </c>
      <c r="H23" s="95">
        <f>F23*G23</f>
        <v>328942962712000</v>
      </c>
      <c r="I23" s="94" t="e">
        <f>D23*SUM($H$23:$H$25)/H23</f>
        <v>#VALUE!</v>
      </c>
    </row>
    <row r="24" spans="1:9" x14ac:dyDescent="0.3">
      <c r="A24" s="56" t="s">
        <v>77</v>
      </c>
      <c r="B24" s="57" t="s">
        <v>10</v>
      </c>
      <c r="C24" s="56" t="s">
        <v>58</v>
      </c>
      <c r="D24" s="26" t="s">
        <v>204</v>
      </c>
      <c r="E24" s="56"/>
      <c r="F24" s="94">
        <v>221100</v>
      </c>
      <c r="G24" s="95">
        <v>122666424</v>
      </c>
      <c r="H24" s="95">
        <f t="shared" ref="H24:H37" si="0">F24*G24</f>
        <v>27121546346400</v>
      </c>
      <c r="I24" s="94" t="e">
        <f>D24*SUM($H$23:$H$25)/H24</f>
        <v>#VALUE!</v>
      </c>
    </row>
    <row r="25" spans="1:9" x14ac:dyDescent="0.3">
      <c r="A25" s="56" t="s">
        <v>77</v>
      </c>
      <c r="B25" s="57" t="s">
        <v>59</v>
      </c>
      <c r="C25" s="56" t="s">
        <v>60</v>
      </c>
      <c r="D25" s="26" t="s">
        <v>204</v>
      </c>
      <c r="E25" s="56"/>
      <c r="F25" s="94">
        <v>163300</v>
      </c>
      <c r="G25" s="94">
        <v>15956260</v>
      </c>
      <c r="H25" s="95">
        <f t="shared" si="0"/>
        <v>2605657258000</v>
      </c>
      <c r="I25" s="96" t="e">
        <f>D25*SUM($H$23:$H$25)/H25</f>
        <v>#VALUE!</v>
      </c>
    </row>
    <row r="26" spans="1:9" ht="3" customHeight="1" x14ac:dyDescent="0.3">
      <c r="A26" s="62"/>
      <c r="B26" s="62"/>
      <c r="C26" s="62"/>
      <c r="D26" s="62"/>
      <c r="E26" s="62"/>
      <c r="F26" s="97"/>
      <c r="G26" s="97"/>
      <c r="H26" s="98"/>
      <c r="I26" s="97"/>
    </row>
    <row r="27" spans="1:9" x14ac:dyDescent="0.3">
      <c r="A27" s="56" t="s">
        <v>78</v>
      </c>
      <c r="B27" s="57" t="s">
        <v>5</v>
      </c>
      <c r="C27" s="56" t="s">
        <v>54</v>
      </c>
      <c r="D27" s="26" t="s">
        <v>204</v>
      </c>
      <c r="E27" s="56"/>
      <c r="F27" s="94">
        <v>46650</v>
      </c>
      <c r="G27" s="94">
        <v>6419324700</v>
      </c>
      <c r="H27" s="95">
        <f t="shared" si="0"/>
        <v>299461497255000</v>
      </c>
      <c r="I27" s="94" t="e">
        <f>D27*SUM($H$27:$H$29)/H27</f>
        <v>#VALUE!</v>
      </c>
    </row>
    <row r="28" spans="1:9" x14ac:dyDescent="0.3">
      <c r="A28" s="56" t="s">
        <v>78</v>
      </c>
      <c r="B28" s="57" t="s">
        <v>10</v>
      </c>
      <c r="C28" s="56" t="s">
        <v>58</v>
      </c>
      <c r="D28" s="26" t="s">
        <v>204</v>
      </c>
      <c r="E28" s="56"/>
      <c r="F28" s="94">
        <v>303500</v>
      </c>
      <c r="G28" s="95">
        <v>125395903</v>
      </c>
      <c r="H28" s="95">
        <f t="shared" si="0"/>
        <v>38057656560500</v>
      </c>
      <c r="I28" s="94" t="e">
        <f>D28*SUM($H$27:$H$29)/H28</f>
        <v>#VALUE!</v>
      </c>
    </row>
    <row r="29" spans="1:9" x14ac:dyDescent="0.3">
      <c r="A29" s="56" t="s">
        <v>78</v>
      </c>
      <c r="B29" s="57" t="s">
        <v>59</v>
      </c>
      <c r="C29" s="56" t="s">
        <v>60</v>
      </c>
      <c r="D29" s="26" t="s">
        <v>204</v>
      </c>
      <c r="E29" s="56"/>
      <c r="F29" s="94">
        <v>235600</v>
      </c>
      <c r="G29" s="94">
        <v>15956260</v>
      </c>
      <c r="H29" s="95">
        <f t="shared" si="0"/>
        <v>3759294856000</v>
      </c>
      <c r="I29" s="94" t="e">
        <f>D29*SUM($H$27:$H$29)/H29</f>
        <v>#VALUE!</v>
      </c>
    </row>
    <row r="30" spans="1:9" ht="3" customHeight="1" x14ac:dyDescent="0.3">
      <c r="A30" s="62"/>
      <c r="B30" s="62"/>
      <c r="C30" s="62"/>
      <c r="D30" s="62"/>
      <c r="E30" s="62"/>
      <c r="F30" s="97"/>
      <c r="G30" s="97"/>
      <c r="H30" s="98"/>
      <c r="I30" s="97"/>
    </row>
    <row r="31" spans="1:9" x14ac:dyDescent="0.3">
      <c r="A31" s="56" t="s">
        <v>82</v>
      </c>
      <c r="B31" s="57" t="s">
        <v>5</v>
      </c>
      <c r="C31" s="56" t="s">
        <v>54</v>
      </c>
      <c r="D31" s="26" t="s">
        <v>204</v>
      </c>
      <c r="E31" s="56"/>
      <c r="F31" s="94">
        <v>38700</v>
      </c>
      <c r="G31" s="94">
        <v>5969782550</v>
      </c>
      <c r="H31" s="95">
        <f t="shared" si="0"/>
        <v>231030584685000</v>
      </c>
      <c r="I31" s="94" t="e">
        <f>D31*SUM($H$31:$H$33)/H31</f>
        <v>#VALUE!</v>
      </c>
    </row>
    <row r="32" spans="1:9" x14ac:dyDescent="0.3">
      <c r="A32" s="56" t="s">
        <v>82</v>
      </c>
      <c r="B32" s="57" t="s">
        <v>10</v>
      </c>
      <c r="C32" s="56" t="s">
        <v>58</v>
      </c>
      <c r="D32" s="26" t="s">
        <v>204</v>
      </c>
      <c r="E32" s="56"/>
      <c r="F32" s="94">
        <v>222500</v>
      </c>
      <c r="G32" s="95">
        <v>125456133</v>
      </c>
      <c r="H32" s="95">
        <f t="shared" si="0"/>
        <v>27913989592500</v>
      </c>
      <c r="I32" s="94" t="e">
        <f>D32*SUM($H$31:$H$33)/H32</f>
        <v>#VALUE!</v>
      </c>
    </row>
    <row r="33" spans="1:9" x14ac:dyDescent="0.3">
      <c r="A33" s="56" t="s">
        <v>82</v>
      </c>
      <c r="B33" s="57" t="s">
        <v>59</v>
      </c>
      <c r="C33" s="56" t="s">
        <v>60</v>
      </c>
      <c r="D33" s="26" t="s">
        <v>204</v>
      </c>
      <c r="E33" s="56"/>
      <c r="F33" s="94">
        <v>254000</v>
      </c>
      <c r="G33" s="94">
        <v>15956260</v>
      </c>
      <c r="H33" s="95">
        <f t="shared" si="0"/>
        <v>4052890040000</v>
      </c>
      <c r="I33" s="94" t="e">
        <f>D33*SUM($H$31:$H$33)/H33</f>
        <v>#VALUE!</v>
      </c>
    </row>
    <row r="34" spans="1:9" ht="3" customHeight="1" x14ac:dyDescent="0.3">
      <c r="A34" s="62"/>
      <c r="B34" s="62"/>
      <c r="C34" s="62"/>
      <c r="D34" s="62"/>
      <c r="E34" s="62"/>
      <c r="F34" s="97"/>
      <c r="G34" s="97"/>
      <c r="H34" s="98"/>
      <c r="I34" s="97"/>
    </row>
    <row r="35" spans="1:9" x14ac:dyDescent="0.3">
      <c r="A35" s="56" t="s">
        <v>83</v>
      </c>
      <c r="B35" s="57" t="s">
        <v>5</v>
      </c>
      <c r="C35" s="56" t="s">
        <v>54</v>
      </c>
      <c r="D35" s="26" t="s">
        <v>204</v>
      </c>
      <c r="E35" s="56"/>
      <c r="F35" s="94">
        <v>47000</v>
      </c>
      <c r="G35" s="94">
        <v>5969782550</v>
      </c>
      <c r="H35" s="95">
        <f t="shared" si="0"/>
        <v>280579779850000</v>
      </c>
      <c r="I35" s="94" t="e">
        <f>D35*SUM($H$35:$H$37)/H35</f>
        <v>#VALUE!</v>
      </c>
    </row>
    <row r="36" spans="1:9" x14ac:dyDescent="0.3">
      <c r="A36" s="56" t="s">
        <v>83</v>
      </c>
      <c r="B36" s="57" t="s">
        <v>10</v>
      </c>
      <c r="C36" s="56" t="s">
        <v>58</v>
      </c>
      <c r="D36" s="26" t="s">
        <v>204</v>
      </c>
      <c r="E36" s="56"/>
      <c r="F36" s="94">
        <v>205500</v>
      </c>
      <c r="G36" s="95">
        <v>128329070</v>
      </c>
      <c r="H36" s="95">
        <f t="shared" si="0"/>
        <v>26371623885000</v>
      </c>
      <c r="I36" s="94" t="e">
        <f>D36*SUM($H$35:$H$37)/H36</f>
        <v>#VALUE!</v>
      </c>
    </row>
    <row r="37" spans="1:9" x14ac:dyDescent="0.3">
      <c r="A37" s="56" t="s">
        <v>83</v>
      </c>
      <c r="B37" s="57" t="s">
        <v>59</v>
      </c>
      <c r="C37" s="56" t="s">
        <v>60</v>
      </c>
      <c r="D37" s="26" t="s">
        <v>204</v>
      </c>
      <c r="E37" s="56"/>
      <c r="F37" s="94">
        <v>168600</v>
      </c>
      <c r="G37" s="94">
        <v>15956260</v>
      </c>
      <c r="H37" s="95">
        <f t="shared" si="0"/>
        <v>2690225436000</v>
      </c>
      <c r="I37" s="94" t="e">
        <f>D37*SUM($H$35:$H$37)/H37</f>
        <v>#VALUE!</v>
      </c>
    </row>
    <row r="39" spans="1:9" s="37" customFormat="1" ht="19.5" x14ac:dyDescent="0.3">
      <c r="A39" s="37" t="s">
        <v>84</v>
      </c>
      <c r="B39" s="38" t="s">
        <v>98</v>
      </c>
    </row>
    <row r="40" spans="1:9" x14ac:dyDescent="0.3">
      <c r="B40" s="28"/>
    </row>
    <row r="41" spans="1:9" ht="16.5" customHeight="1" x14ac:dyDescent="0.3">
      <c r="A41" s="163" t="s">
        <v>188</v>
      </c>
      <c r="B41" s="164"/>
      <c r="C41" s="164"/>
      <c r="D41" s="164"/>
      <c r="E41" s="164"/>
      <c r="F41" s="164"/>
      <c r="G41" s="89"/>
    </row>
    <row r="42" spans="1:9" x14ac:dyDescent="0.3">
      <c r="A42" s="164"/>
      <c r="B42" s="164"/>
      <c r="C42" s="164"/>
      <c r="D42" s="164"/>
      <c r="E42" s="164"/>
      <c r="F42" s="164"/>
      <c r="G42" s="89"/>
    </row>
    <row r="43" spans="1:9" x14ac:dyDescent="0.3">
      <c r="A43" s="164"/>
      <c r="B43" s="164"/>
      <c r="C43" s="164"/>
      <c r="D43" s="164"/>
      <c r="E43" s="164"/>
      <c r="F43" s="164"/>
      <c r="G43" s="89"/>
    </row>
    <row r="44" spans="1:9" x14ac:dyDescent="0.3">
      <c r="A44" s="164"/>
      <c r="B44" s="164"/>
      <c r="C44" s="164"/>
      <c r="D44" s="164"/>
      <c r="E44" s="164"/>
      <c r="F44" s="164"/>
      <c r="G44" s="89"/>
    </row>
    <row r="45" spans="1:9" x14ac:dyDescent="0.3">
      <c r="A45" s="164"/>
      <c r="B45" s="164"/>
      <c r="C45" s="164"/>
      <c r="D45" s="164"/>
      <c r="E45" s="164"/>
      <c r="F45" s="164"/>
      <c r="G45" s="89"/>
    </row>
    <row r="46" spans="1:9" x14ac:dyDescent="0.3">
      <c r="A46" s="164"/>
      <c r="B46" s="164"/>
      <c r="C46" s="164"/>
      <c r="D46" s="164"/>
      <c r="E46" s="164"/>
      <c r="F46" s="164"/>
      <c r="G46" s="89"/>
    </row>
    <row r="47" spans="1:9" x14ac:dyDescent="0.3">
      <c r="A47" s="164"/>
      <c r="B47" s="164"/>
      <c r="C47" s="164"/>
      <c r="D47" s="164"/>
      <c r="E47" s="164"/>
      <c r="F47" s="164"/>
      <c r="G47" s="89"/>
    </row>
    <row r="48" spans="1:9" x14ac:dyDescent="0.3">
      <c r="A48" s="164"/>
      <c r="B48" s="164"/>
      <c r="C48" s="164"/>
      <c r="D48" s="164"/>
      <c r="E48" s="164"/>
      <c r="F48" s="164"/>
      <c r="G48" s="89"/>
    </row>
    <row r="49" spans="1:7" x14ac:dyDescent="0.3">
      <c r="A49" s="164"/>
      <c r="B49" s="164"/>
      <c r="C49" s="164"/>
      <c r="D49" s="164"/>
      <c r="E49" s="164"/>
      <c r="F49" s="164"/>
      <c r="G49" s="89"/>
    </row>
    <row r="50" spans="1:7" x14ac:dyDescent="0.3">
      <c r="A50" s="164"/>
      <c r="B50" s="164"/>
      <c r="C50" s="164"/>
      <c r="D50" s="164"/>
      <c r="E50" s="164"/>
      <c r="F50" s="164"/>
      <c r="G50" s="89"/>
    </row>
    <row r="51" spans="1:7" x14ac:dyDescent="0.3">
      <c r="A51" s="164"/>
      <c r="B51" s="164"/>
      <c r="C51" s="164"/>
      <c r="D51" s="164"/>
      <c r="E51" s="164"/>
      <c r="F51" s="164"/>
      <c r="G51" s="89"/>
    </row>
    <row r="52" spans="1:7" x14ac:dyDescent="0.3">
      <c r="A52" s="164"/>
      <c r="B52" s="164"/>
      <c r="C52" s="164"/>
      <c r="D52" s="164"/>
      <c r="E52" s="164"/>
      <c r="F52" s="164"/>
      <c r="G52" s="89"/>
    </row>
    <row r="53" spans="1:7" x14ac:dyDescent="0.3">
      <c r="A53" s="164"/>
      <c r="B53" s="164"/>
      <c r="C53" s="164"/>
      <c r="D53" s="164"/>
      <c r="E53" s="164"/>
      <c r="F53" s="164"/>
      <c r="G53" s="89"/>
    </row>
    <row r="54" spans="1:7" x14ac:dyDescent="0.3">
      <c r="A54" s="164"/>
      <c r="B54" s="164"/>
      <c r="C54" s="164"/>
      <c r="D54" s="164"/>
      <c r="E54" s="164"/>
      <c r="F54" s="164"/>
      <c r="G54" s="89"/>
    </row>
    <row r="55" spans="1:7" x14ac:dyDescent="0.3">
      <c r="A55" s="164"/>
      <c r="B55" s="164"/>
      <c r="C55" s="164"/>
      <c r="D55" s="164"/>
      <c r="E55" s="164"/>
      <c r="F55" s="164"/>
      <c r="G55" s="89"/>
    </row>
  </sheetData>
  <mergeCells count="2">
    <mergeCell ref="A19:C20"/>
    <mergeCell ref="A41:F5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80"/>
  <sheetViews>
    <sheetView tabSelected="1" workbookViewId="0">
      <selection activeCell="F7" sqref="F7"/>
    </sheetView>
  </sheetViews>
  <sheetFormatPr defaultColWidth="8.875" defaultRowHeight="13.5" x14ac:dyDescent="0.3"/>
  <cols>
    <col min="1" max="1" width="9" style="16" bestFit="1" customWidth="1"/>
    <col min="2" max="3" width="8.875" style="16"/>
    <col min="4" max="5" width="9" style="16" bestFit="1" customWidth="1"/>
    <col min="6" max="6" width="11.125" style="16" bestFit="1" customWidth="1"/>
    <col min="7" max="7" width="13" style="16" customWidth="1"/>
    <col min="8" max="8" width="8.25" style="16" customWidth="1"/>
    <col min="9" max="10" width="9" style="16" bestFit="1" customWidth="1"/>
    <col min="11" max="11" width="11.125" style="16" bestFit="1" customWidth="1"/>
    <col min="12" max="12" width="13" style="16" customWidth="1"/>
    <col min="13" max="13" width="8.75" style="16" customWidth="1"/>
    <col min="14" max="15" width="9" style="16" bestFit="1" customWidth="1"/>
    <col min="16" max="16" width="11.125" style="16" bestFit="1" customWidth="1"/>
    <col min="17" max="17" width="13.75" style="16" bestFit="1" customWidth="1"/>
    <col min="18" max="18" width="14" style="45" customWidth="1"/>
    <col min="19" max="19" width="23.5" style="45" customWidth="1"/>
    <col min="20" max="20" width="16.125" style="45" bestFit="1" customWidth="1"/>
    <col min="21" max="21" width="15" style="45" customWidth="1"/>
    <col min="22" max="22" width="9.375" style="45" bestFit="1" customWidth="1"/>
    <col min="23" max="25" width="9" style="54" bestFit="1" customWidth="1"/>
    <col min="26" max="26" width="12.375" style="54" customWidth="1"/>
    <col min="27" max="16384" width="8.875" style="16"/>
  </cols>
  <sheetData>
    <row r="1" spans="1:26" ht="16.5" customHeight="1" x14ac:dyDescent="0.3">
      <c r="A1" s="48"/>
      <c r="B1" s="48"/>
      <c r="C1" s="167" t="s">
        <v>197</v>
      </c>
      <c r="D1" s="167"/>
      <c r="E1" s="167"/>
      <c r="F1" s="167"/>
      <c r="G1" s="168"/>
      <c r="H1" s="170" t="s">
        <v>198</v>
      </c>
      <c r="I1" s="170"/>
      <c r="J1" s="170"/>
      <c r="K1" s="170"/>
      <c r="L1" s="171"/>
      <c r="M1" s="167" t="s">
        <v>199</v>
      </c>
      <c r="N1" s="167"/>
      <c r="O1" s="167"/>
      <c r="P1" s="167"/>
      <c r="Q1" s="168"/>
      <c r="R1" s="172" t="s">
        <v>92</v>
      </c>
      <c r="S1" s="172"/>
      <c r="T1" s="172"/>
      <c r="U1" s="172"/>
      <c r="V1" s="172"/>
      <c r="W1" s="165" t="s">
        <v>113</v>
      </c>
      <c r="X1" s="165"/>
      <c r="Y1" s="165"/>
      <c r="Z1" s="165"/>
    </row>
    <row r="2" spans="1:26" x14ac:dyDescent="0.3">
      <c r="A2" s="48" t="s">
        <v>68</v>
      </c>
      <c r="B2" s="48" t="s">
        <v>87</v>
      </c>
      <c r="C2" s="49" t="s">
        <v>144</v>
      </c>
      <c r="D2" s="49" t="s">
        <v>101</v>
      </c>
      <c r="E2" s="49" t="s">
        <v>2</v>
      </c>
      <c r="F2" s="49" t="s">
        <v>6</v>
      </c>
      <c r="G2" s="78" t="s">
        <v>123</v>
      </c>
      <c r="H2" s="48" t="s">
        <v>144</v>
      </c>
      <c r="I2" s="48" t="s">
        <v>11</v>
      </c>
      <c r="J2" s="48" t="s">
        <v>2</v>
      </c>
      <c r="K2" s="48" t="s">
        <v>6</v>
      </c>
      <c r="L2" s="69" t="s">
        <v>123</v>
      </c>
      <c r="M2" s="79" t="s">
        <v>144</v>
      </c>
      <c r="N2" s="49" t="s">
        <v>101</v>
      </c>
      <c r="O2" s="49" t="s">
        <v>110</v>
      </c>
      <c r="P2" s="49" t="s">
        <v>6</v>
      </c>
      <c r="Q2" s="78" t="s">
        <v>123</v>
      </c>
      <c r="R2" s="50" t="s">
        <v>112</v>
      </c>
      <c r="S2" s="50" t="s">
        <v>90</v>
      </c>
      <c r="T2" s="50" t="s">
        <v>91</v>
      </c>
      <c r="U2" s="80" t="s">
        <v>92</v>
      </c>
      <c r="V2" s="50" t="s">
        <v>93</v>
      </c>
      <c r="W2" s="48" t="s">
        <v>54</v>
      </c>
      <c r="X2" s="48" t="s">
        <v>94</v>
      </c>
      <c r="Y2" s="48" t="s">
        <v>95</v>
      </c>
      <c r="Z2" s="48" t="s">
        <v>106</v>
      </c>
    </row>
    <row r="3" spans="1:26" s="17" customFormat="1" x14ac:dyDescent="0.3">
      <c r="A3" s="65">
        <v>20180102</v>
      </c>
      <c r="B3" s="65" t="s">
        <v>89</v>
      </c>
      <c r="C3" s="79">
        <f>E3*F3*G3/T3</f>
        <v>0.91558419018653037</v>
      </c>
      <c r="D3" s="49">
        <v>2548000</v>
      </c>
      <c r="E3" s="49">
        <v>2551000</v>
      </c>
      <c r="F3" s="49">
        <v>129098494</v>
      </c>
      <c r="G3" s="49">
        <v>1</v>
      </c>
      <c r="H3" s="48">
        <f>J3*K3*L3/T3</f>
        <v>7.7038636206755606E-2</v>
      </c>
      <c r="I3" s="48">
        <v>221100</v>
      </c>
      <c r="J3" s="48">
        <v>225900</v>
      </c>
      <c r="K3" s="51">
        <v>122666424</v>
      </c>
      <c r="L3" s="48">
        <v>1</v>
      </c>
      <c r="M3" s="49">
        <f>O3*P3*Q3/T3</f>
        <v>7.3771736067140565E-3</v>
      </c>
      <c r="N3" s="49">
        <v>163300</v>
      </c>
      <c r="O3" s="49">
        <v>166300</v>
      </c>
      <c r="P3" s="49">
        <v>15956260</v>
      </c>
      <c r="Q3" s="49">
        <v>1</v>
      </c>
      <c r="R3" s="82" t="e">
        <f>IF(#REF!&lt;&gt;(D3*F3*#REF!+I3*K3*#REF!+N3*P3*#REF!+#REF!*#REF!*#REF!),1,0)</f>
        <v>#REF!</v>
      </c>
      <c r="S3" s="82">
        <f>E3*F3*G3+J3*K3*L3+O3*P3*Q3</f>
        <v>359694129413600</v>
      </c>
      <c r="T3" s="81">
        <f>E3*F3*G3+J3*K3*L3+O3*P3*Q3</f>
        <v>359694129413600</v>
      </c>
      <c r="U3" s="80">
        <f t="shared" ref="U3:U66" si="0">T3/S3*1000</f>
        <v>1000</v>
      </c>
      <c r="V3" s="52" t="e">
        <f>(U3-#REF!)/#REF!</f>
        <v>#REF!</v>
      </c>
      <c r="W3" s="48">
        <f>(E3-D3)/D3</f>
        <v>1.1773940345368916E-3</v>
      </c>
      <c r="X3" s="48">
        <f>(J3-I3)/I3</f>
        <v>2.1709633649932156E-2</v>
      </c>
      <c r="Y3" s="48">
        <f>(O3-N3)/N3</f>
        <v>1.8371096142069811E-2</v>
      </c>
      <c r="Z3" s="48" t="e">
        <f>(#REF!-#REF!)/#REF!</f>
        <v>#REF!</v>
      </c>
    </row>
    <row r="4" spans="1:26" x14ac:dyDescent="0.3">
      <c r="A4" s="48">
        <v>20180103</v>
      </c>
      <c r="B4" s="48" t="s">
        <v>88</v>
      </c>
      <c r="C4" s="79">
        <f>E4*F4*G4/T4</f>
        <v>0.91017981805873405</v>
      </c>
      <c r="D4" s="49">
        <v>2551000</v>
      </c>
      <c r="E4" s="49">
        <v>2581000</v>
      </c>
      <c r="F4" s="49">
        <v>129098494</v>
      </c>
      <c r="G4" s="49">
        <v>1</v>
      </c>
      <c r="H4" s="48">
        <f>J4*K4*L4/T4</f>
        <v>8.2663325959355063E-2</v>
      </c>
      <c r="I4" s="48">
        <v>225900</v>
      </c>
      <c r="J4" s="48">
        <v>246700</v>
      </c>
      <c r="K4" s="51">
        <v>122666424</v>
      </c>
      <c r="L4" s="48">
        <v>1</v>
      </c>
      <c r="M4" s="49">
        <f>O4*P4*Q4/T4</f>
        <v>7.1568559819109303E-3</v>
      </c>
      <c r="N4" s="49">
        <v>166300</v>
      </c>
      <c r="O4" s="49">
        <v>164200</v>
      </c>
      <c r="P4" s="49">
        <v>15956260</v>
      </c>
      <c r="Q4" s="49">
        <v>1</v>
      </c>
      <c r="R4" s="82">
        <f>IF(T3&lt;&gt;(D4*F4*G4+I4*K4*L4+N4*P4*Q4),1,0)</f>
        <v>0</v>
      </c>
      <c r="S4" s="82">
        <f>IF(AND(R4=0,B4="N"),S3,S3*(D4*F4*G4+I4*K4*L4+N4*P4*Q4)/T3)</f>
        <v>359694129413600</v>
      </c>
      <c r="T4" s="81">
        <f>E4*F4*G4+J4*K4*L4+O4*P4*Q4</f>
        <v>366085037706800</v>
      </c>
      <c r="U4" s="80">
        <f t="shared" si="0"/>
        <v>1017.7676191257802</v>
      </c>
      <c r="V4" s="52">
        <f t="shared" ref="V4:V67" si="1">(U4-U3)/U3</f>
        <v>1.7767619125780242E-2</v>
      </c>
      <c r="W4" s="48">
        <f>(E4-D4)/D4</f>
        <v>1.1760094080752646E-2</v>
      </c>
      <c r="X4" s="48">
        <f>(J4-I4)/I4</f>
        <v>9.2076139884904831E-2</v>
      </c>
      <c r="Y4" s="48">
        <f>(O4-N4)/N4</f>
        <v>-1.2627781118460614E-2</v>
      </c>
      <c r="Z4" s="48" t="e">
        <f>(#REF!-#REF!)/#REF!</f>
        <v>#REF!</v>
      </c>
    </row>
    <row r="5" spans="1:26" x14ac:dyDescent="0.3">
      <c r="A5" s="48">
        <v>20180104</v>
      </c>
      <c r="B5" s="48" t="s">
        <v>88</v>
      </c>
      <c r="C5" s="79">
        <f>E5*F5*G5/T5</f>
        <v>0.90829438186830025</v>
      </c>
      <c r="D5" s="49">
        <v>2581000</v>
      </c>
      <c r="E5" s="49">
        <v>2554000</v>
      </c>
      <c r="F5" s="49">
        <v>129098494</v>
      </c>
      <c r="G5" s="49">
        <v>1</v>
      </c>
      <c r="H5" s="48">
        <f>J5*K5*L5/T5</f>
        <v>8.4479293353425758E-2</v>
      </c>
      <c r="I5" s="48">
        <v>246700</v>
      </c>
      <c r="J5" s="48">
        <v>250000</v>
      </c>
      <c r="K5" s="51">
        <v>122666424</v>
      </c>
      <c r="L5" s="48">
        <v>1</v>
      </c>
      <c r="M5" s="49">
        <f>O5*P5*Q5/T5</f>
        <v>7.2263247782739593E-3</v>
      </c>
      <c r="N5" s="49">
        <v>164200</v>
      </c>
      <c r="O5" s="49">
        <v>164400</v>
      </c>
      <c r="P5" s="49">
        <v>15956260</v>
      </c>
      <c r="Q5" s="49">
        <v>1</v>
      </c>
      <c r="R5" s="82">
        <f t="shared" ref="R5:R68" si="2">IF(T4&lt;&gt;(D5*F5*G5+I5*K5*L5+N5*P5*Q5),1,0)</f>
        <v>0</v>
      </c>
      <c r="S5" s="82">
        <f>IF(AND(R5=0,B5="N"),S4,S4*(D5*F5*G5+I5*K5*L5+N5*P5*Q5)/T4)</f>
        <v>359694129413600</v>
      </c>
      <c r="T5" s="81">
        <f>E5*F5*G5+J5*K5*L5+O5*P5*Q5</f>
        <v>363007368820000</v>
      </c>
      <c r="U5" s="80">
        <f t="shared" si="0"/>
        <v>1009.2112690629715</v>
      </c>
      <c r="V5" s="52">
        <f t="shared" si="1"/>
        <v>-8.4069780783144719E-3</v>
      </c>
      <c r="W5" s="48">
        <f>(E5-D5)/D5</f>
        <v>-1.0461061604029445E-2</v>
      </c>
      <c r="X5" s="48">
        <f>(J5-I5)/I5</f>
        <v>1.3376570733684636E-2</v>
      </c>
      <c r="Y5" s="48">
        <f>(O5-N5)/N5</f>
        <v>1.2180267965895249E-3</v>
      </c>
      <c r="Z5" s="48" t="e">
        <f>(#REF!-#REF!)/#REF!</f>
        <v>#REF!</v>
      </c>
    </row>
    <row r="6" spans="1:26" x14ac:dyDescent="0.3">
      <c r="A6" s="48">
        <v>20180105</v>
      </c>
      <c r="B6" s="48" t="s">
        <v>88</v>
      </c>
      <c r="C6" s="79">
        <f>E6*F6*G6/T6</f>
        <v>0.90464888437506141</v>
      </c>
      <c r="D6" s="49">
        <v>2554000</v>
      </c>
      <c r="E6" s="49">
        <v>2606000</v>
      </c>
      <c r="F6" s="49">
        <v>129098494</v>
      </c>
      <c r="G6" s="49">
        <v>1</v>
      </c>
      <c r="H6" s="48">
        <f>J6*K6*L6/T6</f>
        <v>8.8035684054773897E-2</v>
      </c>
      <c r="I6" s="48">
        <v>250000</v>
      </c>
      <c r="J6" s="48">
        <v>266900</v>
      </c>
      <c r="K6" s="51">
        <v>122666424</v>
      </c>
      <c r="L6" s="48">
        <v>1</v>
      </c>
      <c r="M6" s="49">
        <f>O6*P6*Q6/T6</f>
        <v>7.3154315701646801E-3</v>
      </c>
      <c r="N6" s="49">
        <v>164400</v>
      </c>
      <c r="O6" s="49">
        <v>170500</v>
      </c>
      <c r="P6" s="49">
        <v>15956260</v>
      </c>
      <c r="Q6" s="49">
        <v>1</v>
      </c>
      <c r="R6" s="82">
        <f t="shared" si="2"/>
        <v>0</v>
      </c>
      <c r="S6" s="82">
        <f>IF(AND(R6=0,B6="N"),S5,S5*(D6*F6*G6+I6*K6*L6+N6*P6*Q6)/T5)</f>
        <v>359694129413600</v>
      </c>
      <c r="T6" s="81">
        <f>E6*F6*G6+J6*K6*L6+O6*P6*Q6</f>
        <v>371890886259600</v>
      </c>
      <c r="U6" s="80">
        <f t="shared" si="0"/>
        <v>1033.9086903249827</v>
      </c>
      <c r="V6" s="52">
        <f t="shared" si="1"/>
        <v>2.4472003057340156E-2</v>
      </c>
      <c r="W6" s="48">
        <f>(E6-D6)/D6</f>
        <v>2.0360219263899765E-2</v>
      </c>
      <c r="X6" s="48">
        <f>(J6-I6)/I6</f>
        <v>6.7599999999999993E-2</v>
      </c>
      <c r="Y6" s="48">
        <f>(O6-N6)/N6</f>
        <v>3.7104622871046232E-2</v>
      </c>
      <c r="Z6" s="48" t="e">
        <f>(#REF!-#REF!)/#REF!</f>
        <v>#REF!</v>
      </c>
    </row>
    <row r="7" spans="1:26" x14ac:dyDescent="0.3">
      <c r="A7" s="48">
        <v>20180108</v>
      </c>
      <c r="B7" s="48" t="s">
        <v>88</v>
      </c>
      <c r="C7" s="79">
        <f>E7*F7*G7/T7</f>
        <v>0.89397883332709005</v>
      </c>
      <c r="D7" s="49">
        <v>2606000</v>
      </c>
      <c r="E7" s="49">
        <v>2601000</v>
      </c>
      <c r="F7" s="49">
        <v>129098494</v>
      </c>
      <c r="G7" s="49">
        <v>1</v>
      </c>
      <c r="H7" s="48">
        <f>J7*K7*L7/T7</f>
        <v>9.8790865830996166E-2</v>
      </c>
      <c r="I7" s="48">
        <v>266900</v>
      </c>
      <c r="J7" s="48">
        <v>302500</v>
      </c>
      <c r="K7" s="51">
        <v>122666424</v>
      </c>
      <c r="L7" s="48">
        <v>1</v>
      </c>
      <c r="M7" s="49">
        <f>O7*P7*Q7/T7</f>
        <v>7.2303008419137308E-3</v>
      </c>
      <c r="N7" s="49">
        <v>170500</v>
      </c>
      <c r="O7" s="49">
        <v>170200</v>
      </c>
      <c r="P7" s="49">
        <v>15956260</v>
      </c>
      <c r="Q7" s="49">
        <v>1</v>
      </c>
      <c r="R7" s="82">
        <f t="shared" si="2"/>
        <v>0</v>
      </c>
      <c r="S7" s="82">
        <f>IF(AND(R7=0,B7="N"),S6,S6*(D7*F7*G7+I7*K7*L7+N7*P7*Q7)/T6)</f>
        <v>359694129413600</v>
      </c>
      <c r="T7" s="81">
        <f>E7*F7*G7+J7*K7*L7+O7*P7*Q7</f>
        <v>375607531606000</v>
      </c>
      <c r="U7" s="80">
        <f t="shared" si="0"/>
        <v>1044.241484336548</v>
      </c>
      <c r="V7" s="52">
        <f t="shared" si="1"/>
        <v>9.9939134937703598E-3</v>
      </c>
      <c r="W7" s="48">
        <f>(E7-D7)/D7</f>
        <v>-1.918649270913277E-3</v>
      </c>
      <c r="X7" s="48">
        <f>(J7-I7)/I7</f>
        <v>0.13338328962158111</v>
      </c>
      <c r="Y7" s="48">
        <f>(O7-N7)/N7</f>
        <v>-1.7595307917888563E-3</v>
      </c>
      <c r="Z7" s="48" t="e">
        <f>(#REF!-#REF!)/#REF!</f>
        <v>#REF!</v>
      </c>
    </row>
    <row r="8" spans="1:26" x14ac:dyDescent="0.3">
      <c r="A8" s="48">
        <v>20180109</v>
      </c>
      <c r="B8" s="48" t="s">
        <v>88</v>
      </c>
      <c r="C8" s="79">
        <f>E8*F8*G8/T8</f>
        <v>0.89418880001289092</v>
      </c>
      <c r="D8" s="49">
        <v>2601000</v>
      </c>
      <c r="E8" s="49">
        <v>2520000</v>
      </c>
      <c r="F8" s="49">
        <v>129098494</v>
      </c>
      <c r="G8" s="49">
        <v>1</v>
      </c>
      <c r="H8" s="48">
        <f>J8*K8*L8/T8</f>
        <v>9.8618657078244229E-2</v>
      </c>
      <c r="I8" s="48">
        <v>302500</v>
      </c>
      <c r="J8" s="48">
        <v>292500</v>
      </c>
      <c r="K8" s="51">
        <v>122666424</v>
      </c>
      <c r="L8" s="48">
        <v>1</v>
      </c>
      <c r="M8" s="49">
        <f>O8*P8*Q8/T8</f>
        <v>7.1925429088648199E-3</v>
      </c>
      <c r="N8" s="49">
        <v>170200</v>
      </c>
      <c r="O8" s="49">
        <v>164000</v>
      </c>
      <c r="P8" s="49">
        <v>15956260</v>
      </c>
      <c r="Q8" s="49">
        <v>1</v>
      </c>
      <c r="R8" s="82">
        <f t="shared" si="2"/>
        <v>0</v>
      </c>
      <c r="S8" s="82">
        <f>IF(AND(R8=0,B8="N"),S7,S7*(D8*F8*G8+I8*K8*L8+N8*P8*Q8)/T7)</f>
        <v>359694129413600</v>
      </c>
      <c r="T8" s="81">
        <f>E8*F8*G8+J8*K8*L8+O8*P8*Q8</f>
        <v>363824960540000</v>
      </c>
      <c r="U8" s="80">
        <f t="shared" si="0"/>
        <v>1011.484288423429</v>
      </c>
      <c r="V8" s="52">
        <f t="shared" si="1"/>
        <v>-3.1369368488488099E-2</v>
      </c>
      <c r="W8" s="48">
        <f>(E8-D8)/D8</f>
        <v>-3.1141868512110725E-2</v>
      </c>
      <c r="X8" s="48">
        <f>(J8-I8)/I8</f>
        <v>-3.3057851239669422E-2</v>
      </c>
      <c r="Y8" s="48">
        <f>(O8-N8)/N8</f>
        <v>-3.6427732079905996E-2</v>
      </c>
      <c r="Z8" s="48" t="e">
        <f>(#REF!-#REF!)/#REF!</f>
        <v>#REF!</v>
      </c>
    </row>
    <row r="9" spans="1:26" x14ac:dyDescent="0.3">
      <c r="A9" s="48">
        <v>20180110</v>
      </c>
      <c r="B9" s="48" t="s">
        <v>88</v>
      </c>
      <c r="C9" s="79">
        <f>E9*F9*G9/T9</f>
        <v>0.89009661348660085</v>
      </c>
      <c r="D9" s="49">
        <v>2520000</v>
      </c>
      <c r="E9" s="49">
        <v>2442000</v>
      </c>
      <c r="F9" s="49">
        <v>129098494</v>
      </c>
      <c r="G9" s="49">
        <v>1</v>
      </c>
      <c r="H9" s="48">
        <f>J9*K9*L9/T9</f>
        <v>0.10251507385812891</v>
      </c>
      <c r="I9" s="48">
        <v>292500</v>
      </c>
      <c r="J9" s="48">
        <v>296000</v>
      </c>
      <c r="K9" s="51">
        <v>122666424</v>
      </c>
      <c r="L9" s="48">
        <v>1</v>
      </c>
      <c r="M9" s="49">
        <f>O9*P9*Q9/T9</f>
        <v>7.388312655270228E-3</v>
      </c>
      <c r="N9" s="49">
        <v>164000</v>
      </c>
      <c r="O9" s="49">
        <v>164000</v>
      </c>
      <c r="P9" s="49">
        <v>15956260</v>
      </c>
      <c r="Q9" s="49">
        <v>1</v>
      </c>
      <c r="R9" s="82">
        <f t="shared" si="2"/>
        <v>0</v>
      </c>
      <c r="S9" s="82">
        <f>IF(AND(R9=0,B9="N"),S8,S8*(D9*F9*G9+I9*K9*L9+N9*P9*Q9)/T8)</f>
        <v>359694129413600</v>
      </c>
      <c r="T9" s="81">
        <f>E9*F9*G9+J9*K9*L9+O9*P9*Q9</f>
        <v>354184610492000</v>
      </c>
      <c r="U9" s="80">
        <f t="shared" si="0"/>
        <v>984.682766631243</v>
      </c>
      <c r="V9" s="52">
        <f t="shared" si="1"/>
        <v>-2.6497220074432157E-2</v>
      </c>
      <c r="W9" s="48">
        <f>(E9-D9)/D9</f>
        <v>-3.0952380952380953E-2</v>
      </c>
      <c r="X9" s="48">
        <f>(J9-I9)/I9</f>
        <v>1.1965811965811967E-2</v>
      </c>
      <c r="Y9" s="48">
        <f>(O9-N9)/N9</f>
        <v>0</v>
      </c>
      <c r="Z9" s="48" t="e">
        <f>(#REF!-#REF!)/#REF!</f>
        <v>#REF!</v>
      </c>
    </row>
    <row r="10" spans="1:26" x14ac:dyDescent="0.3">
      <c r="A10" s="48">
        <v>20180111</v>
      </c>
      <c r="B10" s="48" t="s">
        <v>88</v>
      </c>
      <c r="C10" s="79">
        <f>E10*F10*G10/T10</f>
        <v>0.88527005163711447</v>
      </c>
      <c r="D10" s="49">
        <v>2442000</v>
      </c>
      <c r="E10" s="49">
        <v>2412000</v>
      </c>
      <c r="F10" s="49">
        <v>129098494</v>
      </c>
      <c r="G10" s="49">
        <v>1</v>
      </c>
      <c r="H10" s="48">
        <f>J10*K10*L10/T10</f>
        <v>0.10706348434131784</v>
      </c>
      <c r="I10" s="48">
        <v>296000</v>
      </c>
      <c r="J10" s="48">
        <v>307000</v>
      </c>
      <c r="K10" s="51">
        <v>122666424</v>
      </c>
      <c r="L10" s="48">
        <v>1</v>
      </c>
      <c r="M10" s="49">
        <f>O10*P10*Q10/T10</f>
        <v>7.6664640215677047E-3</v>
      </c>
      <c r="N10" s="49">
        <v>164000</v>
      </c>
      <c r="O10" s="49">
        <v>169000</v>
      </c>
      <c r="P10" s="49">
        <v>15956260</v>
      </c>
      <c r="Q10" s="49">
        <v>1</v>
      </c>
      <c r="R10" s="82">
        <f t="shared" si="2"/>
        <v>0</v>
      </c>
      <c r="S10" s="82">
        <f>IF(AND(R10=0,B10="N"),S9,S9*(D10*F10*G10+I10*K10*L10+N10*P10*Q10)/T9)</f>
        <v>359694129413600</v>
      </c>
      <c r="T10" s="81">
        <f>E10*F10*G10+J10*K10*L10+O10*P10*Q10</f>
        <v>351740767636000</v>
      </c>
      <c r="U10" s="80">
        <f t="shared" si="0"/>
        <v>977.88854160459573</v>
      </c>
      <c r="V10" s="52">
        <f t="shared" si="1"/>
        <v>-6.8999125981369586E-3</v>
      </c>
      <c r="W10" s="48">
        <f>(E10-D10)/D10</f>
        <v>-1.2285012285012284E-2</v>
      </c>
      <c r="X10" s="48">
        <f>(J10-I10)/I10</f>
        <v>3.7162162162162164E-2</v>
      </c>
      <c r="Y10" s="48">
        <f>(O10-N10)/N10</f>
        <v>3.048780487804878E-2</v>
      </c>
      <c r="Z10" s="48" t="e">
        <f>(#REF!-#REF!)/#REF!</f>
        <v>#REF!</v>
      </c>
    </row>
    <row r="11" spans="1:26" x14ac:dyDescent="0.3">
      <c r="A11" s="48">
        <v>20180112</v>
      </c>
      <c r="B11" s="48" t="s">
        <v>88</v>
      </c>
      <c r="C11" s="79">
        <f>E11*F11*G11/T11</f>
        <v>0.87432121397793794</v>
      </c>
      <c r="D11" s="49">
        <v>2412000</v>
      </c>
      <c r="E11" s="49">
        <v>2410000</v>
      </c>
      <c r="F11" s="49">
        <v>129098494</v>
      </c>
      <c r="G11" s="49">
        <v>1</v>
      </c>
      <c r="H11" s="48">
        <f>J11*K11*L11/T11</f>
        <v>0.11771971721804678</v>
      </c>
      <c r="I11" s="48">
        <v>307000</v>
      </c>
      <c r="J11" s="48">
        <v>341500</v>
      </c>
      <c r="K11" s="51">
        <v>122666424</v>
      </c>
      <c r="L11" s="48">
        <v>1</v>
      </c>
      <c r="M11" s="49">
        <f>O11*P11*Q11/T11</f>
        <v>7.9590688040152308E-3</v>
      </c>
      <c r="N11" s="49">
        <v>169000</v>
      </c>
      <c r="O11" s="49">
        <v>177500</v>
      </c>
      <c r="P11" s="49">
        <v>15956260</v>
      </c>
      <c r="Q11" s="49">
        <v>1</v>
      </c>
      <c r="R11" s="82">
        <f t="shared" si="2"/>
        <v>0</v>
      </c>
      <c r="S11" s="82">
        <f>IF(AND(R11=0,B11="N"),S10,S10*(D11*F11*G11+I11*K11*L11+N11*P11*Q11)/T10)</f>
        <v>359694129413600</v>
      </c>
      <c r="T11" s="81">
        <f>E11*F11*G11+J11*K11*L11+O11*P11*Q11</f>
        <v>355850190486000</v>
      </c>
      <c r="U11" s="80">
        <f t="shared" si="0"/>
        <v>989.31331202467311</v>
      </c>
      <c r="V11" s="52">
        <f t="shared" si="1"/>
        <v>1.168310081773811E-2</v>
      </c>
      <c r="W11" s="48">
        <f>(E11-D11)/D11</f>
        <v>-8.2918739635157548E-4</v>
      </c>
      <c r="X11" s="48">
        <f>(J11-I11)/I11</f>
        <v>0.11237785016286644</v>
      </c>
      <c r="Y11" s="48">
        <f>(O11-N11)/N11</f>
        <v>5.0295857988165681E-2</v>
      </c>
      <c r="Z11" s="48" t="e">
        <f>(#REF!-#REF!)/#REF!</f>
        <v>#REF!</v>
      </c>
    </row>
    <row r="12" spans="1:26" x14ac:dyDescent="0.3">
      <c r="A12" s="48">
        <v>20180115</v>
      </c>
      <c r="B12" s="48" t="s">
        <v>88</v>
      </c>
      <c r="C12" s="79">
        <f>E12*F12*G12/T12</f>
        <v>0.87049279468361118</v>
      </c>
      <c r="D12" s="49">
        <v>2410000</v>
      </c>
      <c r="E12" s="49">
        <v>2427000</v>
      </c>
      <c r="F12" s="49">
        <v>129098494</v>
      </c>
      <c r="G12" s="49">
        <v>1</v>
      </c>
      <c r="H12" s="48">
        <f>J12*K12*L12/T12</f>
        <v>0.11928009531521169</v>
      </c>
      <c r="I12" s="48">
        <v>341500</v>
      </c>
      <c r="J12" s="48">
        <v>350000</v>
      </c>
      <c r="K12" s="51">
        <v>122666424</v>
      </c>
      <c r="L12" s="48">
        <v>1</v>
      </c>
      <c r="M12" s="49">
        <f>O12*P12*Q12/T12</f>
        <v>1.0227110001177105E-2</v>
      </c>
      <c r="N12" s="49">
        <v>177500</v>
      </c>
      <c r="O12" s="49">
        <v>230700</v>
      </c>
      <c r="P12" s="49">
        <v>15956260</v>
      </c>
      <c r="Q12" s="49">
        <v>1</v>
      </c>
      <c r="R12" s="82">
        <f t="shared" si="2"/>
        <v>0</v>
      </c>
      <c r="S12" s="82">
        <f>IF(AND(R12=0,B12="N"),S11,S11*(D12*F12*G12+I12*K12*L12+N12*P12*Q12)/T11)</f>
        <v>359694129413600</v>
      </c>
      <c r="T12" s="81">
        <f>E12*F12*G12+J12*K12*L12+O12*P12*Q12</f>
        <v>359936402520000</v>
      </c>
      <c r="U12" s="80">
        <f t="shared" si="0"/>
        <v>1000.6735531291404</v>
      </c>
      <c r="V12" s="52">
        <f t="shared" si="1"/>
        <v>1.1482955870893955E-2</v>
      </c>
      <c r="W12" s="48">
        <f>(E12-D12)/D12</f>
        <v>7.053941908713693E-3</v>
      </c>
      <c r="X12" s="48">
        <f>(J12-I12)/I12</f>
        <v>2.4890190336749635E-2</v>
      </c>
      <c r="Y12" s="48">
        <f>(O12-N12)/N12</f>
        <v>0.29971830985915493</v>
      </c>
      <c r="Z12" s="48" t="e">
        <f>(#REF!-#REF!)/#REF!</f>
        <v>#REF!</v>
      </c>
    </row>
    <row r="13" spans="1:26" x14ac:dyDescent="0.3">
      <c r="A13" s="48">
        <v>20180116</v>
      </c>
      <c r="B13" s="48" t="s">
        <v>88</v>
      </c>
      <c r="C13" s="79">
        <f>E13*F13*G13/T13</f>
        <v>0.87459012159406135</v>
      </c>
      <c r="D13" s="49">
        <v>2427000</v>
      </c>
      <c r="E13" s="49">
        <v>2500000</v>
      </c>
      <c r="F13" s="49">
        <v>129098494</v>
      </c>
      <c r="G13" s="49">
        <v>1</v>
      </c>
      <c r="H13" s="48">
        <f>J13*K13*L13/T13</f>
        <v>0.11547790649707099</v>
      </c>
      <c r="I13" s="48">
        <v>350000</v>
      </c>
      <c r="J13" s="48">
        <v>347400</v>
      </c>
      <c r="K13" s="51">
        <v>122666424</v>
      </c>
      <c r="L13" s="48">
        <v>1</v>
      </c>
      <c r="M13" s="49">
        <f>O13*P13*Q13/T13</f>
        <v>9.9319719088676872E-3</v>
      </c>
      <c r="N13" s="49">
        <v>230700</v>
      </c>
      <c r="O13" s="49">
        <v>229700</v>
      </c>
      <c r="P13" s="49">
        <v>15956260</v>
      </c>
      <c r="Q13" s="49">
        <v>1</v>
      </c>
      <c r="R13" s="82">
        <f t="shared" si="2"/>
        <v>0</v>
      </c>
      <c r="S13" s="82">
        <f>IF(AND(R13=0,B13="N"),S12,S12*(D13*F13*G13+I13*K13*L13+N13*P13*Q13)/T12)</f>
        <v>359694129413600</v>
      </c>
      <c r="T13" s="81">
        <f>E13*F13*G13+J13*K13*L13+O13*P13*Q13</f>
        <v>369025703619600</v>
      </c>
      <c r="U13" s="80">
        <f t="shared" si="0"/>
        <v>1025.9430817545258</v>
      </c>
      <c r="V13" s="52">
        <f t="shared" si="1"/>
        <v>2.5252519711714914E-2</v>
      </c>
      <c r="W13" s="48">
        <f>(E13-D13)/D13</f>
        <v>3.0078285949732178E-2</v>
      </c>
      <c r="X13" s="48">
        <f>(J13-I13)/I13</f>
        <v>-7.4285714285714285E-3</v>
      </c>
      <c r="Y13" s="48">
        <f>(O13-N13)/N13</f>
        <v>-4.3346337234503683E-3</v>
      </c>
      <c r="Z13" s="48" t="e">
        <f>(#REF!-#REF!)/#REF!</f>
        <v>#REF!</v>
      </c>
    </row>
    <row r="14" spans="1:26" x14ac:dyDescent="0.3">
      <c r="A14" s="48">
        <v>20180117</v>
      </c>
      <c r="B14" s="48" t="s">
        <v>88</v>
      </c>
      <c r="C14" s="79">
        <f>E14*F14*G14/T14</f>
        <v>0.88301838807417865</v>
      </c>
      <c r="D14" s="49">
        <v>2500000</v>
      </c>
      <c r="E14" s="49">
        <v>2481000</v>
      </c>
      <c r="F14" s="49">
        <v>129098494</v>
      </c>
      <c r="G14" s="49">
        <v>1</v>
      </c>
      <c r="H14" s="48">
        <f>J14*K14*L14/T14</f>
        <v>0.10601933044169215</v>
      </c>
      <c r="I14" s="48">
        <v>347400</v>
      </c>
      <c r="J14" s="48">
        <v>313500</v>
      </c>
      <c r="K14" s="51">
        <v>122666424</v>
      </c>
      <c r="L14" s="48">
        <v>1</v>
      </c>
      <c r="M14" s="49">
        <f>O14*P14*Q14/T14</f>
        <v>1.0962281484129187E-2</v>
      </c>
      <c r="N14" s="49">
        <v>229700</v>
      </c>
      <c r="O14" s="49">
        <v>249200</v>
      </c>
      <c r="P14" s="49">
        <v>15956260</v>
      </c>
      <c r="Q14" s="49">
        <v>1</v>
      </c>
      <c r="R14" s="82">
        <f t="shared" si="2"/>
        <v>0</v>
      </c>
      <c r="S14" s="82">
        <f>IF(AND(R14=0,B14="N"),S13,S13*(D14*F14*G14+I14*K14*L14+N14*P14*Q14)/T13)</f>
        <v>359694129413600</v>
      </c>
      <c r="T14" s="81">
        <f>E14*F14*G14+J14*K14*L14+O14*P14*Q14</f>
        <v>362725587530000</v>
      </c>
      <c r="U14" s="80">
        <f t="shared" si="0"/>
        <v>1008.4278776563358</v>
      </c>
      <c r="V14" s="52">
        <f t="shared" si="1"/>
        <v>-1.7072296124104869E-2</v>
      </c>
      <c r="W14" s="48">
        <f>(E14-D14)/D14</f>
        <v>-7.6E-3</v>
      </c>
      <c r="X14" s="48">
        <f>(J14-I14)/I14</f>
        <v>-9.7582037996545773E-2</v>
      </c>
      <c r="Y14" s="48">
        <f>(O14-N14)/N14</f>
        <v>8.4893339138006091E-2</v>
      </c>
      <c r="Z14" s="48" t="e">
        <f>(#REF!-#REF!)/#REF!</f>
        <v>#REF!</v>
      </c>
    </row>
    <row r="15" spans="1:26" x14ac:dyDescent="0.3">
      <c r="A15" s="48">
        <v>20180118</v>
      </c>
      <c r="B15" s="48" t="s">
        <v>88</v>
      </c>
      <c r="C15" s="79">
        <f>E15*F15*G15/T15</f>
        <v>0.88176935580187632</v>
      </c>
      <c r="D15" s="49">
        <v>2481000</v>
      </c>
      <c r="E15" s="49">
        <v>2495000</v>
      </c>
      <c r="F15" s="49">
        <v>129098494</v>
      </c>
      <c r="G15" s="49">
        <v>1</v>
      </c>
      <c r="H15" s="48">
        <f>J15*K15*L15/T15</f>
        <v>0.1072229863776081</v>
      </c>
      <c r="I15" s="48">
        <v>313500</v>
      </c>
      <c r="J15" s="48">
        <v>319300</v>
      </c>
      <c r="K15" s="51">
        <v>122666424</v>
      </c>
      <c r="L15" s="48">
        <v>1</v>
      </c>
      <c r="M15" s="49">
        <f>O15*P15*Q15/T15</f>
        <v>1.1007657820515569E-2</v>
      </c>
      <c r="N15" s="49">
        <v>249200</v>
      </c>
      <c r="O15" s="49">
        <v>252000</v>
      </c>
      <c r="P15" s="49">
        <v>15956260</v>
      </c>
      <c r="Q15" s="49">
        <v>1</v>
      </c>
      <c r="R15" s="82">
        <f t="shared" si="2"/>
        <v>0</v>
      </c>
      <c r="S15" s="82">
        <f>IF(AND(R15=0,B15="N"),S14,S14*(D15*F15*G15+I15*K15*L15+N15*P15*Q15)/T14)</f>
        <v>359694129413600</v>
      </c>
      <c r="T15" s="81">
        <f>E15*F15*G15+J15*K15*L15+O15*P15*Q15</f>
        <v>365289109233200</v>
      </c>
      <c r="U15" s="80">
        <f t="shared" si="0"/>
        <v>1015.5548266209443</v>
      </c>
      <c r="V15" s="52">
        <f t="shared" si="1"/>
        <v>7.0673859008856827E-3</v>
      </c>
      <c r="W15" s="48">
        <f>(E15-D15)/D15</f>
        <v>5.642885933091495E-3</v>
      </c>
      <c r="X15" s="48">
        <f>(J15-I15)/I15</f>
        <v>1.8500797448165868E-2</v>
      </c>
      <c r="Y15" s="48">
        <f>(O15-N15)/N15</f>
        <v>1.1235955056179775E-2</v>
      </c>
      <c r="Z15" s="48" t="e">
        <f>(#REF!-#REF!)/#REF!</f>
        <v>#REF!</v>
      </c>
    </row>
    <row r="16" spans="1:26" x14ac:dyDescent="0.3">
      <c r="A16" s="48">
        <v>20180119</v>
      </c>
      <c r="B16" s="48" t="s">
        <v>88</v>
      </c>
      <c r="C16" s="79">
        <f>E16*F16*G16/T16</f>
        <v>0.89069323855368765</v>
      </c>
      <c r="D16" s="49">
        <v>2495000</v>
      </c>
      <c r="E16" s="49">
        <v>2466000</v>
      </c>
      <c r="F16" s="49">
        <v>129098494</v>
      </c>
      <c r="G16" s="49">
        <v>1</v>
      </c>
      <c r="H16" s="48">
        <f>J16*K16*L16/T16</f>
        <v>9.87712162501031E-2</v>
      </c>
      <c r="I16" s="48">
        <v>319300</v>
      </c>
      <c r="J16" s="48">
        <v>287800</v>
      </c>
      <c r="K16" s="51">
        <v>122666424</v>
      </c>
      <c r="L16" s="48">
        <v>1</v>
      </c>
      <c r="M16" s="49">
        <f>O16*P16*Q16/T16</f>
        <v>1.0535545196209292E-2</v>
      </c>
      <c r="N16" s="49">
        <v>252000</v>
      </c>
      <c r="O16" s="49">
        <v>236000</v>
      </c>
      <c r="P16" s="49">
        <v>15956260</v>
      </c>
      <c r="Q16" s="49">
        <v>1</v>
      </c>
      <c r="R16" s="82">
        <f t="shared" si="2"/>
        <v>0</v>
      </c>
      <c r="S16" s="82">
        <f>IF(AND(R16=0,B16="N"),S15,S15*(D16*F16*G16+I16*K16*L16+N16*P16*Q16)/T15)</f>
        <v>359694129413600</v>
      </c>
      <c r="T16" s="81">
        <f>E16*F16*G16+J16*K16*L16+O16*P16*Q16</f>
        <v>357425960391200</v>
      </c>
      <c r="U16" s="80">
        <f t="shared" si="0"/>
        <v>993.69417280705204</v>
      </c>
      <c r="V16" s="52">
        <f t="shared" si="1"/>
        <v>-2.152582336359837E-2</v>
      </c>
      <c r="W16" s="48">
        <f>(E16-D16)/D16</f>
        <v>-1.1623246492985972E-2</v>
      </c>
      <c r="X16" s="48">
        <f>(J16-I16)/I16</f>
        <v>-9.8653304102724715E-2</v>
      </c>
      <c r="Y16" s="48">
        <f>(O16-N16)/N16</f>
        <v>-6.3492063492063489E-2</v>
      </c>
      <c r="Z16" s="48" t="e">
        <f>(#REF!-#REF!)/#REF!</f>
        <v>#REF!</v>
      </c>
    </row>
    <row r="17" spans="1:26" x14ac:dyDescent="0.3">
      <c r="A17" s="48">
        <v>20180122</v>
      </c>
      <c r="B17" s="48" t="s">
        <v>88</v>
      </c>
      <c r="C17" s="79">
        <f>E17*F17*G17/T17</f>
        <v>0.89080847054435452</v>
      </c>
      <c r="D17" s="49">
        <v>2466000</v>
      </c>
      <c r="E17" s="49">
        <v>2412000</v>
      </c>
      <c r="F17" s="49">
        <v>129098494</v>
      </c>
      <c r="G17" s="49">
        <v>1</v>
      </c>
      <c r="H17" s="48">
        <f>J17*K17*L17/T17</f>
        <v>9.8468932556217803E-2</v>
      </c>
      <c r="I17" s="48">
        <v>287800</v>
      </c>
      <c r="J17" s="48">
        <v>280600</v>
      </c>
      <c r="K17" s="51">
        <v>122666424</v>
      </c>
      <c r="L17" s="48">
        <v>1</v>
      </c>
      <c r="M17" s="49">
        <f>O17*P17*Q17/T17</f>
        <v>1.0722596899427721E-2</v>
      </c>
      <c r="N17" s="49">
        <v>236000</v>
      </c>
      <c r="O17" s="49">
        <v>234900</v>
      </c>
      <c r="P17" s="49">
        <v>15956260</v>
      </c>
      <c r="Q17" s="49">
        <v>1</v>
      </c>
      <c r="R17" s="82">
        <f t="shared" si="2"/>
        <v>0</v>
      </c>
      <c r="S17" s="82">
        <f>IF(AND(R17=0,B17="N"),S16,S16*(D17*F17*G17+I17*K17*L17+N17*P17*Q17)/T16)</f>
        <v>359694129413600</v>
      </c>
      <c r="T17" s="81">
        <f>E17*F17*G17+J17*K17*L17+O17*P17*Q17</f>
        <v>349553891576400</v>
      </c>
      <c r="U17" s="80">
        <f t="shared" si="0"/>
        <v>971.80872022089613</v>
      </c>
      <c r="V17" s="52">
        <f t="shared" si="1"/>
        <v>-2.2024334231861755E-2</v>
      </c>
      <c r="W17" s="48">
        <f>(E17-D17)/D17</f>
        <v>-2.1897810218978103E-2</v>
      </c>
      <c r="X17" s="48">
        <f>(J17-I17)/I17</f>
        <v>-2.5017373175816541E-2</v>
      </c>
      <c r="Y17" s="48">
        <f>(O17-N17)/N17</f>
        <v>-4.6610169491525426E-3</v>
      </c>
      <c r="Z17" s="48" t="e">
        <f>(#REF!-#REF!)/#REF!</f>
        <v>#REF!</v>
      </c>
    </row>
    <row r="18" spans="1:26" x14ac:dyDescent="0.3">
      <c r="A18" s="48">
        <v>20180123</v>
      </c>
      <c r="B18" s="48" t="s">
        <v>88</v>
      </c>
      <c r="C18" s="79">
        <f>E18*F18*G18/T18</f>
        <v>0.88668842575187656</v>
      </c>
      <c r="D18" s="49">
        <v>2412000</v>
      </c>
      <c r="E18" s="49">
        <v>2458000</v>
      </c>
      <c r="F18" s="49">
        <v>129098494</v>
      </c>
      <c r="G18" s="49">
        <v>1</v>
      </c>
      <c r="H18" s="48">
        <f>J18*K18*L18/T18</f>
        <v>0.10248607905138045</v>
      </c>
      <c r="I18" s="48">
        <v>280600</v>
      </c>
      <c r="J18" s="48">
        <v>299000</v>
      </c>
      <c r="K18" s="51">
        <v>122666424</v>
      </c>
      <c r="L18" s="48">
        <v>1</v>
      </c>
      <c r="M18" s="49">
        <f>O18*P18*Q18/T18</f>
        <v>1.0825495196743027E-2</v>
      </c>
      <c r="N18" s="49">
        <v>234900</v>
      </c>
      <c r="O18" s="49">
        <v>242800</v>
      </c>
      <c r="P18" s="49">
        <v>15956260</v>
      </c>
      <c r="Q18" s="49">
        <v>1</v>
      </c>
      <c r="R18" s="82">
        <f t="shared" si="2"/>
        <v>0</v>
      </c>
      <c r="S18" s="82">
        <f>IF(AND(R18=0,B18="N"),S17,S17*(D18*F18*G18+I18*K18*L18+N18*P18*Q18)/T17)</f>
        <v>359694129413600</v>
      </c>
      <c r="T18" s="81">
        <f>E18*F18*G18+J18*K18*L18+O18*P18*Q18</f>
        <v>357875538956000</v>
      </c>
      <c r="U18" s="80">
        <f t="shared" si="0"/>
        <v>994.9440641120143</v>
      </c>
      <c r="V18" s="52">
        <f t="shared" si="1"/>
        <v>2.3806479001196253E-2</v>
      </c>
      <c r="W18" s="48">
        <f>(E18-D18)/D18</f>
        <v>1.9071310116086235E-2</v>
      </c>
      <c r="X18" s="48">
        <f>(J18-I18)/I18</f>
        <v>6.5573770491803282E-2</v>
      </c>
      <c r="Y18" s="48">
        <f>(O18-N18)/N18</f>
        <v>3.3631332481907195E-2</v>
      </c>
      <c r="Z18" s="48" t="e">
        <f>(#REF!-#REF!)/#REF!</f>
        <v>#REF!</v>
      </c>
    </row>
    <row r="19" spans="1:26" x14ac:dyDescent="0.3">
      <c r="A19" s="48">
        <v>20180124</v>
      </c>
      <c r="B19" s="48" t="s">
        <v>88</v>
      </c>
      <c r="C19" s="79">
        <f>E19*F19*G19/T19</f>
        <v>0.88723973547584478</v>
      </c>
      <c r="D19" s="49">
        <v>2458000</v>
      </c>
      <c r="E19" s="49">
        <v>2467000</v>
      </c>
      <c r="F19" s="49">
        <v>129098494</v>
      </c>
      <c r="G19" s="49">
        <v>1</v>
      </c>
      <c r="H19" s="48">
        <f>J19*K19*L19/T19</f>
        <v>0.10029619761280192</v>
      </c>
      <c r="I19" s="48">
        <v>299000</v>
      </c>
      <c r="J19" s="48">
        <v>293500</v>
      </c>
      <c r="K19" s="51">
        <v>122666424</v>
      </c>
      <c r="L19" s="48">
        <v>1</v>
      </c>
      <c r="M19" s="49">
        <f>O19*P19*Q19/T19</f>
        <v>1.2464066911353247E-2</v>
      </c>
      <c r="N19" s="49">
        <v>242800</v>
      </c>
      <c r="O19" s="49">
        <v>280400</v>
      </c>
      <c r="P19" s="49">
        <v>15956260</v>
      </c>
      <c r="Q19" s="49">
        <v>1</v>
      </c>
      <c r="R19" s="82">
        <f t="shared" si="2"/>
        <v>0</v>
      </c>
      <c r="S19" s="82">
        <f>IF(AND(R19=0,B19="N"),S18,S18*(D19*F19*G19+I19*K19*L19+N19*P19*Q19)/T18)</f>
        <v>359694129413600</v>
      </c>
      <c r="T19" s="81">
        <f>E19*F19*G19+J19*K19*L19+O19*P19*Q19</f>
        <v>358962715446000</v>
      </c>
      <c r="U19" s="80">
        <f t="shared" si="0"/>
        <v>997.96656684724769</v>
      </c>
      <c r="V19" s="52">
        <f t="shared" si="1"/>
        <v>3.0378619705932574E-3</v>
      </c>
      <c r="W19" s="48">
        <f>(E19-D19)/D19</f>
        <v>3.6615134255492269E-3</v>
      </c>
      <c r="X19" s="48">
        <f>(J19-I19)/I19</f>
        <v>-1.839464882943144E-2</v>
      </c>
      <c r="Y19" s="48">
        <f>(O19-N19)/N19</f>
        <v>0.15485996705107083</v>
      </c>
      <c r="Z19" s="48" t="e">
        <f>(#REF!-#REF!)/#REF!</f>
        <v>#REF!</v>
      </c>
    </row>
    <row r="20" spans="1:26" x14ac:dyDescent="0.3">
      <c r="A20" s="48">
        <v>20180125</v>
      </c>
      <c r="B20" s="48" t="s">
        <v>88</v>
      </c>
      <c r="C20" s="79">
        <f>E20*F20*G20/T20</f>
        <v>0.89038744021109006</v>
      </c>
      <c r="D20" s="49">
        <v>2467000</v>
      </c>
      <c r="E20" s="49">
        <v>2513000</v>
      </c>
      <c r="F20" s="49">
        <v>129098494</v>
      </c>
      <c r="G20" s="49">
        <v>1</v>
      </c>
      <c r="H20" s="48">
        <f>J20*K20*L20/T20</f>
        <v>9.753030011549231E-2</v>
      </c>
      <c r="I20" s="48">
        <v>293500</v>
      </c>
      <c r="J20" s="48">
        <v>289700</v>
      </c>
      <c r="K20" s="51">
        <v>122666424</v>
      </c>
      <c r="L20" s="48">
        <v>1</v>
      </c>
      <c r="M20" s="49">
        <f>O20*P20*Q20/T20</f>
        <v>1.2082259673417627E-2</v>
      </c>
      <c r="N20" s="49">
        <v>280400</v>
      </c>
      <c r="O20" s="49">
        <v>275900</v>
      </c>
      <c r="P20" s="49">
        <v>15956260</v>
      </c>
      <c r="Q20" s="49">
        <v>1</v>
      </c>
      <c r="R20" s="82">
        <f t="shared" si="2"/>
        <v>0</v>
      </c>
      <c r="S20" s="82">
        <f>IF(AND(R20=0,B20="N"),S19,S19*(D20*F20*G20+I20*K20*L20+N20*P20*Q20)/T19)</f>
        <v>359694129413600</v>
      </c>
      <c r="T20" s="81">
        <f>E20*F20*G20+J20*K20*L20+O20*P20*Q20</f>
        <v>364363310588800</v>
      </c>
      <c r="U20" s="80">
        <f t="shared" si="0"/>
        <v>1012.9809768728004</v>
      </c>
      <c r="V20" s="52">
        <f t="shared" si="1"/>
        <v>1.5045003033504293E-2</v>
      </c>
      <c r="W20" s="48">
        <f>(E20-D20)/D20</f>
        <v>1.8646128901499796E-2</v>
      </c>
      <c r="X20" s="48">
        <f>(J20-I20)/I20</f>
        <v>-1.2947189097103918E-2</v>
      </c>
      <c r="Y20" s="48">
        <f>(O20-N20)/N20</f>
        <v>-1.6048502139800285E-2</v>
      </c>
      <c r="Z20" s="48" t="e">
        <f>(#REF!-#REF!)/#REF!</f>
        <v>#REF!</v>
      </c>
    </row>
    <row r="21" spans="1:26" x14ac:dyDescent="0.3">
      <c r="A21" s="48">
        <v>20180126</v>
      </c>
      <c r="B21" s="48" t="s">
        <v>88</v>
      </c>
      <c r="C21" s="79">
        <f>E21*F21*G21/T21</f>
        <v>0.88839334406724435</v>
      </c>
      <c r="D21" s="49">
        <v>2513000</v>
      </c>
      <c r="E21" s="49">
        <v>2539000</v>
      </c>
      <c r="F21" s="49">
        <v>129098494</v>
      </c>
      <c r="G21" s="49">
        <v>1</v>
      </c>
      <c r="H21" s="48">
        <f>J21*K21*L21/T21</f>
        <v>9.9739773751027549E-2</v>
      </c>
      <c r="I21" s="48">
        <v>289700</v>
      </c>
      <c r="J21" s="48">
        <v>300000</v>
      </c>
      <c r="K21" s="51">
        <v>122666424</v>
      </c>
      <c r="L21" s="48">
        <v>1</v>
      </c>
      <c r="M21" s="49">
        <f>O21*P21*Q21/T21</f>
        <v>1.1866882181728051E-2</v>
      </c>
      <c r="N21" s="49">
        <v>275900</v>
      </c>
      <c r="O21" s="49">
        <v>274400</v>
      </c>
      <c r="P21" s="49">
        <v>15956260</v>
      </c>
      <c r="Q21" s="49">
        <v>1</v>
      </c>
      <c r="R21" s="82">
        <f t="shared" si="2"/>
        <v>0</v>
      </c>
      <c r="S21" s="82">
        <f>IF(AND(R21=0,B21="N"),S20,S20*(D21*F21*G21+I21*K21*L21+N21*P21*Q21)/T20)</f>
        <v>359694129413600</v>
      </c>
      <c r="T21" s="81">
        <f>E21*F21*G21+J21*K21*L21+O21*P21*Q21</f>
        <v>368959401210000</v>
      </c>
      <c r="U21" s="80">
        <f t="shared" si="0"/>
        <v>1025.7587517803111</v>
      </c>
      <c r="V21" s="52">
        <f t="shared" si="1"/>
        <v>1.2614032444081288E-2</v>
      </c>
      <c r="W21" s="48">
        <f>(E21-D21)/D21</f>
        <v>1.0346199761241544E-2</v>
      </c>
      <c r="X21" s="48">
        <f>(J21-I21)/I21</f>
        <v>3.5554021401449774E-2</v>
      </c>
      <c r="Y21" s="48">
        <f>(O21-N21)/N21</f>
        <v>-5.4367524465386008E-3</v>
      </c>
      <c r="Z21" s="48" t="e">
        <f>(#REF!-#REF!)/#REF!</f>
        <v>#REF!</v>
      </c>
    </row>
    <row r="22" spans="1:26" x14ac:dyDescent="0.3">
      <c r="A22" s="48">
        <v>20180129</v>
      </c>
      <c r="B22" s="48" t="s">
        <v>88</v>
      </c>
      <c r="C22" s="79">
        <f>E22*F22*G22/T22</f>
        <v>0.8804359051143118</v>
      </c>
      <c r="D22" s="49">
        <v>2539000</v>
      </c>
      <c r="E22" s="49">
        <v>2561000</v>
      </c>
      <c r="F22" s="49">
        <v>129098494</v>
      </c>
      <c r="G22" s="49">
        <v>1</v>
      </c>
      <c r="H22" s="48">
        <f>J22*K22*L22/T22</f>
        <v>0.10724167245502431</v>
      </c>
      <c r="I22" s="48">
        <v>300000</v>
      </c>
      <c r="J22" s="48">
        <v>328300</v>
      </c>
      <c r="K22" s="51">
        <v>122666424</v>
      </c>
      <c r="L22" s="48">
        <v>1</v>
      </c>
      <c r="M22" s="49">
        <f>O22*P22*Q22/T22</f>
        <v>1.2322422430663928E-2</v>
      </c>
      <c r="N22" s="49">
        <v>274400</v>
      </c>
      <c r="O22" s="49">
        <v>290000</v>
      </c>
      <c r="P22" s="49">
        <v>15956260</v>
      </c>
      <c r="Q22" s="49">
        <v>1</v>
      </c>
      <c r="R22" s="82">
        <f t="shared" si="2"/>
        <v>0</v>
      </c>
      <c r="S22" s="82">
        <f>IF(AND(R22=0,B22="N"),S21,S21*(D22*F22*G22+I22*K22*L22+N22*P22*Q22)/T21)</f>
        <v>359694129413600</v>
      </c>
      <c r="T22" s="81">
        <f>E22*F22*G22+J22*K22*L22+O22*P22*Q22</f>
        <v>375519945533200</v>
      </c>
      <c r="U22" s="80">
        <f t="shared" si="0"/>
        <v>1043.9979828011105</v>
      </c>
      <c r="V22" s="52">
        <f t="shared" si="1"/>
        <v>1.7781209264988863E-2</v>
      </c>
      <c r="W22" s="48">
        <f>(E22-D22)/D22</f>
        <v>8.6648286727057898E-3</v>
      </c>
      <c r="X22" s="48">
        <f>(J22-I22)/I22</f>
        <v>9.4333333333333338E-2</v>
      </c>
      <c r="Y22" s="48">
        <f>(O22-N22)/N22</f>
        <v>5.6851311953352766E-2</v>
      </c>
      <c r="Z22" s="48" t="e">
        <f>(#REF!-#REF!)/#REF!</f>
        <v>#REF!</v>
      </c>
    </row>
    <row r="23" spans="1:26" x14ac:dyDescent="0.3">
      <c r="A23" s="48">
        <v>20180130</v>
      </c>
      <c r="B23" s="48" t="s">
        <v>88</v>
      </c>
      <c r="C23" s="79">
        <f>E23*F23*G23/T23</f>
        <v>0.87793272931936794</v>
      </c>
      <c r="D23" s="49">
        <v>2561000</v>
      </c>
      <c r="E23" s="49">
        <v>2490000</v>
      </c>
      <c r="F23" s="49">
        <v>129098494</v>
      </c>
      <c r="G23" s="49">
        <v>1</v>
      </c>
      <c r="H23" s="48">
        <f>J23*K23*L23/T23</f>
        <v>0.1094164454268776</v>
      </c>
      <c r="I23" s="48">
        <v>328300</v>
      </c>
      <c r="J23" s="48">
        <v>326600</v>
      </c>
      <c r="K23" s="51">
        <v>122666424</v>
      </c>
      <c r="L23" s="48">
        <v>1</v>
      </c>
      <c r="M23" s="49">
        <f>O23*P23*Q23/T23</f>
        <v>1.2650825253754456E-2</v>
      </c>
      <c r="N23" s="49">
        <v>290000</v>
      </c>
      <c r="O23" s="49">
        <v>290300</v>
      </c>
      <c r="P23" s="49">
        <v>15956260</v>
      </c>
      <c r="Q23" s="49">
        <v>1</v>
      </c>
      <c r="R23" s="82">
        <f t="shared" si="2"/>
        <v>0</v>
      </c>
      <c r="S23" s="82">
        <f>IF(AND(R23=0,B23="N"),S22,S22*(D23*F23*G23+I23*K23*L23+N23*P23*Q23)/T22)</f>
        <v>359694129413600</v>
      </c>
      <c r="T23" s="81">
        <f>E23*F23*G23+J23*K23*L23+O23*P23*Q23</f>
        <v>366150206416400</v>
      </c>
      <c r="U23" s="80">
        <f t="shared" si="0"/>
        <v>1017.9487972553935</v>
      </c>
      <c r="V23" s="52">
        <f t="shared" si="1"/>
        <v>-2.495137536168936E-2</v>
      </c>
      <c r="W23" s="48">
        <f>(E23-D23)/D23</f>
        <v>-2.7723545490042953E-2</v>
      </c>
      <c r="X23" s="48">
        <f>(J23-I23)/I23</f>
        <v>-5.1781906792567776E-3</v>
      </c>
      <c r="Y23" s="48">
        <f>(O23-N23)/N23</f>
        <v>1.0344827586206897E-3</v>
      </c>
      <c r="Z23" s="48" t="e">
        <f>(#REF!-#REF!)/#REF!</f>
        <v>#REF!</v>
      </c>
    </row>
    <row r="24" spans="1:26" x14ac:dyDescent="0.3">
      <c r="A24" s="48">
        <v>20180131</v>
      </c>
      <c r="B24" s="48" t="s">
        <v>88</v>
      </c>
      <c r="C24" s="79">
        <f>E24*F24*G24/T24</f>
        <v>0.88225784904323246</v>
      </c>
      <c r="D24" s="49">
        <v>2490000</v>
      </c>
      <c r="E24" s="49">
        <v>2495000</v>
      </c>
      <c r="F24" s="49">
        <v>129098494</v>
      </c>
      <c r="G24" s="49">
        <v>1</v>
      </c>
      <c r="H24" s="48">
        <f>J24*K24*L24/T24</f>
        <v>0.10607281426813223</v>
      </c>
      <c r="I24" s="48">
        <v>326600</v>
      </c>
      <c r="J24" s="48">
        <v>315700</v>
      </c>
      <c r="K24" s="51">
        <v>122666424</v>
      </c>
      <c r="L24" s="48">
        <v>1</v>
      </c>
      <c r="M24" s="49">
        <f>O24*P24*Q24/T24</f>
        <v>1.1669336688635325E-2</v>
      </c>
      <c r="N24" s="49">
        <v>290300</v>
      </c>
      <c r="O24" s="49">
        <v>267000</v>
      </c>
      <c r="P24" s="49">
        <v>15956260</v>
      </c>
      <c r="Q24" s="49">
        <v>1</v>
      </c>
      <c r="R24" s="82">
        <f t="shared" si="2"/>
        <v>0</v>
      </c>
      <c r="S24" s="82">
        <f>IF(AND(R24=0,B24="N"),S23,S23*(D24*F24*G24+I24*K24*L24+N24*P24*Q24)/T23)</f>
        <v>359694129413600</v>
      </c>
      <c r="T24" s="81">
        <f>E24*F24*G24+J24*K24*L24+O24*P24*Q24</f>
        <v>365086854006800</v>
      </c>
      <c r="U24" s="80">
        <f t="shared" si="0"/>
        <v>1014.9925287965962</v>
      </c>
      <c r="V24" s="52">
        <f t="shared" si="1"/>
        <v>-2.9041425922090407E-3</v>
      </c>
      <c r="W24" s="48">
        <f>(E24-D24)/D24</f>
        <v>2.008032128514056E-3</v>
      </c>
      <c r="X24" s="48">
        <f>(J24-I24)/I24</f>
        <v>-3.3374157991426824E-2</v>
      </c>
      <c r="Y24" s="48">
        <f>(O24-N24)/N24</f>
        <v>-8.0261798139855317E-2</v>
      </c>
      <c r="Z24" s="48" t="e">
        <f>(#REF!-#REF!)/#REF!</f>
        <v>#REF!</v>
      </c>
    </row>
    <row r="25" spans="1:26" x14ac:dyDescent="0.3">
      <c r="A25" s="48">
        <v>20180201</v>
      </c>
      <c r="B25" s="48" t="s">
        <v>88</v>
      </c>
      <c r="C25" s="79">
        <f>E25*F25*G25/T25</f>
        <v>0.88767920994630234</v>
      </c>
      <c r="D25" s="49">
        <v>2495000</v>
      </c>
      <c r="E25" s="49">
        <v>2491000</v>
      </c>
      <c r="F25" s="49">
        <v>129098494</v>
      </c>
      <c r="G25" s="49">
        <v>1</v>
      </c>
      <c r="H25" s="48">
        <f>J25*K25*L25/T25</f>
        <v>0.10151225568935651</v>
      </c>
      <c r="I25" s="48">
        <v>315700</v>
      </c>
      <c r="J25" s="48">
        <v>299800</v>
      </c>
      <c r="K25" s="51">
        <v>122666424</v>
      </c>
      <c r="L25" s="48">
        <v>1</v>
      </c>
      <c r="M25" s="49">
        <f>O25*P25*Q25/T25</f>
        <v>1.0808534364341106E-2</v>
      </c>
      <c r="N25" s="49">
        <v>267000</v>
      </c>
      <c r="O25" s="49">
        <v>245400</v>
      </c>
      <c r="P25" s="49">
        <v>15956260</v>
      </c>
      <c r="Q25" s="49">
        <v>1</v>
      </c>
      <c r="R25" s="82">
        <f t="shared" si="2"/>
        <v>0</v>
      </c>
      <c r="S25" s="82">
        <f>IF(AND(R25=0,B25="N"),S24,S24*(D25*F25*G25+I25*K25*L25+N25*P25*Q25)/T24)</f>
        <v>359694129413600</v>
      </c>
      <c r="T25" s="81">
        <f>E25*F25*G25+J25*K25*L25+O25*P25*Q25</f>
        <v>362275408673200</v>
      </c>
      <c r="U25" s="80">
        <f t="shared" si="0"/>
        <v>1007.1763174556343</v>
      </c>
      <c r="V25" s="52">
        <f t="shared" si="1"/>
        <v>-7.7007575122045686E-3</v>
      </c>
      <c r="W25" s="48">
        <f>(E25-D25)/D25</f>
        <v>-1.6032064128256513E-3</v>
      </c>
      <c r="X25" s="48">
        <f>(J25-I25)/I25</f>
        <v>-5.0364269876465001E-2</v>
      </c>
      <c r="Y25" s="48">
        <f>(O25-N25)/N25</f>
        <v>-8.0898876404494377E-2</v>
      </c>
      <c r="Z25" s="48" t="e">
        <f>(#REF!-#REF!)/#REF!</f>
        <v>#REF!</v>
      </c>
    </row>
    <row r="26" spans="1:26" x14ac:dyDescent="0.3">
      <c r="A26" s="48">
        <v>20180202</v>
      </c>
      <c r="B26" s="48" t="s">
        <v>88</v>
      </c>
      <c r="C26" s="79">
        <f>E26*F26*G26/T26</f>
        <v>0.88245394446208647</v>
      </c>
      <c r="D26" s="49">
        <v>2491000</v>
      </c>
      <c r="E26" s="49">
        <v>2385000</v>
      </c>
      <c r="F26" s="49">
        <v>129098494</v>
      </c>
      <c r="G26" s="49">
        <v>1</v>
      </c>
      <c r="H26" s="48">
        <f>J26*K26*L26/T26</f>
        <v>0.10596231601024508</v>
      </c>
      <c r="I26" s="48">
        <v>299800</v>
      </c>
      <c r="J26" s="48">
        <v>301400</v>
      </c>
      <c r="K26" s="51">
        <v>122666424</v>
      </c>
      <c r="L26" s="48">
        <v>1</v>
      </c>
      <c r="M26" s="49">
        <f>O26*P26*Q26/T26</f>
        <v>1.1583739527668481E-2</v>
      </c>
      <c r="N26" s="49">
        <v>245400</v>
      </c>
      <c r="O26" s="49">
        <v>253300</v>
      </c>
      <c r="P26" s="49">
        <v>15956260</v>
      </c>
      <c r="Q26" s="49">
        <v>1</v>
      </c>
      <c r="R26" s="82">
        <f t="shared" si="2"/>
        <v>0</v>
      </c>
      <c r="S26" s="82">
        <f>IF(AND(R26=0,B26="N"),S25,S25*(D26*F26*G26+I26*K26*L26+N26*P26*Q26)/T25)</f>
        <v>359694129413600</v>
      </c>
      <c r="T26" s="81">
        <f>E26*F26*G26+J26*K26*L26+O26*P26*Q26</f>
        <v>348913289041600</v>
      </c>
      <c r="U26" s="80">
        <f t="shared" si="0"/>
        <v>970.02775555560015</v>
      </c>
      <c r="V26" s="52">
        <f t="shared" si="1"/>
        <v>-3.6883871528949536E-2</v>
      </c>
      <c r="W26" s="48">
        <f>(E26-D26)/D26</f>
        <v>-4.2553191489361701E-2</v>
      </c>
      <c r="X26" s="48">
        <f>(J26-I26)/I26</f>
        <v>5.3368912608405599E-3</v>
      </c>
      <c r="Y26" s="48">
        <f>(O26-N26)/N26</f>
        <v>3.2192339038304811E-2</v>
      </c>
      <c r="Z26" s="48" t="e">
        <f>(#REF!-#REF!)/#REF!</f>
        <v>#REF!</v>
      </c>
    </row>
    <row r="27" spans="1:26" x14ac:dyDescent="0.3">
      <c r="A27" s="48">
        <v>20180205</v>
      </c>
      <c r="B27" s="48" t="s">
        <v>88</v>
      </c>
      <c r="C27" s="79">
        <f>E27*F27*G27/T27</f>
        <v>0.88923603689829633</v>
      </c>
      <c r="D27" s="49">
        <v>2385000</v>
      </c>
      <c r="E27" s="49">
        <v>2396000</v>
      </c>
      <c r="F27" s="49">
        <v>129098494</v>
      </c>
      <c r="G27" s="49">
        <v>1</v>
      </c>
      <c r="H27" s="48">
        <f>J27*K27*L27/T27</f>
        <v>0.10085578236100609</v>
      </c>
      <c r="I27" s="48">
        <v>301400</v>
      </c>
      <c r="J27" s="48">
        <v>286000</v>
      </c>
      <c r="K27" s="51">
        <v>122666424</v>
      </c>
      <c r="L27" s="48">
        <v>1</v>
      </c>
      <c r="M27" s="49">
        <f>O27*P27*Q27/T27</f>
        <v>9.90818074069761E-3</v>
      </c>
      <c r="N27" s="49">
        <v>253300</v>
      </c>
      <c r="O27" s="49">
        <v>216000</v>
      </c>
      <c r="P27" s="49">
        <v>15956260</v>
      </c>
      <c r="Q27" s="49">
        <v>1</v>
      </c>
      <c r="R27" s="82">
        <f t="shared" si="2"/>
        <v>0</v>
      </c>
      <c r="S27" s="82">
        <f>IF(AND(R27=0,B27="N"),S26,S26*(D27*F27*G27+I27*K27*L27+N27*P27*Q27)/T26)</f>
        <v>359694129413600</v>
      </c>
      <c r="T27" s="81">
        <f>E27*F27*G27+J27*K27*L27+O27*P27*Q27</f>
        <v>347849141048000</v>
      </c>
      <c r="U27" s="80">
        <f t="shared" si="0"/>
        <v>967.06927526198285</v>
      </c>
      <c r="V27" s="52">
        <f t="shared" si="1"/>
        <v>-3.0498924145967127E-3</v>
      </c>
      <c r="W27" s="48">
        <f>(E27-D27)/D27</f>
        <v>4.6121593291404616E-3</v>
      </c>
      <c r="X27" s="48">
        <f>(J27-I27)/I27</f>
        <v>-5.1094890510948905E-2</v>
      </c>
      <c r="Y27" s="48">
        <f>(O27-N27)/N27</f>
        <v>-0.14725621792341098</v>
      </c>
      <c r="Z27" s="48" t="e">
        <f>(#REF!-#REF!)/#REF!</f>
        <v>#REF!</v>
      </c>
    </row>
    <row r="28" spans="1:26" x14ac:dyDescent="0.3">
      <c r="A28" s="48">
        <v>20180206</v>
      </c>
      <c r="B28" s="48" t="s">
        <v>88</v>
      </c>
      <c r="C28" s="79">
        <f>E28*F28*G28/T28</f>
        <v>0.88814269063409601</v>
      </c>
      <c r="D28" s="49">
        <v>2396000</v>
      </c>
      <c r="E28" s="49">
        <v>2371000</v>
      </c>
      <c r="F28" s="49">
        <v>129098494</v>
      </c>
      <c r="G28" s="49">
        <v>1</v>
      </c>
      <c r="H28" s="48">
        <f>J28*K28*L28/T28</f>
        <v>0.10115323913251756</v>
      </c>
      <c r="I28" s="48">
        <v>286000</v>
      </c>
      <c r="J28" s="48">
        <v>284200</v>
      </c>
      <c r="K28" s="51">
        <v>122666424</v>
      </c>
      <c r="L28" s="48">
        <v>1</v>
      </c>
      <c r="M28" s="49">
        <f>O28*P28*Q28/T28</f>
        <v>1.0704070233386421E-2</v>
      </c>
      <c r="N28" s="49">
        <v>216000</v>
      </c>
      <c r="O28" s="49">
        <v>231200</v>
      </c>
      <c r="P28" s="49">
        <v>15956260</v>
      </c>
      <c r="Q28" s="49">
        <v>1</v>
      </c>
      <c r="R28" s="82">
        <f t="shared" si="2"/>
        <v>0</v>
      </c>
      <c r="S28" s="82">
        <f>IF(AND(R28=0,B28="N"),S27,S27*(D28*F28*G28+I28*K28*L28+N28*P28*Q28)/T27)</f>
        <v>359694129413600</v>
      </c>
      <c r="T28" s="81">
        <f>E28*F28*G28+J28*K28*L28+O28*P28*Q28</f>
        <v>344643414286800</v>
      </c>
      <c r="U28" s="80">
        <f t="shared" si="0"/>
        <v>958.1569063933938</v>
      </c>
      <c r="V28" s="52">
        <f t="shared" si="1"/>
        <v>-9.2158536069452315E-3</v>
      </c>
      <c r="W28" s="48">
        <f>(E28-D28)/D28</f>
        <v>-1.0434056761268781E-2</v>
      </c>
      <c r="X28" s="48">
        <f>(J28-I28)/I28</f>
        <v>-6.2937062937062941E-3</v>
      </c>
      <c r="Y28" s="48">
        <f>(O28-N28)/N28</f>
        <v>7.0370370370370375E-2</v>
      </c>
      <c r="Z28" s="48" t="e">
        <f>(#REF!-#REF!)/#REF!</f>
        <v>#REF!</v>
      </c>
    </row>
    <row r="29" spans="1:26" x14ac:dyDescent="0.3">
      <c r="A29" s="48">
        <v>20180207</v>
      </c>
      <c r="B29" s="48" t="s">
        <v>88</v>
      </c>
      <c r="C29" s="79">
        <f>E29*F29*G29/T29</f>
        <v>0.89481059521598594</v>
      </c>
      <c r="D29" s="49">
        <v>2371000</v>
      </c>
      <c r="E29" s="49">
        <v>2290000</v>
      </c>
      <c r="F29" s="49">
        <v>129098494</v>
      </c>
      <c r="G29" s="49">
        <v>1</v>
      </c>
      <c r="H29" s="48">
        <f>J29*K29*L29/T29</f>
        <v>9.5047375539204171E-2</v>
      </c>
      <c r="I29" s="48">
        <v>284200</v>
      </c>
      <c r="J29" s="48">
        <v>256000</v>
      </c>
      <c r="K29" s="51">
        <v>122666424</v>
      </c>
      <c r="L29" s="48">
        <v>1</v>
      </c>
      <c r="M29" s="49">
        <f>O29*P29*Q29/T29</f>
        <v>1.0142029244809898E-2</v>
      </c>
      <c r="N29" s="49">
        <v>231200</v>
      </c>
      <c r="O29" s="49">
        <v>210000</v>
      </c>
      <c r="P29" s="49">
        <v>15956260</v>
      </c>
      <c r="Q29" s="49">
        <v>1</v>
      </c>
      <c r="R29" s="82">
        <f t="shared" si="2"/>
        <v>0</v>
      </c>
      <c r="S29" s="82">
        <f>IF(AND(R29=0,B29="N"),S28,S28*(D29*F29*G29+I29*K29*L29+N29*P29*Q29)/T28)</f>
        <v>359694129413600</v>
      </c>
      <c r="T29" s="81">
        <f>E29*F29*G29+J29*K29*L29+O29*P29*Q29</f>
        <v>330388970404000</v>
      </c>
      <c r="U29" s="80">
        <f t="shared" si="0"/>
        <v>918.52755824128838</v>
      </c>
      <c r="V29" s="52">
        <f t="shared" si="1"/>
        <v>-4.1359977564921567E-2</v>
      </c>
      <c r="W29" s="48">
        <f>(E29-D29)/D29</f>
        <v>-3.4162800506115566E-2</v>
      </c>
      <c r="X29" s="48">
        <f>(J29-I29)/I29</f>
        <v>-9.9225897255453901E-2</v>
      </c>
      <c r="Y29" s="48">
        <f>(O29-N29)/N29</f>
        <v>-9.1695501730103809E-2</v>
      </c>
      <c r="Z29" s="48" t="e">
        <f>(#REF!-#REF!)/#REF!</f>
        <v>#REF!</v>
      </c>
    </row>
    <row r="30" spans="1:26" s="64" customFormat="1" x14ac:dyDescent="0.3">
      <c r="A30" s="65">
        <v>20180208</v>
      </c>
      <c r="B30" s="48" t="s">
        <v>88</v>
      </c>
      <c r="C30" s="79">
        <f>E30*F30*G30/T30</f>
        <v>0.88914665932517056</v>
      </c>
      <c r="D30" s="49">
        <v>2290000</v>
      </c>
      <c r="E30" s="49">
        <v>2300000</v>
      </c>
      <c r="F30" s="49">
        <v>128386494</v>
      </c>
      <c r="G30" s="49">
        <v>1</v>
      </c>
      <c r="H30" s="48">
        <f>J30*K30*L30/T30</f>
        <v>0.10024478159746196</v>
      </c>
      <c r="I30" s="48">
        <v>256000</v>
      </c>
      <c r="J30" s="48">
        <v>271400</v>
      </c>
      <c r="K30" s="51">
        <v>122666424</v>
      </c>
      <c r="L30" s="48">
        <v>1</v>
      </c>
      <c r="M30" s="49">
        <f>O30*P30*Q30/T30</f>
        <v>1.0608559077367508E-2</v>
      </c>
      <c r="N30" s="49">
        <v>210000</v>
      </c>
      <c r="O30" s="49">
        <v>220800</v>
      </c>
      <c r="P30" s="49">
        <v>15956260</v>
      </c>
      <c r="Q30" s="49">
        <v>1</v>
      </c>
      <c r="R30" s="82">
        <f t="shared" si="2"/>
        <v>1</v>
      </c>
      <c r="S30" s="82">
        <f>IF(AND(R30=0,B30="N"),S29,S29*(D30*F30*G30+I30*K30*L30+N30*P30*Q30)/T29)</f>
        <v>357919027528663.75</v>
      </c>
      <c r="T30" s="81">
        <f>E30*F30*G30+J30*K30*L30+O30*P30*Q30</f>
        <v>332103745881600</v>
      </c>
      <c r="U30" s="80">
        <f t="shared" si="0"/>
        <v>927.87396125511555</v>
      </c>
      <c r="V30" s="52">
        <f t="shared" si="1"/>
        <v>1.017541926746629E-2</v>
      </c>
      <c r="W30" s="48">
        <f>(E30-D30)/D30</f>
        <v>4.3668122270742356E-3</v>
      </c>
      <c r="X30" s="48">
        <f>(J30-I30)/I30</f>
        <v>6.0156250000000001E-2</v>
      </c>
      <c r="Y30" s="48">
        <f>(O30-N30)/N30</f>
        <v>5.1428571428571428E-2</v>
      </c>
      <c r="Z30" s="48" t="e">
        <f>(#REF!-#REF!)/#REF!</f>
        <v>#REF!</v>
      </c>
    </row>
    <row r="31" spans="1:26" s="47" customFormat="1" x14ac:dyDescent="0.3">
      <c r="A31" s="48">
        <v>20180209</v>
      </c>
      <c r="B31" s="48" t="s">
        <v>88</v>
      </c>
      <c r="C31" s="79">
        <f>E31*F31*G31/T31</f>
        <v>0.88147950300013966</v>
      </c>
      <c r="D31" s="49">
        <v>2300000</v>
      </c>
      <c r="E31" s="49">
        <v>2235000</v>
      </c>
      <c r="F31" s="49">
        <v>128386494</v>
      </c>
      <c r="G31" s="49">
        <v>1</v>
      </c>
      <c r="H31" s="48">
        <f>J31*K31*L31/T31</f>
        <v>0.1085259369535741</v>
      </c>
      <c r="I31" s="74">
        <v>271500</v>
      </c>
      <c r="J31" s="74">
        <v>288000</v>
      </c>
      <c r="K31" s="67">
        <v>122666424</v>
      </c>
      <c r="L31" s="48">
        <v>1</v>
      </c>
      <c r="M31" s="49">
        <f>O31*P31*Q31/T31</f>
        <v>9.9945600462862782E-3</v>
      </c>
      <c r="N31" s="49">
        <v>220800</v>
      </c>
      <c r="O31" s="49">
        <v>203900</v>
      </c>
      <c r="P31" s="49">
        <v>15956260</v>
      </c>
      <c r="Q31" s="49">
        <v>1</v>
      </c>
      <c r="R31" s="82">
        <f t="shared" si="2"/>
        <v>1</v>
      </c>
      <c r="S31" s="82">
        <f>IF(AND(R31=0,B31="N"),S30,S30*(D31*F31*G31+I31*K31*L31+N31*P31*Q31)/T30)</f>
        <v>357932247688849.5</v>
      </c>
      <c r="T31" s="81">
        <f>E31*F31*G31+J31*K31*L31+O31*P31*Q31</f>
        <v>325525225616000</v>
      </c>
      <c r="U31" s="80">
        <f t="shared" si="0"/>
        <v>909.46045716165554</v>
      </c>
      <c r="V31" s="52">
        <f t="shared" si="1"/>
        <v>-1.9844833309636632E-2</v>
      </c>
      <c r="W31" s="48">
        <f>(E31-D31)/D31</f>
        <v>-2.8260869565217391E-2</v>
      </c>
      <c r="X31" s="48">
        <f>(J31-I31)/I31</f>
        <v>6.0773480662983423E-2</v>
      </c>
      <c r="Y31" s="48">
        <f>(O31-N31)/N31</f>
        <v>-7.6539855072463775E-2</v>
      </c>
      <c r="Z31" s="48" t="e">
        <f>(#REF!-#REF!)/#REF!</f>
        <v>#REF!</v>
      </c>
    </row>
    <row r="32" spans="1:26" x14ac:dyDescent="0.3">
      <c r="A32" s="48">
        <v>20180212</v>
      </c>
      <c r="B32" s="48" t="s">
        <v>88</v>
      </c>
      <c r="C32" s="79">
        <f>E32*F32*G32/T32</f>
        <v>0.87857865012722602</v>
      </c>
      <c r="D32" s="49">
        <v>2235000</v>
      </c>
      <c r="E32" s="49">
        <v>2286000</v>
      </c>
      <c r="F32" s="49">
        <v>128386494</v>
      </c>
      <c r="G32" s="49">
        <v>1</v>
      </c>
      <c r="H32" s="48">
        <f>J32*K32*L32/T32</f>
        <v>0.11108007492088258</v>
      </c>
      <c r="I32" s="48">
        <v>288000</v>
      </c>
      <c r="J32" s="48">
        <v>302500</v>
      </c>
      <c r="K32" s="51">
        <v>122666424</v>
      </c>
      <c r="L32" s="48">
        <v>1</v>
      </c>
      <c r="M32" s="49">
        <f>O32*P32*Q32/T32</f>
        <v>1.0341274951891346E-2</v>
      </c>
      <c r="N32" s="49">
        <v>203900</v>
      </c>
      <c r="O32" s="49">
        <v>216500</v>
      </c>
      <c r="P32" s="49">
        <v>15956260</v>
      </c>
      <c r="Q32" s="49">
        <v>1</v>
      </c>
      <c r="R32" s="82">
        <f t="shared" si="2"/>
        <v>0</v>
      </c>
      <c r="S32" s="82">
        <f>IF(AND(R32=0,B32="N"),S31,S31*(D32*F32*G32+I32*K32*L32+N32*P32*Q32)/T31)</f>
        <v>357932247688849.5</v>
      </c>
      <c r="T32" s="81">
        <f>E32*F32*G32+J32*K32*L32+O32*P32*Q32</f>
        <v>334052648834000</v>
      </c>
      <c r="U32" s="80">
        <f t="shared" si="0"/>
        <v>933.28458385898762</v>
      </c>
      <c r="V32" s="52">
        <f t="shared" si="1"/>
        <v>2.6195890662124043E-2</v>
      </c>
      <c r="W32" s="48">
        <f>(E32-D32)/D32</f>
        <v>2.2818791946308724E-2</v>
      </c>
      <c r="X32" s="48">
        <f>(J32-I32)/I32</f>
        <v>5.0347222222222224E-2</v>
      </c>
      <c r="Y32" s="48">
        <f>(O32-N32)/N32</f>
        <v>6.1794997547817559E-2</v>
      </c>
      <c r="Z32" s="48" t="e">
        <f>(#REF!-#REF!)/#REF!</f>
        <v>#REF!</v>
      </c>
    </row>
    <row r="33" spans="1:26" x14ac:dyDescent="0.3">
      <c r="A33" s="48">
        <v>20180213</v>
      </c>
      <c r="B33" s="48" t="s">
        <v>88</v>
      </c>
      <c r="C33" s="79">
        <f>E33*F33*G33/T33</f>
        <v>0.8860203170406421</v>
      </c>
      <c r="D33" s="49">
        <v>2286000</v>
      </c>
      <c r="E33" s="49">
        <v>2377000</v>
      </c>
      <c r="F33" s="49">
        <v>128386494</v>
      </c>
      <c r="G33" s="49">
        <v>1</v>
      </c>
      <c r="H33" s="48">
        <f>J33*K33*L33/T33</f>
        <v>0.10470518655518013</v>
      </c>
      <c r="I33" s="48">
        <v>302500</v>
      </c>
      <c r="J33" s="48">
        <v>294000</v>
      </c>
      <c r="K33" s="51">
        <v>122666424</v>
      </c>
      <c r="L33" s="48">
        <v>1</v>
      </c>
      <c r="M33" s="49">
        <f>O33*P33*Q33/T33</f>
        <v>9.2744964041777886E-3</v>
      </c>
      <c r="N33" s="49">
        <v>216500</v>
      </c>
      <c r="O33" s="49">
        <v>200200</v>
      </c>
      <c r="P33" s="49">
        <v>15956260</v>
      </c>
      <c r="Q33" s="49">
        <v>1</v>
      </c>
      <c r="R33" s="82">
        <f t="shared" si="2"/>
        <v>0</v>
      </c>
      <c r="S33" s="82">
        <f>IF(AND(R33=0,B33="N"),S32,S32*(D33*F33*G33+I33*K33*L33+N33*P33*Q33)/T32)</f>
        <v>357932247688849.5</v>
      </c>
      <c r="T33" s="81">
        <f>E33*F33*G33+J33*K33*L33+O33*P33*Q33</f>
        <v>344433068146000</v>
      </c>
      <c r="U33" s="80">
        <f t="shared" si="0"/>
        <v>962.28565704818993</v>
      </c>
      <c r="V33" s="52">
        <f t="shared" si="1"/>
        <v>3.1074201471631896E-2</v>
      </c>
      <c r="W33" s="48">
        <f>(E33-D33)/D33</f>
        <v>3.9807524059492561E-2</v>
      </c>
      <c r="X33" s="48">
        <f>(J33-I33)/I33</f>
        <v>-2.809917355371901E-2</v>
      </c>
      <c r="Y33" s="48">
        <f>(O33-N33)/N33</f>
        <v>-7.5288683602771356E-2</v>
      </c>
      <c r="Z33" s="48" t="e">
        <f>(#REF!-#REF!)/#REF!</f>
        <v>#REF!</v>
      </c>
    </row>
    <row r="34" spans="1:26" x14ac:dyDescent="0.3">
      <c r="A34" s="48">
        <v>20180214</v>
      </c>
      <c r="B34" s="48" t="s">
        <v>88</v>
      </c>
      <c r="C34" s="79">
        <f>E34*F34*G34/T34</f>
        <v>0.88315988875297968</v>
      </c>
      <c r="D34" s="49">
        <v>2377000</v>
      </c>
      <c r="E34" s="49">
        <v>2450000</v>
      </c>
      <c r="F34" s="49">
        <v>128386494</v>
      </c>
      <c r="G34" s="49">
        <v>1</v>
      </c>
      <c r="H34" s="48">
        <f>J34*K34*L34/T34</f>
        <v>0.10762908272394282</v>
      </c>
      <c r="I34" s="48">
        <v>294000</v>
      </c>
      <c r="J34" s="48">
        <v>312500</v>
      </c>
      <c r="K34" s="51">
        <v>122666424</v>
      </c>
      <c r="L34" s="48">
        <v>1</v>
      </c>
      <c r="M34" s="49">
        <f>O34*P34*Q34/T34</f>
        <v>9.211028523077501E-3</v>
      </c>
      <c r="N34" s="49">
        <v>200200</v>
      </c>
      <c r="O34" s="49">
        <v>205600</v>
      </c>
      <c r="P34" s="49">
        <v>15956260</v>
      </c>
      <c r="Q34" s="49">
        <v>1</v>
      </c>
      <c r="R34" s="82">
        <f t="shared" si="2"/>
        <v>0</v>
      </c>
      <c r="S34" s="82">
        <f>IF(AND(R34=0,B34="N"),S33,S33*(D34*F34*G34+I34*K34*L34+N34*P34*Q34)/T33)</f>
        <v>357932247688849.5</v>
      </c>
      <c r="T34" s="81">
        <f>E34*F34*G34+J34*K34*L34+O34*P34*Q34</f>
        <v>356160774856000</v>
      </c>
      <c r="U34" s="80">
        <f t="shared" si="0"/>
        <v>995.05081521911529</v>
      </c>
      <c r="V34" s="52">
        <f t="shared" si="1"/>
        <v>3.4049305350172678E-2</v>
      </c>
      <c r="W34" s="48">
        <f>(E34-D34)/D34</f>
        <v>3.0710980227177113E-2</v>
      </c>
      <c r="X34" s="48">
        <f>(J34-I34)/I34</f>
        <v>6.2925170068027211E-2</v>
      </c>
      <c r="Y34" s="48">
        <f>(O34-N34)/N34</f>
        <v>2.6973026973026972E-2</v>
      </c>
      <c r="Z34" s="48" t="e">
        <f>(#REF!-#REF!)/#REF!</f>
        <v>#REF!</v>
      </c>
    </row>
    <row r="35" spans="1:26" x14ac:dyDescent="0.3">
      <c r="A35" s="48">
        <v>20180219</v>
      </c>
      <c r="B35" s="48" t="s">
        <v>88</v>
      </c>
      <c r="C35" s="79">
        <f>E35*F35*G35/T35</f>
        <v>0.88005913370166744</v>
      </c>
      <c r="D35" s="49">
        <v>2450000</v>
      </c>
      <c r="E35" s="49">
        <v>2419000</v>
      </c>
      <c r="F35" s="49">
        <v>128386494</v>
      </c>
      <c r="G35" s="49">
        <v>1</v>
      </c>
      <c r="H35" s="48">
        <f>J35*K35*L35/T35</f>
        <v>0.11001605459514995</v>
      </c>
      <c r="I35" s="48">
        <v>312500</v>
      </c>
      <c r="J35" s="48">
        <v>316500</v>
      </c>
      <c r="K35" s="51">
        <v>122666424</v>
      </c>
      <c r="L35" s="48">
        <v>1</v>
      </c>
      <c r="M35" s="49">
        <f>O35*P35*Q35/T35</f>
        <v>9.9248117031825785E-3</v>
      </c>
      <c r="N35" s="49">
        <v>205600</v>
      </c>
      <c r="O35" s="49">
        <v>219500</v>
      </c>
      <c r="P35" s="49">
        <v>15956260</v>
      </c>
      <c r="Q35" s="49">
        <v>1</v>
      </c>
      <c r="R35" s="82">
        <f t="shared" si="2"/>
        <v>0</v>
      </c>
      <c r="S35" s="82">
        <f>IF(AND(R35=0,B35="N"),S34,S34*(D35*F35*G35+I35*K35*L35+N35*P35*Q35)/T34)</f>
        <v>357932247688849.5</v>
      </c>
      <c r="T35" s="81">
        <f>E35*F35*G35+J35*K35*L35+O35*P35*Q35</f>
        <v>352893251252000</v>
      </c>
      <c r="U35" s="80">
        <f t="shared" si="0"/>
        <v>985.92192665124173</v>
      </c>
      <c r="V35" s="52">
        <f t="shared" si="1"/>
        <v>-9.1742938433383749E-3</v>
      </c>
      <c r="W35" s="48">
        <f>(E35-D35)/D35</f>
        <v>-1.2653061224489797E-2</v>
      </c>
      <c r="X35" s="48">
        <f>(J35-I35)/I35</f>
        <v>1.2800000000000001E-2</v>
      </c>
      <c r="Y35" s="48">
        <f>(O35-N35)/N35</f>
        <v>6.7607003891050579E-2</v>
      </c>
      <c r="Z35" s="48" t="e">
        <f>(#REF!-#REF!)/#REF!</f>
        <v>#REF!</v>
      </c>
    </row>
    <row r="36" spans="1:26" x14ac:dyDescent="0.3">
      <c r="A36" s="48">
        <v>20180220</v>
      </c>
      <c r="B36" s="48" t="s">
        <v>88</v>
      </c>
      <c r="C36" s="79">
        <f>E36*F36*G36/T36</f>
        <v>0.88196660376746805</v>
      </c>
      <c r="D36" s="49">
        <v>2419000</v>
      </c>
      <c r="E36" s="49">
        <v>2370000</v>
      </c>
      <c r="F36" s="49">
        <v>128386494</v>
      </c>
      <c r="G36" s="49">
        <v>1</v>
      </c>
      <c r="H36" s="48">
        <f>J36*K36*L36/T36</f>
        <v>0.10808955870836386</v>
      </c>
      <c r="I36" s="48">
        <v>316500</v>
      </c>
      <c r="J36" s="48">
        <v>304000</v>
      </c>
      <c r="K36" s="51">
        <v>122666424</v>
      </c>
      <c r="L36" s="48">
        <v>1</v>
      </c>
      <c r="M36" s="49">
        <f>O36*P36*Q36/T36</f>
        <v>9.9438375241681313E-3</v>
      </c>
      <c r="N36" s="49">
        <v>219500</v>
      </c>
      <c r="O36" s="49">
        <v>215000</v>
      </c>
      <c r="P36" s="49">
        <v>15956260</v>
      </c>
      <c r="Q36" s="49">
        <v>1</v>
      </c>
      <c r="R36" s="82">
        <f t="shared" si="2"/>
        <v>0</v>
      </c>
      <c r="S36" s="82">
        <f>IF(AND(R36=0,B36="N"),S35,S35*(D36*F36*G36+I36*K36*L36+N36*P36*Q36)/T35)</f>
        <v>357932247688849.5</v>
      </c>
      <c r="T36" s="81">
        <f>E36*F36*G36+J36*K36*L36+O36*P36*Q36</f>
        <v>344997179576000</v>
      </c>
      <c r="U36" s="80">
        <f t="shared" si="0"/>
        <v>963.86168556655457</v>
      </c>
      <c r="V36" s="52">
        <f t="shared" si="1"/>
        <v>-2.2375241373945743E-2</v>
      </c>
      <c r="W36" s="48">
        <f>(E36-D36)/D36</f>
        <v>-2.0256304257957835E-2</v>
      </c>
      <c r="X36" s="48">
        <f>(J36-I36)/I36</f>
        <v>-3.9494470774091628E-2</v>
      </c>
      <c r="Y36" s="48">
        <f>(O36-N36)/N36</f>
        <v>-2.0501138952164009E-2</v>
      </c>
      <c r="Z36" s="48" t="e">
        <f>(#REF!-#REF!)/#REF!</f>
        <v>#REF!</v>
      </c>
    </row>
    <row r="37" spans="1:26" x14ac:dyDescent="0.3">
      <c r="A37" s="48">
        <v>20180221</v>
      </c>
      <c r="B37" s="48" t="s">
        <v>88</v>
      </c>
      <c r="C37" s="79">
        <f>E37*F37*G37/T37</f>
        <v>0.88035145101337275</v>
      </c>
      <c r="D37" s="49">
        <v>2370000</v>
      </c>
      <c r="E37" s="49">
        <v>2364000</v>
      </c>
      <c r="F37" s="49">
        <v>128386494</v>
      </c>
      <c r="G37" s="49">
        <v>1</v>
      </c>
      <c r="H37" s="48">
        <f>J37*K37*L37/T37</f>
        <v>0.10941077588998313</v>
      </c>
      <c r="I37" s="48">
        <v>304000</v>
      </c>
      <c r="J37" s="48">
        <v>307500</v>
      </c>
      <c r="K37" s="51">
        <v>122666424</v>
      </c>
      <c r="L37" s="48">
        <v>1</v>
      </c>
      <c r="M37" s="49">
        <f>O37*P37*Q37/T37</f>
        <v>1.023777309664416E-2</v>
      </c>
      <c r="N37" s="49">
        <v>215000</v>
      </c>
      <c r="O37" s="49">
        <v>221200</v>
      </c>
      <c r="P37" s="49">
        <v>15956260</v>
      </c>
      <c r="Q37" s="49">
        <v>1</v>
      </c>
      <c r="R37" s="82">
        <f t="shared" si="2"/>
        <v>0</v>
      </c>
      <c r="S37" s="82">
        <f>IF(AND(R37=0,B37="N"),S36,S36*(D37*F37*G37+I37*K37*L37+N37*P37*Q37)/T36)</f>
        <v>357932247688849.5</v>
      </c>
      <c r="T37" s="81">
        <f>E37*F37*G37+J37*K37*L37+O37*P37*Q37</f>
        <v>344755121908000</v>
      </c>
      <c r="U37" s="80">
        <f t="shared" si="0"/>
        <v>963.18541884411491</v>
      </c>
      <c r="V37" s="52">
        <f t="shared" si="1"/>
        <v>-7.0162216484635602E-4</v>
      </c>
      <c r="W37" s="48">
        <f>(E37-D37)/D37</f>
        <v>-2.5316455696202532E-3</v>
      </c>
      <c r="X37" s="48">
        <f>(J37-I37)/I37</f>
        <v>1.1513157894736841E-2</v>
      </c>
      <c r="Y37" s="48">
        <f>(O37-N37)/N37</f>
        <v>2.883720930232558E-2</v>
      </c>
      <c r="Z37" s="48" t="e">
        <f>(#REF!-#REF!)/#REF!</f>
        <v>#REF!</v>
      </c>
    </row>
    <row r="38" spans="1:26" x14ac:dyDescent="0.3">
      <c r="A38" s="48">
        <v>20180222</v>
      </c>
      <c r="B38" s="48" t="s">
        <v>88</v>
      </c>
      <c r="C38" s="79">
        <f>E38*F38*G38/T38</f>
        <v>0.87925971803817093</v>
      </c>
      <c r="D38" s="49">
        <v>2364000</v>
      </c>
      <c r="E38" s="49">
        <v>2338000</v>
      </c>
      <c r="F38" s="49">
        <v>128386494</v>
      </c>
      <c r="G38" s="49">
        <v>1</v>
      </c>
      <c r="H38" s="48">
        <f>J38*K38*L38/T38</f>
        <v>0.11049030080480524</v>
      </c>
      <c r="I38" s="48">
        <v>307500</v>
      </c>
      <c r="J38" s="48">
        <v>307500</v>
      </c>
      <c r="K38" s="51">
        <v>122666424</v>
      </c>
      <c r="L38" s="48">
        <v>1</v>
      </c>
      <c r="M38" s="49">
        <f>O38*P38*Q38/T38</f>
        <v>1.0249981157023863E-2</v>
      </c>
      <c r="N38" s="49">
        <v>221200</v>
      </c>
      <c r="O38" s="49">
        <v>219300</v>
      </c>
      <c r="P38" s="49">
        <v>15956260</v>
      </c>
      <c r="Q38" s="49">
        <v>1</v>
      </c>
      <c r="R38" s="82">
        <f t="shared" si="2"/>
        <v>0</v>
      </c>
      <c r="S38" s="82">
        <f>IF(AND(R38=0,B38="N"),S37,S37*(D38*F38*G38+I38*K38*L38+N38*P38*Q38)/T37)</f>
        <v>357932247688849.5</v>
      </c>
      <c r="T38" s="81">
        <f>E38*F38*G38+J38*K38*L38+O38*P38*Q38</f>
        <v>341386756170000</v>
      </c>
      <c r="U38" s="80">
        <f t="shared" si="0"/>
        <v>953.7747950186581</v>
      </c>
      <c r="V38" s="52">
        <f t="shared" si="1"/>
        <v>-9.7703138371323869E-3</v>
      </c>
      <c r="W38" s="48">
        <f>(E38-D38)/D38</f>
        <v>-1.0998307952622674E-2</v>
      </c>
      <c r="X38" s="48">
        <f>(J38-I38)/I38</f>
        <v>0</v>
      </c>
      <c r="Y38" s="48">
        <f>(O38-N38)/N38</f>
        <v>-8.5895117540687165E-3</v>
      </c>
      <c r="Z38" s="48" t="e">
        <f>(#REF!-#REF!)/#REF!</f>
        <v>#REF!</v>
      </c>
    </row>
    <row r="39" spans="1:26" x14ac:dyDescent="0.3">
      <c r="A39" s="48">
        <v>20180223</v>
      </c>
      <c r="B39" s="48" t="s">
        <v>88</v>
      </c>
      <c r="C39" s="79">
        <f>E39*F39*G39/T39</f>
        <v>0.87687702873728457</v>
      </c>
      <c r="D39" s="49">
        <v>2338000</v>
      </c>
      <c r="E39" s="49">
        <v>2361000</v>
      </c>
      <c r="F39" s="49">
        <v>128386494</v>
      </c>
      <c r="G39" s="49">
        <v>1</v>
      </c>
      <c r="H39" s="48">
        <f>J39*K39*L39/T39</f>
        <v>0.11284340741826057</v>
      </c>
      <c r="I39" s="48">
        <v>307500</v>
      </c>
      <c r="J39" s="48">
        <v>318000</v>
      </c>
      <c r="K39" s="51">
        <v>122666424</v>
      </c>
      <c r="L39" s="48">
        <v>1</v>
      </c>
      <c r="M39" s="49">
        <f>O39*P39*Q39/T39</f>
        <v>1.0279563844454859E-2</v>
      </c>
      <c r="N39" s="49">
        <v>219300</v>
      </c>
      <c r="O39" s="49">
        <v>222700</v>
      </c>
      <c r="P39" s="49">
        <v>15956260</v>
      </c>
      <c r="Q39" s="49">
        <v>1</v>
      </c>
      <c r="R39" s="82">
        <f t="shared" si="2"/>
        <v>0</v>
      </c>
      <c r="S39" s="82">
        <f>IF(AND(R39=0,B39="N"),S38,S38*(D39*F39*G39+I39*K39*L39+N39*P39*Q39)/T38)</f>
        <v>357932247688849.5</v>
      </c>
      <c r="T39" s="81">
        <f>E39*F39*G39+J39*K39*L39+O39*P39*Q39</f>
        <v>345681894268000</v>
      </c>
      <c r="U39" s="80">
        <f t="shared" si="0"/>
        <v>965.77465847251983</v>
      </c>
      <c r="V39" s="52">
        <f t="shared" si="1"/>
        <v>1.2581443246911331E-2</v>
      </c>
      <c r="W39" s="48">
        <f>(E39-D39)/D39</f>
        <v>9.8374679213002574E-3</v>
      </c>
      <c r="X39" s="48">
        <f>(J39-I39)/I39</f>
        <v>3.4146341463414637E-2</v>
      </c>
      <c r="Y39" s="48">
        <f>(O39-N39)/N39</f>
        <v>1.5503875968992248E-2</v>
      </c>
      <c r="Z39" s="48" t="e">
        <f>(#REF!-#REF!)/#REF!</f>
        <v>#REF!</v>
      </c>
    </row>
    <row r="40" spans="1:26" x14ac:dyDescent="0.3">
      <c r="A40" s="48">
        <v>20180226</v>
      </c>
      <c r="B40" s="48" t="s">
        <v>88</v>
      </c>
      <c r="C40" s="79">
        <f>E40*F40*G40/T40</f>
        <v>0.87454732812365732</v>
      </c>
      <c r="D40" s="49">
        <v>2361000</v>
      </c>
      <c r="E40" s="49">
        <v>2369000</v>
      </c>
      <c r="F40" s="49">
        <v>128386494</v>
      </c>
      <c r="G40" s="49">
        <v>1</v>
      </c>
      <c r="H40" s="48">
        <f>J40*K40*L40/T40</f>
        <v>0.11516163118944213</v>
      </c>
      <c r="I40" s="48">
        <v>318000</v>
      </c>
      <c r="J40" s="48">
        <v>326500</v>
      </c>
      <c r="K40" s="51">
        <v>122666424</v>
      </c>
      <c r="L40" s="48">
        <v>1</v>
      </c>
      <c r="M40" s="49">
        <f>O40*P40*Q40/T40</f>
        <v>1.029104068690052E-2</v>
      </c>
      <c r="N40" s="49">
        <v>222700</v>
      </c>
      <c r="O40" s="49">
        <v>224300</v>
      </c>
      <c r="P40" s="49">
        <v>15956260</v>
      </c>
      <c r="Q40" s="49">
        <v>1</v>
      </c>
      <c r="R40" s="82">
        <f t="shared" si="2"/>
        <v>0</v>
      </c>
      <c r="S40" s="82">
        <f>IF(AND(R40=0,B40="N"),S39,S39*(D40*F40*G40+I40*K40*L40+N40*P40*Q40)/T39)</f>
        <v>357932247688849.5</v>
      </c>
      <c r="T40" s="81">
        <f>E40*F40*G40+J40*K40*L40+O40*P40*Q40</f>
        <v>347777180840000</v>
      </c>
      <c r="U40" s="80">
        <f t="shared" si="0"/>
        <v>971.62852211718769</v>
      </c>
      <c r="V40" s="52">
        <f t="shared" si="1"/>
        <v>6.0613141930296564E-3</v>
      </c>
      <c r="W40" s="48">
        <f>(E40-D40)/D40</f>
        <v>3.3883947479881405E-3</v>
      </c>
      <c r="X40" s="48">
        <f>(J40-I40)/I40</f>
        <v>2.6729559748427674E-2</v>
      </c>
      <c r="Y40" s="48">
        <f>(O40-N40)/N40</f>
        <v>7.1845532105972157E-3</v>
      </c>
      <c r="Z40" s="48" t="e">
        <f>(#REF!-#REF!)/#REF!</f>
        <v>#REF!</v>
      </c>
    </row>
    <row r="41" spans="1:26" x14ac:dyDescent="0.3">
      <c r="A41" s="48">
        <v>20180227</v>
      </c>
      <c r="B41" s="48" t="s">
        <v>88</v>
      </c>
      <c r="C41" s="79">
        <f>E41*F41*G41/T41</f>
        <v>0.86701915348522862</v>
      </c>
      <c r="D41" s="49">
        <v>2369000</v>
      </c>
      <c r="E41" s="49">
        <v>2369000</v>
      </c>
      <c r="F41" s="49">
        <v>128386494</v>
      </c>
      <c r="G41" s="49">
        <v>1</v>
      </c>
      <c r="H41" s="48">
        <f>J41*K41*L41/T41</f>
        <v>0.12273745476598814</v>
      </c>
      <c r="I41" s="48">
        <v>326500</v>
      </c>
      <c r="J41" s="48">
        <v>351000</v>
      </c>
      <c r="K41" s="51">
        <v>122666424</v>
      </c>
      <c r="L41" s="48">
        <v>1</v>
      </c>
      <c r="M41" s="49">
        <f>O41*P41*Q41/T41</f>
        <v>1.024339174878322E-2</v>
      </c>
      <c r="N41" s="49">
        <v>224300</v>
      </c>
      <c r="O41" s="49">
        <v>225200</v>
      </c>
      <c r="P41" s="49">
        <v>15956260</v>
      </c>
      <c r="Q41" s="49">
        <v>1</v>
      </c>
      <c r="R41" s="82">
        <f t="shared" si="2"/>
        <v>0</v>
      </c>
      <c r="S41" s="82">
        <f>IF(AND(R41=0,B41="N"),S40,S40*(D41*F41*G41+I41*K41*L41+N41*P41*Q41)/T40)</f>
        <v>357932247688849.5</v>
      </c>
      <c r="T41" s="81">
        <f>E41*F41*G41+J41*K41*L41+O41*P41*Q41</f>
        <v>350796868862000</v>
      </c>
      <c r="U41" s="80">
        <f t="shared" si="0"/>
        <v>980.06500148303962</v>
      </c>
      <c r="V41" s="52">
        <f t="shared" si="1"/>
        <v>8.6828239124442028E-3</v>
      </c>
      <c r="W41" s="48">
        <f>(E41-D41)/D41</f>
        <v>0</v>
      </c>
      <c r="X41" s="48">
        <f>(J41-I41)/I41</f>
        <v>7.5038284839203676E-2</v>
      </c>
      <c r="Y41" s="48">
        <f>(O41-N41)/N41</f>
        <v>4.012483281319661E-3</v>
      </c>
      <c r="Z41" s="48" t="e">
        <f>(#REF!-#REF!)/#REF!</f>
        <v>#REF!</v>
      </c>
    </row>
    <row r="42" spans="1:26" x14ac:dyDescent="0.3">
      <c r="A42" s="48">
        <v>20180228</v>
      </c>
      <c r="B42" s="48" t="s">
        <v>88</v>
      </c>
      <c r="C42" s="79">
        <f>E42*F42*G42/T42</f>
        <v>0.86527876826840844</v>
      </c>
      <c r="D42" s="49">
        <v>2369000</v>
      </c>
      <c r="E42" s="49">
        <v>2353000</v>
      </c>
      <c r="F42" s="49">
        <v>128386494</v>
      </c>
      <c r="G42" s="49">
        <v>1</v>
      </c>
      <c r="H42" s="48">
        <f>J42*K42*L42/T42</f>
        <v>0.12402670075612784</v>
      </c>
      <c r="I42" s="48">
        <v>351000</v>
      </c>
      <c r="J42" s="48">
        <v>353000</v>
      </c>
      <c r="K42" s="51">
        <v>122666424</v>
      </c>
      <c r="L42" s="48">
        <v>1</v>
      </c>
      <c r="M42" s="49">
        <f>O42*P42*Q42/T42</f>
        <v>1.0694530975463749E-2</v>
      </c>
      <c r="N42" s="49">
        <v>225200</v>
      </c>
      <c r="O42" s="49">
        <v>234000</v>
      </c>
      <c r="P42" s="49">
        <v>15956260</v>
      </c>
      <c r="Q42" s="49">
        <v>1</v>
      </c>
      <c r="R42" s="82">
        <f t="shared" si="2"/>
        <v>0</v>
      </c>
      <c r="S42" s="82">
        <f>IF(AND(R42=0,B42="N"),S41,S41*(D42*F42*G42+I42*K42*L42+N42*P42*Q42)/T41)</f>
        <v>357932247688849.5</v>
      </c>
      <c r="T42" s="81">
        <f>E42*F42*G42+J42*K42*L42+O42*P42*Q42</f>
        <v>349128432894000</v>
      </c>
      <c r="U42" s="80">
        <f t="shared" si="0"/>
        <v>975.40368365327436</v>
      </c>
      <c r="V42" s="52">
        <f t="shared" si="1"/>
        <v>-4.7561313001808405E-3</v>
      </c>
      <c r="W42" s="48">
        <f>(E42-D42)/D42</f>
        <v>-6.7539046010975093E-3</v>
      </c>
      <c r="X42" s="48">
        <f>(J42-I42)/I42</f>
        <v>5.6980056980056983E-3</v>
      </c>
      <c r="Y42" s="48">
        <f>(O42-N42)/N42</f>
        <v>3.9076376554174071E-2</v>
      </c>
      <c r="Z42" s="48" t="e">
        <f>(#REF!-#REF!)/#REF!</f>
        <v>#REF!</v>
      </c>
    </row>
    <row r="43" spans="1:26" x14ac:dyDescent="0.3">
      <c r="A43" s="48">
        <v>20180302</v>
      </c>
      <c r="B43" s="48" t="s">
        <v>88</v>
      </c>
      <c r="C43" s="79">
        <f>E43*F43*G43/T43</f>
        <v>0.85662281074757796</v>
      </c>
      <c r="D43" s="49">
        <v>2353000</v>
      </c>
      <c r="E43" s="49">
        <v>2301000</v>
      </c>
      <c r="F43" s="49">
        <v>128386494</v>
      </c>
      <c r="G43" s="49">
        <v>1</v>
      </c>
      <c r="H43" s="48">
        <f>J43*K43*L43/T43</f>
        <v>0.13231903401774692</v>
      </c>
      <c r="I43" s="48">
        <v>353000</v>
      </c>
      <c r="J43" s="48">
        <v>372000</v>
      </c>
      <c r="K43" s="51">
        <v>122666424</v>
      </c>
      <c r="L43" s="48">
        <v>1</v>
      </c>
      <c r="M43" s="49">
        <f>O43*P43*Q43/T43</f>
        <v>1.1058155234675158E-2</v>
      </c>
      <c r="N43" s="49">
        <v>234000</v>
      </c>
      <c r="O43" s="49">
        <v>239000</v>
      </c>
      <c r="P43" s="49">
        <v>15956260</v>
      </c>
      <c r="Q43" s="49">
        <v>1</v>
      </c>
      <c r="R43" s="82">
        <f t="shared" si="2"/>
        <v>0</v>
      </c>
      <c r="S43" s="82">
        <f>IF(AND(R43=0,B43="N"),S42,S42*(D43*F43*G43+I43*K43*L43+N43*P43*Q43)/T42)</f>
        <v>357932247688849.5</v>
      </c>
      <c r="T43" s="81">
        <f>E43*F43*G43+J43*K43*L43+O43*P43*Q43</f>
        <v>344862778562000</v>
      </c>
      <c r="U43" s="80">
        <f t="shared" si="0"/>
        <v>963.48619267685876</v>
      </c>
      <c r="V43" s="52">
        <f t="shared" si="1"/>
        <v>-1.2218008990677433E-2</v>
      </c>
      <c r="W43" s="48">
        <f>(E43-D43)/D43</f>
        <v>-2.2099447513812154E-2</v>
      </c>
      <c r="X43" s="48">
        <f>(J43-I43)/I43</f>
        <v>5.3824362606232294E-2</v>
      </c>
      <c r="Y43" s="48">
        <f>(O43-N43)/N43</f>
        <v>2.1367521367521368E-2</v>
      </c>
      <c r="Z43" s="48" t="e">
        <f>(#REF!-#REF!)/#REF!</f>
        <v>#REF!</v>
      </c>
    </row>
    <row r="44" spans="1:26" x14ac:dyDescent="0.3">
      <c r="A44" s="48">
        <v>20180305</v>
      </c>
      <c r="B44" s="48" t="s">
        <v>88</v>
      </c>
      <c r="C44" s="79">
        <f>E44*F44*G44/T44</f>
        <v>0.85434297472612786</v>
      </c>
      <c r="D44" s="49">
        <v>2301000</v>
      </c>
      <c r="E44" s="49">
        <v>2260000</v>
      </c>
      <c r="F44" s="49">
        <v>128386494</v>
      </c>
      <c r="G44" s="49">
        <v>1</v>
      </c>
      <c r="H44" s="48">
        <f>J44*K44*L44/T44</f>
        <v>0.13490274449259126</v>
      </c>
      <c r="I44" s="48">
        <v>372000</v>
      </c>
      <c r="J44" s="48">
        <v>373500</v>
      </c>
      <c r="K44" s="51">
        <v>122666424</v>
      </c>
      <c r="L44" s="48">
        <v>1</v>
      </c>
      <c r="M44" s="49">
        <f>O44*P44*Q44/T44</f>
        <v>1.0754280781280847E-2</v>
      </c>
      <c r="N44" s="49">
        <v>239000</v>
      </c>
      <c r="O44" s="49">
        <v>228900</v>
      </c>
      <c r="P44" s="49">
        <v>15956260</v>
      </c>
      <c r="Q44" s="49">
        <v>1</v>
      </c>
      <c r="R44" s="82">
        <f t="shared" si="2"/>
        <v>0</v>
      </c>
      <c r="S44" s="82">
        <f>IF(AND(R44=0,B44="N"),S43,S43*(D44*F44*G44+I44*K44*L44+N44*P44*Q44)/T43)</f>
        <v>357932247688849.5</v>
      </c>
      <c r="T44" s="81">
        <f>E44*F44*G44+J44*K44*L44+O44*P44*Q44</f>
        <v>339621773718000</v>
      </c>
      <c r="U44" s="80">
        <f t="shared" si="0"/>
        <v>948.84374322492795</v>
      </c>
      <c r="V44" s="52">
        <f t="shared" si="1"/>
        <v>-1.5197363037709572E-2</v>
      </c>
      <c r="W44" s="48">
        <f>(E44-D44)/D44</f>
        <v>-1.7818339852238158E-2</v>
      </c>
      <c r="X44" s="48">
        <f>(J44-I44)/I44</f>
        <v>4.0322580645161289E-3</v>
      </c>
      <c r="Y44" s="48">
        <f>(O44-N44)/N44</f>
        <v>-4.225941422594142E-2</v>
      </c>
      <c r="Z44" s="48" t="e">
        <f>(#REF!-#REF!)/#REF!</f>
        <v>#REF!</v>
      </c>
    </row>
    <row r="45" spans="1:26" x14ac:dyDescent="0.3">
      <c r="A45" s="48">
        <v>20180306</v>
      </c>
      <c r="B45" s="48" t="s">
        <v>88</v>
      </c>
      <c r="C45" s="79">
        <f>E45*F45*G45/T45</f>
        <v>0.85993329437315436</v>
      </c>
      <c r="D45" s="49">
        <v>2260000</v>
      </c>
      <c r="E45" s="49">
        <v>2351000</v>
      </c>
      <c r="F45" s="49">
        <v>128386494</v>
      </c>
      <c r="G45" s="49">
        <v>1</v>
      </c>
      <c r="H45" s="48">
        <f>J45*K45*L45/T45</f>
        <v>0.12930646067570481</v>
      </c>
      <c r="I45" s="48">
        <v>373500</v>
      </c>
      <c r="J45" s="48">
        <v>370000</v>
      </c>
      <c r="K45" s="51">
        <v>122666424</v>
      </c>
      <c r="L45" s="48">
        <v>1</v>
      </c>
      <c r="M45" s="49">
        <f>O45*P45*Q45/T45</f>
        <v>1.0760244951140868E-2</v>
      </c>
      <c r="N45" s="49">
        <v>228900</v>
      </c>
      <c r="O45" s="49">
        <v>236700</v>
      </c>
      <c r="P45" s="49">
        <v>15956260</v>
      </c>
      <c r="Q45" s="49">
        <v>1</v>
      </c>
      <c r="R45" s="82">
        <f t="shared" si="2"/>
        <v>0</v>
      </c>
      <c r="S45" s="82">
        <f>IF(AND(R45=0,B45="N"),S44,S44*(D45*F45*G45+I45*K45*L45+N45*P45*Q45)/T44)</f>
        <v>357932247688849.5</v>
      </c>
      <c r="T45" s="81">
        <f>E45*F45*G45+J45*K45*L45+O45*P45*Q45</f>
        <v>351000071016000</v>
      </c>
      <c r="U45" s="80">
        <f t="shared" si="0"/>
        <v>980.63271270579776</v>
      </c>
      <c r="V45" s="52">
        <f t="shared" si="1"/>
        <v>3.3502849871597962E-2</v>
      </c>
      <c r="W45" s="48">
        <f>(E45-D45)/D45</f>
        <v>4.026548672566372E-2</v>
      </c>
      <c r="X45" s="48">
        <f>(J45-I45)/I45</f>
        <v>-9.3708165997322627E-3</v>
      </c>
      <c r="Y45" s="48">
        <f>(O45-N45)/N45</f>
        <v>3.4076015727391877E-2</v>
      </c>
      <c r="Z45" s="48" t="e">
        <f>(#REF!-#REF!)/#REF!</f>
        <v>#REF!</v>
      </c>
    </row>
    <row r="46" spans="1:26" x14ac:dyDescent="0.3">
      <c r="A46" s="48">
        <v>20180307</v>
      </c>
      <c r="B46" s="48" t="s">
        <v>88</v>
      </c>
      <c r="C46" s="79">
        <f>E46*F46*G46/T46</f>
        <v>0.87783212293020729</v>
      </c>
      <c r="D46" s="49">
        <v>2351000</v>
      </c>
      <c r="E46" s="49">
        <v>2431000</v>
      </c>
      <c r="F46" s="49">
        <v>128386494</v>
      </c>
      <c r="G46" s="49">
        <v>1</v>
      </c>
      <c r="H46" s="48">
        <f>J46*K46*L46/T46</f>
        <v>0.11212855794714056</v>
      </c>
      <c r="I46" s="48">
        <v>370000</v>
      </c>
      <c r="J46" s="48">
        <v>325000</v>
      </c>
      <c r="K46" s="51">
        <v>122666424</v>
      </c>
      <c r="L46" s="48">
        <v>1</v>
      </c>
      <c r="M46" s="49">
        <f>O46*P46*Q46/T46</f>
        <v>1.0039319122652145E-2</v>
      </c>
      <c r="N46" s="49">
        <v>236700</v>
      </c>
      <c r="O46" s="49">
        <v>223700</v>
      </c>
      <c r="P46" s="49">
        <v>15956260</v>
      </c>
      <c r="Q46" s="49">
        <v>1</v>
      </c>
      <c r="R46" s="82">
        <f t="shared" si="2"/>
        <v>0</v>
      </c>
      <c r="S46" s="82">
        <f>IF(AND(R46=0,B46="N"),S45,S45*(D46*F46*G46+I46*K46*L46+N46*P46*Q46)/T45)</f>
        <v>357932247688849.5</v>
      </c>
      <c r="T46" s="81">
        <f>E46*F46*G46+J46*K46*L46+O46*P46*Q46</f>
        <v>355543570076000</v>
      </c>
      <c r="U46" s="80">
        <f t="shared" si="0"/>
        <v>993.32645318136861</v>
      </c>
      <c r="V46" s="52">
        <f t="shared" si="1"/>
        <v>1.294443914740088E-2</v>
      </c>
      <c r="W46" s="48">
        <f>(E46-D46)/D46</f>
        <v>3.4028073160357296E-2</v>
      </c>
      <c r="X46" s="48">
        <f>(J46-I46)/I46</f>
        <v>-0.12162162162162163</v>
      </c>
      <c r="Y46" s="48">
        <f>(O46-N46)/N46</f>
        <v>-5.4921841994085341E-2</v>
      </c>
      <c r="Z46" s="48" t="e">
        <f>(#REF!-#REF!)/#REF!</f>
        <v>#REF!</v>
      </c>
    </row>
    <row r="47" spans="1:26" x14ac:dyDescent="0.3">
      <c r="A47" s="48">
        <v>20180308</v>
      </c>
      <c r="B47" s="48" t="s">
        <v>88</v>
      </c>
      <c r="C47" s="79">
        <f>E47*F47*G47/T47</f>
        <v>0.87007343256018377</v>
      </c>
      <c r="D47" s="49">
        <v>2431000</v>
      </c>
      <c r="E47" s="49">
        <v>2460000</v>
      </c>
      <c r="F47" s="49">
        <v>128386494</v>
      </c>
      <c r="G47" s="49">
        <v>1</v>
      </c>
      <c r="H47" s="48">
        <f>J47*K47*L47/T47</f>
        <v>0.11962733512589047</v>
      </c>
      <c r="I47" s="48">
        <v>325000</v>
      </c>
      <c r="J47" s="48">
        <v>354000</v>
      </c>
      <c r="K47" s="51">
        <v>122666424</v>
      </c>
      <c r="L47" s="48">
        <v>1</v>
      </c>
      <c r="M47" s="49">
        <f>O47*P47*Q47/T47</f>
        <v>1.0299232313925761E-2</v>
      </c>
      <c r="N47" s="49">
        <v>223700</v>
      </c>
      <c r="O47" s="49">
        <v>234300</v>
      </c>
      <c r="P47" s="49">
        <v>15956260</v>
      </c>
      <c r="Q47" s="49">
        <v>1</v>
      </c>
      <c r="R47" s="82">
        <f t="shared" si="2"/>
        <v>0</v>
      </c>
      <c r="S47" s="82">
        <f>IF(AND(R47=0,B47="N"),S46,S46*(D47*F47*G47+I47*K47*L47+N47*P47*Q47)/T46)</f>
        <v>357932247688849.5</v>
      </c>
      <c r="T47" s="81">
        <f>E47*F47*G47+J47*K47*L47+O47*P47*Q47</f>
        <v>362993241054000</v>
      </c>
      <c r="U47" s="80">
        <f t="shared" si="0"/>
        <v>1014.1395289131647</v>
      </c>
      <c r="V47" s="52">
        <f t="shared" si="1"/>
        <v>2.0952905930509698E-2</v>
      </c>
      <c r="W47" s="48">
        <f>(E47-D47)/D47</f>
        <v>1.192924722336487E-2</v>
      </c>
      <c r="X47" s="48">
        <f>(J47-I47)/I47</f>
        <v>8.9230769230769225E-2</v>
      </c>
      <c r="Y47" s="48">
        <f>(O47-N47)/N47</f>
        <v>4.7384890478319175E-2</v>
      </c>
      <c r="Z47" s="48" t="e">
        <f>(#REF!-#REF!)/#REF!</f>
        <v>#REF!</v>
      </c>
    </row>
    <row r="48" spans="1:26" x14ac:dyDescent="0.3">
      <c r="A48" s="48">
        <v>20180309</v>
      </c>
      <c r="B48" s="48" t="s">
        <v>88</v>
      </c>
      <c r="C48" s="79">
        <f>E48*F48*G48/T48</f>
        <v>0.87920209334496302</v>
      </c>
      <c r="D48" s="49">
        <v>2460000</v>
      </c>
      <c r="E48" s="49">
        <v>2487000</v>
      </c>
      <c r="F48" s="49">
        <v>128386494</v>
      </c>
      <c r="G48" s="49">
        <v>1</v>
      </c>
      <c r="H48" s="48">
        <f>J48*K48*L48/T48</f>
        <v>0.11011256866729165</v>
      </c>
      <c r="I48" s="48">
        <v>354000</v>
      </c>
      <c r="J48" s="48">
        <v>326000</v>
      </c>
      <c r="K48" s="51">
        <v>122666424</v>
      </c>
      <c r="L48" s="48">
        <v>1</v>
      </c>
      <c r="M48" s="49">
        <f>O48*P48*Q48/T48</f>
        <v>1.0685337987745321E-2</v>
      </c>
      <c r="N48" s="49">
        <v>234300</v>
      </c>
      <c r="O48" s="49">
        <v>243200</v>
      </c>
      <c r="P48" s="49">
        <v>15956260</v>
      </c>
      <c r="Q48" s="49">
        <v>1</v>
      </c>
      <c r="R48" s="82">
        <f t="shared" si="2"/>
        <v>0</v>
      </c>
      <c r="S48" s="82">
        <f>IF(AND(R48=0,B48="N"),S47,S47*(D48*F48*G48+I48*K48*L48+N48*P48*Q48)/T47)</f>
        <v>357932247688849.5</v>
      </c>
      <c r="T48" s="81">
        <f>E48*F48*G48+J48*K48*L48+O48*P48*Q48</f>
        <v>363167027234000</v>
      </c>
      <c r="U48" s="80">
        <f t="shared" si="0"/>
        <v>1014.6250570574493</v>
      </c>
      <c r="V48" s="52">
        <f t="shared" si="1"/>
        <v>4.7875872149959843E-4</v>
      </c>
      <c r="W48" s="48">
        <f>(E48-D48)/D48</f>
        <v>1.097560975609756E-2</v>
      </c>
      <c r="X48" s="48">
        <f>(J48-I48)/I48</f>
        <v>-7.909604519774012E-2</v>
      </c>
      <c r="Y48" s="48">
        <f>(O48-N48)/N48</f>
        <v>3.7985488689714041E-2</v>
      </c>
      <c r="Z48" s="48" t="e">
        <f>(#REF!-#REF!)/#REF!</f>
        <v>#REF!</v>
      </c>
    </row>
    <row r="49" spans="1:26" x14ac:dyDescent="0.3">
      <c r="A49" s="48">
        <v>20180312</v>
      </c>
      <c r="B49" s="48" t="s">
        <v>88</v>
      </c>
      <c r="C49" s="79">
        <f>E49*F49*G49/T49</f>
        <v>0.87992314086159185</v>
      </c>
      <c r="D49" s="49">
        <v>2487000</v>
      </c>
      <c r="E49" s="49">
        <v>2487000</v>
      </c>
      <c r="F49" s="49">
        <v>128386494</v>
      </c>
      <c r="G49" s="49">
        <v>1</v>
      </c>
      <c r="H49" s="48">
        <f>J49*K49*L49/T49</f>
        <v>0.10885069122352087</v>
      </c>
      <c r="I49" s="48">
        <v>326000</v>
      </c>
      <c r="J49" s="48">
        <v>322000</v>
      </c>
      <c r="K49" s="51">
        <v>122666424</v>
      </c>
      <c r="L49" s="48">
        <v>1</v>
      </c>
      <c r="M49" s="49">
        <f>O49*P49*Q49/T49</f>
        <v>1.1226167914887271E-2</v>
      </c>
      <c r="N49" s="49">
        <v>243200</v>
      </c>
      <c r="O49" s="49">
        <v>255300</v>
      </c>
      <c r="P49" s="49">
        <v>15956260</v>
      </c>
      <c r="Q49" s="49">
        <v>1</v>
      </c>
      <c r="R49" s="82">
        <f t="shared" si="2"/>
        <v>0</v>
      </c>
      <c r="S49" s="82">
        <f>IF(AND(R49=0,B49="N"),S48,S48*(D49*F49*G49+I49*K49*L49+N49*P49*Q49)/T48)</f>
        <v>357932247688849.5</v>
      </c>
      <c r="T49" s="81">
        <f>E49*F49*G49+J49*K49*L49+O49*P49*Q49</f>
        <v>362869432284000</v>
      </c>
      <c r="U49" s="80">
        <f t="shared" si="0"/>
        <v>1013.7936288977303</v>
      </c>
      <c r="V49" s="52">
        <f t="shared" si="1"/>
        <v>-8.1944374814703238E-4</v>
      </c>
      <c r="W49" s="48">
        <f>(E49-D49)/D49</f>
        <v>0</v>
      </c>
      <c r="X49" s="48">
        <f>(J49-I49)/I49</f>
        <v>-1.2269938650306749E-2</v>
      </c>
      <c r="Y49" s="48">
        <f>(O49-N49)/N49</f>
        <v>4.9753289473684209E-2</v>
      </c>
      <c r="Z49" s="48" t="e">
        <f>(#REF!-#REF!)/#REF!</f>
        <v>#REF!</v>
      </c>
    </row>
    <row r="50" spans="1:26" x14ac:dyDescent="0.3">
      <c r="A50" s="48">
        <v>20180313</v>
      </c>
      <c r="B50" s="48" t="s">
        <v>88</v>
      </c>
      <c r="C50" s="79">
        <f>E50*F50*G50/T50</f>
        <v>0.88703132188438938</v>
      </c>
      <c r="D50" s="49">
        <v>2487000</v>
      </c>
      <c r="E50" s="49">
        <v>2583000</v>
      </c>
      <c r="F50" s="49">
        <v>128386494</v>
      </c>
      <c r="G50" s="49">
        <v>1</v>
      </c>
      <c r="H50" s="48">
        <f>J50*K50*L50/T50</f>
        <v>0.10204255022419351</v>
      </c>
      <c r="I50" s="48">
        <v>322000</v>
      </c>
      <c r="J50" s="48">
        <v>311000</v>
      </c>
      <c r="K50" s="51">
        <v>122666424</v>
      </c>
      <c r="L50" s="48">
        <v>1</v>
      </c>
      <c r="M50" s="49">
        <f>O50*P50*Q50/T50</f>
        <v>1.0926127891417118E-2</v>
      </c>
      <c r="N50" s="49">
        <v>255300</v>
      </c>
      <c r="O50" s="49">
        <v>256000</v>
      </c>
      <c r="P50" s="49">
        <v>15956260</v>
      </c>
      <c r="Q50" s="49">
        <v>1</v>
      </c>
      <c r="R50" s="82">
        <f t="shared" si="2"/>
        <v>0</v>
      </c>
      <c r="S50" s="82">
        <f>IF(AND(R50=0,B50="N"),S49,S49*(D50*F50*G50+I50*K50*L50+N50*P50*Q50)/T49)</f>
        <v>357932247688849.5</v>
      </c>
      <c r="T50" s="81">
        <f>E50*F50*G50+J50*K50*L50+O50*P50*Q50</f>
        <v>373856374426000</v>
      </c>
      <c r="U50" s="80">
        <f t="shared" si="0"/>
        <v>1044.4892206275681</v>
      </c>
      <c r="V50" s="52">
        <f t="shared" si="1"/>
        <v>3.027794893839714E-2</v>
      </c>
      <c r="W50" s="48">
        <f>(E50-D50)/D50</f>
        <v>3.8600723763570564E-2</v>
      </c>
      <c r="X50" s="48">
        <f>(J50-I50)/I50</f>
        <v>-3.4161490683229816E-2</v>
      </c>
      <c r="Y50" s="48">
        <f>(O50-N50)/N50</f>
        <v>2.7418723070896985E-3</v>
      </c>
      <c r="Z50" s="48" t="e">
        <f>(#REF!-#REF!)/#REF!</f>
        <v>#REF!</v>
      </c>
    </row>
    <row r="51" spans="1:26" x14ac:dyDescent="0.3">
      <c r="A51" s="48">
        <v>20180314</v>
      </c>
      <c r="B51" s="48" t="s">
        <v>88</v>
      </c>
      <c r="C51" s="79">
        <f>E51*F51*G51/T51</f>
        <v>0.88900880973278107</v>
      </c>
      <c r="D51" s="49">
        <v>2583000</v>
      </c>
      <c r="E51" s="49">
        <v>2588000</v>
      </c>
      <c r="F51" s="49">
        <v>128386494</v>
      </c>
      <c r="G51" s="49">
        <v>1</v>
      </c>
      <c r="H51" s="48">
        <f>J51*K51*L51/T51</f>
        <v>0.10059551934518894</v>
      </c>
      <c r="I51" s="48">
        <v>311000</v>
      </c>
      <c r="J51" s="48">
        <v>306500</v>
      </c>
      <c r="K51" s="51">
        <v>122666424</v>
      </c>
      <c r="L51" s="48">
        <v>1</v>
      </c>
      <c r="M51" s="49">
        <f>O51*P51*Q51/T51</f>
        <v>1.0395670922030009E-2</v>
      </c>
      <c r="N51" s="49">
        <v>256000</v>
      </c>
      <c r="O51" s="49">
        <v>243500</v>
      </c>
      <c r="P51" s="49">
        <v>15956260</v>
      </c>
      <c r="Q51" s="49">
        <v>1</v>
      </c>
      <c r="R51" s="82">
        <f t="shared" si="2"/>
        <v>0</v>
      </c>
      <c r="S51" s="82">
        <f>IF(AND(R51=0,B51="N"),S50,S50*(D51*F51*G51+I51*K51*L51+N51*P51*Q51)/T50)</f>
        <v>357932247688849.5</v>
      </c>
      <c r="T51" s="81">
        <f>E51*F51*G51+J51*K51*L51+O51*P51*Q51</f>
        <v>373746854738000</v>
      </c>
      <c r="U51" s="80">
        <f t="shared" si="0"/>
        <v>1044.1832418041813</v>
      </c>
      <c r="V51" s="52">
        <f t="shared" si="1"/>
        <v>-2.9294588909491219E-4</v>
      </c>
      <c r="W51" s="48">
        <f>(E51-D51)/D51</f>
        <v>1.9357336430507162E-3</v>
      </c>
      <c r="X51" s="48">
        <f>(J51-I51)/I51</f>
        <v>-1.4469453376205787E-2</v>
      </c>
      <c r="Y51" s="48">
        <f>(O51-N51)/N51</f>
        <v>-4.8828125E-2</v>
      </c>
      <c r="Z51" s="48" t="e">
        <f>(#REF!-#REF!)/#REF!</f>
        <v>#REF!</v>
      </c>
    </row>
    <row r="52" spans="1:26" x14ac:dyDescent="0.3">
      <c r="A52" s="48">
        <v>20180315</v>
      </c>
      <c r="B52" s="48" t="s">
        <v>88</v>
      </c>
      <c r="C52" s="79">
        <f>E52*F52*G52/T52</f>
        <v>0.88406033667972295</v>
      </c>
      <c r="D52" s="49">
        <v>2588000</v>
      </c>
      <c r="E52" s="49">
        <v>2577000</v>
      </c>
      <c r="F52" s="49">
        <v>128386494</v>
      </c>
      <c r="G52" s="49">
        <v>1</v>
      </c>
      <c r="H52" s="48">
        <f>J52*K52*L52/T52</f>
        <v>0.10570695736161732</v>
      </c>
      <c r="I52" s="48">
        <v>306500</v>
      </c>
      <c r="J52" s="48">
        <v>322500</v>
      </c>
      <c r="K52" s="51">
        <v>122666424</v>
      </c>
      <c r="L52" s="48">
        <v>1</v>
      </c>
      <c r="M52" s="49">
        <f>O52*P52*Q52/T52</f>
        <v>1.0232705958659745E-2</v>
      </c>
      <c r="N52" s="49">
        <v>243500</v>
      </c>
      <c r="O52" s="49">
        <v>240000</v>
      </c>
      <c r="P52" s="49">
        <v>15956260</v>
      </c>
      <c r="Q52" s="49">
        <v>1</v>
      </c>
      <c r="R52" s="82">
        <f t="shared" si="2"/>
        <v>0</v>
      </c>
      <c r="S52" s="82">
        <f>IF(AND(R52=0,B52="N"),S51,S51*(D52*F52*G52+I52*K52*L52+N52*P52*Q52)/T51)</f>
        <v>357932247688849.5</v>
      </c>
      <c r="T52" s="81">
        <f>E52*F52*G52+J52*K52*L52+O52*P52*Q52</f>
        <v>374241419178000</v>
      </c>
      <c r="U52" s="80">
        <f t="shared" si="0"/>
        <v>1045.5649682152364</v>
      </c>
      <c r="V52" s="52">
        <f t="shared" si="1"/>
        <v>1.3232604735809279E-3</v>
      </c>
      <c r="W52" s="48">
        <f>(E52-D52)/D52</f>
        <v>-4.250386398763524E-3</v>
      </c>
      <c r="X52" s="48">
        <f>(J52-I52)/I52</f>
        <v>5.2202283849918436E-2</v>
      </c>
      <c r="Y52" s="48">
        <f>(O52-N52)/N52</f>
        <v>-1.4373716632443531E-2</v>
      </c>
      <c r="Z52" s="48" t="e">
        <f>(#REF!-#REF!)/#REF!</f>
        <v>#REF!</v>
      </c>
    </row>
    <row r="53" spans="1:26" x14ac:dyDescent="0.3">
      <c r="A53" s="48">
        <v>20180316</v>
      </c>
      <c r="B53" s="48" t="s">
        <v>88</v>
      </c>
      <c r="C53" s="79">
        <f>E53*F53*G53/T53</f>
        <v>0.8827844333704794</v>
      </c>
      <c r="D53" s="49">
        <v>2577000</v>
      </c>
      <c r="E53" s="49">
        <v>2557000</v>
      </c>
      <c r="F53" s="49">
        <v>128386494</v>
      </c>
      <c r="G53" s="49">
        <v>1</v>
      </c>
      <c r="H53" s="48">
        <f>J53*K53*L53/T53</f>
        <v>0.10687479978654117</v>
      </c>
      <c r="I53" s="48">
        <v>322500</v>
      </c>
      <c r="J53" s="48">
        <v>324000</v>
      </c>
      <c r="K53" s="51">
        <v>122666424</v>
      </c>
      <c r="L53" s="48">
        <v>1</v>
      </c>
      <c r="M53" s="49">
        <f>O53*P53*Q53/T53</f>
        <v>1.0340766842979398E-2</v>
      </c>
      <c r="N53" s="49">
        <v>240000</v>
      </c>
      <c r="O53" s="49">
        <v>241000</v>
      </c>
      <c r="P53" s="49">
        <v>15956260</v>
      </c>
      <c r="Q53" s="49">
        <v>1</v>
      </c>
      <c r="R53" s="82">
        <f t="shared" si="2"/>
        <v>0</v>
      </c>
      <c r="S53" s="82">
        <f>IF(AND(R53=0,B53="N"),S52,S52*(D53*F53*G53+I53*K53*L53+N53*P53*Q53)/T52)</f>
        <v>357932247688849.5</v>
      </c>
      <c r="T53" s="81">
        <f>E53*F53*G53+J53*K53*L53+O53*P53*Q53</f>
        <v>371873645194000</v>
      </c>
      <c r="U53" s="80">
        <f t="shared" si="0"/>
        <v>1038.9498224738602</v>
      </c>
      <c r="V53" s="52">
        <f t="shared" si="1"/>
        <v>-6.326862454724488E-3</v>
      </c>
      <c r="W53" s="48">
        <f>(E53-D53)/D53</f>
        <v>-7.7609623593325574E-3</v>
      </c>
      <c r="X53" s="48">
        <f>(J53-I53)/I53</f>
        <v>4.6511627906976744E-3</v>
      </c>
      <c r="Y53" s="48">
        <f>(O53-N53)/N53</f>
        <v>4.1666666666666666E-3</v>
      </c>
      <c r="Z53" s="48" t="e">
        <f>(#REF!-#REF!)/#REF!</f>
        <v>#REF!</v>
      </c>
    </row>
    <row r="54" spans="1:26" x14ac:dyDescent="0.3">
      <c r="A54" s="48">
        <v>20180319</v>
      </c>
      <c r="B54" s="48" t="s">
        <v>88</v>
      </c>
      <c r="C54" s="79">
        <f>E54*F54*G54/T54</f>
        <v>0.88374260819125006</v>
      </c>
      <c r="D54" s="49">
        <v>2557000</v>
      </c>
      <c r="E54" s="49">
        <v>2537000</v>
      </c>
      <c r="F54" s="49">
        <v>128386494</v>
      </c>
      <c r="G54" s="49">
        <v>1</v>
      </c>
      <c r="H54" s="48">
        <f>J54*K54*L54/T54</f>
        <v>0.10617013649504362</v>
      </c>
      <c r="I54" s="48">
        <v>324000</v>
      </c>
      <c r="J54" s="48">
        <v>319000</v>
      </c>
      <c r="K54" s="51">
        <v>122666424</v>
      </c>
      <c r="L54" s="48">
        <v>1</v>
      </c>
      <c r="M54" s="49">
        <f>O54*P54*Q54/T54</f>
        <v>1.008725531370629E-2</v>
      </c>
      <c r="N54" s="49">
        <v>241000</v>
      </c>
      <c r="O54" s="49">
        <v>233000</v>
      </c>
      <c r="P54" s="49">
        <v>15956260</v>
      </c>
      <c r="Q54" s="49">
        <v>1</v>
      </c>
      <c r="R54" s="82">
        <f t="shared" si="2"/>
        <v>0</v>
      </c>
      <c r="S54" s="82">
        <f>IF(AND(R54=0,B54="N"),S53,S53*(D54*F54*G54+I54*K54*L54+N54*P54*Q54)/T53)</f>
        <v>357932247688849.5</v>
      </c>
      <c r="T54" s="81">
        <f>E54*F54*G54+J54*K54*L54+O54*P54*Q54</f>
        <v>368564933114000</v>
      </c>
      <c r="U54" s="80">
        <f t="shared" si="0"/>
        <v>1029.7058605191492</v>
      </c>
      <c r="V54" s="52">
        <f t="shared" si="1"/>
        <v>-8.8974094366752882E-3</v>
      </c>
      <c r="W54" s="48">
        <f>(E54-D54)/D54</f>
        <v>-7.8216660148611658E-3</v>
      </c>
      <c r="X54" s="48">
        <f>(J54-I54)/I54</f>
        <v>-1.5432098765432098E-2</v>
      </c>
      <c r="Y54" s="48">
        <f>(O54-N54)/N54</f>
        <v>-3.3195020746887967E-2</v>
      </c>
      <c r="Z54" s="48" t="e">
        <f>(#REF!-#REF!)/#REF!</f>
        <v>#REF!</v>
      </c>
    </row>
    <row r="55" spans="1:26" x14ac:dyDescent="0.3">
      <c r="A55" s="48">
        <v>20180320</v>
      </c>
      <c r="B55" s="48" t="s">
        <v>88</v>
      </c>
      <c r="C55" s="79">
        <f>E55*F55*G55/T55</f>
        <v>0.88335748140034409</v>
      </c>
      <c r="D55" s="49">
        <v>2537000</v>
      </c>
      <c r="E55" s="49">
        <v>2560000</v>
      </c>
      <c r="F55" s="49">
        <v>128386494</v>
      </c>
      <c r="G55" s="49">
        <v>1</v>
      </c>
      <c r="H55" s="48">
        <f>J55*K55*L55/T55</f>
        <v>0.10632431924849071</v>
      </c>
      <c r="I55" s="48">
        <v>319000</v>
      </c>
      <c r="J55" s="48">
        <v>322500</v>
      </c>
      <c r="K55" s="51">
        <v>122666424</v>
      </c>
      <c r="L55" s="48">
        <v>1</v>
      </c>
      <c r="M55" s="49">
        <f>O55*P55*Q55/T55</f>
        <v>1.0318199351165161E-2</v>
      </c>
      <c r="N55" s="49">
        <v>233000</v>
      </c>
      <c r="O55" s="49">
        <v>240600</v>
      </c>
      <c r="P55" s="49">
        <v>15956260</v>
      </c>
      <c r="Q55" s="49">
        <v>1</v>
      </c>
      <c r="R55" s="82">
        <f t="shared" si="2"/>
        <v>0</v>
      </c>
      <c r="S55" s="82">
        <f>IF(AND(R55=0,B55="N"),S54,S54*(D55*F55*G55+I55*K55*L55+N55*P55*Q55)/T54)</f>
        <v>357932247688849.5</v>
      </c>
      <c r="T55" s="81">
        <f>E55*F55*G55+J55*K55*L55+O55*P55*Q55</f>
        <v>372068422536000</v>
      </c>
      <c r="U55" s="80">
        <f t="shared" si="0"/>
        <v>1039.4939962476894</v>
      </c>
      <c r="V55" s="52">
        <f t="shared" si="1"/>
        <v>9.5057589782050738E-3</v>
      </c>
      <c r="W55" s="48">
        <f>(E55-D55)/D55</f>
        <v>9.0658257784785173E-3</v>
      </c>
      <c r="X55" s="48">
        <f>(J55-I55)/I55</f>
        <v>1.0971786833855799E-2</v>
      </c>
      <c r="Y55" s="48">
        <f>(O55-N55)/N55</f>
        <v>3.2618025751072963E-2</v>
      </c>
      <c r="Z55" s="48" t="e">
        <f>(#REF!-#REF!)/#REF!</f>
        <v>#REF!</v>
      </c>
    </row>
    <row r="56" spans="1:26" x14ac:dyDescent="0.3">
      <c r="A56" s="48">
        <v>20180321</v>
      </c>
      <c r="B56" s="48" t="s">
        <v>88</v>
      </c>
      <c r="C56" s="79">
        <f>E56*F56*G56/T56</f>
        <v>0.8862817587297882</v>
      </c>
      <c r="D56" s="49">
        <v>2560000</v>
      </c>
      <c r="E56" s="49">
        <v>2553000</v>
      </c>
      <c r="F56" s="49">
        <v>128386494</v>
      </c>
      <c r="G56" s="49">
        <v>1</v>
      </c>
      <c r="H56" s="48">
        <f>J56*K56*L56/T56</f>
        <v>0.10332024149520734</v>
      </c>
      <c r="I56" s="48">
        <v>322500</v>
      </c>
      <c r="J56" s="48">
        <v>311500</v>
      </c>
      <c r="K56" s="51">
        <v>122666424</v>
      </c>
      <c r="L56" s="48">
        <v>1</v>
      </c>
      <c r="M56" s="49">
        <f>O56*P56*Q56/T56</f>
        <v>1.0397999775004486E-2</v>
      </c>
      <c r="N56" s="49">
        <v>240600</v>
      </c>
      <c r="O56" s="49">
        <v>241000</v>
      </c>
      <c r="P56" s="49">
        <v>15956260</v>
      </c>
      <c r="Q56" s="49">
        <v>1</v>
      </c>
      <c r="R56" s="82">
        <f t="shared" si="2"/>
        <v>0</v>
      </c>
      <c r="S56" s="82">
        <f>IF(AND(R56=0,B56="N"),S55,S55*(D56*F56*G56+I56*K56*L56+N56*P56*Q56)/T55)</f>
        <v>357932247688849.5</v>
      </c>
      <c r="T56" s="81">
        <f>E56*F56*G56+J56*K56*L56+O56*P56*Q56</f>
        <v>369826768918000</v>
      </c>
      <c r="U56" s="80">
        <f t="shared" si="0"/>
        <v>1033.2312087160428</v>
      </c>
      <c r="V56" s="52">
        <f t="shared" si="1"/>
        <v>-6.0248424274249668E-3</v>
      </c>
      <c r="W56" s="48">
        <f>(E56-D56)/D56</f>
        <v>-2.7343749999999998E-3</v>
      </c>
      <c r="X56" s="48">
        <f>(J56-I56)/I56</f>
        <v>-3.4108527131782945E-2</v>
      </c>
      <c r="Y56" s="48">
        <f>(O56-N56)/N56</f>
        <v>1.6625103906899418E-3</v>
      </c>
      <c r="Z56" s="48" t="e">
        <f>(#REF!-#REF!)/#REF!</f>
        <v>#REF!</v>
      </c>
    </row>
    <row r="57" spans="1:26" x14ac:dyDescent="0.3">
      <c r="A57" s="48">
        <v>20180322</v>
      </c>
      <c r="B57" s="48" t="s">
        <v>88</v>
      </c>
      <c r="C57" s="79">
        <f>E57*F57*G57/T57</f>
        <v>0.88847243642371854</v>
      </c>
      <c r="D57" s="49">
        <v>2553000</v>
      </c>
      <c r="E57" s="49">
        <v>2589000</v>
      </c>
      <c r="F57" s="49">
        <v>128386494</v>
      </c>
      <c r="G57" s="49">
        <v>1</v>
      </c>
      <c r="H57" s="48">
        <f>J57*K57*L57/T57</f>
        <v>0.10180752476950025</v>
      </c>
      <c r="I57" s="48">
        <v>311500</v>
      </c>
      <c r="J57" s="48">
        <v>310500</v>
      </c>
      <c r="K57" s="51">
        <v>122666424</v>
      </c>
      <c r="L57" s="48">
        <v>1</v>
      </c>
      <c r="M57" s="49">
        <f>O57*P57*Q57/T57</f>
        <v>9.7200388067812376E-3</v>
      </c>
      <c r="N57" s="49">
        <v>241000</v>
      </c>
      <c r="O57" s="49">
        <v>227900</v>
      </c>
      <c r="P57" s="49">
        <v>15956260</v>
      </c>
      <c r="Q57" s="49">
        <v>1</v>
      </c>
      <c r="R57" s="82">
        <f t="shared" si="2"/>
        <v>0</v>
      </c>
      <c r="S57" s="82">
        <f>IF(AND(R57=0,B57="N"),S56,S56*(D57*F57*G57+I57*K57*L57+N57*P57*Q57)/T56)</f>
        <v>357932247688849.5</v>
      </c>
      <c r="T57" s="81">
        <f>E57*F57*G57+J57*K57*L57+O57*P57*Q57</f>
        <v>374116989272000</v>
      </c>
      <c r="U57" s="80">
        <f t="shared" si="0"/>
        <v>1045.2173328546241</v>
      </c>
      <c r="V57" s="52">
        <f t="shared" si="1"/>
        <v>1.1600621465427877E-2</v>
      </c>
      <c r="W57" s="48">
        <f>(E57-D57)/D57</f>
        <v>1.4101057579318449E-2</v>
      </c>
      <c r="X57" s="48">
        <f>(J57-I57)/I57</f>
        <v>-3.2102728731942215E-3</v>
      </c>
      <c r="Y57" s="48">
        <f>(O57-N57)/N57</f>
        <v>-5.4356846473029047E-2</v>
      </c>
      <c r="Z57" s="48" t="e">
        <f>(#REF!-#REF!)/#REF!</f>
        <v>#REF!</v>
      </c>
    </row>
    <row r="58" spans="1:26" x14ac:dyDescent="0.3">
      <c r="A58" s="48">
        <v>20180323</v>
      </c>
      <c r="B58" s="48" t="s">
        <v>88</v>
      </c>
      <c r="C58" s="79">
        <f>E58*F58*G58/T58</f>
        <v>0.88859436797444369</v>
      </c>
      <c r="D58" s="49">
        <v>2589000</v>
      </c>
      <c r="E58" s="49">
        <v>2486000</v>
      </c>
      <c r="F58" s="49">
        <v>128386494</v>
      </c>
      <c r="G58" s="49">
        <v>1</v>
      </c>
      <c r="H58" s="48">
        <f>J58*K58*L58/T58</f>
        <v>0.10245426741047672</v>
      </c>
      <c r="I58" s="48">
        <v>310500</v>
      </c>
      <c r="J58" s="48">
        <v>300000</v>
      </c>
      <c r="K58" s="51">
        <v>122666424</v>
      </c>
      <c r="L58" s="48">
        <v>1</v>
      </c>
      <c r="M58" s="49">
        <f>O58*P58*Q58/T58</f>
        <v>8.9513646150795999E-3</v>
      </c>
      <c r="N58" s="49">
        <v>227900</v>
      </c>
      <c r="O58" s="49">
        <v>201500</v>
      </c>
      <c r="P58" s="49">
        <v>15956260</v>
      </c>
      <c r="Q58" s="49">
        <v>1</v>
      </c>
      <c r="R58" s="82">
        <f t="shared" si="2"/>
        <v>0</v>
      </c>
      <c r="S58" s="82">
        <f>IF(AND(R58=0,B58="N"),S57,S57*(D58*F58*G58+I58*K58*L58+N58*P58*Q58)/T57)</f>
        <v>357932247688849.5</v>
      </c>
      <c r="T58" s="81">
        <f>E58*F58*G58+J58*K58*L58+O58*P58*Q58</f>
        <v>359183937674000</v>
      </c>
      <c r="U58" s="80">
        <f t="shared" si="0"/>
        <v>1003.497002556301</v>
      </c>
      <c r="V58" s="52">
        <f t="shared" si="1"/>
        <v>-3.9915459672276471E-2</v>
      </c>
      <c r="W58" s="48">
        <f>(E58-D58)/D58</f>
        <v>-3.9783700270374665E-2</v>
      </c>
      <c r="X58" s="48">
        <f>(J58-I58)/I58</f>
        <v>-3.3816425120772944E-2</v>
      </c>
      <c r="Y58" s="48">
        <f>(O58-N58)/N58</f>
        <v>-0.11584028082492322</v>
      </c>
      <c r="Z58" s="48" t="e">
        <f>(#REF!-#REF!)/#REF!</f>
        <v>#REF!</v>
      </c>
    </row>
    <row r="59" spans="1:26" x14ac:dyDescent="0.3">
      <c r="A59" s="48">
        <v>20180326</v>
      </c>
      <c r="B59" s="48" t="s">
        <v>88</v>
      </c>
      <c r="C59" s="79">
        <f>E59*F59*G59/T59</f>
        <v>0.88942055040366064</v>
      </c>
      <c r="D59" s="49">
        <v>2486000</v>
      </c>
      <c r="E59" s="49">
        <v>2514000</v>
      </c>
      <c r="F59" s="49">
        <v>128386494</v>
      </c>
      <c r="G59" s="49">
        <v>1</v>
      </c>
      <c r="H59" s="48">
        <f>J59*K59*L59/T59</f>
        <v>0.10140736702905154</v>
      </c>
      <c r="I59" s="48">
        <v>300000</v>
      </c>
      <c r="J59" s="48">
        <v>300000</v>
      </c>
      <c r="K59" s="51">
        <v>122666424</v>
      </c>
      <c r="L59" s="48">
        <v>1</v>
      </c>
      <c r="M59" s="49">
        <f>O59*P59*Q59/T59</f>
        <v>9.1720825672878276E-3</v>
      </c>
      <c r="N59" s="49">
        <v>201500</v>
      </c>
      <c r="O59" s="49">
        <v>208600</v>
      </c>
      <c r="P59" s="49">
        <v>15956260</v>
      </c>
      <c r="Q59" s="49">
        <v>1</v>
      </c>
      <c r="R59" s="82">
        <f t="shared" si="2"/>
        <v>0</v>
      </c>
      <c r="S59" s="82">
        <f>IF(AND(R59=0,B59="N"),S58,S58*(D59*F59*G59+I59*K59*L59+N59*P59*Q59)/T58)</f>
        <v>357932247688849.5</v>
      </c>
      <c r="T59" s="81">
        <f>E59*F59*G59+J59*K59*L59+O59*P59*Q59</f>
        <v>362892048952000</v>
      </c>
      <c r="U59" s="80">
        <f t="shared" si="0"/>
        <v>1013.8568159062942</v>
      </c>
      <c r="V59" s="52">
        <f t="shared" si="1"/>
        <v>1.0323711305168459E-2</v>
      </c>
      <c r="W59" s="48">
        <f>(E59-D59)/D59</f>
        <v>1.1263073209975865E-2</v>
      </c>
      <c r="X59" s="48">
        <f>(J59-I59)/I59</f>
        <v>0</v>
      </c>
      <c r="Y59" s="48">
        <f>(O59-N59)/N59</f>
        <v>3.5235732009925559E-2</v>
      </c>
      <c r="Z59" s="48" t="e">
        <f>(#REF!-#REF!)/#REF!</f>
        <v>#REF!</v>
      </c>
    </row>
    <row r="60" spans="1:26" x14ac:dyDescent="0.3">
      <c r="A60" s="48">
        <v>20180327</v>
      </c>
      <c r="B60" s="48" t="s">
        <v>88</v>
      </c>
      <c r="C60" s="79">
        <f>E60*F60*G60/T60</f>
        <v>0.88956053785666611</v>
      </c>
      <c r="D60" s="49">
        <v>2514000</v>
      </c>
      <c r="E60" s="49">
        <v>2499000</v>
      </c>
      <c r="F60" s="49">
        <v>128386494</v>
      </c>
      <c r="G60" s="49">
        <v>1</v>
      </c>
      <c r="H60" s="48">
        <f>J60*K60*L60/T60</f>
        <v>0.10101179007931449</v>
      </c>
      <c r="I60" s="48">
        <v>300000</v>
      </c>
      <c r="J60" s="48">
        <v>297000</v>
      </c>
      <c r="K60" s="51">
        <v>122666424</v>
      </c>
      <c r="L60" s="48">
        <v>1</v>
      </c>
      <c r="M60" s="49">
        <f>O60*P60*Q60/T60</f>
        <v>9.4276720640193556E-3</v>
      </c>
      <c r="N60" s="49">
        <v>208600</v>
      </c>
      <c r="O60" s="49">
        <v>213100</v>
      </c>
      <c r="P60" s="49">
        <v>15956260</v>
      </c>
      <c r="Q60" s="49">
        <v>1</v>
      </c>
      <c r="R60" s="82">
        <f t="shared" si="2"/>
        <v>0</v>
      </c>
      <c r="S60" s="82">
        <f>IF(AND(R60=0,B60="N"),S59,S59*(D60*F60*G60+I60*K60*L60+N60*P60*Q60)/T59)</f>
        <v>357932247688849.5</v>
      </c>
      <c r="T60" s="81">
        <f>E60*F60*G60+J60*K60*L60+O60*P60*Q60</f>
        <v>360670055440000</v>
      </c>
      <c r="U60" s="80">
        <f t="shared" si="0"/>
        <v>1007.648955266893</v>
      </c>
      <c r="V60" s="52">
        <f t="shared" si="1"/>
        <v>-6.1230151457352293E-3</v>
      </c>
      <c r="W60" s="48">
        <f>(E60-D60)/D60</f>
        <v>-5.9665871121718375E-3</v>
      </c>
      <c r="X60" s="48">
        <f>(J60-I60)/I60</f>
        <v>-0.01</v>
      </c>
      <c r="Y60" s="48">
        <f>(O60-N60)/N60</f>
        <v>2.1572387344199424E-2</v>
      </c>
      <c r="Z60" s="48" t="e">
        <f>(#REF!-#REF!)/#REF!</f>
        <v>#REF!</v>
      </c>
    </row>
    <row r="61" spans="1:26" x14ac:dyDescent="0.3">
      <c r="A61" s="48">
        <v>20180328</v>
      </c>
      <c r="B61" s="48" t="s">
        <v>88</v>
      </c>
      <c r="C61" s="79">
        <f>E61*F61*G61/T61</f>
        <v>0.88935160179363526</v>
      </c>
      <c r="D61" s="49">
        <v>2499000</v>
      </c>
      <c r="E61" s="49">
        <v>2435000</v>
      </c>
      <c r="F61" s="49">
        <v>128386494</v>
      </c>
      <c r="G61" s="49">
        <v>1</v>
      </c>
      <c r="H61" s="48">
        <f>J61*K61*L61/T61</f>
        <v>0.10102513970411081</v>
      </c>
      <c r="I61" s="48">
        <v>297000</v>
      </c>
      <c r="J61" s="48">
        <v>289500</v>
      </c>
      <c r="K61" s="51">
        <v>122666424</v>
      </c>
      <c r="L61" s="48">
        <v>1</v>
      </c>
      <c r="M61" s="49">
        <f>O61*P61*Q61/T61</f>
        <v>9.623258502253906E-3</v>
      </c>
      <c r="N61" s="49">
        <v>213100</v>
      </c>
      <c r="O61" s="49">
        <v>212000</v>
      </c>
      <c r="P61" s="49">
        <v>15956260</v>
      </c>
      <c r="Q61" s="49">
        <v>1</v>
      </c>
      <c r="R61" s="82">
        <f t="shared" si="2"/>
        <v>0</v>
      </c>
      <c r="S61" s="82">
        <f>IF(AND(R61=0,B61="N"),S60,S60*(D61*F61*G61+I61*K61*L61+N61*P61*Q61)/T60)</f>
        <v>357932247688849.5</v>
      </c>
      <c r="T61" s="81">
        <f>E61*F61*G61+J61*K61*L61+O61*P61*Q61</f>
        <v>351515769758000</v>
      </c>
      <c r="U61" s="80">
        <f t="shared" si="0"/>
        <v>982.0734846544832</v>
      </c>
      <c r="V61" s="52">
        <f t="shared" si="1"/>
        <v>-2.5381329954970028E-2</v>
      </c>
      <c r="W61" s="48">
        <f>(E61-D61)/D61</f>
        <v>-2.5610244097639057E-2</v>
      </c>
      <c r="X61" s="48">
        <f>(J61-I61)/I61</f>
        <v>-2.5252525252525252E-2</v>
      </c>
      <c r="Y61" s="48">
        <f>(O61-N61)/N61</f>
        <v>-5.1618958235570157E-3</v>
      </c>
      <c r="Z61" s="48" t="e">
        <f>(#REF!-#REF!)/#REF!</f>
        <v>#REF!</v>
      </c>
    </row>
    <row r="62" spans="1:26" x14ac:dyDescent="0.3">
      <c r="A62" s="48">
        <v>20180329</v>
      </c>
      <c r="B62" s="48" t="s">
        <v>88</v>
      </c>
      <c r="C62" s="79">
        <f>E62*F62*G62/T62</f>
        <v>0.88127162230972589</v>
      </c>
      <c r="D62" s="49">
        <v>2435000</v>
      </c>
      <c r="E62" s="49">
        <v>2452000</v>
      </c>
      <c r="F62" s="49">
        <v>128386494</v>
      </c>
      <c r="G62" s="49">
        <v>1</v>
      </c>
      <c r="H62" s="48">
        <f>J62*K62*L62/T62</f>
        <v>0.10885664564241172</v>
      </c>
      <c r="I62" s="48">
        <v>289500</v>
      </c>
      <c r="J62" s="48">
        <v>317000</v>
      </c>
      <c r="K62" s="51">
        <v>122666424</v>
      </c>
      <c r="L62" s="48">
        <v>1</v>
      </c>
      <c r="M62" s="49">
        <f>O62*P62*Q62/T62</f>
        <v>9.8717320478623818E-3</v>
      </c>
      <c r="N62" s="49">
        <v>212000</v>
      </c>
      <c r="O62" s="49">
        <v>221000</v>
      </c>
      <c r="P62" s="49">
        <v>15956260</v>
      </c>
      <c r="Q62" s="49">
        <v>1</v>
      </c>
      <c r="R62" s="82">
        <f t="shared" si="2"/>
        <v>0</v>
      </c>
      <c r="S62" s="82">
        <f>IF(AND(R62=0,B62="N"),S61,S61*(D62*F62*G62+I62*K62*L62+N62*P62*Q62)/T61)</f>
        <v>357932247688849.5</v>
      </c>
      <c r="T62" s="81">
        <f>E62*F62*G62+J62*K62*L62+O62*P62*Q62</f>
        <v>357215273156000</v>
      </c>
      <c r="U62" s="80">
        <f t="shared" si="0"/>
        <v>997.99689874975229</v>
      </c>
      <c r="V62" s="52">
        <f t="shared" si="1"/>
        <v>1.6214075977085698E-2</v>
      </c>
      <c r="W62" s="48">
        <f>(E62-D62)/D62</f>
        <v>6.9815195071868588E-3</v>
      </c>
      <c r="X62" s="48">
        <f>(J62-I62)/I62</f>
        <v>9.499136442141623E-2</v>
      </c>
      <c r="Y62" s="48">
        <f>(O62-N62)/N62</f>
        <v>4.2452830188679243E-2</v>
      </c>
      <c r="Z62" s="48" t="e">
        <f>(#REF!-#REF!)/#REF!</f>
        <v>#REF!</v>
      </c>
    </row>
    <row r="63" spans="1:26" x14ac:dyDescent="0.3">
      <c r="A63" s="48">
        <v>20180330</v>
      </c>
      <c r="B63" s="48" t="s">
        <v>88</v>
      </c>
      <c r="C63" s="79">
        <f>E63*F63*G63/T63</f>
        <v>0.88376975635298327</v>
      </c>
      <c r="D63" s="49">
        <v>2452000</v>
      </c>
      <c r="E63" s="49">
        <v>2461000</v>
      </c>
      <c r="F63" s="49">
        <v>128386494</v>
      </c>
      <c r="G63" s="49">
        <v>1</v>
      </c>
      <c r="H63" s="48">
        <f>J63*K63*L63/T63</f>
        <v>0.10619267005868595</v>
      </c>
      <c r="I63" s="48">
        <v>317000</v>
      </c>
      <c r="J63" s="48">
        <v>309500</v>
      </c>
      <c r="K63" s="51">
        <v>122666424</v>
      </c>
      <c r="L63" s="48">
        <v>1</v>
      </c>
      <c r="M63" s="49">
        <f>O63*P63*Q63/T63</f>
        <v>1.003757358833081E-2</v>
      </c>
      <c r="N63" s="49">
        <v>221000</v>
      </c>
      <c r="O63" s="49">
        <v>224900</v>
      </c>
      <c r="P63" s="49">
        <v>15956260</v>
      </c>
      <c r="Q63" s="49">
        <v>1</v>
      </c>
      <c r="R63" s="82">
        <f t="shared" si="2"/>
        <v>0</v>
      </c>
      <c r="S63" s="82">
        <f>IF(AND(R63=0,B63="N"),S62,S62*(D63*F63*G63+I63*K63*L63+N63*P63*Q63)/T62)</f>
        <v>357932247688849.5</v>
      </c>
      <c r="T63" s="81">
        <f>E63*F63*G63+J63*K63*L63+O63*P63*Q63</f>
        <v>357512982836000</v>
      </c>
      <c r="U63" s="80">
        <f t="shared" si="0"/>
        <v>998.82864744499363</v>
      </c>
      <c r="V63" s="52">
        <f t="shared" si="1"/>
        <v>8.334181161117071E-4</v>
      </c>
      <c r="W63" s="48">
        <f>(E63-D63)/D63</f>
        <v>3.67047308319739E-3</v>
      </c>
      <c r="X63" s="48">
        <f>(J63-I63)/I63</f>
        <v>-2.365930599369085E-2</v>
      </c>
      <c r="Y63" s="48">
        <f>(O63-N63)/N63</f>
        <v>1.7647058823529412E-2</v>
      </c>
      <c r="Z63" s="48" t="e">
        <f>(#REF!-#REF!)/#REF!</f>
        <v>#REF!</v>
      </c>
    </row>
    <row r="64" spans="1:26" x14ac:dyDescent="0.3">
      <c r="A64" s="48">
        <v>20180402</v>
      </c>
      <c r="B64" s="48" t="s">
        <v>88</v>
      </c>
      <c r="C64" s="79">
        <f>E64*F64*G64/T64</f>
        <v>0.88405795720706193</v>
      </c>
      <c r="D64" s="49">
        <v>2461000</v>
      </c>
      <c r="E64" s="49">
        <v>2427000</v>
      </c>
      <c r="F64" s="49">
        <v>128386494</v>
      </c>
      <c r="G64" s="49">
        <v>1</v>
      </c>
      <c r="H64" s="48">
        <f>J64*K64*L64/T64</f>
        <v>0.10580127718573142</v>
      </c>
      <c r="I64" s="48">
        <v>309500</v>
      </c>
      <c r="J64" s="48">
        <v>304000</v>
      </c>
      <c r="K64" s="51">
        <v>122666424</v>
      </c>
      <c r="L64" s="48">
        <v>1</v>
      </c>
      <c r="M64" s="49">
        <f>O64*P64*Q64/T64</f>
        <v>1.0140765607206668E-2</v>
      </c>
      <c r="N64" s="49">
        <v>224900</v>
      </c>
      <c r="O64" s="49">
        <v>224000</v>
      </c>
      <c r="P64" s="49">
        <v>15956260</v>
      </c>
      <c r="Q64" s="49">
        <v>1</v>
      </c>
      <c r="R64" s="82">
        <f t="shared" si="2"/>
        <v>0</v>
      </c>
      <c r="S64" s="82">
        <f>IF(AND(R64=0,B64="N"),S63,S63*(D64*F64*G64+I64*K64*L64+N64*P64*Q64)/T63)</f>
        <v>357932247688849.5</v>
      </c>
      <c r="T64" s="81">
        <f>E64*F64*G64+J64*K64*L64+O64*P64*Q64</f>
        <v>352458816074000</v>
      </c>
      <c r="U64" s="80">
        <f t="shared" si="0"/>
        <v>984.70819086519532</v>
      </c>
      <c r="V64" s="52">
        <f t="shared" si="1"/>
        <v>-1.4137016009621351E-2</v>
      </c>
      <c r="W64" s="48">
        <f>(E64-D64)/D64</f>
        <v>-1.3815522145469321E-2</v>
      </c>
      <c r="X64" s="48">
        <f>(J64-I64)/I64</f>
        <v>-1.7770597738287562E-2</v>
      </c>
      <c r="Y64" s="48">
        <f>(O64-N64)/N64</f>
        <v>-4.0017785682525571E-3</v>
      </c>
      <c r="Z64" s="48" t="e">
        <f>(#REF!-#REF!)/#REF!</f>
        <v>#REF!</v>
      </c>
    </row>
    <row r="65" spans="1:26" x14ac:dyDescent="0.3">
      <c r="A65" s="48">
        <v>20180403</v>
      </c>
      <c r="B65" s="48" t="s">
        <v>88</v>
      </c>
      <c r="C65" s="79">
        <f>E65*F65*G65/T65</f>
        <v>0.88417821845827338</v>
      </c>
      <c r="D65" s="49">
        <v>2427000</v>
      </c>
      <c r="E65" s="49">
        <v>2406000</v>
      </c>
      <c r="F65" s="49">
        <v>128386494</v>
      </c>
      <c r="G65" s="49">
        <v>1</v>
      </c>
      <c r="H65" s="48">
        <f>J65*K65*L65/T65</f>
        <v>0.10498366810427565</v>
      </c>
      <c r="I65" s="48">
        <v>304000</v>
      </c>
      <c r="J65" s="48">
        <v>299000</v>
      </c>
      <c r="K65" s="51">
        <v>122666424</v>
      </c>
      <c r="L65" s="48">
        <v>1</v>
      </c>
      <c r="M65" s="49">
        <f>O65*P65*Q65/T65</f>
        <v>1.0838113437450947E-2</v>
      </c>
      <c r="N65" s="49">
        <v>224000</v>
      </c>
      <c r="O65" s="49">
        <v>237300</v>
      </c>
      <c r="P65" s="49">
        <v>15956260</v>
      </c>
      <c r="Q65" s="49">
        <v>1</v>
      </c>
      <c r="R65" s="82">
        <f t="shared" si="2"/>
        <v>0</v>
      </c>
      <c r="S65" s="82">
        <f>IF(AND(R65=0,B65="N"),S64,S64*(D65*F65*G65+I65*K65*L65+N65*P65*Q65)/T64)</f>
        <v>357932247688849.5</v>
      </c>
      <c r="T65" s="81">
        <f>E65*F65*G65+J65*K65*L65+O65*P65*Q65</f>
        <v>349361585838000</v>
      </c>
      <c r="U65" s="80">
        <f t="shared" si="0"/>
        <v>976.05507213672468</v>
      </c>
      <c r="V65" s="52">
        <f t="shared" si="1"/>
        <v>-8.7874954313802798E-3</v>
      </c>
      <c r="W65" s="48">
        <f>(E65-D65)/D65</f>
        <v>-8.65265760197775E-3</v>
      </c>
      <c r="X65" s="48">
        <f>(J65-I65)/I65</f>
        <v>-1.6447368421052631E-2</v>
      </c>
      <c r="Y65" s="48">
        <f>(O65-N65)/N65</f>
        <v>5.9374999999999997E-2</v>
      </c>
      <c r="Z65" s="48" t="e">
        <f>(#REF!-#REF!)/#REF!</f>
        <v>#REF!</v>
      </c>
    </row>
    <row r="66" spans="1:26" x14ac:dyDescent="0.3">
      <c r="A66" s="48">
        <v>20180404</v>
      </c>
      <c r="B66" s="48" t="s">
        <v>88</v>
      </c>
      <c r="C66" s="79">
        <f>E66*F66*G66/T66</f>
        <v>0.88297460969442898</v>
      </c>
      <c r="D66" s="49">
        <v>2406000</v>
      </c>
      <c r="E66" s="49">
        <v>2346000</v>
      </c>
      <c r="F66" s="49">
        <v>128386494</v>
      </c>
      <c r="G66" s="49">
        <v>1</v>
      </c>
      <c r="H66" s="48">
        <f>J66*K66*L66/T66</f>
        <v>0.10572407732026229</v>
      </c>
      <c r="I66" s="48">
        <v>299000</v>
      </c>
      <c r="J66" s="48">
        <v>294000</v>
      </c>
      <c r="K66" s="51">
        <v>122666424</v>
      </c>
      <c r="L66" s="48">
        <v>1</v>
      </c>
      <c r="M66" s="49">
        <f>O66*P66*Q66/T66</f>
        <v>1.1301312985308761E-2</v>
      </c>
      <c r="N66" s="49">
        <v>237300</v>
      </c>
      <c r="O66" s="49">
        <v>241600</v>
      </c>
      <c r="P66" s="49">
        <v>15956260</v>
      </c>
      <c r="Q66" s="49">
        <v>1</v>
      </c>
      <c r="R66" s="82">
        <f t="shared" si="2"/>
        <v>0</v>
      </c>
      <c r="S66" s="82">
        <f>IF(AND(R66=0,B66="N"),S65,S65*(D66*F66*G66+I66*K66*L66+N66*P66*Q66)/T65)</f>
        <v>357932247688849.5</v>
      </c>
      <c r="T66" s="81">
        <f>E66*F66*G66+J66*K66*L66+O66*P66*Q66</f>
        <v>341113675996000</v>
      </c>
      <c r="U66" s="80">
        <f t="shared" si="0"/>
        <v>953.01185684875793</v>
      </c>
      <c r="V66" s="52">
        <f t="shared" si="1"/>
        <v>-2.3608519586422353E-2</v>
      </c>
      <c r="W66" s="48">
        <f>(E66-D66)/D66</f>
        <v>-2.4937655860349128E-2</v>
      </c>
      <c r="X66" s="48">
        <f>(J66-I66)/I66</f>
        <v>-1.6722408026755852E-2</v>
      </c>
      <c r="Y66" s="48">
        <f>(O66-N66)/N66</f>
        <v>1.8120522545301308E-2</v>
      </c>
      <c r="Z66" s="48" t="e">
        <f>(#REF!-#REF!)/#REF!</f>
        <v>#REF!</v>
      </c>
    </row>
    <row r="67" spans="1:26" x14ac:dyDescent="0.3">
      <c r="A67" s="48">
        <v>20180405</v>
      </c>
      <c r="B67" s="48" t="s">
        <v>88</v>
      </c>
      <c r="C67" s="79">
        <f>E67*F67*G67/T67</f>
        <v>0.8865898597576104</v>
      </c>
      <c r="D67" s="49">
        <v>2346000</v>
      </c>
      <c r="E67" s="49">
        <v>2437000</v>
      </c>
      <c r="F67" s="49">
        <v>128386494</v>
      </c>
      <c r="G67" s="49">
        <v>1</v>
      </c>
      <c r="H67" s="48">
        <f>J67*K67*L67/T67</f>
        <v>0.10254054282888048</v>
      </c>
      <c r="I67" s="48">
        <v>294000</v>
      </c>
      <c r="J67" s="48">
        <v>295000</v>
      </c>
      <c r="K67" s="51">
        <v>122666424</v>
      </c>
      <c r="L67" s="48">
        <v>1</v>
      </c>
      <c r="M67" s="49">
        <f>O67*P67*Q67/T67</f>
        <v>1.0869597413509071E-2</v>
      </c>
      <c r="N67" s="49">
        <v>241600</v>
      </c>
      <c r="O67" s="49">
        <v>240400</v>
      </c>
      <c r="P67" s="49">
        <v>15956260</v>
      </c>
      <c r="Q67" s="49">
        <v>1</v>
      </c>
      <c r="R67" s="82">
        <f t="shared" si="2"/>
        <v>0</v>
      </c>
      <c r="S67" s="82">
        <f>IF(AND(R67=0,B67="N"),S66,S66*(D67*F67*G67+I67*K67*L67+N67*P67*Q67)/T66)</f>
        <v>357932247688849.5</v>
      </c>
      <c r="T67" s="81">
        <f>E67*F67*G67+J67*K67*L67+O67*P67*Q67</f>
        <v>352900365862000</v>
      </c>
      <c r="U67" s="80">
        <f t="shared" ref="U67:U130" si="3">T67/S67*1000</f>
        <v>985.94180362529471</v>
      </c>
      <c r="V67" s="52">
        <f t="shared" si="1"/>
        <v>3.4553554124104387E-2</v>
      </c>
      <c r="W67" s="48">
        <f>(E67-D67)/D67</f>
        <v>3.8789428815004259E-2</v>
      </c>
      <c r="X67" s="48">
        <f>(J67-I67)/I67</f>
        <v>3.4013605442176869E-3</v>
      </c>
      <c r="Y67" s="48">
        <f>(O67-N67)/N67</f>
        <v>-4.9668874172185433E-3</v>
      </c>
      <c r="Z67" s="48" t="e">
        <f>(#REF!-#REF!)/#REF!</f>
        <v>#REF!</v>
      </c>
    </row>
    <row r="68" spans="1:26" x14ac:dyDescent="0.3">
      <c r="A68" s="48">
        <v>20180406</v>
      </c>
      <c r="B68" s="48" t="s">
        <v>88</v>
      </c>
      <c r="C68" s="79">
        <f>E68*F68*G68/T68</f>
        <v>0.88676613913156288</v>
      </c>
      <c r="D68" s="49">
        <v>2437000</v>
      </c>
      <c r="E68" s="49">
        <v>2420000</v>
      </c>
      <c r="F68" s="49">
        <v>128386494</v>
      </c>
      <c r="G68" s="49">
        <v>1</v>
      </c>
      <c r="H68" s="48">
        <f>J68*K68*L68/T68</f>
        <v>0.10223108084105879</v>
      </c>
      <c r="I68" s="48">
        <v>295000</v>
      </c>
      <c r="J68" s="48">
        <v>292000</v>
      </c>
      <c r="K68" s="51">
        <v>122666424</v>
      </c>
      <c r="L68" s="48">
        <v>1</v>
      </c>
      <c r="M68" s="49">
        <f>O68*P68*Q68/T68</f>
        <v>1.1002780027378291E-2</v>
      </c>
      <c r="N68" s="49">
        <v>240400</v>
      </c>
      <c r="O68" s="49">
        <v>241600</v>
      </c>
      <c r="P68" s="49">
        <v>15956260</v>
      </c>
      <c r="Q68" s="49">
        <v>1</v>
      </c>
      <c r="R68" s="82">
        <f t="shared" si="2"/>
        <v>0</v>
      </c>
      <c r="S68" s="82">
        <f>IF(AND(R68=0,B68="N"),S67,S67*(D68*F68*G68+I68*K68*L68+N68*P68*Q68)/T67)</f>
        <v>357932247688849.5</v>
      </c>
      <c r="T68" s="81">
        <f>E68*F68*G68+J68*K68*L68+O68*P68*Q68</f>
        <v>350368943704000</v>
      </c>
      <c r="U68" s="80">
        <f t="shared" si="3"/>
        <v>978.86945355249384</v>
      </c>
      <c r="V68" s="52">
        <f t="shared" ref="V68:V131" si="4">(U68-U67)/U67</f>
        <v>-7.1731922176298205E-3</v>
      </c>
      <c r="W68" s="48">
        <f>(E68-D68)/D68</f>
        <v>-6.9757899056216658E-3</v>
      </c>
      <c r="X68" s="48">
        <f>(J68-I68)/I68</f>
        <v>-1.0169491525423728E-2</v>
      </c>
      <c r="Y68" s="48">
        <f>(O68-N68)/N68</f>
        <v>4.9916805324459234E-3</v>
      </c>
      <c r="Z68" s="48" t="e">
        <f>(#REF!-#REF!)/#REF!</f>
        <v>#REF!</v>
      </c>
    </row>
    <row r="69" spans="1:26" x14ac:dyDescent="0.3">
      <c r="A69" s="48">
        <v>20180409</v>
      </c>
      <c r="B69" s="48" t="s">
        <v>88</v>
      </c>
      <c r="C69" s="79">
        <f>E69*F69*G69/T69</f>
        <v>0.88359808571859533</v>
      </c>
      <c r="D69" s="49">
        <v>2420000</v>
      </c>
      <c r="E69" s="49">
        <v>2460000</v>
      </c>
      <c r="F69" s="49">
        <v>128386494</v>
      </c>
      <c r="G69" s="49">
        <v>1</v>
      </c>
      <c r="H69" s="48">
        <f>J69*K69*L69/T69</f>
        <v>0.1050140604818209</v>
      </c>
      <c r="I69" s="48">
        <v>292000</v>
      </c>
      <c r="J69" s="48">
        <v>306000</v>
      </c>
      <c r="K69" s="51">
        <v>122666424</v>
      </c>
      <c r="L69" s="48">
        <v>1</v>
      </c>
      <c r="M69" s="49">
        <f>O69*P69*Q69/T69</f>
        <v>1.1387853799583741E-2</v>
      </c>
      <c r="N69" s="49">
        <v>241600</v>
      </c>
      <c r="O69" s="49">
        <v>255100</v>
      </c>
      <c r="P69" s="49">
        <v>15956260</v>
      </c>
      <c r="Q69" s="49">
        <v>1</v>
      </c>
      <c r="R69" s="82">
        <f t="shared" ref="R69:R132" si="5">IF(T68&lt;&gt;(D69*F69*G69+I69*K69*L69+N69*P69*Q69),1,0)</f>
        <v>0</v>
      </c>
      <c r="S69" s="82">
        <f>IF(AND(R69=0,B69="N"),S68,S68*(D69*F69*G69+I69*K69*L69+N69*P69*Q69)/T68)</f>
        <v>357932247688849.5</v>
      </c>
      <c r="T69" s="81">
        <f>E69*F69*G69+J69*K69*L69+O69*P69*Q69</f>
        <v>357437142910000</v>
      </c>
      <c r="U69" s="80">
        <f t="shared" si="3"/>
        <v>998.61676397685221</v>
      </c>
      <c r="V69" s="52">
        <f t="shared" si="4"/>
        <v>2.0173589392019357E-2</v>
      </c>
      <c r="W69" s="48">
        <f>(E69-D69)/D69</f>
        <v>1.6528925619834711E-2</v>
      </c>
      <c r="X69" s="48">
        <f>(J69-I69)/I69</f>
        <v>4.7945205479452052E-2</v>
      </c>
      <c r="Y69" s="48">
        <f>(O69-N69)/N69</f>
        <v>5.587748344370861E-2</v>
      </c>
      <c r="Z69" s="48" t="e">
        <f>(#REF!-#REF!)/#REF!</f>
        <v>#REF!</v>
      </c>
    </row>
    <row r="70" spans="1:26" x14ac:dyDescent="0.3">
      <c r="A70" s="48">
        <v>20180410</v>
      </c>
      <c r="B70" s="48" t="s">
        <v>88</v>
      </c>
      <c r="C70" s="79">
        <f>E70*F70*G70/T70</f>
        <v>0.88363792847696121</v>
      </c>
      <c r="D70" s="49">
        <v>2460000</v>
      </c>
      <c r="E70" s="49">
        <v>2444000</v>
      </c>
      <c r="F70" s="49">
        <v>128386494</v>
      </c>
      <c r="G70" s="49">
        <v>1</v>
      </c>
      <c r="H70" s="48">
        <f>J70*K70*L70/T70</f>
        <v>0.10466998004428245</v>
      </c>
      <c r="I70" s="48">
        <v>306000</v>
      </c>
      <c r="J70" s="48">
        <v>303000</v>
      </c>
      <c r="K70" s="51">
        <v>122666424</v>
      </c>
      <c r="L70" s="48">
        <v>1</v>
      </c>
      <c r="M70" s="49">
        <f>O70*P70*Q70/T70</f>
        <v>1.1692091478756401E-2</v>
      </c>
      <c r="N70" s="49">
        <v>255100</v>
      </c>
      <c r="O70" s="49">
        <v>260200</v>
      </c>
      <c r="P70" s="49">
        <v>15956260</v>
      </c>
      <c r="Q70" s="49">
        <v>1</v>
      </c>
      <c r="R70" s="82">
        <f t="shared" si="5"/>
        <v>0</v>
      </c>
      <c r="S70" s="82">
        <f>IF(AND(R70=0,B70="N"),S69,S69*(D70*F70*G70+I70*K70*L70+N70*P70*Q70)/T69)</f>
        <v>357932247688849.5</v>
      </c>
      <c r="T70" s="81">
        <f>E70*F70*G70+J70*K70*L70+O70*P70*Q70</f>
        <v>355096336660000</v>
      </c>
      <c r="U70" s="80">
        <f t="shared" si="3"/>
        <v>992.07696136025515</v>
      </c>
      <c r="V70" s="52">
        <f t="shared" si="4"/>
        <v>-6.5488612373711856E-3</v>
      </c>
      <c r="W70" s="48">
        <f>(E70-D70)/D70</f>
        <v>-6.5040650406504065E-3</v>
      </c>
      <c r="X70" s="48">
        <f>(J70-I70)/I70</f>
        <v>-9.8039215686274508E-3</v>
      </c>
      <c r="Y70" s="48">
        <f>(O70-N70)/N70</f>
        <v>1.9992159937279499E-2</v>
      </c>
      <c r="Z70" s="48" t="e">
        <f>(#REF!-#REF!)/#REF!</f>
        <v>#REF!</v>
      </c>
    </row>
    <row r="71" spans="1:26" x14ac:dyDescent="0.3">
      <c r="A71" s="48">
        <v>20180411</v>
      </c>
      <c r="B71" s="48" t="s">
        <v>88</v>
      </c>
      <c r="C71" s="79">
        <f>E71*F71*G71/T71</f>
        <v>0.88527270067747288</v>
      </c>
      <c r="D71" s="49">
        <v>2444000</v>
      </c>
      <c r="E71" s="49">
        <v>2443000</v>
      </c>
      <c r="F71" s="49">
        <v>128386494</v>
      </c>
      <c r="G71" s="49">
        <v>1</v>
      </c>
      <c r="H71" s="48">
        <f>J71*K71*L71/T71</f>
        <v>0.10317541744090725</v>
      </c>
      <c r="I71" s="48">
        <v>303000</v>
      </c>
      <c r="J71" s="48">
        <v>298000</v>
      </c>
      <c r="K71" s="51">
        <v>122666424</v>
      </c>
      <c r="L71" s="48">
        <v>1</v>
      </c>
      <c r="M71" s="49">
        <f>O71*P71*Q71/T71</f>
        <v>1.1551881881619912E-2</v>
      </c>
      <c r="N71" s="49">
        <v>260200</v>
      </c>
      <c r="O71" s="49">
        <v>256500</v>
      </c>
      <c r="P71" s="49">
        <v>15956260</v>
      </c>
      <c r="Q71" s="49">
        <v>1</v>
      </c>
      <c r="R71" s="82">
        <f t="shared" si="5"/>
        <v>0</v>
      </c>
      <c r="S71" s="82">
        <f>IF(AND(R71=0,B71="N"),S70,S70*(D71*F71*G71+I71*K71*L71+N71*P71*Q71)/T70)</f>
        <v>357932247688849.5</v>
      </c>
      <c r="T71" s="81">
        <f>E71*F71*G71+J71*K71*L71+O71*P71*Q71</f>
        <v>354295579884000</v>
      </c>
      <c r="U71" s="80">
        <f t="shared" si="3"/>
        <v>989.83978719902643</v>
      </c>
      <c r="V71" s="52">
        <f t="shared" si="4"/>
        <v>-2.2550409377124245E-3</v>
      </c>
      <c r="W71" s="48">
        <f>(E71-D71)/D71</f>
        <v>-4.0916530278232408E-4</v>
      </c>
      <c r="X71" s="48">
        <f>(J71-I71)/I71</f>
        <v>-1.65016501650165E-2</v>
      </c>
      <c r="Y71" s="48">
        <f>(O71-N71)/N71</f>
        <v>-1.4219830899308224E-2</v>
      </c>
      <c r="Z71" s="48" t="e">
        <f>(#REF!-#REF!)/#REF!</f>
        <v>#REF!</v>
      </c>
    </row>
    <row r="72" spans="1:26" x14ac:dyDescent="0.3">
      <c r="A72" s="48">
        <v>20180412</v>
      </c>
      <c r="B72" s="48" t="s">
        <v>88</v>
      </c>
      <c r="C72" s="79">
        <f>E72*F72*G72/T72</f>
        <v>0.88638149882858264</v>
      </c>
      <c r="D72" s="49">
        <v>2443000</v>
      </c>
      <c r="E72" s="49">
        <v>2450000</v>
      </c>
      <c r="F72" s="49">
        <v>128386494</v>
      </c>
      <c r="G72" s="49">
        <v>1</v>
      </c>
      <c r="H72" s="48">
        <f>J72*K72*L72/T72</f>
        <v>0.10318232254839965</v>
      </c>
      <c r="I72" s="48">
        <v>298000</v>
      </c>
      <c r="J72" s="48">
        <v>298500</v>
      </c>
      <c r="K72" s="51">
        <v>122666424</v>
      </c>
      <c r="L72" s="48">
        <v>1</v>
      </c>
      <c r="M72" s="49">
        <f>O72*P72*Q72/T72</f>
        <v>1.0436178623017668E-2</v>
      </c>
      <c r="N72" s="49">
        <v>256500</v>
      </c>
      <c r="O72" s="49">
        <v>232100</v>
      </c>
      <c r="P72" s="49">
        <v>15956260</v>
      </c>
      <c r="Q72" s="49">
        <v>1</v>
      </c>
      <c r="R72" s="82">
        <f t="shared" si="5"/>
        <v>0</v>
      </c>
      <c r="S72" s="82">
        <f>IF(AND(R72=0,B72="N"),S71,S71*(D72*F72*G72+I72*K72*L72+N72*P72*Q72)/T71)</f>
        <v>357932247688849.5</v>
      </c>
      <c r="T72" s="81">
        <f>E72*F72*G72+J72*K72*L72+O72*P72*Q72</f>
        <v>354866285810000</v>
      </c>
      <c r="U72" s="80">
        <f t="shared" si="3"/>
        <v>991.43423958403787</v>
      </c>
      <c r="V72" s="52">
        <f t="shared" si="4"/>
        <v>1.610818645230757E-3</v>
      </c>
      <c r="W72" s="48">
        <f>(E72-D72)/D72</f>
        <v>2.8653295128939827E-3</v>
      </c>
      <c r="X72" s="48">
        <f>(J72-I72)/I72</f>
        <v>1.6778523489932886E-3</v>
      </c>
      <c r="Y72" s="48">
        <f>(O72-N72)/N72</f>
        <v>-9.5126705653021448E-2</v>
      </c>
      <c r="Z72" s="48" t="e">
        <f>(#REF!-#REF!)/#REF!</f>
        <v>#REF!</v>
      </c>
    </row>
    <row r="73" spans="1:26" x14ac:dyDescent="0.3">
      <c r="A73" s="48">
        <v>20180413</v>
      </c>
      <c r="B73" s="48" t="s">
        <v>88</v>
      </c>
      <c r="C73" s="79">
        <f>E73*F73*G73/T73</f>
        <v>0.89042728333211651</v>
      </c>
      <c r="D73" s="49">
        <v>2450000</v>
      </c>
      <c r="E73" s="49">
        <v>2490000</v>
      </c>
      <c r="F73" s="49">
        <v>128386494</v>
      </c>
      <c r="G73" s="49">
        <v>1</v>
      </c>
      <c r="H73" s="48">
        <f>J73*K73*L73/T73</f>
        <v>9.9083987305232893E-2</v>
      </c>
      <c r="I73" s="48">
        <v>298500</v>
      </c>
      <c r="J73" s="48">
        <v>290000</v>
      </c>
      <c r="K73" s="51">
        <v>122666424</v>
      </c>
      <c r="L73" s="48">
        <v>1</v>
      </c>
      <c r="M73" s="49">
        <f>O73*P73*Q73/T73</f>
        <v>1.0488729362650598E-2</v>
      </c>
      <c r="N73" s="49">
        <v>232100</v>
      </c>
      <c r="O73" s="49">
        <v>236000</v>
      </c>
      <c r="P73" s="49">
        <v>15956260</v>
      </c>
      <c r="Q73" s="49">
        <v>1</v>
      </c>
      <c r="R73" s="82">
        <f t="shared" si="5"/>
        <v>0</v>
      </c>
      <c r="S73" s="82">
        <f>IF(AND(R73=0,B73="N"),S72,S72*(D73*F73*G73+I73*K73*L73+N73*P73*Q73)/T72)</f>
        <v>357932247688849.5</v>
      </c>
      <c r="T73" s="81">
        <f>E73*F73*G73+J73*K73*L73+O73*P73*Q73</f>
        <v>359021310380000</v>
      </c>
      <c r="U73" s="80">
        <f t="shared" si="3"/>
        <v>1003.0426503847656</v>
      </c>
      <c r="V73" s="52">
        <f t="shared" si="4"/>
        <v>1.1708704760487279E-2</v>
      </c>
      <c r="W73" s="48">
        <f>(E73-D73)/D73</f>
        <v>1.6326530612244899E-2</v>
      </c>
      <c r="X73" s="48">
        <f>(J73-I73)/I73</f>
        <v>-2.8475711892797319E-2</v>
      </c>
      <c r="Y73" s="48">
        <f>(O73-N73)/N73</f>
        <v>1.6803102111158982E-2</v>
      </c>
      <c r="Z73" s="48" t="e">
        <f>(#REF!-#REF!)/#REF!</f>
        <v>#REF!</v>
      </c>
    </row>
    <row r="74" spans="1:26" x14ac:dyDescent="0.3">
      <c r="A74" s="48">
        <v>20180416</v>
      </c>
      <c r="B74" s="48" t="s">
        <v>88</v>
      </c>
      <c r="C74" s="79">
        <f>E74*F74*G74/T74</f>
        <v>0.89015924277655656</v>
      </c>
      <c r="D74" s="49">
        <v>2490000</v>
      </c>
      <c r="E74" s="49">
        <v>2517000</v>
      </c>
      <c r="F74" s="49">
        <v>128386494</v>
      </c>
      <c r="G74" s="49">
        <v>1</v>
      </c>
      <c r="H74" s="48">
        <f>J74*K74*L74/T74</f>
        <v>9.9850062453071167E-2</v>
      </c>
      <c r="I74" s="48">
        <v>290000</v>
      </c>
      <c r="J74" s="48">
        <v>295500</v>
      </c>
      <c r="K74" s="51">
        <v>122666424</v>
      </c>
      <c r="L74" s="48">
        <v>1</v>
      </c>
      <c r="M74" s="49">
        <f>O74*P74*Q74/T74</f>
        <v>9.9906947703722968E-3</v>
      </c>
      <c r="N74" s="49">
        <v>236000</v>
      </c>
      <c r="O74" s="49">
        <v>227300</v>
      </c>
      <c r="P74" s="49">
        <v>15956260</v>
      </c>
      <c r="Q74" s="49">
        <v>1</v>
      </c>
      <c r="R74" s="82">
        <f t="shared" si="5"/>
        <v>0</v>
      </c>
      <c r="S74" s="82">
        <f>IF(AND(R74=0,B74="N"),S73,S73*(D74*F74*G74+I74*K74*L74+N74*P74*Q74)/T73)</f>
        <v>357932247688849.5</v>
      </c>
      <c r="T74" s="81">
        <f>E74*F74*G74+J74*K74*L74+O74*P74*Q74</f>
        <v>363023591588000</v>
      </c>
      <c r="U74" s="80">
        <f t="shared" si="3"/>
        <v>1014.2243229885686</v>
      </c>
      <c r="V74" s="52">
        <f t="shared" si="4"/>
        <v>1.1147753886152035E-2</v>
      </c>
      <c r="W74" s="48">
        <f>(E74-D74)/D74</f>
        <v>1.0843373493975903E-2</v>
      </c>
      <c r="X74" s="48">
        <f>(J74-I74)/I74</f>
        <v>1.896551724137931E-2</v>
      </c>
      <c r="Y74" s="48">
        <f>(O74-N74)/N74</f>
        <v>-3.6864406779661019E-2</v>
      </c>
      <c r="Z74" s="48" t="e">
        <f>(#REF!-#REF!)/#REF!</f>
        <v>#REF!</v>
      </c>
    </row>
    <row r="75" spans="1:26" s="47" customFormat="1" x14ac:dyDescent="0.3">
      <c r="A75" s="48">
        <v>20180417</v>
      </c>
      <c r="B75" s="48" t="s">
        <v>88</v>
      </c>
      <c r="C75" s="79">
        <f>E75*F75*G75/T75</f>
        <v>0.88910551355443612</v>
      </c>
      <c r="D75" s="49">
        <v>2517000</v>
      </c>
      <c r="E75" s="49">
        <v>2499000</v>
      </c>
      <c r="F75" s="49">
        <v>128386494</v>
      </c>
      <c r="G75" s="49">
        <v>1</v>
      </c>
      <c r="H75" s="48">
        <f>J75*K75*L75/T75</f>
        <v>0.10054305939012483</v>
      </c>
      <c r="I75" s="48">
        <v>295500</v>
      </c>
      <c r="J75" s="48">
        <v>290000</v>
      </c>
      <c r="K75" s="51">
        <v>125108377</v>
      </c>
      <c r="L75" s="48">
        <v>1</v>
      </c>
      <c r="M75" s="49">
        <f>O75*P75*Q75/T75</f>
        <v>1.0351427055439063E-2</v>
      </c>
      <c r="N75" s="49">
        <v>227300</v>
      </c>
      <c r="O75" s="49">
        <v>234100</v>
      </c>
      <c r="P75" s="49">
        <v>15956260</v>
      </c>
      <c r="Q75" s="49">
        <v>1</v>
      </c>
      <c r="R75" s="82">
        <f t="shared" si="5"/>
        <v>1</v>
      </c>
      <c r="S75" s="82">
        <f>IF(AND(R75=0,B75="N"),S74,S74*(D75*F75*G75+I75*K75*L75+N75*P75*Q75)/T74)</f>
        <v>358643724524046.75</v>
      </c>
      <c r="T75" s="81">
        <f>E75*F75*G75+J75*K75*L75+O75*P75*Q75</f>
        <v>360854638302000</v>
      </c>
      <c r="U75" s="80">
        <f t="shared" si="3"/>
        <v>1006.1646520676957</v>
      </c>
      <c r="V75" s="52">
        <f t="shared" si="4"/>
        <v>-7.9466354120988278E-3</v>
      </c>
      <c r="W75" s="48">
        <f>(E75-D75)/D75</f>
        <v>-7.1513706793802142E-3</v>
      </c>
      <c r="X75" s="48">
        <f>(J75-I75)/I75</f>
        <v>-1.8612521150592216E-2</v>
      </c>
      <c r="Y75" s="48">
        <f>(O75-N75)/N75</f>
        <v>2.9916410030796304E-2</v>
      </c>
      <c r="Z75" s="48" t="e">
        <f>(#REF!-#REF!)/#REF!</f>
        <v>#REF!</v>
      </c>
    </row>
    <row r="76" spans="1:26" x14ac:dyDescent="0.3">
      <c r="A76" s="48">
        <v>20180418</v>
      </c>
      <c r="B76" s="48" t="s">
        <v>88</v>
      </c>
      <c r="C76" s="79">
        <f>E76*F76*G76/T76</f>
        <v>0.8934486344990783</v>
      </c>
      <c r="D76" s="49">
        <v>2499000</v>
      </c>
      <c r="E76" s="49">
        <v>2568000</v>
      </c>
      <c r="F76" s="49">
        <v>128386494</v>
      </c>
      <c r="G76" s="49">
        <v>1</v>
      </c>
      <c r="H76" s="48">
        <f>J76*K76*L76/T76</f>
        <v>9.6454810393535706E-2</v>
      </c>
      <c r="I76" s="48">
        <v>290000</v>
      </c>
      <c r="J76" s="48">
        <v>284500</v>
      </c>
      <c r="K76" s="51">
        <v>125108377</v>
      </c>
      <c r="L76" s="48">
        <v>1</v>
      </c>
      <c r="M76" s="49">
        <f>O76*P76*Q76/T76</f>
        <v>1.0096555107385947E-2</v>
      </c>
      <c r="N76" s="49">
        <v>234100</v>
      </c>
      <c r="O76" s="49">
        <v>233500</v>
      </c>
      <c r="P76" s="49">
        <v>15956260</v>
      </c>
      <c r="Q76" s="49">
        <v>1</v>
      </c>
      <c r="R76" s="82">
        <f t="shared" si="5"/>
        <v>0</v>
      </c>
      <c r="S76" s="82">
        <f>IF(AND(R76=0,B76="N"),S75,S75*(D76*F76*G76+I76*K76*L76+N76*P76*Q76)/T75)</f>
        <v>358643724524046.75</v>
      </c>
      <c r="T76" s="81">
        <f>E76*F76*G76+J76*K76*L76+O76*P76*Q76</f>
        <v>369015636558500</v>
      </c>
      <c r="U76" s="80">
        <f t="shared" si="3"/>
        <v>1028.9198202149437</v>
      </c>
      <c r="V76" s="52">
        <f t="shared" si="4"/>
        <v>2.2615749917755036E-2</v>
      </c>
      <c r="W76" s="48">
        <f>(E76-D76)/D76</f>
        <v>2.7611044417767107E-2</v>
      </c>
      <c r="X76" s="48">
        <f>(J76-I76)/I76</f>
        <v>-1.896551724137931E-2</v>
      </c>
      <c r="Y76" s="48">
        <f>(O76-N76)/N76</f>
        <v>-2.5630072618539087E-3</v>
      </c>
      <c r="Z76" s="48" t="e">
        <f>(#REF!-#REF!)/#REF!</f>
        <v>#REF!</v>
      </c>
    </row>
    <row r="77" spans="1:26" x14ac:dyDescent="0.3">
      <c r="A77" s="48">
        <v>20180419</v>
      </c>
      <c r="B77" s="48" t="s">
        <v>88</v>
      </c>
      <c r="C77" s="79">
        <f>E77*F77*G77/T77</f>
        <v>0.90177969586140116</v>
      </c>
      <c r="D77" s="49">
        <v>2568000</v>
      </c>
      <c r="E77" s="49">
        <v>2639000</v>
      </c>
      <c r="F77" s="49">
        <v>128386494</v>
      </c>
      <c r="G77" s="49">
        <v>1</v>
      </c>
      <c r="H77" s="48">
        <f>J77*K77*L77/T77</f>
        <v>8.8741206039385734E-2</v>
      </c>
      <c r="I77" s="48">
        <v>284500</v>
      </c>
      <c r="J77" s="48">
        <v>266500</v>
      </c>
      <c r="K77" s="51">
        <v>125108377</v>
      </c>
      <c r="L77" s="48">
        <v>1</v>
      </c>
      <c r="M77" s="49">
        <f>O77*P77*Q77/T77</f>
        <v>9.4790980992130423E-3</v>
      </c>
      <c r="N77" s="49">
        <v>233500</v>
      </c>
      <c r="O77" s="49">
        <v>223200</v>
      </c>
      <c r="P77" s="49">
        <v>15956260</v>
      </c>
      <c r="Q77" s="49">
        <v>1</v>
      </c>
      <c r="R77" s="82">
        <f t="shared" si="5"/>
        <v>0</v>
      </c>
      <c r="S77" s="82">
        <f>IF(AND(R77=0,B77="N"),S76,S76*(D77*F77*G77+I77*K77*L77+N77*P77*Q77)/T76)</f>
        <v>358643724524046.75</v>
      </c>
      <c r="T77" s="81">
        <f>E77*F77*G77+J77*K77*L77+O77*P77*Q77</f>
        <v>375714777368500</v>
      </c>
      <c r="U77" s="80">
        <f t="shared" si="3"/>
        <v>1047.5989169115062</v>
      </c>
      <c r="V77" s="52">
        <f t="shared" si="4"/>
        <v>1.8154083855300217E-2</v>
      </c>
      <c r="W77" s="48">
        <f>(E77-D77)/D77</f>
        <v>2.764797507788162E-2</v>
      </c>
      <c r="X77" s="48">
        <f>(J77-I77)/I77</f>
        <v>-6.32688927943761E-2</v>
      </c>
      <c r="Y77" s="48">
        <f>(O77-N77)/N77</f>
        <v>-4.411134903640257E-2</v>
      </c>
      <c r="Z77" s="48" t="e">
        <f>(#REF!-#REF!)/#REF!</f>
        <v>#REF!</v>
      </c>
    </row>
    <row r="78" spans="1:26" x14ac:dyDescent="0.3">
      <c r="A78" s="48">
        <v>20180420</v>
      </c>
      <c r="B78" s="48" t="s">
        <v>88</v>
      </c>
      <c r="C78" s="79">
        <f>E78*F78*G78/T78</f>
        <v>0.89899120713297198</v>
      </c>
      <c r="D78" s="49">
        <v>2639000</v>
      </c>
      <c r="E78" s="49">
        <v>2581000</v>
      </c>
      <c r="F78" s="49">
        <v>128386494</v>
      </c>
      <c r="G78" s="49">
        <v>1</v>
      </c>
      <c r="H78" s="48">
        <f>J78*K78*L78/T78</f>
        <v>9.1303362169794386E-2</v>
      </c>
      <c r="I78" s="48">
        <v>266500</v>
      </c>
      <c r="J78" s="48">
        <v>269000</v>
      </c>
      <c r="K78" s="51">
        <v>125108377</v>
      </c>
      <c r="L78" s="48">
        <v>1</v>
      </c>
      <c r="M78" s="49">
        <f>O78*P78*Q78/T78</f>
        <v>9.7054306972336694E-3</v>
      </c>
      <c r="N78" s="49">
        <v>223200</v>
      </c>
      <c r="O78" s="49">
        <v>224200</v>
      </c>
      <c r="P78" s="49">
        <v>15956260</v>
      </c>
      <c r="Q78" s="49">
        <v>1</v>
      </c>
      <c r="R78" s="82">
        <f t="shared" si="5"/>
        <v>0</v>
      </c>
      <c r="S78" s="82">
        <f>IF(AND(R78=0,B78="N"),S77,S77*(D78*F78*G78+I78*K78*L78+N78*P78*Q78)/T77)</f>
        <v>358643724524046.75</v>
      </c>
      <c r="T78" s="81">
        <f>E78*F78*G78+J78*K78*L78+O78*P78*Q78</f>
        <v>368597087919000</v>
      </c>
      <c r="U78" s="80">
        <f t="shared" si="3"/>
        <v>1027.7527883923308</v>
      </c>
      <c r="V78" s="52">
        <f t="shared" si="4"/>
        <v>-1.8944395797663726E-2</v>
      </c>
      <c r="W78" s="48">
        <f>(E78-D78)/D78</f>
        <v>-2.197802197802198E-2</v>
      </c>
      <c r="X78" s="48">
        <f>(J78-I78)/I78</f>
        <v>9.3808630393996256E-3</v>
      </c>
      <c r="Y78" s="48">
        <f>(O78-N78)/N78</f>
        <v>4.4802867383512543E-3</v>
      </c>
      <c r="Z78" s="48" t="e">
        <f>(#REF!-#REF!)/#REF!</f>
        <v>#REF!</v>
      </c>
    </row>
    <row r="79" spans="1:26" x14ac:dyDescent="0.3">
      <c r="A79" s="48">
        <v>20180423</v>
      </c>
      <c r="B79" s="48" t="s">
        <v>88</v>
      </c>
      <c r="C79" s="79">
        <f>E79*F79*G79/T79</f>
        <v>0.90553775605161346</v>
      </c>
      <c r="D79" s="49">
        <v>2581000</v>
      </c>
      <c r="E79" s="49">
        <v>2595000</v>
      </c>
      <c r="F79" s="49">
        <v>128386494</v>
      </c>
      <c r="G79" s="49">
        <v>1</v>
      </c>
      <c r="H79" s="48">
        <f>J79*K79*L79/T79</f>
        <v>8.518124466734954E-2</v>
      </c>
      <c r="I79" s="48">
        <v>269000</v>
      </c>
      <c r="J79" s="48">
        <v>250500</v>
      </c>
      <c r="K79" s="51">
        <v>125108377</v>
      </c>
      <c r="L79" s="48">
        <v>1</v>
      </c>
      <c r="M79" s="49">
        <f>O79*P79*Q79/T79</f>
        <v>9.2809992810369835E-3</v>
      </c>
      <c r="N79" s="49">
        <v>224200</v>
      </c>
      <c r="O79" s="49">
        <v>214000</v>
      </c>
      <c r="P79" s="49">
        <v>15956260</v>
      </c>
      <c r="Q79" s="49">
        <v>1</v>
      </c>
      <c r="R79" s="82">
        <f t="shared" si="5"/>
        <v>0</v>
      </c>
      <c r="S79" s="82">
        <f>IF(AND(R79=0,B79="N"),S78,S78*(D79*F79*G79+I79*K79*L79+N79*P79*Q79)/T78)</f>
        <v>358643724524046.75</v>
      </c>
      <c r="T79" s="81">
        <f>E79*F79*G79+J79*K79*L79+O79*P79*Q79</f>
        <v>367917240008500</v>
      </c>
      <c r="U79" s="80">
        <f t="shared" si="3"/>
        <v>1025.8571804002986</v>
      </c>
      <c r="V79" s="52">
        <f t="shared" si="4"/>
        <v>-1.8444201888251747E-3</v>
      </c>
      <c r="W79" s="48">
        <f>(E79-D79)/D79</f>
        <v>5.424254165052305E-3</v>
      </c>
      <c r="X79" s="48">
        <f>(J79-I79)/I79</f>
        <v>-6.8773234200743494E-2</v>
      </c>
      <c r="Y79" s="48">
        <f>(O79-N79)/N79</f>
        <v>-4.5495093666369314E-2</v>
      </c>
      <c r="Z79" s="48" t="e">
        <f>(#REF!-#REF!)/#REF!</f>
        <v>#REF!</v>
      </c>
    </row>
    <row r="80" spans="1:26" x14ac:dyDescent="0.3">
      <c r="A80" s="48">
        <v>20180424</v>
      </c>
      <c r="B80" s="48" t="s">
        <v>88</v>
      </c>
      <c r="C80" s="79">
        <f>E80*F80*G80/T80</f>
        <v>0.90393894154590249</v>
      </c>
      <c r="D80" s="49">
        <v>2595000</v>
      </c>
      <c r="E80" s="49">
        <v>2523000</v>
      </c>
      <c r="F80" s="49">
        <v>128386494</v>
      </c>
      <c r="G80" s="49">
        <v>1</v>
      </c>
      <c r="H80" s="48">
        <f>J80*K80*L80/T80</f>
        <v>8.6759150221534201E-2</v>
      </c>
      <c r="I80" s="48">
        <v>250500</v>
      </c>
      <c r="J80" s="48">
        <v>248500</v>
      </c>
      <c r="K80" s="51">
        <v>125108377</v>
      </c>
      <c r="L80" s="48">
        <v>1</v>
      </c>
      <c r="M80" s="49">
        <f>O80*P80*Q80/T80</f>
        <v>9.3019082325632978E-3</v>
      </c>
      <c r="N80" s="49">
        <v>214000</v>
      </c>
      <c r="O80" s="49">
        <v>208900</v>
      </c>
      <c r="P80" s="49">
        <v>15956260</v>
      </c>
      <c r="Q80" s="49">
        <v>1</v>
      </c>
      <c r="R80" s="82">
        <f t="shared" si="5"/>
        <v>0</v>
      </c>
      <c r="S80" s="82">
        <f>IF(AND(R80=0,B80="N"),S79,S79*(D80*F80*G80+I80*K80*L80+N80*P80*Q80)/T79)</f>
        <v>358643724524046.75</v>
      </c>
      <c r="T80" s="81">
        <f>E80*F80*G80+J80*K80*L80+O80*P80*Q80</f>
        <v>358341818760500</v>
      </c>
      <c r="U80" s="80">
        <f t="shared" si="3"/>
        <v>999.15820146038413</v>
      </c>
      <c r="V80" s="52">
        <f t="shared" si="4"/>
        <v>-2.6026019459644754E-2</v>
      </c>
      <c r="W80" s="48">
        <f>(E80-D80)/D80</f>
        <v>-2.7745664739884393E-2</v>
      </c>
      <c r="X80" s="48">
        <f>(J80-I80)/I80</f>
        <v>-7.9840319361277438E-3</v>
      </c>
      <c r="Y80" s="48">
        <f>(O80-N80)/N80</f>
        <v>-2.3831775700934581E-2</v>
      </c>
      <c r="Z80" s="48" t="e">
        <f>(#REF!-#REF!)/#REF!</f>
        <v>#REF!</v>
      </c>
    </row>
    <row r="81" spans="1:26" x14ac:dyDescent="0.3">
      <c r="A81" s="48">
        <v>20180425</v>
      </c>
      <c r="B81" s="48" t="s">
        <v>88</v>
      </c>
      <c r="C81" s="79">
        <f>E81*F81*G81/T81</f>
        <v>0.90280125814167622</v>
      </c>
      <c r="D81" s="49">
        <v>2523000</v>
      </c>
      <c r="E81" s="49">
        <v>2520000</v>
      </c>
      <c r="F81" s="49">
        <v>128386494</v>
      </c>
      <c r="G81" s="49">
        <v>1</v>
      </c>
      <c r="H81" s="48">
        <f>J81*K81*L81/T81</f>
        <v>8.7625878941614541E-2</v>
      </c>
      <c r="I81" s="48">
        <v>248500</v>
      </c>
      <c r="J81" s="48">
        <v>251000</v>
      </c>
      <c r="K81" s="51">
        <v>125108377</v>
      </c>
      <c r="L81" s="48">
        <v>1</v>
      </c>
      <c r="M81" s="49">
        <f>O81*P81*Q81/T81</f>
        <v>9.5728629167092846E-3</v>
      </c>
      <c r="N81" s="49">
        <v>208900</v>
      </c>
      <c r="O81" s="49">
        <v>215000</v>
      </c>
      <c r="P81" s="49">
        <v>15956260</v>
      </c>
      <c r="Q81" s="49">
        <v>1</v>
      </c>
      <c r="R81" s="82">
        <f t="shared" si="5"/>
        <v>0</v>
      </c>
      <c r="S81" s="82">
        <f>IF(AND(R81=0,B81="N"),S80,S80*(D81*F81*G81+I81*K81*L81+N81*P81*Q81)/T80)</f>
        <v>358643724524046.75</v>
      </c>
      <c r="T81" s="81">
        <f>E81*F81*G81+J81*K81*L81+O81*P81*Q81</f>
        <v>358366763407000</v>
      </c>
      <c r="U81" s="80">
        <f t="shared" si="3"/>
        <v>999.22775418024025</v>
      </c>
      <c r="V81" s="52">
        <f t="shared" si="4"/>
        <v>6.9611318562426026E-5</v>
      </c>
      <c r="W81" s="48">
        <f>(E81-D81)/D81</f>
        <v>-1.1890606420927466E-3</v>
      </c>
      <c r="X81" s="48">
        <f>(J81-I81)/I81</f>
        <v>1.0060362173038229E-2</v>
      </c>
      <c r="Y81" s="48">
        <f>(O81-N81)/N81</f>
        <v>2.9200574437529919E-2</v>
      </c>
      <c r="Z81" s="48" t="e">
        <f>(#REF!-#REF!)/#REF!</f>
        <v>#REF!</v>
      </c>
    </row>
    <row r="82" spans="1:26" x14ac:dyDescent="0.3">
      <c r="A82" s="48">
        <v>20180426</v>
      </c>
      <c r="B82" s="48" t="s">
        <v>88</v>
      </c>
      <c r="C82" s="79">
        <f>E82*F82*G82/T82</f>
        <v>0.90375897253157067</v>
      </c>
      <c r="D82" s="49">
        <v>2520000</v>
      </c>
      <c r="E82" s="49">
        <v>2607000</v>
      </c>
      <c r="F82" s="49">
        <v>128386494</v>
      </c>
      <c r="G82" s="49">
        <v>1</v>
      </c>
      <c r="H82" s="48">
        <f>J82*K82*L82/T82</f>
        <v>8.6818397446079373E-2</v>
      </c>
      <c r="I82" s="48">
        <v>251000</v>
      </c>
      <c r="J82" s="48">
        <v>257000</v>
      </c>
      <c r="K82" s="51">
        <v>125108377</v>
      </c>
      <c r="L82" s="48">
        <v>1</v>
      </c>
      <c r="M82" s="49">
        <f>O82*P82*Q82/T82</f>
        <v>9.4226300223499392E-3</v>
      </c>
      <c r="N82" s="49">
        <v>215000</v>
      </c>
      <c r="O82" s="49">
        <v>218700</v>
      </c>
      <c r="P82" s="49">
        <v>15956260</v>
      </c>
      <c r="Q82" s="49">
        <v>1</v>
      </c>
      <c r="R82" s="82">
        <f t="shared" si="5"/>
        <v>0</v>
      </c>
      <c r="S82" s="82">
        <f>IF(AND(R82=0,B82="N"),S81,S81*(D82*F82*G82+I82*K82*L82+N82*P82*Q82)/T81)</f>
        <v>358643724524046.75</v>
      </c>
      <c r="T82" s="81">
        <f>E82*F82*G82+J82*K82*L82+O82*P82*Q82</f>
        <v>370346076809000</v>
      </c>
      <c r="U82" s="80">
        <f t="shared" si="3"/>
        <v>1032.6294634054545</v>
      </c>
      <c r="V82" s="52">
        <f t="shared" si="4"/>
        <v>3.3427523490494743E-2</v>
      </c>
      <c r="W82" s="48">
        <f>(E82-D82)/D82</f>
        <v>3.4523809523809526E-2</v>
      </c>
      <c r="X82" s="48">
        <f>(J82-I82)/I82</f>
        <v>2.3904382470119521E-2</v>
      </c>
      <c r="Y82" s="48">
        <f>(O82-N82)/N82</f>
        <v>1.7209302325581394E-2</v>
      </c>
      <c r="Z82" s="48" t="e">
        <f>(#REF!-#REF!)/#REF!</f>
        <v>#REF!</v>
      </c>
    </row>
    <row r="83" spans="1:26" x14ac:dyDescent="0.3">
      <c r="A83" s="48">
        <v>20180427</v>
      </c>
      <c r="B83" s="48" t="s">
        <v>88</v>
      </c>
      <c r="C83" s="79">
        <f>E83*F83*G83/T83</f>
        <v>0.89917219648871838</v>
      </c>
      <c r="D83" s="49">
        <v>2607000</v>
      </c>
      <c r="E83" s="49">
        <v>2650000</v>
      </c>
      <c r="F83" s="49">
        <v>128386494</v>
      </c>
      <c r="G83" s="49">
        <v>1</v>
      </c>
      <c r="H83" s="48">
        <f>J83*K83*L83/T83</f>
        <v>9.1423781787056332E-2</v>
      </c>
      <c r="I83" s="48">
        <v>257000</v>
      </c>
      <c r="J83" s="48">
        <v>276500</v>
      </c>
      <c r="K83" s="51">
        <v>125108377</v>
      </c>
      <c r="L83" s="48">
        <v>1</v>
      </c>
      <c r="M83" s="49">
        <f>O83*P83*Q83/T83</f>
        <v>9.404021724225246E-3</v>
      </c>
      <c r="N83" s="49">
        <v>218700</v>
      </c>
      <c r="O83" s="49">
        <v>223000</v>
      </c>
      <c r="P83" s="49">
        <v>15956260</v>
      </c>
      <c r="Q83" s="49">
        <v>1</v>
      </c>
      <c r="R83" s="82">
        <f t="shared" si="5"/>
        <v>0</v>
      </c>
      <c r="S83" s="82">
        <f>IF(AND(R83=0,B83="N"),S82,S82*(D83*F83*G83+I83*K83*L83+N83*P83*Q83)/T82)</f>
        <v>358643724524046.75</v>
      </c>
      <c r="T83" s="81">
        <f>E83*F83*G83+J83*K83*L83+O83*P83*Q83</f>
        <v>378374921320500</v>
      </c>
      <c r="U83" s="80">
        <f t="shared" si="3"/>
        <v>1055.0161495858831</v>
      </c>
      <c r="V83" s="52">
        <f t="shared" si="4"/>
        <v>2.1679302183186495E-2</v>
      </c>
      <c r="W83" s="48">
        <f>(E83-D83)/D83</f>
        <v>1.6494054468738015E-2</v>
      </c>
      <c r="X83" s="48">
        <f>(J83-I83)/I83</f>
        <v>7.5875486381322951E-2</v>
      </c>
      <c r="Y83" s="48">
        <f>(O83-N83)/N83</f>
        <v>1.9661636945587563E-2</v>
      </c>
      <c r="Z83" s="48" t="e">
        <f>(#REF!-#REF!)/#REF!</f>
        <v>#REF!</v>
      </c>
    </row>
    <row r="84" spans="1:26" x14ac:dyDescent="0.3">
      <c r="A84" s="48">
        <v>20180430</v>
      </c>
      <c r="B84" s="48" t="s">
        <v>88</v>
      </c>
      <c r="C84" s="79">
        <f>E84*F84*G84/T84</f>
        <v>0.90105780817147407</v>
      </c>
      <c r="D84" s="49">
        <v>2650000</v>
      </c>
      <c r="E84" s="49">
        <v>2650000</v>
      </c>
      <c r="F84" s="49">
        <v>128386494</v>
      </c>
      <c r="G84" s="49">
        <v>1</v>
      </c>
      <c r="H84" s="48">
        <f>J84*K84*L84/T84</f>
        <v>8.9793132449113938E-2</v>
      </c>
      <c r="I84" s="48">
        <v>276500</v>
      </c>
      <c r="J84" s="48">
        <v>271000</v>
      </c>
      <c r="K84" s="51">
        <v>125108377</v>
      </c>
      <c r="L84" s="48">
        <v>1</v>
      </c>
      <c r="M84" s="49">
        <f>O84*P84*Q84/T84</f>
        <v>9.1490593794119474E-3</v>
      </c>
      <c r="N84" s="49">
        <v>223000</v>
      </c>
      <c r="O84" s="49">
        <v>216500</v>
      </c>
      <c r="P84" s="49">
        <v>15956260</v>
      </c>
      <c r="Q84" s="49">
        <v>1</v>
      </c>
      <c r="R84" s="82">
        <f t="shared" si="5"/>
        <v>0</v>
      </c>
      <c r="S84" s="82">
        <f>IF(AND(R84=0,B84="N"),S83,S83*(D84*F84*G84+I84*K84*L84+N84*P84*Q84)/T83)</f>
        <v>358643724524046.75</v>
      </c>
      <c r="T84" s="81">
        <f>E84*F84*G84+J84*K84*L84+O84*P84*Q84</f>
        <v>377583109557000</v>
      </c>
      <c r="U84" s="80">
        <f t="shared" si="3"/>
        <v>1052.8083547484</v>
      </c>
      <c r="V84" s="52">
        <f t="shared" si="4"/>
        <v>-2.0926644946143379E-3</v>
      </c>
      <c r="W84" s="48">
        <f>(E84-D84)/D84</f>
        <v>0</v>
      </c>
      <c r="X84" s="48">
        <f>(J84-I84)/I84</f>
        <v>-1.9891500904159132E-2</v>
      </c>
      <c r="Y84" s="48">
        <f>(O84-N84)/N84</f>
        <v>-2.914798206278027E-2</v>
      </c>
      <c r="Z84" s="48" t="e">
        <f>(#REF!-#REF!)/#REF!</f>
        <v>#REF!</v>
      </c>
    </row>
    <row r="85" spans="1:26" x14ac:dyDescent="0.3">
      <c r="A85" s="48">
        <v>20180502</v>
      </c>
      <c r="B85" s="48" t="s">
        <v>88</v>
      </c>
      <c r="C85" s="79">
        <f>E85*F85*G85/T85</f>
        <v>0.90472388120001324</v>
      </c>
      <c r="D85" s="49">
        <v>2650000</v>
      </c>
      <c r="E85" s="49">
        <v>2650000</v>
      </c>
      <c r="F85" s="49">
        <v>128386494</v>
      </c>
      <c r="G85" s="49">
        <v>1</v>
      </c>
      <c r="H85" s="48">
        <f>J85*K85*L85/T85</f>
        <v>8.6166210828320766E-2</v>
      </c>
      <c r="I85" s="48">
        <v>271000</v>
      </c>
      <c r="J85" s="48">
        <v>259000</v>
      </c>
      <c r="K85" s="51">
        <v>125108377</v>
      </c>
      <c r="L85" s="48">
        <v>1</v>
      </c>
      <c r="M85" s="49">
        <f>O85*P85*Q85/T85</f>
        <v>9.1099079716660328E-3</v>
      </c>
      <c r="N85" s="49">
        <v>216500</v>
      </c>
      <c r="O85" s="49">
        <v>214700</v>
      </c>
      <c r="P85" s="49">
        <v>15956260</v>
      </c>
      <c r="Q85" s="49">
        <v>1</v>
      </c>
      <c r="R85" s="82">
        <f t="shared" si="5"/>
        <v>0</v>
      </c>
      <c r="S85" s="82">
        <f>IF(AND(R85=0,B85="N"),S84,S84*(D85*F85*G85+I85*K85*L85+N85*P85*Q85)/T84)</f>
        <v>358643724524046.75</v>
      </c>
      <c r="T85" s="81">
        <f>E85*F85*G85+J85*K85*L85+O85*P85*Q85</f>
        <v>376053087765000</v>
      </c>
      <c r="U85" s="80">
        <f t="shared" si="3"/>
        <v>1048.5422218499907</v>
      </c>
      <c r="V85" s="52">
        <f t="shared" si="4"/>
        <v>-4.0521457482438159E-3</v>
      </c>
      <c r="W85" s="48">
        <f>(E85-D85)/D85</f>
        <v>0</v>
      </c>
      <c r="X85" s="48">
        <f>(J85-I85)/I85</f>
        <v>-4.4280442804428041E-2</v>
      </c>
      <c r="Y85" s="48">
        <f>(O85-N85)/N85</f>
        <v>-8.3140877598152432E-3</v>
      </c>
      <c r="Z85" s="48" t="e">
        <f>(#REF!-#REF!)/#REF!</f>
        <v>#REF!</v>
      </c>
    </row>
    <row r="86" spans="1:26" x14ac:dyDescent="0.3">
      <c r="A86" s="48">
        <v>20180503</v>
      </c>
      <c r="B86" s="48" t="s">
        <v>88</v>
      </c>
      <c r="C86" s="79">
        <f>E86*F86*G86/T86</f>
        <v>0.9040900705538123</v>
      </c>
      <c r="D86" s="49">
        <v>2650000</v>
      </c>
      <c r="E86" s="49">
        <v>2650000</v>
      </c>
      <c r="F86" s="49">
        <v>128386494</v>
      </c>
      <c r="G86" s="49">
        <v>1</v>
      </c>
      <c r="H86" s="48">
        <f>J86*K86*L86/T86</f>
        <v>8.7103211503553088E-2</v>
      </c>
      <c r="I86" s="48">
        <v>259000</v>
      </c>
      <c r="J86" s="48">
        <v>262000</v>
      </c>
      <c r="K86" s="51">
        <v>125108377</v>
      </c>
      <c r="L86" s="48">
        <v>1</v>
      </c>
      <c r="M86" s="49">
        <f>O86*P86*Q86/T86</f>
        <v>8.8067179426346166E-3</v>
      </c>
      <c r="N86" s="49">
        <v>214700</v>
      </c>
      <c r="O86" s="49">
        <v>207700</v>
      </c>
      <c r="P86" s="49">
        <v>15956260</v>
      </c>
      <c r="Q86" s="49">
        <v>1</v>
      </c>
      <c r="R86" s="82">
        <f t="shared" si="5"/>
        <v>0</v>
      </c>
      <c r="S86" s="82">
        <f>IF(AND(R86=0,B86="N"),S85,S85*(D86*F86*G86+I86*K86*L86+N86*P86*Q86)/T85)</f>
        <v>358643724524046.75</v>
      </c>
      <c r="T86" s="81">
        <f>E86*F86*G86+J86*K86*L86+O86*P86*Q86</f>
        <v>376316719076000</v>
      </c>
      <c r="U86" s="80">
        <f t="shared" si="3"/>
        <v>1049.277300405596</v>
      </c>
      <c r="V86" s="52">
        <f t="shared" si="4"/>
        <v>7.0104812213313543E-4</v>
      </c>
      <c r="W86" s="48">
        <f>(E86-D86)/D86</f>
        <v>0</v>
      </c>
      <c r="X86" s="48">
        <f>(J86-I86)/I86</f>
        <v>1.1583011583011582E-2</v>
      </c>
      <c r="Y86" s="48">
        <f>(O86-N86)/N86</f>
        <v>-3.2603632976245925E-2</v>
      </c>
      <c r="Z86" s="48" t="e">
        <f>(#REF!-#REF!)/#REF!</f>
        <v>#REF!</v>
      </c>
    </row>
    <row r="87" spans="1:26" x14ac:dyDescent="0.3">
      <c r="A87" s="48">
        <v>20180504</v>
      </c>
      <c r="B87" s="48" t="s">
        <v>88</v>
      </c>
      <c r="C87" s="79">
        <f>E87*F87*G87/T87</f>
        <v>0.90623421225995693</v>
      </c>
      <c r="D87" s="49">
        <v>53000</v>
      </c>
      <c r="E87" s="49">
        <v>51900</v>
      </c>
      <c r="F87" s="49">
        <v>6419324700</v>
      </c>
      <c r="G87" s="49">
        <v>1</v>
      </c>
      <c r="H87" s="48">
        <f>J87*K87*L87/T87</f>
        <v>8.5076605022351176E-2</v>
      </c>
      <c r="I87" s="48">
        <v>262000</v>
      </c>
      <c r="J87" s="48">
        <v>250000</v>
      </c>
      <c r="K87" s="51">
        <v>125108377</v>
      </c>
      <c r="L87" s="48">
        <v>1</v>
      </c>
      <c r="M87" s="49">
        <f>O87*P87*Q87/T87</f>
        <v>8.6891827176918453E-3</v>
      </c>
      <c r="N87" s="49">
        <v>207700</v>
      </c>
      <c r="O87" s="49">
        <v>200200</v>
      </c>
      <c r="P87" s="49">
        <v>15956260</v>
      </c>
      <c r="Q87" s="49">
        <v>1</v>
      </c>
      <c r="R87" s="82">
        <f t="shared" si="5"/>
        <v>0</v>
      </c>
      <c r="S87" s="82">
        <f>IF(AND(R87=0,B87="N"),S86,S86*(D87*F87*G87+I87*K87*L87+N87*P87*Q87)/T86)</f>
        <v>358643724524046.75</v>
      </c>
      <c r="T87" s="81">
        <f>E87*F87*G87+J87*K87*L87+O87*P87*Q87</f>
        <v>367634489432000</v>
      </c>
      <c r="U87" s="80">
        <f t="shared" si="3"/>
        <v>1025.0687919323971</v>
      </c>
      <c r="V87" s="52">
        <f t="shared" si="4"/>
        <v>-2.3071602200715809E-2</v>
      </c>
      <c r="W87" s="48">
        <f>(E87-D87)/D87</f>
        <v>-2.0754716981132074E-2</v>
      </c>
      <c r="X87" s="48">
        <f>(J87-I87)/I87</f>
        <v>-4.5801526717557252E-2</v>
      </c>
      <c r="Y87" s="48">
        <f>(O87-N87)/N87</f>
        <v>-3.6109773712084736E-2</v>
      </c>
      <c r="Z87" s="48" t="e">
        <f>(#REF!-#REF!)/#REF!</f>
        <v>#REF!</v>
      </c>
    </row>
    <row r="88" spans="1:26" x14ac:dyDescent="0.3">
      <c r="A88" s="48">
        <v>20180508</v>
      </c>
      <c r="B88" s="48" t="s">
        <v>88</v>
      </c>
      <c r="C88" s="79">
        <f>E88*F88*G88/T88</f>
        <v>0.91188133144517547</v>
      </c>
      <c r="D88" s="49">
        <v>51900</v>
      </c>
      <c r="E88" s="49">
        <v>52600</v>
      </c>
      <c r="F88" s="49">
        <v>6419324700</v>
      </c>
      <c r="G88" s="49">
        <v>1</v>
      </c>
      <c r="H88" s="48">
        <f>J88*K88*L88/T88</f>
        <v>7.9737319133071222E-2</v>
      </c>
      <c r="I88" s="48">
        <v>250000</v>
      </c>
      <c r="J88" s="48">
        <v>236000</v>
      </c>
      <c r="K88" s="51">
        <v>125108377</v>
      </c>
      <c r="L88" s="48">
        <v>1</v>
      </c>
      <c r="M88" s="49">
        <f>O88*P88*Q88/T88</f>
        <v>8.3813494217533212E-3</v>
      </c>
      <c r="N88" s="49">
        <v>200200</v>
      </c>
      <c r="O88" s="49">
        <v>194500</v>
      </c>
      <c r="P88" s="49">
        <v>15956260</v>
      </c>
      <c r="Q88" s="49">
        <v>1</v>
      </c>
      <c r="R88" s="82">
        <f t="shared" si="5"/>
        <v>0</v>
      </c>
      <c r="S88" s="82">
        <f>IF(AND(R88=0,B88="N"),S87,S87*(D88*F88*G88+I88*K88*L88+N88*P88*Q88)/T87)</f>
        <v>358643724524046.75</v>
      </c>
      <c r="T88" s="81">
        <f>E88*F88*G88+J88*K88*L88+O88*P88*Q88</f>
        <v>370285548762000</v>
      </c>
      <c r="U88" s="80">
        <f t="shared" si="3"/>
        <v>1032.4606941147599</v>
      </c>
      <c r="V88" s="52">
        <f t="shared" si="4"/>
        <v>7.2111279170133484E-3</v>
      </c>
      <c r="W88" s="48">
        <f>(E88-D88)/D88</f>
        <v>1.348747591522158E-2</v>
      </c>
      <c r="X88" s="48">
        <f>(J88-I88)/I88</f>
        <v>-5.6000000000000001E-2</v>
      </c>
      <c r="Y88" s="48">
        <f>(O88-N88)/N88</f>
        <v>-2.8471528471528472E-2</v>
      </c>
      <c r="Z88" s="48" t="e">
        <f>(#REF!-#REF!)/#REF!</f>
        <v>#REF!</v>
      </c>
    </row>
    <row r="89" spans="1:26" x14ac:dyDescent="0.3">
      <c r="A89" s="48">
        <v>20180509</v>
      </c>
      <c r="B89" s="48" t="s">
        <v>88</v>
      </c>
      <c r="C89" s="79">
        <f>E89*F89*G89/T89</f>
        <v>0.90168940853141266</v>
      </c>
      <c r="D89" s="49">
        <v>52600</v>
      </c>
      <c r="E89" s="49">
        <v>50900</v>
      </c>
      <c r="F89" s="49">
        <v>6419324700</v>
      </c>
      <c r="G89" s="49">
        <v>1</v>
      </c>
      <c r="H89" s="48">
        <f>J89*K89*L89/T89</f>
        <v>8.9420274080608708E-2</v>
      </c>
      <c r="I89" s="48">
        <v>236000</v>
      </c>
      <c r="J89" s="48">
        <v>259000</v>
      </c>
      <c r="K89" s="51">
        <v>125108377</v>
      </c>
      <c r="L89" s="48">
        <v>1</v>
      </c>
      <c r="M89" s="49">
        <f>O89*P89*Q89/T89</f>
        <v>8.8903173879785712E-3</v>
      </c>
      <c r="N89" s="49">
        <v>194500</v>
      </c>
      <c r="O89" s="49">
        <v>201900</v>
      </c>
      <c r="P89" s="49">
        <v>15956260</v>
      </c>
      <c r="Q89" s="49">
        <v>1</v>
      </c>
      <c r="R89" s="82">
        <f t="shared" si="5"/>
        <v>0</v>
      </c>
      <c r="S89" s="82">
        <f>IF(AND(R89=0,B89="N"),S88,S88*(D89*F89*G89+I89*K89*L89+N89*P89*Q89)/T88)</f>
        <v>358643724524046.75</v>
      </c>
      <c r="T89" s="81">
        <f>E89*F89*G89+J89*K89*L89+O89*P89*Q89</f>
        <v>362368265767000</v>
      </c>
      <c r="U89" s="80">
        <f t="shared" si="3"/>
        <v>1010.3850729519834</v>
      </c>
      <c r="V89" s="52">
        <f t="shared" si="4"/>
        <v>-2.1381560856129595E-2</v>
      </c>
      <c r="W89" s="48">
        <f>(E89-D89)/D89</f>
        <v>-3.2319391634980987E-2</v>
      </c>
      <c r="X89" s="48">
        <f>(J89-I89)/I89</f>
        <v>9.7457627118644072E-2</v>
      </c>
      <c r="Y89" s="48">
        <f>(O89-N89)/N89</f>
        <v>3.8046272493573265E-2</v>
      </c>
      <c r="Z89" s="48" t="e">
        <f>(#REF!-#REF!)/#REF!</f>
        <v>#REF!</v>
      </c>
    </row>
    <row r="90" spans="1:26" x14ac:dyDescent="0.3">
      <c r="A90" s="48">
        <v>20180510</v>
      </c>
      <c r="B90" s="48" t="s">
        <v>88</v>
      </c>
      <c r="C90" s="79">
        <f>E90*F90*G90/T90</f>
        <v>0.90302318221613365</v>
      </c>
      <c r="D90" s="49">
        <v>50900</v>
      </c>
      <c r="E90" s="49">
        <v>51600</v>
      </c>
      <c r="F90" s="49">
        <v>6419324700</v>
      </c>
      <c r="G90" s="49">
        <v>1</v>
      </c>
      <c r="H90" s="48">
        <f>J90*K90*L90/T90</f>
        <v>8.8337683932211489E-2</v>
      </c>
      <c r="I90" s="48">
        <v>259000</v>
      </c>
      <c r="J90" s="48">
        <v>259000</v>
      </c>
      <c r="K90" s="51">
        <v>125108377</v>
      </c>
      <c r="L90" s="48">
        <v>1</v>
      </c>
      <c r="M90" s="49">
        <f>O90*P90*Q90/T90</f>
        <v>8.6391338516548059E-3</v>
      </c>
      <c r="N90" s="49">
        <v>201900</v>
      </c>
      <c r="O90" s="49">
        <v>198600</v>
      </c>
      <c r="P90" s="49">
        <v>15956260</v>
      </c>
      <c r="Q90" s="49">
        <v>1</v>
      </c>
      <c r="R90" s="82">
        <f t="shared" si="5"/>
        <v>0</v>
      </c>
      <c r="S90" s="82">
        <f>IF(AND(R90=0,B90="N"),S89,S89*(D90*F90*G90+I90*K90*L90+N90*P90*Q90)/T89)</f>
        <v>358643724524046.75</v>
      </c>
      <c r="T90" s="81">
        <f>E90*F90*G90+J90*K90*L90+O90*P90*Q90</f>
        <v>366809137399000</v>
      </c>
      <c r="U90" s="80">
        <f t="shared" si="3"/>
        <v>1022.7674773503689</v>
      </c>
      <c r="V90" s="52">
        <f t="shared" si="4"/>
        <v>1.2255133938398974E-2</v>
      </c>
      <c r="W90" s="48">
        <f>(E90-D90)/D90</f>
        <v>1.37524557956778E-2</v>
      </c>
      <c r="X90" s="48">
        <f>(J90-I90)/I90</f>
        <v>0</v>
      </c>
      <c r="Y90" s="48">
        <f>(O90-N90)/N90</f>
        <v>-1.6344725111441308E-2</v>
      </c>
      <c r="Z90" s="48" t="e">
        <f>(#REF!-#REF!)/#REF!</f>
        <v>#REF!</v>
      </c>
    </row>
    <row r="91" spans="1:26" x14ac:dyDescent="0.3">
      <c r="A91" s="48">
        <v>20180511</v>
      </c>
      <c r="B91" s="48" t="s">
        <v>88</v>
      </c>
      <c r="C91" s="79">
        <f>E91*F91*G91/T91</f>
        <v>0.90219806969809735</v>
      </c>
      <c r="D91" s="49">
        <v>51600</v>
      </c>
      <c r="E91" s="49">
        <v>51300</v>
      </c>
      <c r="F91" s="49">
        <v>6419324700</v>
      </c>
      <c r="G91" s="49">
        <v>1</v>
      </c>
      <c r="H91" s="48">
        <f>J91*K91*L91/T91</f>
        <v>8.911584367446318E-2</v>
      </c>
      <c r="I91" s="48">
        <v>259000</v>
      </c>
      <c r="J91" s="48">
        <v>260000</v>
      </c>
      <c r="K91" s="51">
        <v>125108377</v>
      </c>
      <c r="L91" s="48">
        <v>1</v>
      </c>
      <c r="M91" s="49">
        <f>O91*P91*Q91/T91</f>
        <v>8.6860866274394589E-3</v>
      </c>
      <c r="N91" s="49">
        <v>198600</v>
      </c>
      <c r="O91" s="49">
        <v>198700</v>
      </c>
      <c r="P91" s="49">
        <v>15956260</v>
      </c>
      <c r="Q91" s="49">
        <v>1</v>
      </c>
      <c r="R91" s="82">
        <f t="shared" si="5"/>
        <v>0</v>
      </c>
      <c r="S91" s="82">
        <f>IF(AND(R91=0,B91="N"),S90,S90*(D91*F91*G91+I91*K91*L91+N91*P91*Q91)/T90)</f>
        <v>358643724524046.75</v>
      </c>
      <c r="T91" s="81">
        <f>E91*F91*G91+J91*K91*L91+O91*P91*Q91</f>
        <v>365010043992000</v>
      </c>
      <c r="U91" s="80">
        <f t="shared" si="3"/>
        <v>1017.7510967922327</v>
      </c>
      <c r="V91" s="52">
        <f t="shared" si="4"/>
        <v>-4.9047126245467965E-3</v>
      </c>
      <c r="W91" s="48">
        <f>(E91-D91)/D91</f>
        <v>-5.8139534883720929E-3</v>
      </c>
      <c r="X91" s="48">
        <f>(J91-I91)/I91</f>
        <v>3.8610038610038611E-3</v>
      </c>
      <c r="Y91" s="48">
        <f>(O91-N91)/N91</f>
        <v>5.0352467270896274E-4</v>
      </c>
      <c r="Z91" s="48" t="e">
        <f>(#REF!-#REF!)/#REF!</f>
        <v>#REF!</v>
      </c>
    </row>
    <row r="92" spans="1:26" x14ac:dyDescent="0.3">
      <c r="A92" s="48">
        <v>20180514</v>
      </c>
      <c r="B92" s="48" t="s">
        <v>88</v>
      </c>
      <c r="C92" s="79">
        <f>E92*F92*G92/T92</f>
        <v>0.90211203643026916</v>
      </c>
      <c r="D92" s="49">
        <v>51300</v>
      </c>
      <c r="E92" s="49">
        <v>50100</v>
      </c>
      <c r="F92" s="49">
        <v>6419324700</v>
      </c>
      <c r="G92" s="49">
        <v>1</v>
      </c>
      <c r="H92" s="48">
        <f>J92*K92*L92/T92</f>
        <v>8.9487006121893198E-2</v>
      </c>
      <c r="I92" s="48">
        <v>260000</v>
      </c>
      <c r="J92" s="48">
        <v>255000</v>
      </c>
      <c r="K92" s="51">
        <v>125108377</v>
      </c>
      <c r="L92" s="48">
        <v>1</v>
      </c>
      <c r="M92" s="49">
        <f>O92*P92*Q92/T92</f>
        <v>8.4009574478376529E-3</v>
      </c>
      <c r="N92" s="49">
        <v>198700</v>
      </c>
      <c r="O92" s="49">
        <v>187700</v>
      </c>
      <c r="P92" s="49">
        <v>15956260</v>
      </c>
      <c r="Q92" s="49">
        <v>1</v>
      </c>
      <c r="R92" s="82">
        <f t="shared" si="5"/>
        <v>0</v>
      </c>
      <c r="S92" s="82">
        <f>IF(AND(R92=0,B92="N"),S91,S91*(D92*F92*G92+I92*K92*L92+N92*P92*Q92)/T91)</f>
        <v>358643724524046.75</v>
      </c>
      <c r="T92" s="81">
        <f>E92*F92*G92+J92*K92*L92+O92*P92*Q92</f>
        <v>356505793607000</v>
      </c>
      <c r="U92" s="80">
        <f t="shared" si="3"/>
        <v>994.03884476193195</v>
      </c>
      <c r="V92" s="52">
        <f t="shared" si="4"/>
        <v>-2.3298674995327923E-2</v>
      </c>
      <c r="W92" s="48">
        <f>(E92-D92)/D92</f>
        <v>-2.3391812865497075E-2</v>
      </c>
      <c r="X92" s="48">
        <f>(J92-I92)/I92</f>
        <v>-1.9230769230769232E-2</v>
      </c>
      <c r="Y92" s="48">
        <f>(O92-N92)/N92</f>
        <v>-5.5359838953195774E-2</v>
      </c>
      <c r="Z92" s="48" t="e">
        <f>(#REF!-#REF!)/#REF!</f>
        <v>#REF!</v>
      </c>
    </row>
    <row r="93" spans="1:26" s="47" customFormat="1" x14ac:dyDescent="0.3">
      <c r="A93" s="48">
        <v>20180515</v>
      </c>
      <c r="B93" s="48" t="s">
        <v>88</v>
      </c>
      <c r="C93" s="79">
        <f>E93*F93*G93/T93</f>
        <v>0.89577392717484872</v>
      </c>
      <c r="D93" s="49">
        <v>50100</v>
      </c>
      <c r="E93" s="49">
        <v>49200</v>
      </c>
      <c r="F93" s="49">
        <v>6419324700</v>
      </c>
      <c r="G93" s="49">
        <v>1</v>
      </c>
      <c r="H93" s="48">
        <f>J93*K93*L93/T93</f>
        <v>9.5315188794651146E-2</v>
      </c>
      <c r="I93" s="48">
        <v>255000</v>
      </c>
      <c r="J93" s="48">
        <v>268000</v>
      </c>
      <c r="K93" s="51">
        <v>125395903</v>
      </c>
      <c r="L93" s="48">
        <v>1</v>
      </c>
      <c r="M93" s="49">
        <f>O93*P93*Q93/T93</f>
        <v>8.9108840305001536E-3</v>
      </c>
      <c r="N93" s="49">
        <v>187700</v>
      </c>
      <c r="O93" s="49">
        <v>196900</v>
      </c>
      <c r="P93" s="49">
        <v>15956260</v>
      </c>
      <c r="Q93" s="49">
        <v>1</v>
      </c>
      <c r="R93" s="82">
        <f t="shared" si="5"/>
        <v>1</v>
      </c>
      <c r="S93" s="82">
        <f>IF(AND(R93=0,B93="N"),S92,S92*(D93*F93*G93+I93*K93*L93+N93*P93*Q93)/T92)</f>
        <v>358717483341809.62</v>
      </c>
      <c r="T93" s="81">
        <f>E93*F93*G93+J93*K93*L93+O93*P93*Q93</f>
        <v>352578664838000</v>
      </c>
      <c r="U93" s="80">
        <f t="shared" si="3"/>
        <v>982.88675966774622</v>
      </c>
      <c r="V93" s="52">
        <f t="shared" si="4"/>
        <v>-1.121896307468408E-2</v>
      </c>
      <c r="W93" s="48">
        <f>(E93-D93)/D93</f>
        <v>-1.7964071856287425E-2</v>
      </c>
      <c r="X93" s="48">
        <f>(J93-I93)/I93</f>
        <v>5.0980392156862744E-2</v>
      </c>
      <c r="Y93" s="48">
        <f>(O93-N93)/N93</f>
        <v>4.9014384656366546E-2</v>
      </c>
      <c r="Z93" s="48" t="e">
        <f>(#REF!-#REF!)/#REF!</f>
        <v>#REF!</v>
      </c>
    </row>
    <row r="94" spans="1:26" x14ac:dyDescent="0.3">
      <c r="A94" s="48">
        <v>20180516</v>
      </c>
      <c r="B94" s="48" t="s">
        <v>88</v>
      </c>
      <c r="C94" s="79">
        <f>E94*F94*G94/T94</f>
        <v>0.89649056565417951</v>
      </c>
      <c r="D94" s="49">
        <v>49200</v>
      </c>
      <c r="E94" s="49">
        <v>49850</v>
      </c>
      <c r="F94" s="49">
        <v>6419324700</v>
      </c>
      <c r="G94" s="49">
        <v>1</v>
      </c>
      <c r="H94" s="48">
        <f>J94*K94*L94/T94</f>
        <v>9.432327133357836E-2</v>
      </c>
      <c r="I94" s="48">
        <v>268000</v>
      </c>
      <c r="J94" s="48">
        <v>268500</v>
      </c>
      <c r="K94" s="51">
        <v>125395903</v>
      </c>
      <c r="L94" s="48">
        <v>1</v>
      </c>
      <c r="M94" s="49">
        <f>O94*P94*Q94/T94</f>
        <v>9.1861630122421663E-3</v>
      </c>
      <c r="N94" s="49">
        <v>196900</v>
      </c>
      <c r="O94" s="49">
        <v>205500</v>
      </c>
      <c r="P94" s="49">
        <v>15956260</v>
      </c>
      <c r="Q94" s="49">
        <v>1</v>
      </c>
      <c r="R94" s="82">
        <f t="shared" si="5"/>
        <v>0</v>
      </c>
      <c r="S94" s="82">
        <f>IF(AND(R94=0,B94="N"),S93,S93*(D94*F94*G94+I94*K94*L94+N94*P94*Q94)/T93)</f>
        <v>358717483341809.62</v>
      </c>
      <c r="T94" s="81">
        <f>E94*F94*G94+J94*K94*L94+O94*P94*Q94</f>
        <v>356951147680500</v>
      </c>
      <c r="U94" s="80">
        <f t="shared" si="3"/>
        <v>995.07596996707707</v>
      </c>
      <c r="V94" s="52">
        <f t="shared" si="4"/>
        <v>1.2401439107238841E-2</v>
      </c>
      <c r="W94" s="48">
        <f>(E94-D94)/D94</f>
        <v>1.3211382113821139E-2</v>
      </c>
      <c r="X94" s="48">
        <f>(J94-I94)/I94</f>
        <v>1.8656716417910447E-3</v>
      </c>
      <c r="Y94" s="48">
        <f>(O94-N94)/N94</f>
        <v>4.3676993397663788E-2</v>
      </c>
      <c r="Z94" s="48" t="e">
        <f>(#REF!-#REF!)/#REF!</f>
        <v>#REF!</v>
      </c>
    </row>
    <row r="95" spans="1:26" x14ac:dyDescent="0.3">
      <c r="A95" s="48">
        <v>20180517</v>
      </c>
      <c r="B95" s="48" t="s">
        <v>88</v>
      </c>
      <c r="C95" s="79">
        <f>E95*F95*G95/T95</f>
        <v>0.89566054094887437</v>
      </c>
      <c r="D95" s="49">
        <v>49850</v>
      </c>
      <c r="E95" s="49">
        <v>49400</v>
      </c>
      <c r="F95" s="49">
        <v>6419324700</v>
      </c>
      <c r="G95" s="49">
        <v>1</v>
      </c>
      <c r="H95" s="48">
        <f>J95*K95*L95/T95</f>
        <v>9.4740196800360832E-2</v>
      </c>
      <c r="I95" s="48">
        <v>268500</v>
      </c>
      <c r="J95" s="48">
        <v>267500</v>
      </c>
      <c r="K95" s="51">
        <v>125395903</v>
      </c>
      <c r="L95" s="48">
        <v>1</v>
      </c>
      <c r="M95" s="49">
        <f>O95*P95*Q95/T95</f>
        <v>9.5992622507648385E-3</v>
      </c>
      <c r="N95" s="49">
        <v>205500</v>
      </c>
      <c r="O95" s="49">
        <v>213000</v>
      </c>
      <c r="P95" s="49">
        <v>15956260</v>
      </c>
      <c r="Q95" s="49">
        <v>1</v>
      </c>
      <c r="R95" s="82">
        <f t="shared" si="5"/>
        <v>0</v>
      </c>
      <c r="S95" s="82">
        <f>IF(AND(R95=0,B95="N"),S94,S94*(D95*F95*G95+I95*K95*L95+N95*P95*Q95)/T94)</f>
        <v>358717483341809.62</v>
      </c>
      <c r="T95" s="81">
        <f>E95*F95*G95+J95*K95*L95+O95*P95*Q95</f>
        <v>354056727612500</v>
      </c>
      <c r="U95" s="80">
        <f t="shared" si="3"/>
        <v>987.00716874491297</v>
      </c>
      <c r="V95" s="52">
        <f t="shared" si="4"/>
        <v>-8.1087288465332558E-3</v>
      </c>
      <c r="W95" s="48">
        <f>(E95-D95)/D95</f>
        <v>-9.0270812437311942E-3</v>
      </c>
      <c r="X95" s="48">
        <f>(J95-I95)/I95</f>
        <v>-3.7243947858472998E-3</v>
      </c>
      <c r="Y95" s="48">
        <f>(O95-N95)/N95</f>
        <v>3.6496350364963501E-2</v>
      </c>
      <c r="Z95" s="48" t="e">
        <f>(#REF!-#REF!)/#REF!</f>
        <v>#REF!</v>
      </c>
    </row>
    <row r="96" spans="1:26" x14ac:dyDescent="0.3">
      <c r="A96" s="48">
        <v>20180518</v>
      </c>
      <c r="B96" s="48" t="s">
        <v>88</v>
      </c>
      <c r="C96" s="79">
        <f>E96*F96*G96/T96</f>
        <v>0.89477276899359215</v>
      </c>
      <c r="D96" s="49">
        <v>49400</v>
      </c>
      <c r="E96" s="49">
        <v>49500</v>
      </c>
      <c r="F96" s="49">
        <v>6419324700</v>
      </c>
      <c r="G96" s="49">
        <v>1</v>
      </c>
      <c r="H96" s="48">
        <f>J96*K96*L96/T96</f>
        <v>9.5337844222230947E-2</v>
      </c>
      <c r="I96" s="48">
        <v>267500</v>
      </c>
      <c r="J96" s="48">
        <v>270000</v>
      </c>
      <c r="K96" s="51">
        <v>125395903</v>
      </c>
      <c r="L96" s="48">
        <v>1</v>
      </c>
      <c r="M96" s="49">
        <f>O96*P96*Q96/T96</f>
        <v>9.8893867841769439E-3</v>
      </c>
      <c r="N96" s="49">
        <v>213000</v>
      </c>
      <c r="O96" s="49">
        <v>220100</v>
      </c>
      <c r="P96" s="49">
        <v>15956260</v>
      </c>
      <c r="Q96" s="49">
        <v>1</v>
      </c>
      <c r="R96" s="82">
        <f t="shared" si="5"/>
        <v>0</v>
      </c>
      <c r="S96" s="82">
        <f>IF(AND(R96=0,B96="N"),S95,S95*(D96*F96*G96+I96*K96*L96+N96*P96*Q96)/T95)</f>
        <v>358717483341809.62</v>
      </c>
      <c r="T96" s="81">
        <f>E96*F96*G96+J96*K96*L96+O96*P96*Q96</f>
        <v>355125439286000</v>
      </c>
      <c r="U96" s="80">
        <f t="shared" si="3"/>
        <v>989.98642602432926</v>
      </c>
      <c r="V96" s="52">
        <f t="shared" si="4"/>
        <v>3.0184758264772665E-3</v>
      </c>
      <c r="W96" s="48">
        <f>(E96-D96)/D96</f>
        <v>2.0242914979757085E-3</v>
      </c>
      <c r="X96" s="48">
        <f>(J96-I96)/I96</f>
        <v>9.3457943925233638E-3</v>
      </c>
      <c r="Y96" s="48">
        <f>(O96-N96)/N96</f>
        <v>3.3333333333333333E-2</v>
      </c>
      <c r="Z96" s="48" t="e">
        <f>(#REF!-#REF!)/#REF!</f>
        <v>#REF!</v>
      </c>
    </row>
    <row r="97" spans="1:26" x14ac:dyDescent="0.3">
      <c r="A97" s="48">
        <v>20180521</v>
      </c>
      <c r="B97" s="48" t="s">
        <v>88</v>
      </c>
      <c r="C97" s="79">
        <f>E97*F97*G97/T97</f>
        <v>0.89554781890122492</v>
      </c>
      <c r="D97" s="49">
        <v>49500</v>
      </c>
      <c r="E97" s="49">
        <v>50000</v>
      </c>
      <c r="F97" s="49">
        <v>6419324700</v>
      </c>
      <c r="G97" s="49">
        <v>1</v>
      </c>
      <c r="H97" s="48">
        <f>J97*K97*L97/T97</f>
        <v>9.4466221365359135E-2</v>
      </c>
      <c r="I97" s="48">
        <v>270000</v>
      </c>
      <c r="J97" s="48">
        <v>270000</v>
      </c>
      <c r="K97" s="51">
        <v>125395903</v>
      </c>
      <c r="L97" s="48">
        <v>1</v>
      </c>
      <c r="M97" s="49">
        <f>O97*P97*Q97/T97</f>
        <v>9.9859597334159417E-3</v>
      </c>
      <c r="N97" s="49">
        <v>220100</v>
      </c>
      <c r="O97" s="49">
        <v>224300</v>
      </c>
      <c r="P97" s="49">
        <v>15956260</v>
      </c>
      <c r="Q97" s="49">
        <v>1</v>
      </c>
      <c r="R97" s="82">
        <f t="shared" si="5"/>
        <v>0</v>
      </c>
      <c r="S97" s="82">
        <f>IF(AND(R97=0,B97="N"),S96,S96*(D97*F97*G97+I97*K97*L97+N97*P97*Q97)/T96)</f>
        <v>358717483341809.62</v>
      </c>
      <c r="T97" s="81">
        <f>E97*F97*G97+J97*K97*L97+O97*P97*Q97</f>
        <v>358402117928000</v>
      </c>
      <c r="U97" s="80">
        <f t="shared" si="3"/>
        <v>999.120852959628</v>
      </c>
      <c r="V97" s="52">
        <f t="shared" si="4"/>
        <v>9.2268203837718599E-3</v>
      </c>
      <c r="W97" s="48">
        <f>(E97-D97)/D97</f>
        <v>1.0101010101010102E-2</v>
      </c>
      <c r="X97" s="48">
        <f>(J97-I97)/I97</f>
        <v>0</v>
      </c>
      <c r="Y97" s="48">
        <f>(O97-N97)/N97</f>
        <v>1.9082235347569285E-2</v>
      </c>
      <c r="Z97" s="48" t="e">
        <f>(#REF!-#REF!)/#REF!</f>
        <v>#REF!</v>
      </c>
    </row>
    <row r="98" spans="1:26" x14ac:dyDescent="0.3">
      <c r="A98" s="48">
        <v>20180523</v>
      </c>
      <c r="B98" s="48" t="s">
        <v>88</v>
      </c>
      <c r="C98" s="79">
        <f>E98*F98*G98/T98</f>
        <v>0.90139681684148754</v>
      </c>
      <c r="D98" s="49">
        <v>50000</v>
      </c>
      <c r="E98" s="49">
        <v>51800</v>
      </c>
      <c r="F98" s="49">
        <v>6419324700</v>
      </c>
      <c r="G98" s="49">
        <v>1</v>
      </c>
      <c r="H98" s="48">
        <f>J98*K98*L98/T98</f>
        <v>8.7530114662002348E-2</v>
      </c>
      <c r="I98" s="48">
        <v>270000</v>
      </c>
      <c r="J98" s="48">
        <v>257500</v>
      </c>
      <c r="K98" s="51">
        <v>125395903</v>
      </c>
      <c r="L98" s="48">
        <v>1</v>
      </c>
      <c r="M98" s="49">
        <f>O98*P98*Q98/T98</f>
        <v>1.1073068496510135E-2</v>
      </c>
      <c r="N98" s="49">
        <v>224300</v>
      </c>
      <c r="O98" s="49">
        <v>256000</v>
      </c>
      <c r="P98" s="49">
        <v>15956260</v>
      </c>
      <c r="Q98" s="49">
        <v>1</v>
      </c>
      <c r="R98" s="82">
        <f t="shared" si="5"/>
        <v>0</v>
      </c>
      <c r="S98" s="82">
        <f>IF(AND(R98=0,B98="N"),S97,S97*(D98*F98*G98+I98*K98*L98+N98*P98*Q98)/T97)</f>
        <v>358717483341809.62</v>
      </c>
      <c r="T98" s="81">
        <f>E98*F98*G98+J98*K98*L98+O98*P98*Q98</f>
        <v>368895267042500</v>
      </c>
      <c r="U98" s="80">
        <f t="shared" si="3"/>
        <v>1028.3727004490393</v>
      </c>
      <c r="V98" s="52">
        <f t="shared" si="4"/>
        <v>2.9277586793189727E-2</v>
      </c>
      <c r="W98" s="48">
        <f>(E98-D98)/D98</f>
        <v>3.5999999999999997E-2</v>
      </c>
      <c r="X98" s="48">
        <f>(J98-I98)/I98</f>
        <v>-4.6296296296296294E-2</v>
      </c>
      <c r="Y98" s="48">
        <f>(O98-N98)/N98</f>
        <v>0.1413285777975925</v>
      </c>
      <c r="Z98" s="48" t="e">
        <f>(#REF!-#REF!)/#REF!</f>
        <v>#REF!</v>
      </c>
    </row>
    <row r="99" spans="1:26" x14ac:dyDescent="0.3">
      <c r="A99" s="48">
        <v>20180524</v>
      </c>
      <c r="B99" s="48" t="s">
        <v>88</v>
      </c>
      <c r="C99" s="79">
        <f>E99*F99*G99/T99</f>
        <v>0.89859166008486202</v>
      </c>
      <c r="D99" s="49">
        <v>51800</v>
      </c>
      <c r="E99" s="49">
        <v>51400</v>
      </c>
      <c r="F99" s="49">
        <v>6419324700</v>
      </c>
      <c r="G99" s="49">
        <v>1</v>
      </c>
      <c r="H99" s="48">
        <f>J99*K99*L99/T99</f>
        <v>9.0327282484247665E-2</v>
      </c>
      <c r="I99" s="48">
        <v>257500</v>
      </c>
      <c r="J99" s="48">
        <v>264500</v>
      </c>
      <c r="K99" s="51">
        <v>125395903</v>
      </c>
      <c r="L99" s="48">
        <v>1</v>
      </c>
      <c r="M99" s="49">
        <f>O99*P99*Q99/T99</f>
        <v>1.1081057430890271E-2</v>
      </c>
      <c r="N99" s="49">
        <v>256000</v>
      </c>
      <c r="O99" s="49">
        <v>255000</v>
      </c>
      <c r="P99" s="49">
        <v>15956260</v>
      </c>
      <c r="Q99" s="49">
        <v>1</v>
      </c>
      <c r="R99" s="82">
        <f t="shared" si="5"/>
        <v>0</v>
      </c>
      <c r="S99" s="82">
        <f>IF(AND(R99=0,B99="N"),S98,S98*(D99*F99*G99+I99*K99*L99+N99*P99*Q99)/T98)</f>
        <v>358717483341809.62</v>
      </c>
      <c r="T99" s="81">
        <f>E99*F99*G99+J99*K99*L99+O99*P99*Q99</f>
        <v>367189352223500</v>
      </c>
      <c r="U99" s="80">
        <f t="shared" si="3"/>
        <v>1023.617106149292</v>
      </c>
      <c r="V99" s="52">
        <f t="shared" si="4"/>
        <v>-4.6243879263526992E-3</v>
      </c>
      <c r="W99" s="48">
        <f>(E99-D99)/D99</f>
        <v>-7.7220077220077222E-3</v>
      </c>
      <c r="X99" s="48">
        <f>(J99-I99)/I99</f>
        <v>2.7184466019417475E-2</v>
      </c>
      <c r="Y99" s="48">
        <f>(O99-N99)/N99</f>
        <v>-3.90625E-3</v>
      </c>
      <c r="Z99" s="48" t="e">
        <f>(#REF!-#REF!)/#REF!</f>
        <v>#REF!</v>
      </c>
    </row>
    <row r="100" spans="1:26" x14ac:dyDescent="0.3">
      <c r="A100" s="48">
        <v>20180525</v>
      </c>
      <c r="B100" s="48" t="s">
        <v>88</v>
      </c>
      <c r="C100" s="79">
        <f>E100*F100*G100/T100</f>
        <v>0.8975153391920514</v>
      </c>
      <c r="D100" s="49">
        <v>51400</v>
      </c>
      <c r="E100" s="49">
        <v>52700</v>
      </c>
      <c r="F100" s="49">
        <v>6419324700</v>
      </c>
      <c r="G100" s="49">
        <v>1</v>
      </c>
      <c r="H100" s="48">
        <f>J100*K100*L100/T100</f>
        <v>9.148669989117178E-2</v>
      </c>
      <c r="I100" s="48">
        <v>264500</v>
      </c>
      <c r="J100" s="48">
        <v>275000</v>
      </c>
      <c r="K100" s="51">
        <v>125395903</v>
      </c>
      <c r="L100" s="48">
        <v>1</v>
      </c>
      <c r="M100" s="49">
        <f>O100*P100*Q100/T100</f>
        <v>1.0997960916776774E-2</v>
      </c>
      <c r="N100" s="49">
        <v>255000</v>
      </c>
      <c r="O100" s="49">
        <v>259800</v>
      </c>
      <c r="P100" s="49">
        <v>15956260</v>
      </c>
      <c r="Q100" s="49">
        <v>1</v>
      </c>
      <c r="R100" s="82">
        <f t="shared" si="5"/>
        <v>0</v>
      </c>
      <c r="S100" s="82">
        <f>IF(AND(R100=0,B100="N"),S99,S99*(D100*F100*G100+I100*K100*L100+N100*P100*Q100)/T99)</f>
        <v>358717483341809.62</v>
      </c>
      <c r="T100" s="81">
        <f>E100*F100*G100+J100*K100*L100+O100*P100*Q100</f>
        <v>376927721363000</v>
      </c>
      <c r="U100" s="80">
        <f t="shared" si="3"/>
        <v>1050.7648466184139</v>
      </c>
      <c r="V100" s="52">
        <f t="shared" si="4"/>
        <v>2.6521382171159694E-2</v>
      </c>
      <c r="W100" s="48">
        <f>(E100-D100)/D100</f>
        <v>2.5291828793774319E-2</v>
      </c>
      <c r="X100" s="48">
        <f>(J100-I100)/I100</f>
        <v>3.9697542533081283E-2</v>
      </c>
      <c r="Y100" s="48">
        <f>(O100-N100)/N100</f>
        <v>1.8823529411764704E-2</v>
      </c>
      <c r="Z100" s="48" t="e">
        <f>(#REF!-#REF!)/#REF!</f>
        <v>#REF!</v>
      </c>
    </row>
    <row r="101" spans="1:26" x14ac:dyDescent="0.3">
      <c r="A101" s="48">
        <v>20180528</v>
      </c>
      <c r="B101" s="48" t="s">
        <v>88</v>
      </c>
      <c r="C101" s="79">
        <f>E101*F101*G101/T101</f>
        <v>0.89796960790031277</v>
      </c>
      <c r="D101" s="49">
        <v>52700</v>
      </c>
      <c r="E101" s="49">
        <v>52300</v>
      </c>
      <c r="F101" s="49">
        <v>6419324700</v>
      </c>
      <c r="G101" s="49">
        <v>1</v>
      </c>
      <c r="H101" s="48">
        <f>J101*K101*L101/T101</f>
        <v>9.0891494350840499E-2</v>
      </c>
      <c r="I101" s="48">
        <v>275000</v>
      </c>
      <c r="J101" s="48">
        <v>271000</v>
      </c>
      <c r="K101" s="51">
        <v>125395903</v>
      </c>
      <c r="L101" s="48">
        <v>1</v>
      </c>
      <c r="M101" s="49">
        <f>O101*P101*Q101/T101</f>
        <v>1.1138897748846684E-2</v>
      </c>
      <c r="N101" s="49">
        <v>259800</v>
      </c>
      <c r="O101" s="49">
        <v>261000</v>
      </c>
      <c r="P101" s="49">
        <v>15956260</v>
      </c>
      <c r="Q101" s="49">
        <v>1</v>
      </c>
      <c r="R101" s="82">
        <f t="shared" si="5"/>
        <v>0</v>
      </c>
      <c r="S101" s="82">
        <f>IF(AND(R101=0,B101="N"),S100,S100*(D101*F101*G101+I101*K101*L101+N101*P101*Q101)/T100)</f>
        <v>358717483341809.62</v>
      </c>
      <c r="T101" s="81">
        <f>E101*F101*G101+J101*K101*L101+O101*P101*Q101</f>
        <v>373877555383000</v>
      </c>
      <c r="U101" s="80">
        <f t="shared" si="3"/>
        <v>1042.2618710968845</v>
      </c>
      <c r="V101" s="52">
        <f t="shared" si="4"/>
        <v>-8.0921773781201124E-3</v>
      </c>
      <c r="W101" s="48">
        <f>(E101-D101)/D101</f>
        <v>-7.5901328273244783E-3</v>
      </c>
      <c r="X101" s="48">
        <f>(J101-I101)/I101</f>
        <v>-1.4545454545454545E-2</v>
      </c>
      <c r="Y101" s="48">
        <f>(O101-N101)/N101</f>
        <v>4.6189376443418013E-3</v>
      </c>
      <c r="Z101" s="48" t="e">
        <f>(#REF!-#REF!)/#REF!</f>
        <v>#REF!</v>
      </c>
    </row>
    <row r="102" spans="1:26" x14ac:dyDescent="0.3">
      <c r="A102" s="48">
        <v>20180529</v>
      </c>
      <c r="B102" s="48" t="s">
        <v>88</v>
      </c>
      <c r="C102" s="79">
        <f>E102*F102*G102/T102</f>
        <v>0.89680751147474991</v>
      </c>
      <c r="D102" s="49">
        <v>52300</v>
      </c>
      <c r="E102" s="49">
        <v>51300</v>
      </c>
      <c r="F102" s="49">
        <v>6419324700</v>
      </c>
      <c r="G102" s="49">
        <v>1</v>
      </c>
      <c r="H102" s="48">
        <f>J102*K102*L102/T102</f>
        <v>9.2372595178092376E-2</v>
      </c>
      <c r="I102" s="48">
        <v>271000</v>
      </c>
      <c r="J102" s="48">
        <v>270500</v>
      </c>
      <c r="K102" s="51">
        <v>125395903</v>
      </c>
      <c r="L102" s="48">
        <v>1</v>
      </c>
      <c r="M102" s="49">
        <f>O102*P102*Q102/T102</f>
        <v>1.0819893347157749E-2</v>
      </c>
      <c r="N102" s="49">
        <v>261000</v>
      </c>
      <c r="O102" s="49">
        <v>249000</v>
      </c>
      <c r="P102" s="49">
        <v>15956260</v>
      </c>
      <c r="Q102" s="49">
        <v>1</v>
      </c>
      <c r="R102" s="82">
        <f t="shared" si="5"/>
        <v>0</v>
      </c>
      <c r="S102" s="82">
        <f>IF(AND(R102=0,B102="N"),S101,S101*(D102*F102*G102+I102*K102*L102+N102*P102*Q102)/T101)</f>
        <v>358717483341809.62</v>
      </c>
      <c r="T102" s="81">
        <f>E102*F102*G102+J102*K102*L102+O102*P102*Q102</f>
        <v>367204057611500</v>
      </c>
      <c r="U102" s="80">
        <f t="shared" si="3"/>
        <v>1023.6581004935404</v>
      </c>
      <c r="V102" s="52">
        <f t="shared" si="4"/>
        <v>-1.7849420687111407E-2</v>
      </c>
      <c r="W102" s="48">
        <f>(E102-D102)/D102</f>
        <v>-1.9120458891013385E-2</v>
      </c>
      <c r="X102" s="48">
        <f>(J102-I102)/I102</f>
        <v>-1.8450184501845018E-3</v>
      </c>
      <c r="Y102" s="48">
        <f>(O102-N102)/N102</f>
        <v>-4.5977011494252873E-2</v>
      </c>
      <c r="Z102" s="48" t="e">
        <f>(#REF!-#REF!)/#REF!</f>
        <v>#REF!</v>
      </c>
    </row>
    <row r="103" spans="1:26" x14ac:dyDescent="0.3">
      <c r="A103" s="48">
        <v>20180530</v>
      </c>
      <c r="B103" s="48" t="s">
        <v>88</v>
      </c>
      <c r="C103" s="79">
        <f>E103*F103*G103/T103</f>
        <v>0.89327286330674249</v>
      </c>
      <c r="D103" s="49">
        <v>51300</v>
      </c>
      <c r="E103" s="49">
        <v>49500</v>
      </c>
      <c r="F103" s="49">
        <v>6419324700</v>
      </c>
      <c r="G103" s="49">
        <v>1</v>
      </c>
      <c r="H103" s="48">
        <f>J103*K103*L103/T103</f>
        <v>9.5001773986660459E-2</v>
      </c>
      <c r="I103" s="48">
        <v>270500</v>
      </c>
      <c r="J103" s="48">
        <v>269500</v>
      </c>
      <c r="K103" s="51">
        <v>125395903</v>
      </c>
      <c r="L103" s="48">
        <v>1</v>
      </c>
      <c r="M103" s="49">
        <f>O103*P103*Q103/T103</f>
        <v>1.1725362706597008E-2</v>
      </c>
      <c r="N103" s="49">
        <v>249000</v>
      </c>
      <c r="O103" s="49">
        <v>261400</v>
      </c>
      <c r="P103" s="49">
        <v>15956260</v>
      </c>
      <c r="Q103" s="49">
        <v>1</v>
      </c>
      <c r="R103" s="82">
        <f t="shared" si="5"/>
        <v>0</v>
      </c>
      <c r="S103" s="82">
        <f>IF(AND(R103=0,B103="N"),S102,S102*(D103*F103*G103+I103*K103*L103+N103*P103*Q103)/T102)</f>
        <v>358717483341809.62</v>
      </c>
      <c r="T103" s="81">
        <f>E103*F103*G103+J103*K103*L103+O103*P103*Q103</f>
        <v>355721734872500</v>
      </c>
      <c r="U103" s="80">
        <f t="shared" si="3"/>
        <v>991.64872466933798</v>
      </c>
      <c r="V103" s="52">
        <f t="shared" si="4"/>
        <v>-3.1269596566245672E-2</v>
      </c>
      <c r="W103" s="48">
        <f>(E103-D103)/D103</f>
        <v>-3.5087719298245612E-2</v>
      </c>
      <c r="X103" s="48">
        <f>(J103-I103)/I103</f>
        <v>-3.6968576709796672E-3</v>
      </c>
      <c r="Y103" s="48">
        <f>(O103-N103)/N103</f>
        <v>4.9799196787148593E-2</v>
      </c>
      <c r="Z103" s="48" t="e">
        <f>(#REF!-#REF!)/#REF!</f>
        <v>#REF!</v>
      </c>
    </row>
    <row r="104" spans="1:26" x14ac:dyDescent="0.3">
      <c r="A104" s="48">
        <v>20180531</v>
      </c>
      <c r="B104" s="48" t="s">
        <v>88</v>
      </c>
      <c r="C104" s="79">
        <f>E104*F104*G104/T104</f>
        <v>0.89663083320479986</v>
      </c>
      <c r="D104" s="49">
        <v>49500</v>
      </c>
      <c r="E104" s="49">
        <v>50700</v>
      </c>
      <c r="F104" s="49">
        <v>6419324700</v>
      </c>
      <c r="G104" s="49">
        <v>1</v>
      </c>
      <c r="H104" s="48">
        <f>J104*K104*L104/T104</f>
        <v>9.172004074514381E-2</v>
      </c>
      <c r="I104" s="48">
        <v>269500</v>
      </c>
      <c r="J104" s="48">
        <v>265500</v>
      </c>
      <c r="K104" s="51">
        <v>125395903</v>
      </c>
      <c r="L104" s="48">
        <v>1</v>
      </c>
      <c r="M104" s="49">
        <f>O104*P104*Q104/T104</f>
        <v>1.1649126050056365E-2</v>
      </c>
      <c r="N104" s="49">
        <v>261400</v>
      </c>
      <c r="O104" s="49">
        <v>265000</v>
      </c>
      <c r="P104" s="49">
        <v>15956260</v>
      </c>
      <c r="Q104" s="49">
        <v>1</v>
      </c>
      <c r="R104" s="82">
        <f t="shared" si="5"/>
        <v>0</v>
      </c>
      <c r="S104" s="82">
        <f>IF(AND(R104=0,B104="N"),S103,S103*(D104*F104*G104+I104*K104*L104+N104*P104*Q104)/T103)</f>
        <v>358717483341809.62</v>
      </c>
      <c r="T104" s="81">
        <f>E104*F104*G104+J104*K104*L104+O104*P104*Q104</f>
        <v>362980783436500</v>
      </c>
      <c r="U104" s="80">
        <f t="shared" si="3"/>
        <v>1011.884840557459</v>
      </c>
      <c r="V104" s="52">
        <f t="shared" si="4"/>
        <v>2.0406536492918615E-2</v>
      </c>
      <c r="W104" s="48">
        <f>(E104-D104)/D104</f>
        <v>2.4242424242424242E-2</v>
      </c>
      <c r="X104" s="48">
        <f>(J104-I104)/I104</f>
        <v>-1.4842300556586271E-2</v>
      </c>
      <c r="Y104" s="48">
        <f>(O104-N104)/N104</f>
        <v>1.3771996939556235E-2</v>
      </c>
      <c r="Z104" s="48" t="e">
        <f>(#REF!-#REF!)/#REF!</f>
        <v>#REF!</v>
      </c>
    </row>
    <row r="105" spans="1:26" x14ac:dyDescent="0.3">
      <c r="A105" s="48">
        <v>20180601</v>
      </c>
      <c r="B105" s="48" t="s">
        <v>88</v>
      </c>
      <c r="C105" s="79">
        <f>E105*F105*G105/T105</f>
        <v>0.89532615931739301</v>
      </c>
      <c r="D105" s="49">
        <v>50700</v>
      </c>
      <c r="E105" s="49">
        <v>51300</v>
      </c>
      <c r="F105" s="49">
        <v>6419324700</v>
      </c>
      <c r="G105" s="49">
        <v>1</v>
      </c>
      <c r="H105" s="48">
        <f>J105*K105*L105/T105</f>
        <v>9.3242786351466017E-2</v>
      </c>
      <c r="I105" s="48">
        <v>265500</v>
      </c>
      <c r="J105" s="48">
        <v>273500</v>
      </c>
      <c r="K105" s="51">
        <v>125395903</v>
      </c>
      <c r="L105" s="48">
        <v>1</v>
      </c>
      <c r="M105" s="49">
        <f>O105*P105*Q105/T105</f>
        <v>1.1431054331140975E-2</v>
      </c>
      <c r="N105" s="49">
        <v>265000</v>
      </c>
      <c r="O105" s="49">
        <v>263500</v>
      </c>
      <c r="P105" s="49">
        <v>15956260</v>
      </c>
      <c r="Q105" s="49">
        <v>1</v>
      </c>
      <c r="R105" s="82">
        <f t="shared" si="5"/>
        <v>0</v>
      </c>
      <c r="S105" s="82">
        <f>IF(AND(R105=0,B105="N"),S104,S104*(D105*F105*G105+I105*K105*L105+N105*P105*Q105)/T104)</f>
        <v>358717483341809.62</v>
      </c>
      <c r="T105" s="81">
        <f>E105*F105*G105+J105*K105*L105+O105*P105*Q105</f>
        <v>367811611090500</v>
      </c>
      <c r="U105" s="80">
        <f t="shared" si="3"/>
        <v>1025.3517828681488</v>
      </c>
      <c r="V105" s="52">
        <f t="shared" si="4"/>
        <v>1.3308769704733081E-2</v>
      </c>
      <c r="W105" s="48">
        <f>(E105-D105)/D105</f>
        <v>1.1834319526627219E-2</v>
      </c>
      <c r="X105" s="48">
        <f>(J105-I105)/I105</f>
        <v>3.0131826741996232E-2</v>
      </c>
      <c r="Y105" s="48">
        <f>(O105-N105)/N105</f>
        <v>-5.6603773584905656E-3</v>
      </c>
      <c r="Z105" s="48" t="e">
        <f>(#REF!-#REF!)/#REF!</f>
        <v>#REF!</v>
      </c>
    </row>
    <row r="106" spans="1:26" x14ac:dyDescent="0.3">
      <c r="A106" s="48">
        <v>20180604</v>
      </c>
      <c r="B106" s="48" t="s">
        <v>88</v>
      </c>
      <c r="C106" s="79">
        <f>E106*F106*G106/T106</f>
        <v>0.89751917346784671</v>
      </c>
      <c r="D106" s="49">
        <v>51300</v>
      </c>
      <c r="E106" s="49">
        <v>51100</v>
      </c>
      <c r="F106" s="49">
        <v>6419324700</v>
      </c>
      <c r="G106" s="49">
        <v>1</v>
      </c>
      <c r="H106" s="48">
        <f>J106*K106*L106/T106</f>
        <v>9.1435333224256093E-2</v>
      </c>
      <c r="I106" s="48">
        <v>273500</v>
      </c>
      <c r="J106" s="48">
        <v>266500</v>
      </c>
      <c r="K106" s="51">
        <v>125395903</v>
      </c>
      <c r="L106" s="48">
        <v>1</v>
      </c>
      <c r="M106" s="49">
        <f>O106*P106*Q106/T106</f>
        <v>1.1045493307897182E-2</v>
      </c>
      <c r="N106" s="49">
        <v>263500</v>
      </c>
      <c r="O106" s="49">
        <v>253000</v>
      </c>
      <c r="P106" s="49">
        <v>15956260</v>
      </c>
      <c r="Q106" s="49">
        <v>1</v>
      </c>
      <c r="R106" s="82">
        <f t="shared" si="5"/>
        <v>0</v>
      </c>
      <c r="S106" s="82">
        <f>IF(AND(R106=0,B106="N"),S105,S105*(D106*F106*G106+I106*K106*L106+N106*P106*Q106)/T105)</f>
        <v>358717483341809.62</v>
      </c>
      <c r="T106" s="81">
        <f>E106*F106*G106+J106*K106*L106+O106*P106*Q106</f>
        <v>365482434099500</v>
      </c>
      <c r="U106" s="80">
        <f t="shared" si="3"/>
        <v>1018.8587149270454</v>
      </c>
      <c r="V106" s="52">
        <f t="shared" si="4"/>
        <v>-6.3325270893280746E-3</v>
      </c>
      <c r="W106" s="48">
        <f>(E106-D106)/D106</f>
        <v>-3.8986354775828458E-3</v>
      </c>
      <c r="X106" s="48">
        <f>(J106-I106)/I106</f>
        <v>-2.5594149908592323E-2</v>
      </c>
      <c r="Y106" s="48">
        <f>(O106-N106)/N106</f>
        <v>-3.9848197343453511E-2</v>
      </c>
      <c r="Z106" s="48" t="e">
        <f>(#REF!-#REF!)/#REF!</f>
        <v>#REF!</v>
      </c>
    </row>
    <row r="107" spans="1:26" x14ac:dyDescent="0.3">
      <c r="A107" s="48">
        <v>20180605</v>
      </c>
      <c r="B107" s="48" t="s">
        <v>88</v>
      </c>
      <c r="C107" s="79">
        <f>E107*F107*G107/T107</f>
        <v>0.89803694446185189</v>
      </c>
      <c r="D107" s="49">
        <v>51100</v>
      </c>
      <c r="E107" s="49">
        <v>51300</v>
      </c>
      <c r="F107" s="49">
        <v>6419324700</v>
      </c>
      <c r="G107" s="49">
        <v>1</v>
      </c>
      <c r="H107" s="48">
        <f>J107*K107*L107/T107</f>
        <v>9.1302381033047886E-2</v>
      </c>
      <c r="I107" s="48">
        <v>266500</v>
      </c>
      <c r="J107" s="48">
        <v>267000</v>
      </c>
      <c r="K107" s="51">
        <v>125395903</v>
      </c>
      <c r="L107" s="48">
        <v>1</v>
      </c>
      <c r="M107" s="49">
        <f>O107*P107*Q107/T107</f>
        <v>1.0660674505100196E-2</v>
      </c>
      <c r="N107" s="49">
        <v>253000</v>
      </c>
      <c r="O107" s="49">
        <v>245000</v>
      </c>
      <c r="P107" s="49">
        <v>15956260</v>
      </c>
      <c r="Q107" s="49">
        <v>1</v>
      </c>
      <c r="R107" s="82">
        <f t="shared" si="5"/>
        <v>0</v>
      </c>
      <c r="S107" s="82">
        <f>IF(AND(R107=0,B107="N"),S106,S106*(D107*F107*G107+I107*K107*L107+N107*P107*Q107)/T106)</f>
        <v>358717483341809.62</v>
      </c>
      <c r="T107" s="81">
        <f>E107*F107*G107+J107*K107*L107+O107*P107*Q107</f>
        <v>366701346911000</v>
      </c>
      <c r="U107" s="80">
        <f t="shared" si="3"/>
        <v>1022.2566892887761</v>
      </c>
      <c r="V107" s="52">
        <f t="shared" si="4"/>
        <v>3.3350790565441634E-3</v>
      </c>
      <c r="W107" s="48">
        <f>(E107-D107)/D107</f>
        <v>3.9138943248532287E-3</v>
      </c>
      <c r="X107" s="48">
        <f>(J107-I107)/I107</f>
        <v>1.876172607879925E-3</v>
      </c>
      <c r="Y107" s="48">
        <f>(O107-N107)/N107</f>
        <v>-3.1620553359683792E-2</v>
      </c>
      <c r="Z107" s="48" t="e">
        <f>(#REF!-#REF!)/#REF!</f>
        <v>#REF!</v>
      </c>
    </row>
    <row r="108" spans="1:26" x14ac:dyDescent="0.3">
      <c r="A108" s="48">
        <v>20180607</v>
      </c>
      <c r="B108" s="48" t="s">
        <v>88</v>
      </c>
      <c r="C108" s="79">
        <f>E108*F108*G108/T108</f>
        <v>0.89505542979240249</v>
      </c>
      <c r="D108" s="49">
        <v>51300</v>
      </c>
      <c r="E108" s="49">
        <v>50600</v>
      </c>
      <c r="F108" s="49">
        <v>6419324700</v>
      </c>
      <c r="G108" s="49">
        <v>1</v>
      </c>
      <c r="H108" s="48">
        <f>J108*K108*L108/T108</f>
        <v>9.3640281203942535E-2</v>
      </c>
      <c r="I108" s="48">
        <v>267000</v>
      </c>
      <c r="J108" s="48">
        <v>271000</v>
      </c>
      <c r="K108" s="51">
        <v>125395903</v>
      </c>
      <c r="L108" s="48">
        <v>1</v>
      </c>
      <c r="M108" s="49">
        <f>O108*P108*Q108/T108</f>
        <v>1.1304289003654988E-2</v>
      </c>
      <c r="N108" s="49">
        <v>245000</v>
      </c>
      <c r="O108" s="49">
        <v>257100</v>
      </c>
      <c r="P108" s="49">
        <v>15956260</v>
      </c>
      <c r="Q108" s="49">
        <v>1</v>
      </c>
      <c r="R108" s="82">
        <f t="shared" si="5"/>
        <v>0</v>
      </c>
      <c r="S108" s="82">
        <f>IF(AND(R108=0,B108="N"),S107,S107*(D108*F108*G108+I108*K108*L108+N108*P108*Q108)/T107)</f>
        <v>358717483341809.62</v>
      </c>
      <c r="T108" s="81">
        <f>E108*F108*G108+J108*K108*L108+O108*P108*Q108</f>
        <v>362902473979000</v>
      </c>
      <c r="U108" s="80">
        <f t="shared" si="3"/>
        <v>1011.6665365685637</v>
      </c>
      <c r="V108" s="52">
        <f t="shared" si="4"/>
        <v>-1.0359582706746915E-2</v>
      </c>
      <c r="W108" s="48">
        <f>(E108-D108)/D108</f>
        <v>-1.364522417153996E-2</v>
      </c>
      <c r="X108" s="48">
        <f>(J108-I108)/I108</f>
        <v>1.4981273408239701E-2</v>
      </c>
      <c r="Y108" s="48">
        <f>(O108-N108)/N108</f>
        <v>4.9387755102040819E-2</v>
      </c>
      <c r="Z108" s="48" t="e">
        <f>(#REF!-#REF!)/#REF!</f>
        <v>#REF!</v>
      </c>
    </row>
    <row r="109" spans="1:26" x14ac:dyDescent="0.3">
      <c r="A109" s="48">
        <v>20180608</v>
      </c>
      <c r="B109" s="48" t="s">
        <v>88</v>
      </c>
      <c r="C109" s="79">
        <f>E109*F109*G109/T109</f>
        <v>0.89408494011797945</v>
      </c>
      <c r="D109" s="49">
        <v>50600</v>
      </c>
      <c r="E109" s="49">
        <v>49650</v>
      </c>
      <c r="F109" s="49">
        <v>6419324700</v>
      </c>
      <c r="G109" s="49">
        <v>1</v>
      </c>
      <c r="H109" s="48">
        <f>J109*K109*L109/T109</f>
        <v>9.4800865011563526E-2</v>
      </c>
      <c r="I109" s="48">
        <v>271000</v>
      </c>
      <c r="J109" s="48">
        <v>269500</v>
      </c>
      <c r="K109" s="51">
        <v>125395903</v>
      </c>
      <c r="L109" s="48">
        <v>1</v>
      </c>
      <c r="M109" s="49">
        <f>O109*P109*Q109/T109</f>
        <v>1.1114194870456964E-2</v>
      </c>
      <c r="N109" s="49">
        <v>257100</v>
      </c>
      <c r="O109" s="49">
        <v>248300</v>
      </c>
      <c r="P109" s="49">
        <v>15956260</v>
      </c>
      <c r="Q109" s="49">
        <v>1</v>
      </c>
      <c r="R109" s="82">
        <f t="shared" si="5"/>
        <v>0</v>
      </c>
      <c r="S109" s="82">
        <f>IF(AND(R109=0,B109="N"),S108,S108*(D109*F109*G109+I109*K109*L109+N109*P109*Q109)/T108)</f>
        <v>358717483341809.62</v>
      </c>
      <c r="T109" s="81">
        <f>E109*F109*G109+J109*K109*L109+O109*P109*Q109</f>
        <v>356475606571500</v>
      </c>
      <c r="U109" s="80">
        <f t="shared" si="3"/>
        <v>993.75029968033812</v>
      </c>
      <c r="V109" s="52">
        <f t="shared" si="4"/>
        <v>-1.7709626878630463E-2</v>
      </c>
      <c r="W109" s="48">
        <f>(E109-D109)/D109</f>
        <v>-1.8774703557312252E-2</v>
      </c>
      <c r="X109" s="48">
        <f>(J109-I109)/I109</f>
        <v>-5.5350553505535052E-3</v>
      </c>
      <c r="Y109" s="48">
        <f>(O109-N109)/N109</f>
        <v>-3.4227926876701675E-2</v>
      </c>
      <c r="Z109" s="48" t="e">
        <f>(#REF!-#REF!)/#REF!</f>
        <v>#REF!</v>
      </c>
    </row>
    <row r="110" spans="1:26" x14ac:dyDescent="0.3">
      <c r="A110" s="48">
        <v>20180611</v>
      </c>
      <c r="B110" s="48" t="s">
        <v>88</v>
      </c>
      <c r="C110" s="79">
        <f>E110*F110*G110/T110</f>
        <v>0.89531834419276812</v>
      </c>
      <c r="D110" s="49">
        <v>49650</v>
      </c>
      <c r="E110" s="49">
        <v>49900</v>
      </c>
      <c r="F110" s="49">
        <v>6419324700</v>
      </c>
      <c r="G110" s="49">
        <v>1</v>
      </c>
      <c r="H110" s="48">
        <f>J110*K110*L110/T110</f>
        <v>9.3755062409167769E-2</v>
      </c>
      <c r="I110" s="48">
        <v>269500</v>
      </c>
      <c r="J110" s="48">
        <v>267500</v>
      </c>
      <c r="K110" s="51">
        <v>125395903</v>
      </c>
      <c r="L110" s="48">
        <v>1</v>
      </c>
      <c r="M110" s="49">
        <f>O110*P110*Q110/T110</f>
        <v>1.0926593398064077E-2</v>
      </c>
      <c r="N110" s="49">
        <v>248300</v>
      </c>
      <c r="O110" s="49">
        <v>245000</v>
      </c>
      <c r="P110" s="49">
        <v>15956260</v>
      </c>
      <c r="Q110" s="49">
        <v>1</v>
      </c>
      <c r="R110" s="82">
        <f t="shared" si="5"/>
        <v>0</v>
      </c>
      <c r="S110" s="82">
        <f>IF(AND(R110=0,B110="N"),S109,S109*(D110*F110*G110+I110*K110*L110+N110*P110*Q110)/T109)</f>
        <v>358717483341809.62</v>
      </c>
      <c r="T110" s="81">
        <f>E110*F110*G110+J110*K110*L110+O110*P110*Q110</f>
        <v>357776990282500</v>
      </c>
      <c r="U110" s="80">
        <f t="shared" si="3"/>
        <v>997.37817892078181</v>
      </c>
      <c r="V110" s="52">
        <f t="shared" si="4"/>
        <v>3.6506949900902449E-3</v>
      </c>
      <c r="W110" s="48">
        <f>(E110-D110)/D110</f>
        <v>5.0352467270896274E-3</v>
      </c>
      <c r="X110" s="48">
        <f>(J110-I110)/I110</f>
        <v>-7.4211502782931356E-3</v>
      </c>
      <c r="Y110" s="48">
        <f>(O110-N110)/N110</f>
        <v>-1.3290374546919049E-2</v>
      </c>
      <c r="Z110" s="48" t="e">
        <f>(#REF!-#REF!)/#REF!</f>
        <v>#REF!</v>
      </c>
    </row>
    <row r="111" spans="1:26" x14ac:dyDescent="0.3">
      <c r="A111" s="48">
        <v>20180612</v>
      </c>
      <c r="B111" s="48" t="s">
        <v>88</v>
      </c>
      <c r="C111" s="79">
        <f>E111*F111*G111/T111</f>
        <v>0.89257431138392385</v>
      </c>
      <c r="D111" s="49">
        <v>49900</v>
      </c>
      <c r="E111" s="49">
        <v>49400</v>
      </c>
      <c r="F111" s="49">
        <v>6419324700</v>
      </c>
      <c r="G111" s="49">
        <v>1</v>
      </c>
      <c r="H111" s="48">
        <f>J111*K111*L111/T111</f>
        <v>9.6354962186631504E-2</v>
      </c>
      <c r="I111" s="48">
        <v>267500</v>
      </c>
      <c r="J111" s="48">
        <v>273000</v>
      </c>
      <c r="K111" s="51">
        <v>125395903</v>
      </c>
      <c r="L111" s="48">
        <v>1</v>
      </c>
      <c r="M111" s="49">
        <f>O111*P111*Q111/T111</f>
        <v>1.1070726429444606E-2</v>
      </c>
      <c r="N111" s="49">
        <v>245000</v>
      </c>
      <c r="O111" s="49">
        <v>246500</v>
      </c>
      <c r="P111" s="49">
        <v>15956260</v>
      </c>
      <c r="Q111" s="49">
        <v>1</v>
      </c>
      <c r="R111" s="82">
        <f t="shared" si="5"/>
        <v>0</v>
      </c>
      <c r="S111" s="82">
        <f>IF(AND(R111=0,B111="N"),S110,S110*(D111*F111*G111+I111*K111*L111+N111*P111*Q111)/T110)</f>
        <v>358717483341809.62</v>
      </c>
      <c r="T111" s="81">
        <f>E111*F111*G111+J111*K111*L111+O111*P111*Q111</f>
        <v>355280939789000</v>
      </c>
      <c r="U111" s="80">
        <f t="shared" si="3"/>
        <v>990.41991619478699</v>
      </c>
      <c r="V111" s="52">
        <f t="shared" si="4"/>
        <v>-6.9765540023384491E-3</v>
      </c>
      <c r="W111" s="48">
        <f>(E111-D111)/D111</f>
        <v>-1.002004008016032E-2</v>
      </c>
      <c r="X111" s="48">
        <f>(J111-I111)/I111</f>
        <v>2.0560747663551402E-2</v>
      </c>
      <c r="Y111" s="48">
        <f>(O111-N111)/N111</f>
        <v>6.1224489795918364E-3</v>
      </c>
      <c r="Z111" s="48" t="e">
        <f>(#REF!-#REF!)/#REF!</f>
        <v>#REF!</v>
      </c>
    </row>
    <row r="112" spans="1:26" x14ac:dyDescent="0.3">
      <c r="A112" s="48">
        <v>20180614</v>
      </c>
      <c r="B112" s="48" t="s">
        <v>88</v>
      </c>
      <c r="C112" s="79">
        <f>E112*F112*G112/T112</f>
        <v>0.88837413329549397</v>
      </c>
      <c r="D112" s="49">
        <v>49400</v>
      </c>
      <c r="E112" s="49">
        <v>48200</v>
      </c>
      <c r="F112" s="49">
        <v>6419324700</v>
      </c>
      <c r="G112" s="49">
        <v>1</v>
      </c>
      <c r="H112" s="48">
        <f>J112*K112*L112/T112</f>
        <v>0.10080937019804397</v>
      </c>
      <c r="I112" s="48">
        <v>273000</v>
      </c>
      <c r="J112" s="48">
        <v>280000</v>
      </c>
      <c r="K112" s="51">
        <v>125395903</v>
      </c>
      <c r="L112" s="48">
        <v>1</v>
      </c>
      <c r="M112" s="49">
        <f>O112*P112*Q112/T112</f>
        <v>1.0816496506462089E-2</v>
      </c>
      <c r="N112" s="49">
        <v>246500</v>
      </c>
      <c r="O112" s="49">
        <v>236100</v>
      </c>
      <c r="P112" s="49">
        <v>15956260</v>
      </c>
      <c r="Q112" s="49">
        <v>1</v>
      </c>
      <c r="R112" s="82">
        <f t="shared" si="5"/>
        <v>0</v>
      </c>
      <c r="S112" s="82">
        <f>IF(AND(R112=0,B112="N"),S111,S111*(D112*F112*G112+I112*K112*L112+N112*P112*Q112)/T111)</f>
        <v>358717483341809.62</v>
      </c>
      <c r="T112" s="81">
        <f>E112*F112*G112+J112*K112*L112+O112*P112*Q112</f>
        <v>348289576366000</v>
      </c>
      <c r="U112" s="80">
        <f t="shared" si="3"/>
        <v>970.93002861565787</v>
      </c>
      <c r="V112" s="52">
        <f t="shared" si="4"/>
        <v>-1.9678408380568165E-2</v>
      </c>
      <c r="W112" s="48">
        <f>(E112-D112)/D112</f>
        <v>-2.4291497975708502E-2</v>
      </c>
      <c r="X112" s="48">
        <f>(J112-I112)/I112</f>
        <v>2.564102564102564E-2</v>
      </c>
      <c r="Y112" s="48">
        <f>(O112-N112)/N112</f>
        <v>-4.2190669371196754E-2</v>
      </c>
      <c r="Z112" s="48" t="e">
        <f>(#REF!-#REF!)/#REF!</f>
        <v>#REF!</v>
      </c>
    </row>
    <row r="113" spans="1:26" x14ac:dyDescent="0.3">
      <c r="A113" s="48">
        <v>20180615</v>
      </c>
      <c r="B113" s="48" t="s">
        <v>88</v>
      </c>
      <c r="C113" s="79">
        <f>E113*F113*G113/T113</f>
        <v>0.88143864109599335</v>
      </c>
      <c r="D113" s="49">
        <v>48200</v>
      </c>
      <c r="E113" s="49">
        <v>47650</v>
      </c>
      <c r="F113" s="49">
        <v>6419324700</v>
      </c>
      <c r="G113" s="49">
        <v>1</v>
      </c>
      <c r="H113" s="48">
        <f>J113*K113*L113/T113</f>
        <v>0.10786176426301838</v>
      </c>
      <c r="I113" s="48">
        <v>280000</v>
      </c>
      <c r="J113" s="48">
        <v>298500</v>
      </c>
      <c r="K113" s="51">
        <v>125395903</v>
      </c>
      <c r="L113" s="48">
        <v>1</v>
      </c>
      <c r="M113" s="49">
        <f>O113*P113*Q113/T113</f>
        <v>1.0699594640988293E-2</v>
      </c>
      <c r="N113" s="49">
        <v>236100</v>
      </c>
      <c r="O113" s="49">
        <v>232700</v>
      </c>
      <c r="P113" s="49">
        <v>15956260</v>
      </c>
      <c r="Q113" s="49">
        <v>1</v>
      </c>
      <c r="R113" s="82">
        <f t="shared" si="5"/>
        <v>0</v>
      </c>
      <c r="S113" s="82">
        <f>IF(AND(R113=0,B113="N"),S112,S112*(D113*F113*G113+I113*K113*L113+N113*P113*Q113)/T112)</f>
        <v>358717483341809.62</v>
      </c>
      <c r="T113" s="81">
        <f>E113*F113*G113+J113*K113*L113+O113*P113*Q113</f>
        <v>347024520702500</v>
      </c>
      <c r="U113" s="80">
        <f t="shared" si="3"/>
        <v>967.40342140456028</v>
      </c>
      <c r="V113" s="52">
        <f t="shared" si="4"/>
        <v>-3.6321950162833041E-3</v>
      </c>
      <c r="W113" s="48">
        <f>(E113-D113)/D113</f>
        <v>-1.1410788381742738E-2</v>
      </c>
      <c r="X113" s="48">
        <f>(J113-I113)/I113</f>
        <v>6.6071428571428573E-2</v>
      </c>
      <c r="Y113" s="48">
        <f>(O113-N113)/N113</f>
        <v>-1.4400677678949597E-2</v>
      </c>
      <c r="Z113" s="48" t="e">
        <f>(#REF!-#REF!)/#REF!</f>
        <v>#REF!</v>
      </c>
    </row>
    <row r="114" spans="1:26" x14ac:dyDescent="0.3">
      <c r="A114" s="48">
        <v>20180618</v>
      </c>
      <c r="B114" s="48" t="s">
        <v>88</v>
      </c>
      <c r="C114" s="79">
        <f>E114*F114*G114/T114</f>
        <v>0.87755607515208189</v>
      </c>
      <c r="D114" s="49">
        <v>47650</v>
      </c>
      <c r="E114" s="49">
        <v>46600</v>
      </c>
      <c r="F114" s="49">
        <v>6419324700</v>
      </c>
      <c r="G114" s="49">
        <v>1</v>
      </c>
      <c r="H114" s="48">
        <f>J114*K114*L114/T114</f>
        <v>0.11219740270899486</v>
      </c>
      <c r="I114" s="48">
        <v>298500</v>
      </c>
      <c r="J114" s="48">
        <v>305000</v>
      </c>
      <c r="K114" s="51">
        <v>125395903</v>
      </c>
      <c r="L114" s="48">
        <v>1</v>
      </c>
      <c r="M114" s="49">
        <f>O114*P114*Q114/T114</f>
        <v>1.0246522138923219E-2</v>
      </c>
      <c r="N114" s="49">
        <v>232700</v>
      </c>
      <c r="O114" s="49">
        <v>218900</v>
      </c>
      <c r="P114" s="49">
        <v>15956260</v>
      </c>
      <c r="Q114" s="49">
        <v>1</v>
      </c>
      <c r="R114" s="82">
        <f t="shared" si="5"/>
        <v>0</v>
      </c>
      <c r="S114" s="82">
        <f>IF(AND(R114=0,B114="N"),S113,S113*(D114*F114*G114+I114*K114*L114+N114*P114*Q114)/T113)</f>
        <v>358717483341809.62</v>
      </c>
      <c r="T114" s="81">
        <f>E114*F114*G114+J114*K114*L114+O114*P114*Q114</f>
        <v>340879106749000</v>
      </c>
      <c r="U114" s="80">
        <f t="shared" si="3"/>
        <v>950.27179487705087</v>
      </c>
      <c r="V114" s="52">
        <f t="shared" si="4"/>
        <v>-1.7708875272155051E-2</v>
      </c>
      <c r="W114" s="48">
        <f>(E114-D114)/D114</f>
        <v>-2.2035676810073453E-2</v>
      </c>
      <c r="X114" s="48">
        <f>(J114-I114)/I114</f>
        <v>2.1775544388609715E-2</v>
      </c>
      <c r="Y114" s="48">
        <f>(O114-N114)/N114</f>
        <v>-5.9303824666953157E-2</v>
      </c>
      <c r="Z114" s="48" t="e">
        <f>(#REF!-#REF!)/#REF!</f>
        <v>#REF!</v>
      </c>
    </row>
    <row r="115" spans="1:26" x14ac:dyDescent="0.3">
      <c r="A115" s="48">
        <v>20180619</v>
      </c>
      <c r="B115" s="48" t="s">
        <v>88</v>
      </c>
      <c r="C115" s="79">
        <f>E115*F115*G115/T115</f>
        <v>0.88397999981691011</v>
      </c>
      <c r="D115" s="49">
        <v>46600</v>
      </c>
      <c r="E115" s="49">
        <v>47000</v>
      </c>
      <c r="F115" s="49">
        <v>6419324700</v>
      </c>
      <c r="G115" s="49">
        <v>1</v>
      </c>
      <c r="H115" s="48">
        <f>J115*K115*L115/T115</f>
        <v>0.10562736207269398</v>
      </c>
      <c r="I115" s="48">
        <v>305000</v>
      </c>
      <c r="J115" s="48">
        <v>287500</v>
      </c>
      <c r="K115" s="51">
        <v>125395903</v>
      </c>
      <c r="L115" s="48">
        <v>1</v>
      </c>
      <c r="M115" s="49">
        <f>O115*P115*Q115/T115</f>
        <v>1.039263811039589E-2</v>
      </c>
      <c r="N115" s="49">
        <v>218900</v>
      </c>
      <c r="O115" s="49">
        <v>222300</v>
      </c>
      <c r="P115" s="49">
        <v>15956260</v>
      </c>
      <c r="Q115" s="49">
        <v>1</v>
      </c>
      <c r="R115" s="82">
        <f t="shared" si="5"/>
        <v>0</v>
      </c>
      <c r="S115" s="82">
        <f>IF(AND(R115=0,B115="N"),S114,S114*(D115*F115*G115+I115*K115*L115+N115*P115*Q115)/T114)</f>
        <v>358717483341809.62</v>
      </c>
      <c r="T115" s="81">
        <f>E115*F115*G115+J115*K115*L115+O115*P115*Q115</f>
        <v>341306659610500</v>
      </c>
      <c r="U115" s="80">
        <f t="shared" si="3"/>
        <v>951.46368788855636</v>
      </c>
      <c r="V115" s="52">
        <f t="shared" si="4"/>
        <v>1.254265377475199E-3</v>
      </c>
      <c r="W115" s="48">
        <f>(E115-D115)/D115</f>
        <v>8.5836909871244635E-3</v>
      </c>
      <c r="X115" s="48">
        <f>(J115-I115)/I115</f>
        <v>-5.737704918032787E-2</v>
      </c>
      <c r="Y115" s="48">
        <f>(O115-N115)/N115</f>
        <v>1.5532206486980357E-2</v>
      </c>
      <c r="Z115" s="48" t="e">
        <f>(#REF!-#REF!)/#REF!</f>
        <v>#REF!</v>
      </c>
    </row>
    <row r="116" spans="1:26" x14ac:dyDescent="0.3">
      <c r="A116" s="48">
        <v>20180620</v>
      </c>
      <c r="B116" s="48" t="s">
        <v>88</v>
      </c>
      <c r="C116" s="79">
        <f>E116*F116*G116/T116</f>
        <v>0.88040908118597738</v>
      </c>
      <c r="D116" s="49">
        <v>47000</v>
      </c>
      <c r="E116" s="49">
        <v>47000</v>
      </c>
      <c r="F116" s="49">
        <v>6419324700</v>
      </c>
      <c r="G116" s="49">
        <v>1</v>
      </c>
      <c r="H116" s="48">
        <f>J116*K116*L116/T116</f>
        <v>0.10867686668694936</v>
      </c>
      <c r="I116" s="48">
        <v>287500</v>
      </c>
      <c r="J116" s="48">
        <v>297000</v>
      </c>
      <c r="K116" s="51">
        <v>125395903</v>
      </c>
      <c r="L116" s="48">
        <v>1</v>
      </c>
      <c r="M116" s="49">
        <f>O116*P116*Q116/T116</f>
        <v>1.0914052127073243E-2</v>
      </c>
      <c r="N116" s="49">
        <v>222300</v>
      </c>
      <c r="O116" s="49">
        <v>234400</v>
      </c>
      <c r="P116" s="49">
        <v>15956260</v>
      </c>
      <c r="Q116" s="49">
        <v>1</v>
      </c>
      <c r="R116" s="82">
        <f t="shared" si="5"/>
        <v>0</v>
      </c>
      <c r="S116" s="82">
        <f>IF(AND(R116=0,B116="N"),S115,S115*(D116*F116*G116+I116*K116*L116+N116*P116*Q116)/T115)</f>
        <v>358717483341809.62</v>
      </c>
      <c r="T116" s="81">
        <f>E116*F116*G116+J116*K116*L116+O116*P116*Q116</f>
        <v>342690991435000</v>
      </c>
      <c r="U116" s="80">
        <f t="shared" si="3"/>
        <v>955.3228023415337</v>
      </c>
      <c r="V116" s="52">
        <f t="shared" si="4"/>
        <v>4.0559765991083734E-3</v>
      </c>
      <c r="W116" s="48">
        <f>(E116-D116)/D116</f>
        <v>0</v>
      </c>
      <c r="X116" s="48">
        <f>(J116-I116)/I116</f>
        <v>3.3043478260869563E-2</v>
      </c>
      <c r="Y116" s="48">
        <f>(O116-N116)/N116</f>
        <v>5.4430949167791273E-2</v>
      </c>
      <c r="Z116" s="48" t="e">
        <f>(#REF!-#REF!)/#REF!</f>
        <v>#REF!</v>
      </c>
    </row>
    <row r="117" spans="1:26" x14ac:dyDescent="0.3">
      <c r="A117" s="48">
        <v>20180621</v>
      </c>
      <c r="B117" s="48" t="s">
        <v>88</v>
      </c>
      <c r="C117" s="79">
        <f>E117*F117*G117/T117</f>
        <v>0.88227320373964924</v>
      </c>
      <c r="D117" s="49">
        <v>47000</v>
      </c>
      <c r="E117" s="49">
        <v>47050</v>
      </c>
      <c r="F117" s="49">
        <v>6419324700</v>
      </c>
      <c r="G117" s="49">
        <v>1</v>
      </c>
      <c r="H117" s="48">
        <f>J117*K117*L117/T117</f>
        <v>0.10695973455458413</v>
      </c>
      <c r="I117" s="48">
        <v>297000</v>
      </c>
      <c r="J117" s="48">
        <v>292000</v>
      </c>
      <c r="K117" s="51">
        <v>125395903</v>
      </c>
      <c r="L117" s="48">
        <v>1</v>
      </c>
      <c r="M117" s="49">
        <f>O117*P117*Q117/T117</f>
        <v>1.0767061705766631E-2</v>
      </c>
      <c r="N117" s="49">
        <v>234400</v>
      </c>
      <c r="O117" s="49">
        <v>231000</v>
      </c>
      <c r="P117" s="49">
        <v>15956260</v>
      </c>
      <c r="Q117" s="49">
        <v>1</v>
      </c>
      <c r="R117" s="82">
        <f t="shared" si="5"/>
        <v>0</v>
      </c>
      <c r="S117" s="82">
        <f>IF(AND(R117=0,B117="N"),S116,S116*(D117*F117*G117+I117*K117*L117+N117*P117*Q117)/T116)</f>
        <v>358717483341809.62</v>
      </c>
      <c r="T117" s="81">
        <f>E117*F117*G117+J117*K117*L117+O117*P117*Q117</f>
        <v>342330726871000</v>
      </c>
      <c r="U117" s="80">
        <f t="shared" si="3"/>
        <v>954.31848953067265</v>
      </c>
      <c r="V117" s="52">
        <f t="shared" si="4"/>
        <v>-1.0512811045642809E-3</v>
      </c>
      <c r="W117" s="48">
        <f>(E117-D117)/D117</f>
        <v>1.0638297872340426E-3</v>
      </c>
      <c r="X117" s="48">
        <f>(J117-I117)/I117</f>
        <v>-1.6835016835016835E-2</v>
      </c>
      <c r="Y117" s="48">
        <f>(O117-N117)/N117</f>
        <v>-1.4505119453924915E-2</v>
      </c>
      <c r="Z117" s="48" t="e">
        <f>(#REF!-#REF!)/#REF!</f>
        <v>#REF!</v>
      </c>
    </row>
    <row r="118" spans="1:26" x14ac:dyDescent="0.3">
      <c r="A118" s="48">
        <v>20180622</v>
      </c>
      <c r="B118" s="48" t="s">
        <v>88</v>
      </c>
      <c r="C118" s="79">
        <f>E118*F118*G118/T118</f>
        <v>0.88154617161283544</v>
      </c>
      <c r="D118" s="49">
        <v>47050</v>
      </c>
      <c r="E118" s="49">
        <v>47250</v>
      </c>
      <c r="F118" s="49">
        <v>6419324700</v>
      </c>
      <c r="G118" s="49">
        <v>1</v>
      </c>
      <c r="H118" s="48">
        <f>J118*K118*L118/T118</f>
        <v>0.10769480140864839</v>
      </c>
      <c r="I118" s="48">
        <v>292000</v>
      </c>
      <c r="J118" s="48">
        <v>295500</v>
      </c>
      <c r="K118" s="51">
        <v>125395903</v>
      </c>
      <c r="L118" s="48">
        <v>1</v>
      </c>
      <c r="M118" s="49">
        <f>O118*P118*Q118/T118</f>
        <v>1.0759026978516198E-2</v>
      </c>
      <c r="N118" s="49">
        <v>231000</v>
      </c>
      <c r="O118" s="49">
        <v>232000</v>
      </c>
      <c r="P118" s="49">
        <v>15956260</v>
      </c>
      <c r="Q118" s="49">
        <v>1</v>
      </c>
      <c r="R118" s="82">
        <f t="shared" si="5"/>
        <v>0</v>
      </c>
      <c r="S118" s="82">
        <f>IF(AND(R118=0,B118="N"),S117,S117*(D118*F118*G118+I118*K118*L118+N118*P118*Q118)/T117)</f>
        <v>358717483341809.62</v>
      </c>
      <c r="T118" s="81">
        <f>E118*F118*G118+J118*K118*L118+O118*P118*Q118</f>
        <v>344069433731500</v>
      </c>
      <c r="U118" s="80">
        <f t="shared" si="3"/>
        <v>959.16549850358979</v>
      </c>
      <c r="V118" s="52">
        <f t="shared" si="4"/>
        <v>5.0790265787482164E-3</v>
      </c>
      <c r="W118" s="48">
        <f>(E118-D118)/D118</f>
        <v>4.2507970244420826E-3</v>
      </c>
      <c r="X118" s="48">
        <f>(J118-I118)/I118</f>
        <v>1.1986301369863013E-2</v>
      </c>
      <c r="Y118" s="48">
        <f>(O118-N118)/N118</f>
        <v>4.329004329004329E-3</v>
      </c>
      <c r="Z118" s="48" t="e">
        <f>(#REF!-#REF!)/#REF!</f>
        <v>#REF!</v>
      </c>
    </row>
    <row r="119" spans="1:26" x14ac:dyDescent="0.3">
      <c r="A119" s="48">
        <v>20180625</v>
      </c>
      <c r="B119" s="48" t="s">
        <v>88</v>
      </c>
      <c r="C119" s="79">
        <f>E119*F119*G119/T119</f>
        <v>0.88008837421808317</v>
      </c>
      <c r="D119" s="49">
        <v>47250</v>
      </c>
      <c r="E119" s="49">
        <v>46650</v>
      </c>
      <c r="F119" s="49">
        <v>6419324700</v>
      </c>
      <c r="G119" s="49">
        <v>1</v>
      </c>
      <c r="H119" s="48">
        <f>J119*K119*L119/T119</f>
        <v>0.10908382318020553</v>
      </c>
      <c r="I119" s="48">
        <v>295500</v>
      </c>
      <c r="J119" s="48">
        <v>296000</v>
      </c>
      <c r="K119" s="51">
        <v>125395903</v>
      </c>
      <c r="L119" s="48">
        <v>1</v>
      </c>
      <c r="M119" s="49">
        <f>O119*P119*Q119/T119</f>
        <v>1.082780260171126E-2</v>
      </c>
      <c r="N119" s="49">
        <v>232000</v>
      </c>
      <c r="O119" s="49">
        <v>230900</v>
      </c>
      <c r="P119" s="49">
        <v>15956260</v>
      </c>
      <c r="Q119" s="49">
        <v>1</v>
      </c>
      <c r="R119" s="82">
        <f t="shared" si="5"/>
        <v>0</v>
      </c>
      <c r="S119" s="82">
        <f>IF(AND(R119=0,B119="N"),S118,S118*(D119*F119*G119+I119*K119*L119+N119*P119*Q119)/T118)</f>
        <v>358717483341809.62</v>
      </c>
      <c r="T119" s="81">
        <f>E119*F119*G119+J119*K119*L119+O119*P119*Q119</f>
        <v>340262984977000</v>
      </c>
      <c r="U119" s="80">
        <f t="shared" si="3"/>
        <v>948.55422659389876</v>
      </c>
      <c r="V119" s="52">
        <f t="shared" si="4"/>
        <v>-1.1063025021485708E-2</v>
      </c>
      <c r="W119" s="48">
        <f>(E119-D119)/D119</f>
        <v>-1.2698412698412698E-2</v>
      </c>
      <c r="X119" s="48">
        <f>(J119-I119)/I119</f>
        <v>1.6920473773265651E-3</v>
      </c>
      <c r="Y119" s="48">
        <f>(O119-N119)/N119</f>
        <v>-4.7413793103448275E-3</v>
      </c>
      <c r="Z119" s="48" t="e">
        <f>(#REF!-#REF!)/#REF!</f>
        <v>#REF!</v>
      </c>
    </row>
    <row r="120" spans="1:26" x14ac:dyDescent="0.3">
      <c r="A120" s="48">
        <v>20180626</v>
      </c>
      <c r="B120" s="48" t="s">
        <v>88</v>
      </c>
      <c r="C120" s="79">
        <f>E120*F120*G120/T120</f>
        <v>0.87955581709325337</v>
      </c>
      <c r="D120" s="49">
        <v>46650</v>
      </c>
      <c r="E120" s="49">
        <v>47000</v>
      </c>
      <c r="F120" s="49">
        <v>6419324700</v>
      </c>
      <c r="G120" s="49">
        <v>1</v>
      </c>
      <c r="H120" s="48">
        <f>J120*K120*L120/T120</f>
        <v>0.11003378354270549</v>
      </c>
      <c r="I120" s="48">
        <v>296000</v>
      </c>
      <c r="J120" s="48">
        <v>301000</v>
      </c>
      <c r="K120" s="51">
        <v>125395903</v>
      </c>
      <c r="L120" s="48">
        <v>1</v>
      </c>
      <c r="M120" s="49">
        <f>O120*P120*Q120/T120</f>
        <v>1.0410399364041166E-2</v>
      </c>
      <c r="N120" s="49">
        <v>230900</v>
      </c>
      <c r="O120" s="49">
        <v>223800</v>
      </c>
      <c r="P120" s="49">
        <v>15956260</v>
      </c>
      <c r="Q120" s="49">
        <v>1</v>
      </c>
      <c r="R120" s="82">
        <f t="shared" si="5"/>
        <v>0</v>
      </c>
      <c r="S120" s="82">
        <f>IF(AND(R120=0,B120="N"),S119,S119*(D120*F120*G120+I120*K120*L120+N120*P120*Q120)/T119)</f>
        <v>358717483341809.62</v>
      </c>
      <c r="T120" s="81">
        <f>E120*F120*G120+J120*K120*L120+O120*P120*Q120</f>
        <v>343023438691000</v>
      </c>
      <c r="U120" s="80">
        <f t="shared" si="3"/>
        <v>956.24956858917494</v>
      </c>
      <c r="V120" s="52">
        <f t="shared" si="4"/>
        <v>8.1127064531765145E-3</v>
      </c>
      <c r="W120" s="48">
        <f>(E120-D120)/D120</f>
        <v>7.502679528403001E-3</v>
      </c>
      <c r="X120" s="48">
        <f>(J120-I120)/I120</f>
        <v>1.6891891891891893E-2</v>
      </c>
      <c r="Y120" s="48">
        <f>(O120-N120)/N120</f>
        <v>-3.0749242096145518E-2</v>
      </c>
      <c r="Z120" s="48" t="e">
        <f>(#REF!-#REF!)/#REF!</f>
        <v>#REF!</v>
      </c>
    </row>
    <row r="121" spans="1:26" x14ac:dyDescent="0.3">
      <c r="A121" s="48">
        <v>20180627</v>
      </c>
      <c r="B121" s="48" t="s">
        <v>88</v>
      </c>
      <c r="C121" s="79">
        <f>E121*F121*G121/T121</f>
        <v>0.88121028536254109</v>
      </c>
      <c r="D121" s="49">
        <v>47000</v>
      </c>
      <c r="E121" s="49">
        <v>47950</v>
      </c>
      <c r="F121" s="49">
        <v>6419324700</v>
      </c>
      <c r="G121" s="49">
        <v>1</v>
      </c>
      <c r="H121" s="48">
        <f>J121*K121*L121/T121</f>
        <v>0.10841562870724751</v>
      </c>
      <c r="I121" s="48">
        <v>301000</v>
      </c>
      <c r="J121" s="48">
        <v>302000</v>
      </c>
      <c r="K121" s="51">
        <v>125395903</v>
      </c>
      <c r="L121" s="48">
        <v>1</v>
      </c>
      <c r="M121" s="49">
        <f>O121*P121*Q121/T121</f>
        <v>1.0374085930211399E-2</v>
      </c>
      <c r="N121" s="49">
        <v>223800</v>
      </c>
      <c r="O121" s="49">
        <v>227100</v>
      </c>
      <c r="P121" s="49">
        <v>15956260</v>
      </c>
      <c r="Q121" s="49">
        <v>1</v>
      </c>
      <c r="R121" s="82">
        <f t="shared" si="5"/>
        <v>0</v>
      </c>
      <c r="S121" s="82">
        <f>IF(AND(R121=0,B121="N"),S120,S120*(D121*F121*G121+I121*K121*L121+N121*P121*Q121)/T120)</f>
        <v>358717483341809.62</v>
      </c>
      <c r="T121" s="81">
        <f>E121*F121*G121+J121*K121*L121+O121*P121*Q121</f>
        <v>349299848717000</v>
      </c>
      <c r="U121" s="80">
        <f t="shared" si="3"/>
        <v>973.74637406274428</v>
      </c>
      <c r="V121" s="52">
        <f t="shared" si="4"/>
        <v>1.8297321168346939E-2</v>
      </c>
      <c r="W121" s="48">
        <f>(E121-D121)/D121</f>
        <v>2.021276595744681E-2</v>
      </c>
      <c r="X121" s="48">
        <f>(J121-I121)/I121</f>
        <v>3.3222591362126247E-3</v>
      </c>
      <c r="Y121" s="48">
        <f>(O121-N121)/N121</f>
        <v>1.4745308310991957E-2</v>
      </c>
      <c r="Z121" s="48" t="e">
        <f>(#REF!-#REF!)/#REF!</f>
        <v>#REF!</v>
      </c>
    </row>
    <row r="122" spans="1:26" x14ac:dyDescent="0.3">
      <c r="A122" s="48">
        <v>20180628</v>
      </c>
      <c r="B122" s="48" t="s">
        <v>88</v>
      </c>
      <c r="C122" s="79">
        <f>E122*F122*G122/T122</f>
        <v>0.87991581878037073</v>
      </c>
      <c r="D122" s="49">
        <v>47950</v>
      </c>
      <c r="E122" s="49">
        <v>46800</v>
      </c>
      <c r="F122" s="49">
        <v>6419324700</v>
      </c>
      <c r="G122" s="49">
        <v>1</v>
      </c>
      <c r="H122" s="48">
        <f>J122*K122*L122/T122</f>
        <v>0.10944742292181453</v>
      </c>
      <c r="I122" s="48">
        <v>302000</v>
      </c>
      <c r="J122" s="48">
        <v>298000</v>
      </c>
      <c r="K122" s="51">
        <v>125395903</v>
      </c>
      <c r="L122" s="48">
        <v>1</v>
      </c>
      <c r="M122" s="49">
        <f>O122*P122*Q122/T122</f>
        <v>1.0636758297814691E-2</v>
      </c>
      <c r="N122" s="49">
        <v>227100</v>
      </c>
      <c r="O122" s="49">
        <v>227600</v>
      </c>
      <c r="P122" s="49">
        <v>15956260</v>
      </c>
      <c r="Q122" s="49">
        <v>1</v>
      </c>
      <c r="R122" s="82">
        <f t="shared" si="5"/>
        <v>0</v>
      </c>
      <c r="S122" s="82">
        <f>IF(AND(R122=0,B122="N"),S121,S121*(D122*F122*G122+I122*K122*L122+N122*P122*Q122)/T121)</f>
        <v>358717483341809.62</v>
      </c>
      <c r="T122" s="81">
        <f>E122*F122*G122+J122*K122*L122+O122*P122*Q122</f>
        <v>341424019830000</v>
      </c>
      <c r="U122" s="80">
        <f t="shared" si="3"/>
        <v>951.79085404284217</v>
      </c>
      <c r="V122" s="52">
        <f t="shared" si="4"/>
        <v>-2.2547472940307334E-2</v>
      </c>
      <c r="W122" s="48">
        <f>(E122-D122)/D122</f>
        <v>-2.3983315954118872E-2</v>
      </c>
      <c r="X122" s="48">
        <f>(J122-I122)/I122</f>
        <v>-1.3245033112582781E-2</v>
      </c>
      <c r="Y122" s="48">
        <f>(O122-N122)/N122</f>
        <v>2.2016732716864818E-3</v>
      </c>
      <c r="Z122" s="48" t="e">
        <f>(#REF!-#REF!)/#REF!</f>
        <v>#REF!</v>
      </c>
    </row>
    <row r="123" spans="1:26" x14ac:dyDescent="0.3">
      <c r="A123" s="48">
        <v>20180629</v>
      </c>
      <c r="B123" s="48" t="s">
        <v>88</v>
      </c>
      <c r="C123" s="79">
        <f>E123*F123*G123/T123</f>
        <v>0.87746969789835394</v>
      </c>
      <c r="D123" s="49">
        <v>46800</v>
      </c>
      <c r="E123" s="49">
        <v>46650</v>
      </c>
      <c r="F123" s="49">
        <v>6419324700</v>
      </c>
      <c r="G123" s="49">
        <v>1</v>
      </c>
      <c r="H123" s="48">
        <f>J123*K123*L123/T123</f>
        <v>0.11151497174418028</v>
      </c>
      <c r="I123" s="48">
        <v>298000</v>
      </c>
      <c r="J123" s="48">
        <v>303500</v>
      </c>
      <c r="K123" s="51">
        <v>125395903</v>
      </c>
      <c r="L123" s="48">
        <v>1</v>
      </c>
      <c r="M123" s="49">
        <f>O123*P123*Q123/T123</f>
        <v>1.1015330357465778E-2</v>
      </c>
      <c r="N123" s="49">
        <v>227600</v>
      </c>
      <c r="O123" s="49">
        <v>235600</v>
      </c>
      <c r="P123" s="49">
        <v>15956260</v>
      </c>
      <c r="Q123" s="49">
        <v>1</v>
      </c>
      <c r="R123" s="82">
        <f t="shared" si="5"/>
        <v>0</v>
      </c>
      <c r="S123" s="82">
        <f>IF(AND(R123=0,B123="N"),S122,S122*(D123*F123*G123+I123*K123*L123+N123*P123*Q123)/T122)</f>
        <v>358717483341809.62</v>
      </c>
      <c r="T123" s="81">
        <f>E123*F123*G123+J123*K123*L123+O123*P123*Q123</f>
        <v>341278448671500</v>
      </c>
      <c r="U123" s="80">
        <f t="shared" si="3"/>
        <v>951.38504399660781</v>
      </c>
      <c r="V123" s="52">
        <f t="shared" si="4"/>
        <v>-4.2636472551783752E-4</v>
      </c>
      <c r="W123" s="48">
        <f>(E123-D123)/D123</f>
        <v>-3.205128205128205E-3</v>
      </c>
      <c r="X123" s="48">
        <f>(J123-I123)/I123</f>
        <v>1.8456375838926176E-2</v>
      </c>
      <c r="Y123" s="48">
        <f>(O123-N123)/N123</f>
        <v>3.5149384885764502E-2</v>
      </c>
      <c r="Z123" s="48" t="e">
        <f>(#REF!-#REF!)/#REF!</f>
        <v>#REF!</v>
      </c>
    </row>
    <row r="124" spans="1:26" s="107" customFormat="1" x14ac:dyDescent="0.3">
      <c r="A124" s="99">
        <v>20180702</v>
      </c>
      <c r="B124" s="99" t="s">
        <v>89</v>
      </c>
      <c r="C124" s="100">
        <f>E124*F124*G124/T124</f>
        <v>0.87536987560037749</v>
      </c>
      <c r="D124" s="99">
        <v>46650</v>
      </c>
      <c r="E124" s="99">
        <v>45550</v>
      </c>
      <c r="F124" s="99">
        <v>6419324700</v>
      </c>
      <c r="G124" s="49">
        <v>1</v>
      </c>
      <c r="H124" s="101">
        <f>J124*K124*L124/T124</f>
        <v>0.11393467419630821</v>
      </c>
      <c r="I124" s="99">
        <v>303500</v>
      </c>
      <c r="J124" s="99">
        <v>303500</v>
      </c>
      <c r="K124" s="102">
        <v>125395903</v>
      </c>
      <c r="L124" s="48">
        <v>1</v>
      </c>
      <c r="M124" s="101">
        <f>O124*P124*Q124/T124</f>
        <v>1.0695450203314309E-2</v>
      </c>
      <c r="N124" s="99">
        <v>235600</v>
      </c>
      <c r="O124" s="99">
        <v>223900</v>
      </c>
      <c r="P124" s="99">
        <v>15956260</v>
      </c>
      <c r="Q124" s="49">
        <v>1</v>
      </c>
      <c r="R124" s="82">
        <f t="shared" si="5"/>
        <v>0</v>
      </c>
      <c r="S124" s="103">
        <f>IF(AND(R124=0,B124="N"),S123,S123*(D124*F124*G124+I124*K124*L124+N124*P124*Q124)/T123)</f>
        <v>358717483341809.62</v>
      </c>
      <c r="T124" s="104">
        <f>E124*F124*G124+J124*K124*L124+O124*P124*Q124</f>
        <v>334030503259500</v>
      </c>
      <c r="U124" s="105">
        <f t="shared" si="3"/>
        <v>931.17988046658365</v>
      </c>
      <c r="V124" s="106">
        <f t="shared" si="4"/>
        <v>-2.1237629976970915E-2</v>
      </c>
      <c r="W124" s="99">
        <f>(E124-D124)/D124</f>
        <v>-2.3579849946409433E-2</v>
      </c>
      <c r="X124" s="99">
        <f>(J124-I124)/I124</f>
        <v>0</v>
      </c>
      <c r="Y124" s="99">
        <f>(O124-N124)/N124</f>
        <v>-4.9660441426146007E-2</v>
      </c>
      <c r="Z124" s="99" t="e">
        <f>(#REF!-#REF!)/#REF!</f>
        <v>#REF!</v>
      </c>
    </row>
    <row r="125" spans="1:26" s="73" customFormat="1" x14ac:dyDescent="0.3">
      <c r="A125" s="48">
        <v>20180703</v>
      </c>
      <c r="B125" s="48" t="s">
        <v>88</v>
      </c>
      <c r="C125" s="79">
        <f>E125*F125*G125/T125</f>
        <v>0.87703199898788475</v>
      </c>
      <c r="D125" s="49">
        <v>45550</v>
      </c>
      <c r="E125" s="49">
        <v>46150</v>
      </c>
      <c r="F125" s="49">
        <v>6419324700</v>
      </c>
      <c r="G125" s="49">
        <v>1</v>
      </c>
      <c r="H125" s="48">
        <f>J125*K125*L125/T125</f>
        <v>0.11248131006850619</v>
      </c>
      <c r="I125" s="48">
        <v>303500</v>
      </c>
      <c r="J125" s="48">
        <v>303000</v>
      </c>
      <c r="K125" s="51">
        <v>125395903</v>
      </c>
      <c r="L125" s="48">
        <v>1</v>
      </c>
      <c r="M125" s="49">
        <f>O125*P125*Q125/T125</f>
        <v>1.0486690943609076E-2</v>
      </c>
      <c r="N125" s="49">
        <v>223900</v>
      </c>
      <c r="O125" s="49">
        <v>222000</v>
      </c>
      <c r="P125" s="49">
        <v>15956260</v>
      </c>
      <c r="Q125" s="49">
        <v>1</v>
      </c>
      <c r="R125" s="82">
        <f t="shared" si="5"/>
        <v>0</v>
      </c>
      <c r="S125" s="82">
        <f>IF(AND(R125=0,B125="N"),S124,S124*(D125*F125*G125+I125*K125*L125+N125*P125*Q125)/T124)</f>
        <v>358717483341809.62</v>
      </c>
      <c r="T125" s="81">
        <f>E125*F125*G125+J125*K125*L125+O125*P125*Q125</f>
        <v>337789083234000</v>
      </c>
      <c r="U125" s="80">
        <f t="shared" si="3"/>
        <v>941.65770814168081</v>
      </c>
      <c r="V125" s="52">
        <f t="shared" si="4"/>
        <v>1.1252205824987396E-2</v>
      </c>
      <c r="W125" s="48">
        <f>(E125-D125)/D125</f>
        <v>1.3172338090010977E-2</v>
      </c>
      <c r="X125" s="48">
        <f>(J125-I125)/I125</f>
        <v>-1.6474464579901153E-3</v>
      </c>
      <c r="Y125" s="48">
        <f>(O125-N125)/N125</f>
        <v>-8.4859312192943279E-3</v>
      </c>
      <c r="Z125" s="48" t="e">
        <f>(#REF!-#REF!)/#REF!</f>
        <v>#REF!</v>
      </c>
    </row>
    <row r="126" spans="1:26" x14ac:dyDescent="0.3">
      <c r="A126" s="48">
        <v>20180704</v>
      </c>
      <c r="B126" s="48" t="s">
        <v>88</v>
      </c>
      <c r="C126" s="79">
        <f>E126*F126*G126/T126</f>
        <v>0.88129049848500163</v>
      </c>
      <c r="D126" s="49">
        <v>46150</v>
      </c>
      <c r="E126" s="49">
        <v>46250</v>
      </c>
      <c r="F126" s="49">
        <v>6419324700</v>
      </c>
      <c r="G126" s="49">
        <v>1</v>
      </c>
      <c r="H126" s="48">
        <f>J126*K126*L126/T126</f>
        <v>0.10850254214441429</v>
      </c>
      <c r="I126" s="48">
        <v>303000</v>
      </c>
      <c r="J126" s="48">
        <v>291500</v>
      </c>
      <c r="K126" s="51">
        <v>125395903</v>
      </c>
      <c r="L126" s="48">
        <v>1</v>
      </c>
      <c r="M126" s="49">
        <f>O126*P126*Q126/T126</f>
        <v>1.0206959370584129E-2</v>
      </c>
      <c r="N126" s="49">
        <v>222000</v>
      </c>
      <c r="O126" s="49">
        <v>215500</v>
      </c>
      <c r="P126" s="49">
        <v>15956260</v>
      </c>
      <c r="Q126" s="49">
        <v>1</v>
      </c>
      <c r="R126" s="82">
        <f t="shared" si="5"/>
        <v>0</v>
      </c>
      <c r="S126" s="82">
        <f>IF(AND(R126=0,B126="N"),S125,S125*(D126*F126*G126+I126*K126*L126+N126*P126*Q126)/T125)</f>
        <v>358717483341809.62</v>
      </c>
      <c r="T126" s="81">
        <f>E126*F126*G126+J126*K126*L126+O126*P126*Q126</f>
        <v>336885247129500</v>
      </c>
      <c r="U126" s="80">
        <f t="shared" si="3"/>
        <v>939.13807598971573</v>
      </c>
      <c r="V126" s="52">
        <f t="shared" si="4"/>
        <v>-2.6757410152118489E-3</v>
      </c>
      <c r="W126" s="48">
        <f>(E126-D126)/D126</f>
        <v>2.1668472372697724E-3</v>
      </c>
      <c r="X126" s="48">
        <f>(J126-I126)/I126</f>
        <v>-3.7953795379537955E-2</v>
      </c>
      <c r="Y126" s="48">
        <f>(O126-N126)/N126</f>
        <v>-2.9279279279279279E-2</v>
      </c>
      <c r="Z126" s="48" t="e">
        <f>(#REF!-#REF!)/#REF!</f>
        <v>#REF!</v>
      </c>
    </row>
    <row r="127" spans="1:26" x14ac:dyDescent="0.3">
      <c r="A127" s="48">
        <v>20180705</v>
      </c>
      <c r="B127" s="48" t="s">
        <v>88</v>
      </c>
      <c r="C127" s="79">
        <f>E127*F127*G127/T127</f>
        <v>0.88401724712990015</v>
      </c>
      <c r="D127" s="49">
        <v>46250</v>
      </c>
      <c r="E127" s="49">
        <v>45950</v>
      </c>
      <c r="F127" s="49">
        <v>6419324700</v>
      </c>
      <c r="G127" s="49">
        <v>1</v>
      </c>
      <c r="H127" s="48">
        <f>J127*K127*L127/T127</f>
        <v>0.10597863814722645</v>
      </c>
      <c r="I127" s="48">
        <v>291500</v>
      </c>
      <c r="J127" s="48">
        <v>282000</v>
      </c>
      <c r="K127" s="51">
        <v>125395903</v>
      </c>
      <c r="L127" s="48">
        <v>1</v>
      </c>
      <c r="M127" s="49">
        <f>O127*P127*Q127/T127</f>
        <v>1.000411472287337E-2</v>
      </c>
      <c r="N127" s="49">
        <v>215500</v>
      </c>
      <c r="O127" s="49">
        <v>209200</v>
      </c>
      <c r="P127" s="49">
        <v>15956260</v>
      </c>
      <c r="Q127" s="49">
        <v>1</v>
      </c>
      <c r="R127" s="82">
        <f t="shared" si="5"/>
        <v>0</v>
      </c>
      <c r="S127" s="82">
        <f>IF(AND(R127=0,B127="N"),S126,S126*(D127*F127*G127+I127*K127*L127+N127*P127*Q127)/T126)</f>
        <v>358717483341809.62</v>
      </c>
      <c r="T127" s="81">
        <f>E127*F127*G127+J127*K127*L127+O127*P127*Q127</f>
        <v>333667664203000</v>
      </c>
      <c r="U127" s="80">
        <f t="shared" si="3"/>
        <v>930.16839071949971</v>
      </c>
      <c r="V127" s="52">
        <f t="shared" si="4"/>
        <v>-9.5509760487170834E-3</v>
      </c>
      <c r="W127" s="48">
        <f>(E127-D127)/D127</f>
        <v>-6.4864864864864862E-3</v>
      </c>
      <c r="X127" s="48">
        <f>(J127-I127)/I127</f>
        <v>-3.2590051457975985E-2</v>
      </c>
      <c r="Y127" s="48">
        <f>(O127-N127)/N127</f>
        <v>-2.923433874709977E-2</v>
      </c>
      <c r="Z127" s="48" t="e">
        <f>(#REF!-#REF!)/#REF!</f>
        <v>#REF!</v>
      </c>
    </row>
    <row r="128" spans="1:26" x14ac:dyDescent="0.3">
      <c r="A128" s="48">
        <v>20180706</v>
      </c>
      <c r="B128" s="48" t="s">
        <v>88</v>
      </c>
      <c r="C128" s="79">
        <f>E128*F128*G128/T128</f>
        <v>0.87875927470331305</v>
      </c>
      <c r="D128" s="49">
        <v>45950</v>
      </c>
      <c r="E128" s="49">
        <v>44900</v>
      </c>
      <c r="F128" s="49">
        <v>6419324700</v>
      </c>
      <c r="G128" s="49">
        <v>1</v>
      </c>
      <c r="H128" s="48">
        <f>J128*K128*L128/T128</f>
        <v>0.11067923595879815</v>
      </c>
      <c r="I128" s="48">
        <v>282000</v>
      </c>
      <c r="J128" s="48">
        <v>289500</v>
      </c>
      <c r="K128" s="51">
        <v>125395903</v>
      </c>
      <c r="L128" s="48">
        <v>1</v>
      </c>
      <c r="M128" s="49">
        <f>O128*P128*Q128/T128</f>
        <v>1.0561489337888773E-2</v>
      </c>
      <c r="N128" s="49">
        <v>209200</v>
      </c>
      <c r="O128" s="49">
        <v>217100</v>
      </c>
      <c r="P128" s="49">
        <v>15956260</v>
      </c>
      <c r="Q128" s="49">
        <v>1</v>
      </c>
      <c r="R128" s="82">
        <f t="shared" si="5"/>
        <v>0</v>
      </c>
      <c r="S128" s="82">
        <f>IF(AND(R128=0,B128="N"),S127,S127*(D128*F128*G128+I128*K128*L128+N128*P128*Q128)/T127)</f>
        <v>358717483341809.62</v>
      </c>
      <c r="T128" s="81">
        <f>E128*F128*G128+J128*K128*L128+O128*P128*Q128</f>
        <v>327993896994500</v>
      </c>
      <c r="U128" s="80">
        <f t="shared" si="3"/>
        <v>914.35157812468765</v>
      </c>
      <c r="V128" s="52">
        <f t="shared" si="4"/>
        <v>-1.7004246491947025E-2</v>
      </c>
      <c r="W128" s="48">
        <f>(E128-D128)/D128</f>
        <v>-2.2850924918389554E-2</v>
      </c>
      <c r="X128" s="48">
        <f>(J128-I128)/I128</f>
        <v>2.6595744680851064E-2</v>
      </c>
      <c r="Y128" s="48">
        <f>(O128-N128)/N128</f>
        <v>3.7762906309751432E-2</v>
      </c>
      <c r="Z128" s="48" t="e">
        <f>(#REF!-#REF!)/#REF!</f>
        <v>#REF!</v>
      </c>
    </row>
    <row r="129" spans="1:26" x14ac:dyDescent="0.3">
      <c r="A129" s="48">
        <v>20180709</v>
      </c>
      <c r="B129" s="48" t="s">
        <v>88</v>
      </c>
      <c r="C129" s="79">
        <f>E129*F129*G129/T129</f>
        <v>0.88173595604839861</v>
      </c>
      <c r="D129" s="49">
        <v>44900</v>
      </c>
      <c r="E129" s="49">
        <v>45600</v>
      </c>
      <c r="F129" s="49">
        <v>6419324700</v>
      </c>
      <c r="G129" s="49">
        <v>1</v>
      </c>
      <c r="H129" s="48">
        <f>J129*K129*L129/T129</f>
        <v>0.1072719195748669</v>
      </c>
      <c r="I129" s="48">
        <v>289500</v>
      </c>
      <c r="J129" s="48">
        <v>284000</v>
      </c>
      <c r="K129" s="51">
        <v>125395903</v>
      </c>
      <c r="L129" s="48">
        <v>1</v>
      </c>
      <c r="M129" s="49">
        <f>O129*P129*Q129/T129</f>
        <v>1.0992124376734479E-2</v>
      </c>
      <c r="N129" s="49">
        <v>217100</v>
      </c>
      <c r="O129" s="49">
        <v>228700</v>
      </c>
      <c r="P129" s="49">
        <v>15956260</v>
      </c>
      <c r="Q129" s="49">
        <v>1</v>
      </c>
      <c r="R129" s="82">
        <f t="shared" si="5"/>
        <v>0</v>
      </c>
      <c r="S129" s="82">
        <f>IF(AND(R129=0,B129="N"),S128,S128*(D129*F129*G129+I129*K129*L129+N129*P129*Q129)/T128)</f>
        <v>358717483341809.62</v>
      </c>
      <c r="T129" s="81">
        <f>E129*F129*G129+J129*K129*L129+O129*P129*Q129</f>
        <v>331982839434000</v>
      </c>
      <c r="U129" s="80">
        <f t="shared" si="3"/>
        <v>925.47158934448953</v>
      </c>
      <c r="V129" s="52">
        <f t="shared" si="4"/>
        <v>1.2161636164732988E-2</v>
      </c>
      <c r="W129" s="48">
        <f>(E129-D129)/D129</f>
        <v>1.5590200445434299E-2</v>
      </c>
      <c r="X129" s="48">
        <f>(J129-I129)/I129</f>
        <v>-1.8998272884283247E-2</v>
      </c>
      <c r="Y129" s="48">
        <f>(O129-N129)/N129</f>
        <v>5.3431598341777985E-2</v>
      </c>
      <c r="Z129" s="48" t="e">
        <f>(#REF!-#REF!)/#REF!</f>
        <v>#REF!</v>
      </c>
    </row>
    <row r="130" spans="1:26" x14ac:dyDescent="0.3">
      <c r="A130" s="48">
        <v>20180710</v>
      </c>
      <c r="B130" s="48" t="s">
        <v>88</v>
      </c>
      <c r="C130" s="79">
        <f>E130*F130*G130/T130</f>
        <v>0.88420745445497451</v>
      </c>
      <c r="D130" s="49">
        <v>45600</v>
      </c>
      <c r="E130" s="49">
        <v>46300</v>
      </c>
      <c r="F130" s="49">
        <v>6419324700</v>
      </c>
      <c r="G130" s="49">
        <v>1</v>
      </c>
      <c r="H130" s="48">
        <f>J130*K130*L130/T130</f>
        <v>0.10482708386345641</v>
      </c>
      <c r="I130" s="48">
        <v>284000</v>
      </c>
      <c r="J130" s="48">
        <v>281000</v>
      </c>
      <c r="K130" s="51">
        <v>125395903</v>
      </c>
      <c r="L130" s="48">
        <v>1</v>
      </c>
      <c r="M130" s="49">
        <f>O130*P130*Q130/T130</f>
        <v>1.096546168156909E-2</v>
      </c>
      <c r="N130" s="49">
        <v>228700</v>
      </c>
      <c r="O130" s="49">
        <v>231000</v>
      </c>
      <c r="P130" s="49">
        <v>15956260</v>
      </c>
      <c r="Q130" s="49">
        <v>1</v>
      </c>
      <c r="R130" s="82">
        <f t="shared" si="5"/>
        <v>0</v>
      </c>
      <c r="S130" s="82">
        <f>IF(AND(R130=0,B130="N"),S129,S129*(D130*F130*G130+I130*K130*L130+N130*P130*Q130)/T129)</f>
        <v>358717483341809.62</v>
      </c>
      <c r="T130" s="81">
        <f>E130*F130*G130+J130*K130*L130+O130*P130*Q130</f>
        <v>336136878413000</v>
      </c>
      <c r="U130" s="80">
        <f t="shared" si="3"/>
        <v>937.05184169322092</v>
      </c>
      <c r="V130" s="52">
        <f t="shared" si="4"/>
        <v>1.2512812367296625E-2</v>
      </c>
      <c r="W130" s="48">
        <f>(E130-D130)/D130</f>
        <v>1.5350877192982455E-2</v>
      </c>
      <c r="X130" s="48">
        <f>(J130-I130)/I130</f>
        <v>-1.0563380281690141E-2</v>
      </c>
      <c r="Y130" s="48">
        <f>(O130-N130)/N130</f>
        <v>1.0056843025797988E-2</v>
      </c>
      <c r="Z130" s="48" t="e">
        <f>(#REF!-#REF!)/#REF!</f>
        <v>#REF!</v>
      </c>
    </row>
    <row r="131" spans="1:26" x14ac:dyDescent="0.3">
      <c r="A131" s="48">
        <v>20180711</v>
      </c>
      <c r="B131" s="48" t="s">
        <v>88</v>
      </c>
      <c r="C131" s="79">
        <f>E131*F131*G131/T131</f>
        <v>0.88520385889467201</v>
      </c>
      <c r="D131" s="49">
        <v>46300</v>
      </c>
      <c r="E131" s="49">
        <v>46000</v>
      </c>
      <c r="F131" s="49">
        <v>6419324700</v>
      </c>
      <c r="G131" s="49">
        <v>1</v>
      </c>
      <c r="H131" s="48">
        <f>J131*K131*L131/T131</f>
        <v>0.10393805991422315</v>
      </c>
      <c r="I131" s="48">
        <v>281000</v>
      </c>
      <c r="J131" s="48">
        <v>276500</v>
      </c>
      <c r="K131" s="51">
        <v>125395903</v>
      </c>
      <c r="L131" s="48">
        <v>1</v>
      </c>
      <c r="M131" s="49">
        <f>O131*P131*Q131/T131</f>
        <v>1.0858081191104785E-2</v>
      </c>
      <c r="N131" s="49">
        <v>231000</v>
      </c>
      <c r="O131" s="49">
        <v>227000</v>
      </c>
      <c r="P131" s="49">
        <v>15956260</v>
      </c>
      <c r="Q131" s="49">
        <v>1</v>
      </c>
      <c r="R131" s="82">
        <f t="shared" si="5"/>
        <v>0</v>
      </c>
      <c r="S131" s="82">
        <f>IF(AND(R131=0,B131="N"),S130,S130*(D131*F131*G131+I131*K131*L131+N131*P131*Q131)/T130)</f>
        <v>358717483341809.62</v>
      </c>
      <c r="T131" s="81">
        <f>E131*F131*G131+J131*K131*L131+O131*P131*Q131</f>
        <v>333582974399500</v>
      </c>
      <c r="U131" s="80">
        <f t="shared" ref="U131:U194" si="6">T131/S131*1000</f>
        <v>929.93230018186807</v>
      </c>
      <c r="V131" s="52">
        <f t="shared" si="4"/>
        <v>-7.597809635044396E-3</v>
      </c>
      <c r="W131" s="48">
        <f>(E131-D131)/D131</f>
        <v>-6.4794816414686825E-3</v>
      </c>
      <c r="X131" s="48">
        <f>(J131-I131)/I131</f>
        <v>-1.601423487544484E-2</v>
      </c>
      <c r="Y131" s="48">
        <f>(O131-N131)/N131</f>
        <v>-1.7316017316017316E-2</v>
      </c>
      <c r="Z131" s="48" t="e">
        <f>(#REF!-#REF!)/#REF!</f>
        <v>#REF!</v>
      </c>
    </row>
    <row r="132" spans="1:26" x14ac:dyDescent="0.3">
      <c r="A132" s="48">
        <v>20180712</v>
      </c>
      <c r="B132" s="48" t="s">
        <v>88</v>
      </c>
      <c r="C132" s="79">
        <f>E132*F132*G132/T132</f>
        <v>0.88019558814736176</v>
      </c>
      <c r="D132" s="49">
        <v>46000</v>
      </c>
      <c r="E132" s="49">
        <v>45500</v>
      </c>
      <c r="F132" s="49">
        <v>6419324700</v>
      </c>
      <c r="G132" s="49">
        <v>1</v>
      </c>
      <c r="H132" s="48">
        <f>J132*K132*L132/T132</f>
        <v>0.10883141659316373</v>
      </c>
      <c r="I132" s="48">
        <v>276500</v>
      </c>
      <c r="J132" s="48">
        <v>288000</v>
      </c>
      <c r="K132" s="51">
        <v>125395903</v>
      </c>
      <c r="L132" s="48">
        <v>1</v>
      </c>
      <c r="M132" s="49">
        <f>O132*P132*Q132/T132</f>
        <v>1.097299525947453E-2</v>
      </c>
      <c r="N132" s="49">
        <v>227000</v>
      </c>
      <c r="O132" s="49">
        <v>228200</v>
      </c>
      <c r="P132" s="49">
        <v>15956260</v>
      </c>
      <c r="Q132" s="49">
        <v>1</v>
      </c>
      <c r="R132" s="82">
        <f t="shared" si="5"/>
        <v>0</v>
      </c>
      <c r="S132" s="82">
        <f>IF(AND(R132=0,B132="N"),S131,S131*(D132*F132*G132+I132*K132*L132+N132*P132*Q132)/T131)</f>
        <v>358717483341809.62</v>
      </c>
      <c r="T132" s="81">
        <f>E132*F132*G132+J132*K132*L132+O132*P132*Q132</f>
        <v>331834512446000</v>
      </c>
      <c r="U132" s="80">
        <f t="shared" si="6"/>
        <v>925.05809684722351</v>
      </c>
      <c r="V132" s="52">
        <f t="shared" ref="V132:V195" si="7">(U132-U131)/U131</f>
        <v>-5.2414604092053882E-3</v>
      </c>
      <c r="W132" s="48">
        <f>(E132-D132)/D132</f>
        <v>-1.0869565217391304E-2</v>
      </c>
      <c r="X132" s="48">
        <f>(J132-I132)/I132</f>
        <v>4.1591320072332731E-2</v>
      </c>
      <c r="Y132" s="48">
        <f>(O132-N132)/N132</f>
        <v>5.2863436123348016E-3</v>
      </c>
      <c r="Z132" s="48" t="e">
        <f>(#REF!-#REF!)/#REF!</f>
        <v>#REF!</v>
      </c>
    </row>
    <row r="133" spans="1:26" x14ac:dyDescent="0.3">
      <c r="A133" s="48">
        <v>20180713</v>
      </c>
      <c r="B133" s="48" t="s">
        <v>88</v>
      </c>
      <c r="C133" s="79">
        <f>E133*F133*G133/T133</f>
        <v>0.88216543475783771</v>
      </c>
      <c r="D133" s="49">
        <v>45500</v>
      </c>
      <c r="E133" s="49">
        <v>46500</v>
      </c>
      <c r="F133" s="49">
        <v>6419324700</v>
      </c>
      <c r="G133" s="49">
        <v>1</v>
      </c>
      <c r="H133" s="48">
        <f>J133*K133*L133/T133</f>
        <v>0.10672927901628111</v>
      </c>
      <c r="I133" s="48">
        <v>288000</v>
      </c>
      <c r="J133" s="48">
        <v>288000</v>
      </c>
      <c r="K133" s="51">
        <v>125395903</v>
      </c>
      <c r="L133" s="48">
        <v>1</v>
      </c>
      <c r="M133" s="49">
        <f>O133*P133*Q133/T133</f>
        <v>1.110528622588115E-2</v>
      </c>
      <c r="N133" s="49">
        <v>228200</v>
      </c>
      <c r="O133" s="49">
        <v>235500</v>
      </c>
      <c r="P133" s="49">
        <v>15956260</v>
      </c>
      <c r="Q133" s="49">
        <v>1</v>
      </c>
      <c r="R133" s="82">
        <f t="shared" ref="R133:R196" si="8">IF(T132&lt;&gt;(D133*F133*G133+I133*K133*L133+N133*P133*Q133),1,0)</f>
        <v>0</v>
      </c>
      <c r="S133" s="82">
        <f>IF(AND(R133=0,B133="N"),S132,S132*(D133*F133*G133+I133*K133*L133+N133*P133*Q133)/T132)</f>
        <v>358717483341809.62</v>
      </c>
      <c r="T133" s="81">
        <f>E133*F133*G133+J133*K133*L133+O133*P133*Q133</f>
        <v>338370317844000</v>
      </c>
      <c r="U133" s="80">
        <f t="shared" si="6"/>
        <v>943.27802116513647</v>
      </c>
      <c r="V133" s="52">
        <f t="shared" si="7"/>
        <v>1.9695978425582104E-2</v>
      </c>
      <c r="W133" s="48">
        <f>(E133-D133)/D133</f>
        <v>2.197802197802198E-2</v>
      </c>
      <c r="X133" s="48">
        <f>(J133-I133)/I133</f>
        <v>0</v>
      </c>
      <c r="Y133" s="48">
        <f>(O133-N133)/N133</f>
        <v>3.1989482909728306E-2</v>
      </c>
      <c r="Z133" s="48" t="e">
        <f>(#REF!-#REF!)/#REF!</f>
        <v>#REF!</v>
      </c>
    </row>
    <row r="134" spans="1:26" x14ac:dyDescent="0.3">
      <c r="A134" s="48">
        <v>20180716</v>
      </c>
      <c r="B134" s="48" t="s">
        <v>88</v>
      </c>
      <c r="C134" s="79">
        <f>E134*F134*G134/T134</f>
        <v>0.87895091077399012</v>
      </c>
      <c r="D134" s="49">
        <v>46500</v>
      </c>
      <c r="E134" s="49">
        <v>46050</v>
      </c>
      <c r="F134" s="49">
        <v>6419324700</v>
      </c>
      <c r="G134" s="49">
        <v>1</v>
      </c>
      <c r="H134" s="48">
        <f>J134*K134*L134/T134</f>
        <v>0.10943017536902841</v>
      </c>
      <c r="I134" s="48">
        <v>288000</v>
      </c>
      <c r="J134" s="48">
        <v>293500</v>
      </c>
      <c r="K134" s="51">
        <v>125395903</v>
      </c>
      <c r="L134" s="48">
        <v>1</v>
      </c>
      <c r="M134" s="49">
        <f>O134*P134*Q134/T134</f>
        <v>1.1618913856981461E-2</v>
      </c>
      <c r="N134" s="49">
        <v>235500</v>
      </c>
      <c r="O134" s="49">
        <v>244900</v>
      </c>
      <c r="P134" s="49">
        <v>15956260</v>
      </c>
      <c r="Q134" s="49">
        <v>1</v>
      </c>
      <c r="R134" s="82">
        <f t="shared" si="8"/>
        <v>0</v>
      </c>
      <c r="S134" s="82">
        <f>IF(AND(R134=0,B134="N"),S133,S133*(D134*F134*G134+I134*K134*L134+N134*P134*Q134)/T133)</f>
        <v>358717483341809.62</v>
      </c>
      <c r="T134" s="81">
        <f>E134*F134*G134+J134*K134*L134+O134*P134*Q134</f>
        <v>336321288039500</v>
      </c>
      <c r="U134" s="80">
        <f t="shared" si="6"/>
        <v>937.5659220909256</v>
      </c>
      <c r="V134" s="52">
        <f t="shared" si="7"/>
        <v>-6.0555837685641054E-3</v>
      </c>
      <c r="W134" s="48">
        <f>(E134-D134)/D134</f>
        <v>-9.6774193548387101E-3</v>
      </c>
      <c r="X134" s="48">
        <f>(J134-I134)/I134</f>
        <v>1.9097222222222224E-2</v>
      </c>
      <c r="Y134" s="48">
        <f>(O134-N134)/N134</f>
        <v>3.9915074309978767E-2</v>
      </c>
      <c r="Z134" s="48" t="e">
        <f>(#REF!-#REF!)/#REF!</f>
        <v>#REF!</v>
      </c>
    </row>
    <row r="135" spans="1:26" x14ac:dyDescent="0.3">
      <c r="A135" s="48">
        <v>20180717</v>
      </c>
      <c r="B135" s="48" t="s">
        <v>88</v>
      </c>
      <c r="C135" s="79">
        <f>E135*F135*G135/T135</f>
        <v>0.87821027481223879</v>
      </c>
      <c r="D135" s="49">
        <v>46050</v>
      </c>
      <c r="E135" s="49">
        <v>45850</v>
      </c>
      <c r="F135" s="49">
        <v>6419324700</v>
      </c>
      <c r="G135" s="49">
        <v>1</v>
      </c>
      <c r="H135" s="48">
        <f>J135*K135*L135/T135</f>
        <v>0.11056321601784094</v>
      </c>
      <c r="I135" s="48">
        <v>293500</v>
      </c>
      <c r="J135" s="48">
        <v>295500</v>
      </c>
      <c r="K135" s="51">
        <v>125395903</v>
      </c>
      <c r="L135" s="48">
        <v>1</v>
      </c>
      <c r="M135" s="49">
        <f>O135*P135*Q135/T135</f>
        <v>1.1226509169920258E-2</v>
      </c>
      <c r="N135" s="49">
        <v>244900</v>
      </c>
      <c r="O135" s="49">
        <v>235800</v>
      </c>
      <c r="P135" s="49">
        <v>15956260</v>
      </c>
      <c r="Q135" s="49">
        <v>1</v>
      </c>
      <c r="R135" s="82">
        <f t="shared" si="8"/>
        <v>0</v>
      </c>
      <c r="S135" s="82">
        <f>IF(AND(R135=0,B135="N"),S134,S134*(D135*F135*G135+I135*K135*L135+N135*P135*Q135)/T134)</f>
        <v>358717483341809.62</v>
      </c>
      <c r="T135" s="81">
        <f>E135*F135*G135+J135*K135*L135+O135*P135*Q135</f>
        <v>335143012939500</v>
      </c>
      <c r="U135" s="80">
        <f t="shared" si="6"/>
        <v>934.28123384818036</v>
      </c>
      <c r="V135" s="52">
        <f t="shared" si="7"/>
        <v>-3.5034211092270077E-3</v>
      </c>
      <c r="W135" s="48">
        <f>(E135-D135)/D135</f>
        <v>-4.3431053203040176E-3</v>
      </c>
      <c r="X135" s="48">
        <f>(J135-I135)/I135</f>
        <v>6.8143100511073255E-3</v>
      </c>
      <c r="Y135" s="48">
        <f>(O135-N135)/N135</f>
        <v>-3.7158023683135977E-2</v>
      </c>
      <c r="Z135" s="48" t="e">
        <f>(#REF!-#REF!)/#REF!</f>
        <v>#REF!</v>
      </c>
    </row>
    <row r="136" spans="1:26" x14ac:dyDescent="0.3">
      <c r="A136" s="48">
        <v>20180718</v>
      </c>
      <c r="B136" s="48" t="s">
        <v>88</v>
      </c>
      <c r="C136" s="79">
        <f>E136*F136*G136/T136</f>
        <v>0.88153298427748383</v>
      </c>
      <c r="D136" s="49">
        <v>45850</v>
      </c>
      <c r="E136" s="49">
        <v>46550</v>
      </c>
      <c r="F136" s="49">
        <v>6419324700</v>
      </c>
      <c r="G136" s="49">
        <v>1</v>
      </c>
      <c r="H136" s="48">
        <f>J136*K136*L136/T136</f>
        <v>0.10727805307365049</v>
      </c>
      <c r="I136" s="48">
        <v>295500</v>
      </c>
      <c r="J136" s="48">
        <v>290000</v>
      </c>
      <c r="K136" s="51">
        <v>125395903</v>
      </c>
      <c r="L136" s="48">
        <v>1</v>
      </c>
      <c r="M136" s="49">
        <f>O136*P136*Q136/T136</f>
        <v>1.1188962648865668E-2</v>
      </c>
      <c r="N136" s="49">
        <v>235800</v>
      </c>
      <c r="O136" s="49">
        <v>237700</v>
      </c>
      <c r="P136" s="49">
        <v>15956260</v>
      </c>
      <c r="Q136" s="49">
        <v>1</v>
      </c>
      <c r="R136" s="82">
        <f t="shared" si="8"/>
        <v>0</v>
      </c>
      <c r="S136" s="82">
        <f>IF(AND(R136=0,B136="N"),S135,S135*(D136*F136*G136+I136*K136*L136+N136*P136*Q136)/T135)</f>
        <v>358717483341809.62</v>
      </c>
      <c r="T136" s="81">
        <f>E136*F136*G136+J136*K136*L136+O136*P136*Q136</f>
        <v>338977179657000</v>
      </c>
      <c r="U136" s="80">
        <f t="shared" si="6"/>
        <v>944.96977537612861</v>
      </c>
      <c r="V136" s="52">
        <f t="shared" si="7"/>
        <v>1.1440389832003328E-2</v>
      </c>
      <c r="W136" s="48">
        <f>(E136-D136)/D136</f>
        <v>1.5267175572519083E-2</v>
      </c>
      <c r="X136" s="48">
        <f>(J136-I136)/I136</f>
        <v>-1.8612521150592216E-2</v>
      </c>
      <c r="Y136" s="48">
        <f>(O136-N136)/N136</f>
        <v>8.0576759966072935E-3</v>
      </c>
      <c r="Z136" s="48" t="e">
        <f>(#REF!-#REF!)/#REF!</f>
        <v>#REF!</v>
      </c>
    </row>
    <row r="137" spans="1:26" x14ac:dyDescent="0.3">
      <c r="A137" s="48">
        <v>20180719</v>
      </c>
      <c r="B137" s="48" t="s">
        <v>88</v>
      </c>
      <c r="C137" s="79">
        <f>E137*F137*G137/T137</f>
        <v>0.88304754393153617</v>
      </c>
      <c r="D137" s="49">
        <v>46550</v>
      </c>
      <c r="E137" s="49">
        <v>46900</v>
      </c>
      <c r="F137" s="49">
        <v>6419324700</v>
      </c>
      <c r="G137" s="49">
        <v>1</v>
      </c>
      <c r="H137" s="48">
        <f>J137*K137*L137/T137</f>
        <v>0.10610871749651221</v>
      </c>
      <c r="I137" s="48">
        <v>290000</v>
      </c>
      <c r="J137" s="48">
        <v>288500</v>
      </c>
      <c r="K137" s="51">
        <v>125395903</v>
      </c>
      <c r="L137" s="48">
        <v>1</v>
      </c>
      <c r="M137" s="49">
        <f>O137*P137*Q137/T137</f>
        <v>1.0843738571951665E-2</v>
      </c>
      <c r="N137" s="49">
        <v>237700</v>
      </c>
      <c r="O137" s="49">
        <v>231700</v>
      </c>
      <c r="P137" s="49">
        <v>15956260</v>
      </c>
      <c r="Q137" s="49">
        <v>1</v>
      </c>
      <c r="R137" s="82">
        <f t="shared" si="8"/>
        <v>0</v>
      </c>
      <c r="S137" s="82">
        <f>IF(AND(R137=0,B137="N"),S136,S136*(D137*F137*G137+I137*K137*L137+N137*P137*Q137)/T136)</f>
        <v>358717483341809.62</v>
      </c>
      <c r="T137" s="81">
        <f>E137*F137*G137+J137*K137*L137+O137*P137*Q137</f>
        <v>340940111887500</v>
      </c>
      <c r="U137" s="80">
        <f t="shared" si="6"/>
        <v>950.44185945804554</v>
      </c>
      <c r="V137" s="52">
        <f t="shared" si="7"/>
        <v>5.7907503758401853E-3</v>
      </c>
      <c r="W137" s="48">
        <f>(E137-D137)/D137</f>
        <v>7.5187969924812026E-3</v>
      </c>
      <c r="X137" s="48">
        <f>(J137-I137)/I137</f>
        <v>-5.1724137931034482E-3</v>
      </c>
      <c r="Y137" s="48">
        <f>(O137-N137)/N137</f>
        <v>-2.5241901556583929E-2</v>
      </c>
      <c r="Z137" s="48" t="e">
        <f>(#REF!-#REF!)/#REF!</f>
        <v>#REF!</v>
      </c>
    </row>
    <row r="138" spans="1:26" x14ac:dyDescent="0.3">
      <c r="A138" s="48">
        <v>20180720</v>
      </c>
      <c r="B138" s="48" t="s">
        <v>88</v>
      </c>
      <c r="C138" s="79">
        <f>E138*F138*G138/T138</f>
        <v>0.88551271651118191</v>
      </c>
      <c r="D138" s="49">
        <v>46900</v>
      </c>
      <c r="E138" s="49">
        <v>47450</v>
      </c>
      <c r="F138" s="49">
        <v>6419324700</v>
      </c>
      <c r="G138" s="49">
        <v>1</v>
      </c>
      <c r="H138" s="48">
        <f>J138*K138*L138/T138</f>
        <v>0.10407794337449189</v>
      </c>
      <c r="I138" s="48">
        <v>288500</v>
      </c>
      <c r="J138" s="48">
        <v>285500</v>
      </c>
      <c r="K138" s="51">
        <v>125395903</v>
      </c>
      <c r="L138" s="48">
        <v>1</v>
      </c>
      <c r="M138" s="49">
        <f>O138*P138*Q138/T138</f>
        <v>1.0409340114326206E-2</v>
      </c>
      <c r="N138" s="49">
        <v>231700</v>
      </c>
      <c r="O138" s="49">
        <v>224400</v>
      </c>
      <c r="P138" s="49">
        <v>15956260</v>
      </c>
      <c r="Q138" s="49">
        <v>1</v>
      </c>
      <c r="R138" s="82">
        <f t="shared" si="8"/>
        <v>0</v>
      </c>
      <c r="S138" s="82">
        <f>IF(AND(R138=0,B138="N"),S137,S137*(D138*F138*G138+I138*K138*L138+N138*P138*Q138)/T137)</f>
        <v>358717483341809.62</v>
      </c>
      <c r="T138" s="81">
        <f>E138*F138*G138+J138*K138*L138+O138*P138*Q138</f>
        <v>343978072065500</v>
      </c>
      <c r="U138" s="80">
        <f t="shared" si="6"/>
        <v>958.91080875401622</v>
      </c>
      <c r="V138" s="52">
        <f t="shared" si="7"/>
        <v>8.9105390421248699E-3</v>
      </c>
      <c r="W138" s="48">
        <f>(E138-D138)/D138</f>
        <v>1.1727078891257996E-2</v>
      </c>
      <c r="X138" s="48">
        <f>(J138-I138)/I138</f>
        <v>-1.0398613518197574E-2</v>
      </c>
      <c r="Y138" s="48">
        <f>(O138-N138)/N138</f>
        <v>-3.1506258092360809E-2</v>
      </c>
      <c r="Z138" s="48" t="e">
        <f>(#REF!-#REF!)/#REF!</f>
        <v>#REF!</v>
      </c>
    </row>
    <row r="139" spans="1:26" x14ac:dyDescent="0.3">
      <c r="A139" s="48">
        <v>20180723</v>
      </c>
      <c r="B139" s="48" t="s">
        <v>88</v>
      </c>
      <c r="C139" s="79">
        <f>E139*F139*G139/T139</f>
        <v>0.89001816353861385</v>
      </c>
      <c r="D139" s="49">
        <v>47450</v>
      </c>
      <c r="E139" s="49">
        <v>46500</v>
      </c>
      <c r="F139" s="49">
        <v>6419324700</v>
      </c>
      <c r="G139" s="49">
        <v>1</v>
      </c>
      <c r="H139" s="48">
        <f>J139*K139*L139/T139</f>
        <v>0.10001467014807111</v>
      </c>
      <c r="I139" s="48">
        <v>285500</v>
      </c>
      <c r="J139" s="48">
        <v>267500</v>
      </c>
      <c r="K139" s="51">
        <v>125395903</v>
      </c>
      <c r="L139" s="48">
        <v>1</v>
      </c>
      <c r="M139" s="49">
        <f>O139*P139*Q139/T139</f>
        <v>9.9671663133150176E-3</v>
      </c>
      <c r="N139" s="49">
        <v>224400</v>
      </c>
      <c r="O139" s="49">
        <v>209500</v>
      </c>
      <c r="P139" s="49">
        <v>15956260</v>
      </c>
      <c r="Q139" s="49">
        <v>1</v>
      </c>
      <c r="R139" s="82">
        <f t="shared" si="8"/>
        <v>0</v>
      </c>
      <c r="S139" s="82">
        <f>IF(AND(R139=0,B139="N"),S138,S138*(D139*F139*G139+I139*K139*L139+N139*P139*Q139)/T138)</f>
        <v>358717483341809.62</v>
      </c>
      <c r="T139" s="81">
        <f>E139*F139*G139+J139*K139*L139+O139*P139*Q139</f>
        <v>335384839072500</v>
      </c>
      <c r="U139" s="80">
        <f t="shared" si="6"/>
        <v>934.95537476472327</v>
      </c>
      <c r="V139" s="52">
        <f t="shared" si="7"/>
        <v>-2.4981920915481192E-2</v>
      </c>
      <c r="W139" s="48">
        <f>(E139-D139)/D139</f>
        <v>-2.0021074815595362E-2</v>
      </c>
      <c r="X139" s="48">
        <f>(J139-I139)/I139</f>
        <v>-6.3047285464098074E-2</v>
      </c>
      <c r="Y139" s="48">
        <f>(O139-N139)/N139</f>
        <v>-6.6399286987522288E-2</v>
      </c>
      <c r="Z139" s="48" t="e">
        <f>(#REF!-#REF!)/#REF!</f>
        <v>#REF!</v>
      </c>
    </row>
    <row r="140" spans="1:26" x14ac:dyDescent="0.3">
      <c r="A140" s="48">
        <v>20180724</v>
      </c>
      <c r="B140" s="48" t="s">
        <v>88</v>
      </c>
      <c r="C140" s="79">
        <f>E140*F140*G140/T140</f>
        <v>0.89033599413350306</v>
      </c>
      <c r="D140" s="49">
        <v>46500</v>
      </c>
      <c r="E140" s="49">
        <v>46150</v>
      </c>
      <c r="F140" s="49">
        <v>6419324700</v>
      </c>
      <c r="G140" s="49">
        <v>1</v>
      </c>
      <c r="H140" s="48">
        <f>J140*K140*L140/T140</f>
        <v>9.9867022893874391E-2</v>
      </c>
      <c r="I140" s="48">
        <v>267500</v>
      </c>
      <c r="J140" s="48">
        <v>265000</v>
      </c>
      <c r="K140" s="51">
        <v>125395903</v>
      </c>
      <c r="L140" s="48">
        <v>1</v>
      </c>
      <c r="M140" s="49">
        <f>O140*P140*Q140/T140</f>
        <v>9.7969829726225321E-3</v>
      </c>
      <c r="N140" s="49">
        <v>209500</v>
      </c>
      <c r="O140" s="49">
        <v>204300</v>
      </c>
      <c r="P140" s="49">
        <v>15956260</v>
      </c>
      <c r="Q140" s="49">
        <v>1</v>
      </c>
      <c r="R140" s="82">
        <f t="shared" si="8"/>
        <v>0</v>
      </c>
      <c r="S140" s="82">
        <f>IF(AND(R140=0,B140="N"),S139,S139*(D140*F140*G140+I140*K140*L140+N140*P140*Q140)/T139)</f>
        <v>358717483341809.62</v>
      </c>
      <c r="T140" s="81">
        <f>E140*F140*G140+J140*K140*L140+O140*P140*Q140</f>
        <v>332741613118000</v>
      </c>
      <c r="U140" s="80">
        <f t="shared" si="6"/>
        <v>927.58682966378285</v>
      </c>
      <c r="V140" s="52">
        <f t="shared" si="7"/>
        <v>-7.8811730482801698E-3</v>
      </c>
      <c r="W140" s="48">
        <f>(E140-D140)/D140</f>
        <v>-7.526881720430108E-3</v>
      </c>
      <c r="X140" s="48">
        <f>(J140-I140)/I140</f>
        <v>-9.3457943925233638E-3</v>
      </c>
      <c r="Y140" s="48">
        <f>(O140-N140)/N140</f>
        <v>-2.4821002386634844E-2</v>
      </c>
      <c r="Z140" s="48" t="e">
        <f>(#REF!-#REF!)/#REF!</f>
        <v>#REF!</v>
      </c>
    </row>
    <row r="141" spans="1:26" x14ac:dyDescent="0.3">
      <c r="A141" s="48">
        <v>20180725</v>
      </c>
      <c r="B141" s="48" t="s">
        <v>88</v>
      </c>
      <c r="C141" s="79">
        <f>E141*F141*G141/T141</f>
        <v>0.89552025082528974</v>
      </c>
      <c r="D141" s="49">
        <v>46150</v>
      </c>
      <c r="E141" s="49">
        <v>46150</v>
      </c>
      <c r="F141" s="49">
        <v>6419324700</v>
      </c>
      <c r="G141" s="49">
        <v>1</v>
      </c>
      <c r="H141" s="48">
        <f>J141*K141*L141/T141</f>
        <v>9.5141814754671206E-2</v>
      </c>
      <c r="I141" s="48">
        <v>265000</v>
      </c>
      <c r="J141" s="48">
        <v>251000</v>
      </c>
      <c r="K141" s="51">
        <v>125395903</v>
      </c>
      <c r="L141" s="48">
        <v>1</v>
      </c>
      <c r="M141" s="49">
        <f>O141*P141*Q141/T141</f>
        <v>9.3379344200390738E-3</v>
      </c>
      <c r="N141" s="49">
        <v>204300</v>
      </c>
      <c r="O141" s="49">
        <v>193600</v>
      </c>
      <c r="P141" s="49">
        <v>15956260</v>
      </c>
      <c r="Q141" s="49">
        <v>1</v>
      </c>
      <c r="R141" s="82">
        <f t="shared" si="8"/>
        <v>0</v>
      </c>
      <c r="S141" s="82">
        <f>IF(AND(R141=0,B141="N"),S140,S140*(D141*F141*G141+I141*K141*L141+N141*P141*Q141)/T140)</f>
        <v>358717483341809.62</v>
      </c>
      <c r="T141" s="81">
        <f>E141*F141*G141+J141*K141*L141+O141*P141*Q141</f>
        <v>330815338494000</v>
      </c>
      <c r="U141" s="80">
        <f t="shared" si="6"/>
        <v>922.2169363258422</v>
      </c>
      <c r="V141" s="52">
        <f t="shared" si="7"/>
        <v>-5.7891004553040576E-3</v>
      </c>
      <c r="W141" s="48">
        <f>(E141-D141)/D141</f>
        <v>0</v>
      </c>
      <c r="X141" s="48">
        <f>(J141-I141)/I141</f>
        <v>-5.2830188679245285E-2</v>
      </c>
      <c r="Y141" s="48">
        <f>(O141-N141)/N141</f>
        <v>-5.2373959862946649E-2</v>
      </c>
      <c r="Z141" s="48" t="e">
        <f>(#REF!-#REF!)/#REF!</f>
        <v>#REF!</v>
      </c>
    </row>
    <row r="142" spans="1:26" x14ac:dyDescent="0.3">
      <c r="A142" s="48">
        <v>20180726</v>
      </c>
      <c r="B142" s="48" t="s">
        <v>88</v>
      </c>
      <c r="C142" s="79">
        <f>E142*F142*G142/T142</f>
        <v>0.89564340631541051</v>
      </c>
      <c r="D142" s="49">
        <v>46150</v>
      </c>
      <c r="E142" s="49">
        <v>46900</v>
      </c>
      <c r="F142" s="49">
        <v>6419324700</v>
      </c>
      <c r="G142" s="49">
        <v>1</v>
      </c>
      <c r="H142" s="48">
        <f>J142*K142*L142/T142</f>
        <v>9.4938874884937685E-2</v>
      </c>
      <c r="I142" s="48">
        <v>251000</v>
      </c>
      <c r="J142" s="48">
        <v>254500</v>
      </c>
      <c r="K142" s="51">
        <v>125395903</v>
      </c>
      <c r="L142" s="48">
        <v>1</v>
      </c>
      <c r="M142" s="49">
        <f>O142*P142*Q142/T142</f>
        <v>9.4177187996517513E-3</v>
      </c>
      <c r="N142" s="49">
        <v>193600</v>
      </c>
      <c r="O142" s="49">
        <v>198400</v>
      </c>
      <c r="P142" s="49">
        <v>15956260</v>
      </c>
      <c r="Q142" s="49">
        <v>1</v>
      </c>
      <c r="R142" s="82">
        <f t="shared" si="8"/>
        <v>0</v>
      </c>
      <c r="S142" s="82">
        <f>IF(AND(R142=0,B142="N"),S141,S141*(D142*F142*G142+I142*K142*L142+N142*P142*Q142)/T141)</f>
        <v>358717483341809.62</v>
      </c>
      <c r="T142" s="81">
        <f>E142*F142*G142+J142*K142*L142+O142*P142*Q142</f>
        <v>336145307727500</v>
      </c>
      <c r="U142" s="80">
        <f t="shared" si="6"/>
        <v>937.07534017013222</v>
      </c>
      <c r="V142" s="52">
        <f t="shared" si="7"/>
        <v>1.6111614587655088E-2</v>
      </c>
      <c r="W142" s="48">
        <f>(E142-D142)/D142</f>
        <v>1.6251354279523293E-2</v>
      </c>
      <c r="X142" s="48">
        <f>(J142-I142)/I142</f>
        <v>1.3944223107569721E-2</v>
      </c>
      <c r="Y142" s="48">
        <f>(O142-N142)/N142</f>
        <v>2.4793388429752067E-2</v>
      </c>
      <c r="Z142" s="48" t="e">
        <f>(#REF!-#REF!)/#REF!</f>
        <v>#REF!</v>
      </c>
    </row>
    <row r="143" spans="1:26" x14ac:dyDescent="0.3">
      <c r="A143" s="48">
        <v>20180727</v>
      </c>
      <c r="B143" s="48" t="s">
        <v>88</v>
      </c>
      <c r="C143" s="79">
        <f>E143*F143*G143/T143</f>
        <v>0.89492898745234717</v>
      </c>
      <c r="D143" s="49">
        <v>46900</v>
      </c>
      <c r="E143" s="49">
        <v>46900</v>
      </c>
      <c r="F143" s="49">
        <v>6419324700</v>
      </c>
      <c r="G143" s="49">
        <v>1</v>
      </c>
      <c r="H143" s="48">
        <f>J143*K143*L143/T143</f>
        <v>9.5608632360142179E-2</v>
      </c>
      <c r="I143" s="48">
        <v>254500</v>
      </c>
      <c r="J143" s="48">
        <v>256500</v>
      </c>
      <c r="K143" s="51">
        <v>125395903</v>
      </c>
      <c r="L143" s="48">
        <v>1</v>
      </c>
      <c r="M143" s="49">
        <f>O143*P143*Q143/T143</f>
        <v>9.4623801875106765E-3</v>
      </c>
      <c r="N143" s="49">
        <v>198400</v>
      </c>
      <c r="O143" s="49">
        <v>199500</v>
      </c>
      <c r="P143" s="49">
        <v>15956260</v>
      </c>
      <c r="Q143" s="49">
        <v>1</v>
      </c>
      <c r="R143" s="82">
        <f t="shared" si="8"/>
        <v>0</v>
      </c>
      <c r="S143" s="82">
        <f>IF(AND(R143=0,B143="N"),S142,S142*(D143*F143*G143+I143*K143*L143+N143*P143*Q143)/T142)</f>
        <v>358717483341809.62</v>
      </c>
      <c r="T143" s="81">
        <f>E143*F143*G143+J143*K143*L143+O143*P143*Q143</f>
        <v>336413651419500</v>
      </c>
      <c r="U143" s="80">
        <f t="shared" si="6"/>
        <v>937.82340432775322</v>
      </c>
      <c r="V143" s="52">
        <f t="shared" si="7"/>
        <v>7.9829670630878608E-4</v>
      </c>
      <c r="W143" s="48">
        <f>(E143-D143)/D143</f>
        <v>0</v>
      </c>
      <c r="X143" s="48">
        <f>(J143-I143)/I143</f>
        <v>7.8585461689587421E-3</v>
      </c>
      <c r="Y143" s="48">
        <f>(O143-N143)/N143</f>
        <v>5.5443548387096777E-3</v>
      </c>
      <c r="Z143" s="48" t="e">
        <f>(#REF!-#REF!)/#REF!</f>
        <v>#REF!</v>
      </c>
    </row>
    <row r="144" spans="1:26" x14ac:dyDescent="0.3">
      <c r="A144" s="48">
        <v>20180730</v>
      </c>
      <c r="B144" s="48" t="s">
        <v>88</v>
      </c>
      <c r="C144" s="79">
        <f>E144*F144*G144/T144</f>
        <v>0.89392482024661546</v>
      </c>
      <c r="D144" s="49">
        <v>46900</v>
      </c>
      <c r="E144" s="49">
        <v>46500</v>
      </c>
      <c r="F144" s="49">
        <v>6419324700</v>
      </c>
      <c r="G144" s="49">
        <v>1</v>
      </c>
      <c r="H144" s="48">
        <f>J144*K144*L144/T144</f>
        <v>9.6886162056072242E-2</v>
      </c>
      <c r="I144" s="48">
        <v>256500</v>
      </c>
      <c r="J144" s="48">
        <v>258000</v>
      </c>
      <c r="K144" s="51">
        <v>125395903</v>
      </c>
      <c r="L144" s="48">
        <v>1</v>
      </c>
      <c r="M144" s="49">
        <f>O144*P144*Q144/T144</f>
        <v>9.1890176973123284E-3</v>
      </c>
      <c r="N144" s="49">
        <v>199500</v>
      </c>
      <c r="O144" s="49">
        <v>192300</v>
      </c>
      <c r="P144" s="49">
        <v>15956260</v>
      </c>
      <c r="Q144" s="49">
        <v>1</v>
      </c>
      <c r="R144" s="82">
        <f t="shared" si="8"/>
        <v>0</v>
      </c>
      <c r="S144" s="82">
        <f>IF(AND(R144=0,B144="N"),S143,S143*(D144*F144*G144+I144*K144*L144+N144*P144*Q144)/T143)</f>
        <v>358717483341809.62</v>
      </c>
      <c r="T144" s="81">
        <f>E144*F144*G144+J144*K144*L144+O144*P144*Q144</f>
        <v>333919130322000</v>
      </c>
      <c r="U144" s="80">
        <f t="shared" si="6"/>
        <v>930.86940511293642</v>
      </c>
      <c r="V144" s="52">
        <f t="shared" si="7"/>
        <v>-7.4150412356167863E-3</v>
      </c>
      <c r="W144" s="48">
        <f>(E144-D144)/D144</f>
        <v>-8.5287846481876331E-3</v>
      </c>
      <c r="X144" s="48">
        <f>(J144-I144)/I144</f>
        <v>5.8479532163742687E-3</v>
      </c>
      <c r="Y144" s="48">
        <f>(O144-N144)/N144</f>
        <v>-3.6090225563909777E-2</v>
      </c>
      <c r="Z144" s="48" t="e">
        <f>(#REF!-#REF!)/#REF!</f>
        <v>#REF!</v>
      </c>
    </row>
    <row r="145" spans="1:26" x14ac:dyDescent="0.3">
      <c r="A145" s="48">
        <v>20180731</v>
      </c>
      <c r="B145" s="48" t="s">
        <v>88</v>
      </c>
      <c r="C145" s="79">
        <f>E145*F145*G145/T145</f>
        <v>0.88857460404885436</v>
      </c>
      <c r="D145" s="49">
        <v>46500</v>
      </c>
      <c r="E145" s="49">
        <v>46250</v>
      </c>
      <c r="F145" s="49">
        <v>6419324700</v>
      </c>
      <c r="G145" s="49">
        <v>1</v>
      </c>
      <c r="H145" s="48">
        <f>J145*K145*L145/T145</f>
        <v>0.10189338665240891</v>
      </c>
      <c r="I145" s="48">
        <v>258000</v>
      </c>
      <c r="J145" s="48">
        <v>271500</v>
      </c>
      <c r="K145" s="51">
        <v>125395903</v>
      </c>
      <c r="L145" s="48">
        <v>1</v>
      </c>
      <c r="M145" s="49">
        <f>O145*P145*Q145/T145</f>
        <v>9.5320092987367117E-3</v>
      </c>
      <c r="N145" s="49">
        <v>192300</v>
      </c>
      <c r="O145" s="49">
        <v>199600</v>
      </c>
      <c r="P145" s="49">
        <v>15956260</v>
      </c>
      <c r="Q145" s="49">
        <v>1</v>
      </c>
      <c r="R145" s="82">
        <f t="shared" si="8"/>
        <v>0</v>
      </c>
      <c r="S145" s="82">
        <f>IF(AND(R145=0,B145="N"),S144,S144*(D145*F145*G145+I145*K145*L145+N145*P145*Q145)/T144)</f>
        <v>358717483341809.62</v>
      </c>
      <c r="T145" s="81">
        <f>E145*F145*G145+J145*K145*L145+O145*P145*Q145</f>
        <v>334123624535500</v>
      </c>
      <c r="U145" s="80">
        <f t="shared" si="6"/>
        <v>931.43947549700283</v>
      </c>
      <c r="V145" s="52">
        <f t="shared" si="7"/>
        <v>6.1240640301981871E-4</v>
      </c>
      <c r="W145" s="48">
        <f>(E145-D145)/D145</f>
        <v>-5.3763440860215058E-3</v>
      </c>
      <c r="X145" s="48">
        <f>(J145-I145)/I145</f>
        <v>5.232558139534884E-2</v>
      </c>
      <c r="Y145" s="48">
        <f>(O145-N145)/N145</f>
        <v>3.7961518460738426E-2</v>
      </c>
      <c r="Z145" s="48" t="e">
        <f>(#REF!-#REF!)/#REF!</f>
        <v>#REF!</v>
      </c>
    </row>
    <row r="146" spans="1:26" x14ac:dyDescent="0.3">
      <c r="A146" s="48">
        <v>20180801</v>
      </c>
      <c r="B146" s="48" t="s">
        <v>88</v>
      </c>
      <c r="C146" s="79">
        <f>E146*F146*G146/T146</f>
        <v>0.88591825341635211</v>
      </c>
      <c r="D146" s="49">
        <v>46250</v>
      </c>
      <c r="E146" s="49">
        <v>46550</v>
      </c>
      <c r="F146" s="49">
        <v>6419324700</v>
      </c>
      <c r="G146" s="49">
        <v>1</v>
      </c>
      <c r="H146" s="48">
        <f>J146*K146*L146/T146</f>
        <v>0.10427995471473636</v>
      </c>
      <c r="I146" s="48">
        <v>271500</v>
      </c>
      <c r="J146" s="48">
        <v>280500</v>
      </c>
      <c r="K146" s="51">
        <v>125395903</v>
      </c>
      <c r="L146" s="48">
        <v>1</v>
      </c>
      <c r="M146" s="49">
        <f>O146*P146*Q146/T146</f>
        <v>9.8017918689115198E-3</v>
      </c>
      <c r="N146" s="49">
        <v>199600</v>
      </c>
      <c r="O146" s="49">
        <v>207200</v>
      </c>
      <c r="P146" s="49">
        <v>15956260</v>
      </c>
      <c r="Q146" s="49">
        <v>1</v>
      </c>
      <c r="R146" s="82">
        <f t="shared" si="8"/>
        <v>0</v>
      </c>
      <c r="S146" s="82">
        <f>IF(AND(R146=0,B146="N"),S145,S145*(D146*F146*G146+I146*K146*L146+N146*P146*Q146)/T145)</f>
        <v>358717483341809.62</v>
      </c>
      <c r="T146" s="81">
        <f>E146*F146*G146+J146*K146*L146+O146*P146*Q146</f>
        <v>337299252648500</v>
      </c>
      <c r="U146" s="80">
        <f t="shared" si="6"/>
        <v>940.29220295097537</v>
      </c>
      <c r="V146" s="52">
        <f t="shared" si="7"/>
        <v>9.5043507247197616E-3</v>
      </c>
      <c r="W146" s="48">
        <f>(E146-D146)/D146</f>
        <v>6.4864864864864862E-3</v>
      </c>
      <c r="X146" s="48">
        <f>(J146-I146)/I146</f>
        <v>3.3149171270718231E-2</v>
      </c>
      <c r="Y146" s="48">
        <f>(O146-N146)/N146</f>
        <v>3.8076152304609222E-2</v>
      </c>
      <c r="Z146" s="48" t="e">
        <f>(#REF!-#REF!)/#REF!</f>
        <v>#REF!</v>
      </c>
    </row>
    <row r="147" spans="1:26" x14ac:dyDescent="0.3">
      <c r="A147" s="48">
        <v>20180802</v>
      </c>
      <c r="B147" s="48" t="s">
        <v>88</v>
      </c>
      <c r="C147" s="79">
        <f>E147*F147*G147/T147</f>
        <v>0.88374935653105924</v>
      </c>
      <c r="D147" s="49">
        <v>46550</v>
      </c>
      <c r="E147" s="49">
        <v>45550</v>
      </c>
      <c r="F147" s="49">
        <v>6419324700</v>
      </c>
      <c r="G147" s="49">
        <v>1</v>
      </c>
      <c r="H147" s="48">
        <f>J147*K147*L147/T147</f>
        <v>0.10668740018277724</v>
      </c>
      <c r="I147" s="48">
        <v>280500</v>
      </c>
      <c r="J147" s="48">
        <v>281500</v>
      </c>
      <c r="K147" s="51">
        <v>125395903</v>
      </c>
      <c r="L147" s="48">
        <v>1</v>
      </c>
      <c r="M147" s="49">
        <f>O147*P147*Q147/T147</f>
        <v>9.5632432861634739E-3</v>
      </c>
      <c r="N147" s="49">
        <v>207200</v>
      </c>
      <c r="O147" s="49">
        <v>198300</v>
      </c>
      <c r="P147" s="49">
        <v>15956260</v>
      </c>
      <c r="Q147" s="49">
        <v>1</v>
      </c>
      <c r="R147" s="82">
        <f t="shared" si="8"/>
        <v>0</v>
      </c>
      <c r="S147" s="82">
        <f>IF(AND(R147=0,B147="N"),S146,S146*(D147*F147*G147+I147*K147*L147+N147*P147*Q147)/T146)</f>
        <v>358717483341809.62</v>
      </c>
      <c r="T147" s="81">
        <f>E147*F147*G147+J147*K147*L147+O147*P147*Q147</f>
        <v>330863313137500</v>
      </c>
      <c r="U147" s="80">
        <f t="shared" si="6"/>
        <v>922.35067567708052</v>
      </c>
      <c r="V147" s="52">
        <f t="shared" si="7"/>
        <v>-1.9080799795625103E-2</v>
      </c>
      <c r="W147" s="48">
        <f>(E147-D147)/D147</f>
        <v>-2.1482277121374866E-2</v>
      </c>
      <c r="X147" s="48">
        <f>(J147-I147)/I147</f>
        <v>3.5650623885918001E-3</v>
      </c>
      <c r="Y147" s="48">
        <f>(O147-N147)/N147</f>
        <v>-4.2953667953667951E-2</v>
      </c>
      <c r="Z147" s="48" t="e">
        <f>(#REF!-#REF!)/#REF!</f>
        <v>#REF!</v>
      </c>
    </row>
    <row r="148" spans="1:26" x14ac:dyDescent="0.3">
      <c r="A148" s="48">
        <v>20180803</v>
      </c>
      <c r="B148" s="48" t="s">
        <v>88</v>
      </c>
      <c r="C148" s="79">
        <f>E148*F148*G148/T148</f>
        <v>0.88413324264283599</v>
      </c>
      <c r="D148" s="49">
        <v>45550</v>
      </c>
      <c r="E148" s="49">
        <v>45750</v>
      </c>
      <c r="F148" s="49">
        <v>6419324700</v>
      </c>
      <c r="G148" s="49">
        <v>1</v>
      </c>
      <c r="H148" s="48">
        <f>J148*K148*L148/T148</f>
        <v>0.10588964463672333</v>
      </c>
      <c r="I148" s="48">
        <v>281500</v>
      </c>
      <c r="J148" s="48">
        <v>280500</v>
      </c>
      <c r="K148" s="51">
        <v>125395903</v>
      </c>
      <c r="L148" s="48">
        <v>1</v>
      </c>
      <c r="M148" s="49">
        <f>O148*P148*Q148/T148</f>
        <v>9.9771127204407242E-3</v>
      </c>
      <c r="N148" s="49">
        <v>198300</v>
      </c>
      <c r="O148" s="49">
        <v>207700</v>
      </c>
      <c r="P148" s="49">
        <v>15956260</v>
      </c>
      <c r="Q148" s="49">
        <v>1</v>
      </c>
      <c r="R148" s="82">
        <f t="shared" si="8"/>
        <v>0</v>
      </c>
      <c r="S148" s="82">
        <f>IF(AND(R148=0,B148="N"),S147,S147*(D148*F148*G148+I148*K148*L148+N148*P148*Q148)/T147)</f>
        <v>358717483341809.62</v>
      </c>
      <c r="T148" s="81">
        <f>E148*F148*G148+J148*K148*L148+O148*P148*Q148</f>
        <v>332171771018500</v>
      </c>
      <c r="U148" s="80">
        <f t="shared" si="6"/>
        <v>925.99827564575344</v>
      </c>
      <c r="V148" s="52">
        <f t="shared" si="7"/>
        <v>3.9546780469318634E-3</v>
      </c>
      <c r="W148" s="48">
        <f>(E148-D148)/D148</f>
        <v>4.3907793633369925E-3</v>
      </c>
      <c r="X148" s="48">
        <f>(J148-I148)/I148</f>
        <v>-3.552397868561279E-3</v>
      </c>
      <c r="Y148" s="48">
        <f>(O148-N148)/N148</f>
        <v>4.7402924861321229E-2</v>
      </c>
      <c r="Z148" s="48" t="e">
        <f>(#REF!-#REF!)/#REF!</f>
        <v>#REF!</v>
      </c>
    </row>
    <row r="149" spans="1:26" x14ac:dyDescent="0.3">
      <c r="A149" s="48">
        <v>20180806</v>
      </c>
      <c r="B149" s="48" t="s">
        <v>88</v>
      </c>
      <c r="C149" s="79">
        <f>E149*F149*G149/T149</f>
        <v>0.88680201798266445</v>
      </c>
      <c r="D149" s="49">
        <v>45750</v>
      </c>
      <c r="E149" s="49">
        <v>45800</v>
      </c>
      <c r="F149" s="49">
        <v>6419324700</v>
      </c>
      <c r="G149" s="49">
        <v>1</v>
      </c>
      <c r="H149" s="48">
        <f>J149*K149*L149/T149</f>
        <v>0.10363483521580605</v>
      </c>
      <c r="I149" s="48">
        <v>280500</v>
      </c>
      <c r="J149" s="48">
        <v>274000</v>
      </c>
      <c r="K149" s="51">
        <v>125395903</v>
      </c>
      <c r="L149" s="48">
        <v>1</v>
      </c>
      <c r="M149" s="49">
        <f>O149*P149*Q149/T149</f>
        <v>9.5631468015294971E-3</v>
      </c>
      <c r="N149" s="49">
        <v>207700</v>
      </c>
      <c r="O149" s="49">
        <v>198700</v>
      </c>
      <c r="P149" s="49">
        <v>15956260</v>
      </c>
      <c r="Q149" s="49">
        <v>1</v>
      </c>
      <c r="R149" s="82">
        <f t="shared" si="8"/>
        <v>0</v>
      </c>
      <c r="S149" s="82">
        <f>IF(AND(R149=0,B149="N"),S148,S148*(D149*F149*G149+I149*K149*L149+N149*P149*Q149)/T148)</f>
        <v>358717483341809.62</v>
      </c>
      <c r="T149" s="81">
        <f>E149*F149*G149+J149*K149*L149+O149*P149*Q149</f>
        <v>331534057544000</v>
      </c>
      <c r="U149" s="80">
        <f t="shared" si="6"/>
        <v>924.22051597661482</v>
      </c>
      <c r="V149" s="52">
        <f t="shared" si="7"/>
        <v>-1.919830431540362E-3</v>
      </c>
      <c r="W149" s="48">
        <f>(E149-D149)/D149</f>
        <v>1.092896174863388E-3</v>
      </c>
      <c r="X149" s="48">
        <f>(J149-I149)/I149</f>
        <v>-2.3172905525846704E-2</v>
      </c>
      <c r="Y149" s="48">
        <f>(O149-N149)/N149</f>
        <v>-4.3331728454501686E-2</v>
      </c>
      <c r="Z149" s="48" t="e">
        <f>(#REF!-#REF!)/#REF!</f>
        <v>#REF!</v>
      </c>
    </row>
    <row r="150" spans="1:26" x14ac:dyDescent="0.3">
      <c r="A150" s="48">
        <v>20180807</v>
      </c>
      <c r="B150" s="48" t="s">
        <v>88</v>
      </c>
      <c r="C150" s="79">
        <f>E150*F150*G150/T150</f>
        <v>0.88829839997205762</v>
      </c>
      <c r="D150" s="49">
        <v>45800</v>
      </c>
      <c r="E150" s="49">
        <v>46700</v>
      </c>
      <c r="F150" s="49">
        <v>6419324700</v>
      </c>
      <c r="G150" s="49">
        <v>1</v>
      </c>
      <c r="H150" s="48">
        <f>J150*K150*L150/T150</f>
        <v>0.10199487539556359</v>
      </c>
      <c r="I150" s="48">
        <v>274000</v>
      </c>
      <c r="J150" s="48">
        <v>274500</v>
      </c>
      <c r="K150" s="51">
        <v>125395903</v>
      </c>
      <c r="L150" s="48">
        <v>1</v>
      </c>
      <c r="M150" s="49">
        <f>O150*P150*Q150/T150</f>
        <v>9.7067246323787985E-3</v>
      </c>
      <c r="N150" s="49">
        <v>198700</v>
      </c>
      <c r="O150" s="49">
        <v>205300</v>
      </c>
      <c r="P150" s="49">
        <v>15956260</v>
      </c>
      <c r="Q150" s="49">
        <v>1</v>
      </c>
      <c r="R150" s="82">
        <f t="shared" si="8"/>
        <v>0</v>
      </c>
      <c r="S150" s="82">
        <f>IF(AND(R150=0,B150="N"),S149,S149*(D150*F150*G150+I150*K150*L150+N150*P150*Q150)/T149)</f>
        <v>358717483341809.62</v>
      </c>
      <c r="T150" s="81">
        <f>E150*F150*G150+J150*K150*L150+O150*P150*Q150</f>
        <v>337479459041500</v>
      </c>
      <c r="U150" s="80">
        <f t="shared" si="6"/>
        <v>940.79456595631666</v>
      </c>
      <c r="V150" s="52">
        <f t="shared" si="7"/>
        <v>1.7933003750937301E-2</v>
      </c>
      <c r="W150" s="48">
        <f>(E150-D150)/D150</f>
        <v>1.9650655021834062E-2</v>
      </c>
      <c r="X150" s="48">
        <f>(J150-I150)/I150</f>
        <v>1.8248175182481751E-3</v>
      </c>
      <c r="Y150" s="48">
        <f>(O150-N150)/N150</f>
        <v>3.321590337191746E-2</v>
      </c>
      <c r="Z150" s="48" t="e">
        <f>(#REF!-#REF!)/#REF!</f>
        <v>#REF!</v>
      </c>
    </row>
    <row r="151" spans="1:26" x14ac:dyDescent="0.3">
      <c r="A151" s="48">
        <v>20180808</v>
      </c>
      <c r="B151" s="48" t="s">
        <v>88</v>
      </c>
      <c r="C151" s="79">
        <f>E151*F151*G151/T151</f>
        <v>0.88828041437954741</v>
      </c>
      <c r="D151" s="49">
        <v>46700</v>
      </c>
      <c r="E151" s="49">
        <v>46800</v>
      </c>
      <c r="F151" s="49">
        <v>6419324700</v>
      </c>
      <c r="G151" s="49">
        <v>1</v>
      </c>
      <c r="H151" s="48">
        <f>J151*K151*L151/T151</f>
        <v>0.10233102379380135</v>
      </c>
      <c r="I151" s="48">
        <v>274500</v>
      </c>
      <c r="J151" s="48">
        <v>276000</v>
      </c>
      <c r="K151" s="51">
        <v>125395903</v>
      </c>
      <c r="L151" s="48">
        <v>1</v>
      </c>
      <c r="M151" s="49">
        <f>O151*P151*Q151/T151</f>
        <v>9.3885618266512354E-3</v>
      </c>
      <c r="N151" s="49">
        <v>205300</v>
      </c>
      <c r="O151" s="49">
        <v>199000</v>
      </c>
      <c r="P151" s="49">
        <v>15956260</v>
      </c>
      <c r="Q151" s="49">
        <v>1</v>
      </c>
      <c r="R151" s="82">
        <f t="shared" si="8"/>
        <v>0</v>
      </c>
      <c r="S151" s="82">
        <f>IF(AND(R151=0,B151="N"),S150,S150*(D151*F151*G151+I151*K151*L151+N151*P151*Q151)/T150)</f>
        <v>358717483341809.62</v>
      </c>
      <c r="T151" s="81">
        <f>E151*F151*G151+J151*K151*L151+O151*P151*Q151</f>
        <v>338208960928000</v>
      </c>
      <c r="U151" s="80">
        <f t="shared" si="6"/>
        <v>942.82820501874517</v>
      </c>
      <c r="V151" s="52">
        <f t="shared" si="7"/>
        <v>2.1616186317586924E-3</v>
      </c>
      <c r="W151" s="48">
        <f>(E151-D151)/D151</f>
        <v>2.1413276231263384E-3</v>
      </c>
      <c r="X151" s="48">
        <f>(J151-I151)/I151</f>
        <v>5.4644808743169399E-3</v>
      </c>
      <c r="Y151" s="48">
        <f>(O151-N151)/N151</f>
        <v>-3.0686799805163176E-2</v>
      </c>
      <c r="Z151" s="48" t="e">
        <f>(#REF!-#REF!)/#REF!</f>
        <v>#REF!</v>
      </c>
    </row>
    <row r="152" spans="1:26" x14ac:dyDescent="0.3">
      <c r="A152" s="48">
        <v>20180809</v>
      </c>
      <c r="B152" s="48" t="s">
        <v>88</v>
      </c>
      <c r="C152" s="79">
        <f>E152*F152*G152/T152</f>
        <v>0.88828709904246173</v>
      </c>
      <c r="D152" s="49">
        <v>46800</v>
      </c>
      <c r="E152" s="49">
        <v>46900</v>
      </c>
      <c r="F152" s="49">
        <v>6419324700</v>
      </c>
      <c r="G152" s="49">
        <v>1</v>
      </c>
      <c r="H152" s="48">
        <f>J152*K152*L152/T152</f>
        <v>0.10211360241724146</v>
      </c>
      <c r="I152" s="48">
        <v>276000</v>
      </c>
      <c r="J152" s="48">
        <v>276000</v>
      </c>
      <c r="K152" s="51">
        <v>125395903</v>
      </c>
      <c r="L152" s="48">
        <v>1</v>
      </c>
      <c r="M152" s="49">
        <f>O152*P152*Q152/T152</f>
        <v>9.5992985402968342E-3</v>
      </c>
      <c r="N152" s="49">
        <v>199000</v>
      </c>
      <c r="O152" s="49">
        <v>203900</v>
      </c>
      <c r="P152" s="49">
        <v>15956260</v>
      </c>
      <c r="Q152" s="49">
        <v>1</v>
      </c>
      <c r="R152" s="82">
        <f t="shared" si="8"/>
        <v>0</v>
      </c>
      <c r="S152" s="82">
        <f>IF(AND(R152=0,B152="N"),S151,S151*(D152*F152*G152+I152*K152*L152+N152*P152*Q152)/T151)</f>
        <v>358717483341809.62</v>
      </c>
      <c r="T152" s="81">
        <f>E152*F152*G152+J152*K152*L152+O152*P152*Q152</f>
        <v>338929079072000</v>
      </c>
      <c r="U152" s="80">
        <f t="shared" si="6"/>
        <v>944.8356849366221</v>
      </c>
      <c r="V152" s="52">
        <f t="shared" si="7"/>
        <v>2.129210716428475E-3</v>
      </c>
      <c r="W152" s="48">
        <f>(E152-D152)/D152</f>
        <v>2.136752136752137E-3</v>
      </c>
      <c r="X152" s="48">
        <f>(J152-I152)/I152</f>
        <v>0</v>
      </c>
      <c r="Y152" s="48">
        <f>(O152-N152)/N152</f>
        <v>2.4623115577889446E-2</v>
      </c>
      <c r="Z152" s="48" t="e">
        <f>(#REF!-#REF!)/#REF!</f>
        <v>#REF!</v>
      </c>
    </row>
    <row r="153" spans="1:26" x14ac:dyDescent="0.3">
      <c r="A153" s="48">
        <v>20180810</v>
      </c>
      <c r="B153" s="48" t="s">
        <v>88</v>
      </c>
      <c r="C153" s="79">
        <f>E153*F153*G153/T153</f>
        <v>0.88643085566023994</v>
      </c>
      <c r="D153" s="49">
        <v>46900</v>
      </c>
      <c r="E153" s="49">
        <v>45400</v>
      </c>
      <c r="F153" s="49">
        <v>6419324700</v>
      </c>
      <c r="G153" s="49">
        <v>1</v>
      </c>
      <c r="H153" s="48">
        <f>J153*K153*L153/T153</f>
        <v>0.10374135586750231</v>
      </c>
      <c r="I153" s="48">
        <v>276000</v>
      </c>
      <c r="J153" s="48">
        <v>272000</v>
      </c>
      <c r="K153" s="51">
        <v>125395903</v>
      </c>
      <c r="L153" s="48">
        <v>1</v>
      </c>
      <c r="M153" s="49">
        <f>O153*P153*Q153/T153</f>
        <v>9.827788472257697E-3</v>
      </c>
      <c r="N153" s="49">
        <v>203900</v>
      </c>
      <c r="O153" s="49">
        <v>202500</v>
      </c>
      <c r="P153" s="49">
        <v>15956260</v>
      </c>
      <c r="Q153" s="49">
        <v>1</v>
      </c>
      <c r="R153" s="82">
        <f t="shared" si="8"/>
        <v>0</v>
      </c>
      <c r="S153" s="82">
        <f>IF(AND(R153=0,B153="N"),S152,S152*(D153*F153*G153+I153*K153*L153+N153*P153*Q153)/T152)</f>
        <v>358717483341809.62</v>
      </c>
      <c r="T153" s="81">
        <f>E153*F153*G153+J153*K153*L153+O153*P153*Q153</f>
        <v>328776169646000</v>
      </c>
      <c r="U153" s="80">
        <f t="shared" si="6"/>
        <v>916.53232673000343</v>
      </c>
      <c r="V153" s="52">
        <f t="shared" si="7"/>
        <v>-2.995585227977202E-2</v>
      </c>
      <c r="W153" s="48">
        <f>(E153-D153)/D153</f>
        <v>-3.1982942430703626E-2</v>
      </c>
      <c r="X153" s="48">
        <f>(J153-I153)/I153</f>
        <v>-1.4492753623188406E-2</v>
      </c>
      <c r="Y153" s="48">
        <f>(O153-N153)/N153</f>
        <v>-6.8661108386463953E-3</v>
      </c>
      <c r="Z153" s="48" t="e">
        <f>(#REF!-#REF!)/#REF!</f>
        <v>#REF!</v>
      </c>
    </row>
    <row r="154" spans="1:26" x14ac:dyDescent="0.3">
      <c r="A154" s="48">
        <v>20180813</v>
      </c>
      <c r="B154" s="48" t="s">
        <v>88</v>
      </c>
      <c r="C154" s="79">
        <f>E154*F154*G154/T154</f>
        <v>0.88984448752255285</v>
      </c>
      <c r="D154" s="49">
        <v>45400</v>
      </c>
      <c r="E154" s="49">
        <v>45050</v>
      </c>
      <c r="F154" s="49">
        <v>6419324700</v>
      </c>
      <c r="G154" s="49">
        <v>1</v>
      </c>
      <c r="H154" s="48">
        <f>J154*K154*L154/T154</f>
        <v>0.10051272570919451</v>
      </c>
      <c r="I154" s="48">
        <v>272000</v>
      </c>
      <c r="J154" s="48">
        <v>260500</v>
      </c>
      <c r="K154" s="51">
        <v>125395903</v>
      </c>
      <c r="L154" s="48">
        <v>1</v>
      </c>
      <c r="M154" s="49">
        <f>O154*P154*Q154/T154</f>
        <v>9.6427867682526789E-3</v>
      </c>
      <c r="N154" s="49">
        <v>202500</v>
      </c>
      <c r="O154" s="49">
        <v>196400</v>
      </c>
      <c r="P154" s="49">
        <v>15956260</v>
      </c>
      <c r="Q154" s="49">
        <v>1</v>
      </c>
      <c r="R154" s="82">
        <f t="shared" si="8"/>
        <v>0</v>
      </c>
      <c r="S154" s="82">
        <f>IF(AND(R154=0,B154="N"),S153,S153*(D154*F154*G154+I154*K154*L154+N154*P154*Q154)/T153)</f>
        <v>358717483341809.62</v>
      </c>
      <c r="T154" s="81">
        <f>E154*F154*G154+J154*K154*L154+O154*P154*Q154</f>
        <v>324990019930500</v>
      </c>
      <c r="U154" s="80">
        <f t="shared" si="6"/>
        <v>905.97764263647025</v>
      </c>
      <c r="V154" s="52">
        <f t="shared" si="7"/>
        <v>-1.1515888513381846E-2</v>
      </c>
      <c r="W154" s="48">
        <f>(E154-D154)/D154</f>
        <v>-7.709251101321586E-3</v>
      </c>
      <c r="X154" s="48">
        <f>(J154-I154)/I154</f>
        <v>-4.2279411764705885E-2</v>
      </c>
      <c r="Y154" s="48">
        <f>(O154-N154)/N154</f>
        <v>-3.0123456790123456E-2</v>
      </c>
      <c r="Z154" s="48" t="e">
        <f>(#REF!-#REF!)/#REF!</f>
        <v>#REF!</v>
      </c>
    </row>
    <row r="155" spans="1:26" x14ac:dyDescent="0.3">
      <c r="A155" s="48">
        <v>20180814</v>
      </c>
      <c r="B155" s="48" t="s">
        <v>88</v>
      </c>
      <c r="C155" s="79">
        <f>E155*F155*G155/T155</f>
        <v>0.88982490954446103</v>
      </c>
      <c r="D155" s="49">
        <v>45050</v>
      </c>
      <c r="E155" s="49">
        <v>45150</v>
      </c>
      <c r="F155" s="49">
        <v>6419324700</v>
      </c>
      <c r="G155" s="49">
        <v>1</v>
      </c>
      <c r="H155" s="48">
        <f>J155*K155*L155/T155</f>
        <v>0.10048039079171348</v>
      </c>
      <c r="I155" s="48">
        <v>260500</v>
      </c>
      <c r="J155" s="48">
        <v>261000</v>
      </c>
      <c r="K155" s="51">
        <v>125395903</v>
      </c>
      <c r="L155" s="48">
        <v>1</v>
      </c>
      <c r="M155" s="49">
        <f>O155*P155*Q155/T155</f>
        <v>9.6946996638255459E-3</v>
      </c>
      <c r="N155" s="49">
        <v>196400</v>
      </c>
      <c r="O155" s="49">
        <v>197900</v>
      </c>
      <c r="P155" s="49">
        <v>15956260</v>
      </c>
      <c r="Q155" s="49">
        <v>1</v>
      </c>
      <c r="R155" s="82">
        <f t="shared" si="8"/>
        <v>0</v>
      </c>
      <c r="S155" s="82">
        <f>IF(AND(R155=0,B155="N"),S154,S154*(D155*F155*G155+I155*K155*L155+N155*P155*Q155)/T154)</f>
        <v>358717483341809.62</v>
      </c>
      <c r="T155" s="81">
        <f>E155*F155*G155+J155*K155*L155+O155*P155*Q155</f>
        <v>325718584742000</v>
      </c>
      <c r="U155" s="80">
        <f t="shared" si="6"/>
        <v>908.00866940637491</v>
      </c>
      <c r="V155" s="52">
        <f t="shared" si="7"/>
        <v>2.2418067227290505E-3</v>
      </c>
      <c r="W155" s="48">
        <f>(E155-D155)/D155</f>
        <v>2.2197558268590455E-3</v>
      </c>
      <c r="X155" s="48">
        <f>(J155-I155)/I155</f>
        <v>1.9193857965451055E-3</v>
      </c>
      <c r="Y155" s="48">
        <f>(O155-N155)/N155</f>
        <v>7.6374745417515273E-3</v>
      </c>
      <c r="Z155" s="48" t="e">
        <f>(#REF!-#REF!)/#REF!</f>
        <v>#REF!</v>
      </c>
    </row>
    <row r="156" spans="1:26" x14ac:dyDescent="0.3">
      <c r="A156" s="48">
        <v>20180816</v>
      </c>
      <c r="B156" s="48" t="s">
        <v>88</v>
      </c>
      <c r="C156" s="79">
        <f>E156*F156*G156/T156</f>
        <v>0.8888925640993498</v>
      </c>
      <c r="D156" s="49">
        <v>45150</v>
      </c>
      <c r="E156" s="49">
        <v>44250</v>
      </c>
      <c r="F156" s="49">
        <v>6419324700</v>
      </c>
      <c r="G156" s="49">
        <v>1</v>
      </c>
      <c r="H156" s="48">
        <f>J156*K156*L156/T156</f>
        <v>0.10143563429008917</v>
      </c>
      <c r="I156" s="48">
        <v>261000</v>
      </c>
      <c r="J156" s="48">
        <v>258500</v>
      </c>
      <c r="K156" s="51">
        <v>125395903</v>
      </c>
      <c r="L156" s="48">
        <v>1</v>
      </c>
      <c r="M156" s="49">
        <f>O156*P156*Q156/T156</f>
        <v>9.6718016105610434E-3</v>
      </c>
      <c r="N156" s="49">
        <v>197900</v>
      </c>
      <c r="O156" s="49">
        <v>193700</v>
      </c>
      <c r="P156" s="49">
        <v>15956260</v>
      </c>
      <c r="Q156" s="49">
        <v>1</v>
      </c>
      <c r="R156" s="82">
        <f t="shared" si="8"/>
        <v>0</v>
      </c>
      <c r="S156" s="82">
        <f>IF(AND(R156=0,B156="N"),S155,S155*(D156*F156*G156+I156*K156*L156+N156*P156*Q156)/T155)</f>
        <v>358717483341809.62</v>
      </c>
      <c r="T156" s="81">
        <f>E156*F156*G156+J156*K156*L156+O156*P156*Q156</f>
        <v>319560686462500</v>
      </c>
      <c r="U156" s="80">
        <f t="shared" si="6"/>
        <v>890.84224020941167</v>
      </c>
      <c r="V156" s="52">
        <f t="shared" si="7"/>
        <v>-1.890557852072719E-2</v>
      </c>
      <c r="W156" s="48">
        <f>(E156-D156)/D156</f>
        <v>-1.9933554817275746E-2</v>
      </c>
      <c r="X156" s="48">
        <f>(J156-I156)/I156</f>
        <v>-9.5785440613026813E-3</v>
      </c>
      <c r="Y156" s="48">
        <f>(O156-N156)/N156</f>
        <v>-2.1222839818089943E-2</v>
      </c>
      <c r="Z156" s="48" t="e">
        <f>(#REF!-#REF!)/#REF!</f>
        <v>#REF!</v>
      </c>
    </row>
    <row r="157" spans="1:26" x14ac:dyDescent="0.3">
      <c r="A157" s="48">
        <v>20180817</v>
      </c>
      <c r="B157" s="48" t="s">
        <v>88</v>
      </c>
      <c r="C157" s="79">
        <f>E157*F157*G157/T157</f>
        <v>0.88664446841570632</v>
      </c>
      <c r="D157" s="49">
        <v>44250</v>
      </c>
      <c r="E157" s="49">
        <v>44100</v>
      </c>
      <c r="F157" s="49">
        <v>6419324700</v>
      </c>
      <c r="G157" s="49">
        <v>1</v>
      </c>
      <c r="H157" s="48">
        <f>J157*K157*L157/T157</f>
        <v>0.10329056942461359</v>
      </c>
      <c r="I157" s="48">
        <v>258500</v>
      </c>
      <c r="J157" s="48">
        <v>263000</v>
      </c>
      <c r="K157" s="51">
        <v>125395903</v>
      </c>
      <c r="L157" s="48">
        <v>1</v>
      </c>
      <c r="M157" s="49">
        <f>O157*P157*Q157/T157</f>
        <v>1.0064962159680071E-2</v>
      </c>
      <c r="N157" s="49">
        <v>193700</v>
      </c>
      <c r="O157" s="49">
        <v>201400</v>
      </c>
      <c r="P157" s="49">
        <v>15956260</v>
      </c>
      <c r="Q157" s="49">
        <v>1</v>
      </c>
      <c r="R157" s="82">
        <f t="shared" si="8"/>
        <v>0</v>
      </c>
      <c r="S157" s="82">
        <f>IF(AND(R157=0,B157="N"),S156,S156*(D157*F157*G157+I157*K157*L157+N157*P157*Q157)/T156)</f>
        <v>358717483341809.62</v>
      </c>
      <c r="T157" s="81">
        <f>E157*F157*G157+J157*K157*L157+O157*P157*Q157</f>
        <v>319284932523000</v>
      </c>
      <c r="U157" s="80">
        <f t="shared" si="6"/>
        <v>890.07351843724973</v>
      </c>
      <c r="V157" s="52">
        <f t="shared" si="7"/>
        <v>-8.6291571892822957E-4</v>
      </c>
      <c r="W157" s="48">
        <f>(E157-D157)/D157</f>
        <v>-3.3898305084745762E-3</v>
      </c>
      <c r="X157" s="48">
        <f>(J157-I157)/I157</f>
        <v>1.7408123791102514E-2</v>
      </c>
      <c r="Y157" s="48">
        <f>(O157-N157)/N157</f>
        <v>3.9752194114610222E-2</v>
      </c>
      <c r="Z157" s="48" t="e">
        <f>(#REF!-#REF!)/#REF!</f>
        <v>#REF!</v>
      </c>
    </row>
    <row r="158" spans="1:26" x14ac:dyDescent="0.3">
      <c r="A158" s="48">
        <v>20180820</v>
      </c>
      <c r="B158" s="48" t="s">
        <v>88</v>
      </c>
      <c r="C158" s="79">
        <f>E158*F158*G158/T158</f>
        <v>0.88678971844179988</v>
      </c>
      <c r="D158" s="49">
        <v>44100</v>
      </c>
      <c r="E158" s="49">
        <v>43850</v>
      </c>
      <c r="F158" s="49">
        <v>6419324700</v>
      </c>
      <c r="G158" s="49">
        <v>1</v>
      </c>
      <c r="H158" s="48">
        <f>J158*K158*L158/T158</f>
        <v>0.10310638550403751</v>
      </c>
      <c r="I158" s="48">
        <v>263000</v>
      </c>
      <c r="J158" s="48">
        <v>261000</v>
      </c>
      <c r="K158" s="51">
        <v>125395903</v>
      </c>
      <c r="L158" s="48">
        <v>1</v>
      </c>
      <c r="M158" s="49">
        <f>O158*P158*Q158/T158</f>
        <v>1.0103896054162629E-2</v>
      </c>
      <c r="N158" s="49">
        <v>201400</v>
      </c>
      <c r="O158" s="49">
        <v>201000</v>
      </c>
      <c r="P158" s="49">
        <v>15956260</v>
      </c>
      <c r="Q158" s="49">
        <v>1</v>
      </c>
      <c r="R158" s="82">
        <f t="shared" si="8"/>
        <v>0</v>
      </c>
      <c r="S158" s="82">
        <f>IF(AND(R158=0,B158="N"),S157,S157*(D158*F158*G158+I158*K158*L158+N158*P158*Q158)/T157)</f>
        <v>358717483341809.62</v>
      </c>
      <c r="T158" s="81">
        <f>E158*F158*G158+J158*K158*L158+O158*P158*Q158</f>
        <v>317422927038000</v>
      </c>
      <c r="U158" s="80">
        <f t="shared" si="6"/>
        <v>884.88278876426705</v>
      </c>
      <c r="V158" s="52">
        <f t="shared" si="7"/>
        <v>-5.8317987957852389E-3</v>
      </c>
      <c r="W158" s="48">
        <f>(E158-D158)/D158</f>
        <v>-5.6689342403628117E-3</v>
      </c>
      <c r="X158" s="48">
        <f>(J158-I158)/I158</f>
        <v>-7.6045627376425855E-3</v>
      </c>
      <c r="Y158" s="48">
        <f>(O158-N158)/N158</f>
        <v>-1.9860973187686196E-3</v>
      </c>
      <c r="Z158" s="48" t="e">
        <f>(#REF!-#REF!)/#REF!</f>
        <v>#REF!</v>
      </c>
    </row>
    <row r="159" spans="1:26" x14ac:dyDescent="0.3">
      <c r="A159" s="48">
        <v>20180821</v>
      </c>
      <c r="B159" s="48" t="s">
        <v>88</v>
      </c>
      <c r="C159" s="79">
        <f>E159*F159*G159/T159</f>
        <v>0.88564156358129331</v>
      </c>
      <c r="D159" s="49">
        <v>43850</v>
      </c>
      <c r="E159" s="49">
        <v>44800</v>
      </c>
      <c r="F159" s="49">
        <v>6419324700</v>
      </c>
      <c r="G159" s="49">
        <v>1</v>
      </c>
      <c r="H159" s="48">
        <f>J159*K159*L159/T159</f>
        <v>0.10368555810979202</v>
      </c>
      <c r="I159" s="48">
        <v>261000</v>
      </c>
      <c r="J159" s="48">
        <v>268500</v>
      </c>
      <c r="K159" s="51">
        <v>125395903</v>
      </c>
      <c r="L159" s="48">
        <v>1</v>
      </c>
      <c r="M159" s="49">
        <f>O159*P159*Q159/T159</f>
        <v>1.0672878308914668E-2</v>
      </c>
      <c r="N159" s="49">
        <v>201000</v>
      </c>
      <c r="O159" s="49">
        <v>217200</v>
      </c>
      <c r="P159" s="49">
        <v>15956260</v>
      </c>
      <c r="Q159" s="49">
        <v>1</v>
      </c>
      <c r="R159" s="82">
        <f t="shared" si="8"/>
        <v>0</v>
      </c>
      <c r="S159" s="82">
        <f>IF(AND(R159=0,B159="N"),S158,S158*(D159*F159*G159+I159*K159*L159+N159*P159*Q159)/T158)</f>
        <v>358717483341809.62</v>
      </c>
      <c r="T159" s="81">
        <f>E159*F159*G159+J159*K159*L159+O159*P159*Q159</f>
        <v>324720246187500</v>
      </c>
      <c r="U159" s="80">
        <f t="shared" si="6"/>
        <v>905.22559191263383</v>
      </c>
      <c r="V159" s="52">
        <f t="shared" si="7"/>
        <v>2.2989262992418887E-2</v>
      </c>
      <c r="W159" s="48">
        <f>(E159-D159)/D159</f>
        <v>2.1664766248574687E-2</v>
      </c>
      <c r="X159" s="48">
        <f>(J159-I159)/I159</f>
        <v>2.8735632183908046E-2</v>
      </c>
      <c r="Y159" s="48">
        <f>(O159-N159)/N159</f>
        <v>8.0597014925373134E-2</v>
      </c>
      <c r="Z159" s="48" t="e">
        <f>(#REF!-#REF!)/#REF!</f>
        <v>#REF!</v>
      </c>
    </row>
    <row r="160" spans="1:26" x14ac:dyDescent="0.3">
      <c r="A160" s="48">
        <v>20180822</v>
      </c>
      <c r="B160" s="48" t="s">
        <v>88</v>
      </c>
      <c r="C160" s="79">
        <f>E160*F160*G160/T160</f>
        <v>0.88851112895390127</v>
      </c>
      <c r="D160" s="49">
        <v>44800</v>
      </c>
      <c r="E160" s="49">
        <v>46100</v>
      </c>
      <c r="F160" s="49">
        <v>6419324700</v>
      </c>
      <c r="G160" s="49">
        <v>1</v>
      </c>
      <c r="H160" s="48">
        <f>J160*K160*L160/T160</f>
        <v>0.10108814803076004</v>
      </c>
      <c r="I160" s="48">
        <v>268500</v>
      </c>
      <c r="J160" s="48">
        <v>268500</v>
      </c>
      <c r="K160" s="51">
        <v>125395903</v>
      </c>
      <c r="L160" s="48">
        <v>1</v>
      </c>
      <c r="M160" s="49">
        <f>O160*P160*Q160/T160</f>
        <v>1.0400723015338679E-2</v>
      </c>
      <c r="N160" s="49">
        <v>217200</v>
      </c>
      <c r="O160" s="49">
        <v>217100</v>
      </c>
      <c r="P160" s="49">
        <v>15956260</v>
      </c>
      <c r="Q160" s="49">
        <v>1</v>
      </c>
      <c r="R160" s="82">
        <f t="shared" si="8"/>
        <v>0</v>
      </c>
      <c r="S160" s="82">
        <f>IF(AND(R160=0,B160="N"),S159,S159*(D160*F160*G160+I160*K160*L160+N160*P160*Q160)/T159)</f>
        <v>358717483341809.62</v>
      </c>
      <c r="T160" s="81">
        <f>E160*F160*G160+J160*K160*L160+O160*P160*Q160</f>
        <v>333063772671500</v>
      </c>
      <c r="U160" s="80">
        <f t="shared" si="6"/>
        <v>928.48491678933567</v>
      </c>
      <c r="V160" s="52">
        <f t="shared" si="7"/>
        <v>2.5694506523570172E-2</v>
      </c>
      <c r="W160" s="48">
        <f>(E160-D160)/D160</f>
        <v>2.9017857142857144E-2</v>
      </c>
      <c r="X160" s="48">
        <f>(J160-I160)/I160</f>
        <v>0</v>
      </c>
      <c r="Y160" s="48">
        <f>(O160-N160)/N160</f>
        <v>-4.6040515653775324E-4</v>
      </c>
      <c r="Z160" s="48" t="e">
        <f>(#REF!-#REF!)/#REF!</f>
        <v>#REF!</v>
      </c>
    </row>
    <row r="161" spans="1:26" x14ac:dyDescent="0.3">
      <c r="A161" s="48">
        <v>20180823</v>
      </c>
      <c r="B161" s="48" t="s">
        <v>88</v>
      </c>
      <c r="C161" s="79">
        <f>E161*F161*G161/T161</f>
        <v>0.88687570485960177</v>
      </c>
      <c r="D161" s="49">
        <v>46100</v>
      </c>
      <c r="E161" s="49">
        <v>46200</v>
      </c>
      <c r="F161" s="49">
        <v>6419324700</v>
      </c>
      <c r="G161" s="49">
        <v>1</v>
      </c>
      <c r="H161" s="48">
        <f>J161*K161*L161/T161</f>
        <v>0.10274610066873432</v>
      </c>
      <c r="I161" s="48">
        <v>268500</v>
      </c>
      <c r="J161" s="48">
        <v>274000</v>
      </c>
      <c r="K161" s="51">
        <v>125395903</v>
      </c>
      <c r="L161" s="48">
        <v>1</v>
      </c>
      <c r="M161" s="49">
        <f>O161*P161*Q161/T161</f>
        <v>1.0378194471663875E-2</v>
      </c>
      <c r="N161" s="49">
        <v>217100</v>
      </c>
      <c r="O161" s="49">
        <v>217500</v>
      </c>
      <c r="P161" s="49">
        <v>15956260</v>
      </c>
      <c r="Q161" s="49">
        <v>1</v>
      </c>
      <c r="R161" s="82">
        <f t="shared" si="8"/>
        <v>0</v>
      </c>
      <c r="S161" s="82">
        <f>IF(AND(R161=0,B161="N"),S160,S160*(D161*F161*G161+I161*K161*L161+N161*P161*Q161)/T160)</f>
        <v>358717483341809.62</v>
      </c>
      <c r="T161" s="81">
        <f>E161*F161*G161+J161*K161*L161+O161*P161*Q161</f>
        <v>334401765112000</v>
      </c>
      <c r="U161" s="80">
        <f t="shared" si="6"/>
        <v>932.21485051889704</v>
      </c>
      <c r="V161" s="52">
        <f t="shared" si="7"/>
        <v>4.0172259797814818E-3</v>
      </c>
      <c r="W161" s="48">
        <f>(E161-D161)/D161</f>
        <v>2.1691973969631237E-3</v>
      </c>
      <c r="X161" s="48">
        <f>(J161-I161)/I161</f>
        <v>2.0484171322160148E-2</v>
      </c>
      <c r="Y161" s="48">
        <f>(O161-N161)/N161</f>
        <v>1.8424689083371719E-3</v>
      </c>
      <c r="Z161" s="48" t="e">
        <f>(#REF!-#REF!)/#REF!</f>
        <v>#REF!</v>
      </c>
    </row>
    <row r="162" spans="1:26" x14ac:dyDescent="0.3">
      <c r="A162" s="48">
        <v>20180824</v>
      </c>
      <c r="B162" s="48" t="s">
        <v>88</v>
      </c>
      <c r="C162" s="79">
        <f>E162*F162*G162/T162</f>
        <v>0.88478832917041483</v>
      </c>
      <c r="D162" s="49">
        <v>46200</v>
      </c>
      <c r="E162" s="49">
        <v>46150</v>
      </c>
      <c r="F162" s="49">
        <v>6419324700</v>
      </c>
      <c r="G162" s="49">
        <v>1</v>
      </c>
      <c r="H162" s="48">
        <f>J162*K162*L162/T162</f>
        <v>0.10467512687050853</v>
      </c>
      <c r="I162" s="48">
        <v>274000</v>
      </c>
      <c r="J162" s="48">
        <v>279500</v>
      </c>
      <c r="K162" s="51">
        <v>125395903</v>
      </c>
      <c r="L162" s="48">
        <v>1</v>
      </c>
      <c r="M162" s="49">
        <f>O162*P162*Q162/T162</f>
        <v>1.0536543959076643E-2</v>
      </c>
      <c r="N162" s="49">
        <v>217500</v>
      </c>
      <c r="O162" s="49">
        <v>221100</v>
      </c>
      <c r="P162" s="49">
        <v>15956260</v>
      </c>
      <c r="Q162" s="49">
        <v>1</v>
      </c>
      <c r="R162" s="82">
        <f t="shared" si="8"/>
        <v>0</v>
      </c>
      <c r="S162" s="82">
        <f>IF(AND(R162=0,B162="N"),S161,S161*(D162*F162*G162+I162*K162*L162+N162*P162*Q162)/T161)</f>
        <v>358717483341809.62</v>
      </c>
      <c r="T162" s="81">
        <f>E162*F162*G162+J162*K162*L162+O162*P162*Q162</f>
        <v>334827918879500</v>
      </c>
      <c r="U162" s="80">
        <f t="shared" si="6"/>
        <v>933.40284326329845</v>
      </c>
      <c r="V162" s="52">
        <f t="shared" si="7"/>
        <v>1.2743765492902656E-3</v>
      </c>
      <c r="W162" s="48">
        <f>(E162-D162)/D162</f>
        <v>-1.0822510822510823E-3</v>
      </c>
      <c r="X162" s="48">
        <f>(J162-I162)/I162</f>
        <v>2.0072992700729927E-2</v>
      </c>
      <c r="Y162" s="48">
        <f>(O162-N162)/N162</f>
        <v>1.6551724137931035E-2</v>
      </c>
      <c r="Z162" s="48" t="e">
        <f>(#REF!-#REF!)/#REF!</f>
        <v>#REF!</v>
      </c>
    </row>
    <row r="163" spans="1:26" x14ac:dyDescent="0.3">
      <c r="A163" s="48">
        <v>20180827</v>
      </c>
      <c r="B163" s="48" t="s">
        <v>88</v>
      </c>
      <c r="C163" s="79">
        <f>E163*F163*G163/T163</f>
        <v>0.88562741594288419</v>
      </c>
      <c r="D163" s="49">
        <v>46150</v>
      </c>
      <c r="E163" s="49">
        <v>46300</v>
      </c>
      <c r="F163" s="49">
        <v>6419324700</v>
      </c>
      <c r="G163" s="49">
        <v>1</v>
      </c>
      <c r="H163" s="48">
        <f>J163*K163*L163/T163</f>
        <v>0.10387447956622398</v>
      </c>
      <c r="I163" s="48">
        <v>279500</v>
      </c>
      <c r="J163" s="48">
        <v>278000</v>
      </c>
      <c r="K163" s="51">
        <v>125395903</v>
      </c>
      <c r="L163" s="48">
        <v>1</v>
      </c>
      <c r="M163" s="49">
        <f>O163*P163*Q163/T163</f>
        <v>1.0498104490891788E-2</v>
      </c>
      <c r="N163" s="49">
        <v>221100</v>
      </c>
      <c r="O163" s="49">
        <v>220800</v>
      </c>
      <c r="P163" s="49">
        <v>15956260</v>
      </c>
      <c r="Q163" s="49">
        <v>1</v>
      </c>
      <c r="R163" s="82">
        <f t="shared" si="8"/>
        <v>0</v>
      </c>
      <c r="S163" s="82">
        <f>IF(AND(R163=0,B163="N"),S162,S162*(D163*F163*G163+I163*K163*L163+N163*P163*Q163)/T162)</f>
        <v>358717483341809.62</v>
      </c>
      <c r="T163" s="81">
        <f>E163*F163*G163+J163*K163*L163+O163*P163*Q163</f>
        <v>335597936852000</v>
      </c>
      <c r="U163" s="80">
        <f t="shared" si="6"/>
        <v>935.54942938819681</v>
      </c>
      <c r="V163" s="52">
        <f t="shared" si="7"/>
        <v>2.2997424321031818E-3</v>
      </c>
      <c r="W163" s="48">
        <f>(E163-D163)/D163</f>
        <v>3.2502708559046588E-3</v>
      </c>
      <c r="X163" s="48">
        <f>(J163-I163)/I163</f>
        <v>-5.3667262969588547E-3</v>
      </c>
      <c r="Y163" s="48">
        <f>(O163-N163)/N163</f>
        <v>-1.3568521031207597E-3</v>
      </c>
      <c r="Z163" s="48" t="e">
        <f>(#REF!-#REF!)/#REF!</f>
        <v>#REF!</v>
      </c>
    </row>
    <row r="164" spans="1:26" x14ac:dyDescent="0.3">
      <c r="A164" s="48">
        <v>20180828</v>
      </c>
      <c r="B164" s="48" t="s">
        <v>88</v>
      </c>
      <c r="C164" s="79">
        <f>E164*F164*G164/T164</f>
        <v>0.88913913344487727</v>
      </c>
      <c r="D164" s="49">
        <v>46300</v>
      </c>
      <c r="E164" s="49">
        <v>46550</v>
      </c>
      <c r="F164" s="49">
        <v>6419324700</v>
      </c>
      <c r="G164" s="49">
        <v>1</v>
      </c>
      <c r="H164" s="48">
        <f>J164*K164*L164/T164</f>
        <v>0.10036824342611851</v>
      </c>
      <c r="I164" s="48">
        <v>278000</v>
      </c>
      <c r="J164" s="48">
        <v>269000</v>
      </c>
      <c r="K164" s="51">
        <v>125395903</v>
      </c>
      <c r="L164" s="48">
        <v>1</v>
      </c>
      <c r="M164" s="49">
        <f>O164*P164*Q164/T164</f>
        <v>1.0492623129004253E-2</v>
      </c>
      <c r="N164" s="49">
        <v>220800</v>
      </c>
      <c r="O164" s="49">
        <v>221000</v>
      </c>
      <c r="P164" s="49">
        <v>15956260</v>
      </c>
      <c r="Q164" s="49">
        <v>1</v>
      </c>
      <c r="R164" s="82">
        <f t="shared" si="8"/>
        <v>0</v>
      </c>
      <c r="S164" s="82">
        <f>IF(AND(R164=0,B164="N"),S163,S163*(D164*F164*G164+I164*K164*L164+N164*P164*Q164)/T163)</f>
        <v>358717483341809.62</v>
      </c>
      <c r="T164" s="81">
        <f>E164*F164*G164+J164*K164*L164+O164*P164*Q164</f>
        <v>336077396152000</v>
      </c>
      <c r="U164" s="80">
        <f t="shared" si="6"/>
        <v>936.8860224517224</v>
      </c>
      <c r="V164" s="52">
        <f t="shared" si="7"/>
        <v>1.428671774616601E-3</v>
      </c>
      <c r="W164" s="48">
        <f>(E164-D164)/D164</f>
        <v>5.3995680345572351E-3</v>
      </c>
      <c r="X164" s="48">
        <f>(J164-I164)/I164</f>
        <v>-3.237410071942446E-2</v>
      </c>
      <c r="Y164" s="48">
        <f>(O164-N164)/N164</f>
        <v>9.0579710144927537E-4</v>
      </c>
      <c r="Z164" s="48" t="e">
        <f>(#REF!-#REF!)/#REF!</f>
        <v>#REF!</v>
      </c>
    </row>
    <row r="165" spans="1:26" x14ac:dyDescent="0.3">
      <c r="A165" s="48">
        <v>20180829</v>
      </c>
      <c r="B165" s="48" t="s">
        <v>88</v>
      </c>
      <c r="C165" s="79">
        <f>E165*F165*G165/T165</f>
        <v>0.88939579813318725</v>
      </c>
      <c r="D165" s="49">
        <v>46550</v>
      </c>
      <c r="E165" s="49">
        <v>46800</v>
      </c>
      <c r="F165" s="49">
        <v>6419324700</v>
      </c>
      <c r="G165" s="49">
        <v>1</v>
      </c>
      <c r="H165" s="48">
        <f>J165*K165*L165/T165</f>
        <v>0.10004652152763825</v>
      </c>
      <c r="I165" s="48">
        <v>269000</v>
      </c>
      <c r="J165" s="48">
        <v>269500</v>
      </c>
      <c r="K165" s="51">
        <v>125395903</v>
      </c>
      <c r="L165" s="48">
        <v>1</v>
      </c>
      <c r="M165" s="49">
        <f>O165*P165*Q165/T165</f>
        <v>1.0557680339174494E-2</v>
      </c>
      <c r="N165" s="49">
        <v>221000</v>
      </c>
      <c r="O165" s="49">
        <v>223500</v>
      </c>
      <c r="P165" s="49">
        <v>15956260</v>
      </c>
      <c r="Q165" s="49">
        <v>1</v>
      </c>
      <c r="R165" s="82">
        <f t="shared" si="8"/>
        <v>0</v>
      </c>
      <c r="S165" s="82">
        <f>IF(AND(R165=0,B165="N"),S164,S164*(D165*F165*G165+I165*K165*L165+N165*P165*Q165)/T164)</f>
        <v>358717483341809.62</v>
      </c>
      <c r="T165" s="81">
        <f>E165*F165*G165+J165*K165*L165+O165*P165*Q165</f>
        <v>337784815928500</v>
      </c>
      <c r="U165" s="80">
        <f t="shared" si="6"/>
        <v>941.64581213521831</v>
      </c>
      <c r="V165" s="52">
        <f t="shared" si="7"/>
        <v>5.0804362210891893E-3</v>
      </c>
      <c r="W165" s="48">
        <f>(E165-D165)/D165</f>
        <v>5.3705692803437165E-3</v>
      </c>
      <c r="X165" s="48">
        <f>(J165-I165)/I165</f>
        <v>1.8587360594795538E-3</v>
      </c>
      <c r="Y165" s="48">
        <f>(O165-N165)/N165</f>
        <v>1.1312217194570135E-2</v>
      </c>
      <c r="Z165" s="48" t="e">
        <f>(#REF!-#REF!)/#REF!</f>
        <v>#REF!</v>
      </c>
    </row>
    <row r="166" spans="1:26" x14ac:dyDescent="0.3">
      <c r="A166" s="48">
        <v>20180830</v>
      </c>
      <c r="B166" s="48" t="s">
        <v>88</v>
      </c>
      <c r="C166" s="79">
        <f>E166*F166*G166/T166</f>
        <v>0.89207784141768509</v>
      </c>
      <c r="D166" s="49">
        <v>46800</v>
      </c>
      <c r="E166" s="49">
        <v>47650</v>
      </c>
      <c r="F166" s="49">
        <v>6419324700</v>
      </c>
      <c r="G166" s="49">
        <v>1</v>
      </c>
      <c r="H166" s="48">
        <f>J166*K166*L166/T166</f>
        <v>9.7461045069606608E-2</v>
      </c>
      <c r="I166" s="48">
        <v>269500</v>
      </c>
      <c r="J166" s="48">
        <v>266500</v>
      </c>
      <c r="K166" s="51">
        <v>125395903</v>
      </c>
      <c r="L166" s="48">
        <v>1</v>
      </c>
      <c r="M166" s="49">
        <f>O166*P166*Q166/T166</f>
        <v>1.0461113512708307E-2</v>
      </c>
      <c r="N166" s="49">
        <v>223500</v>
      </c>
      <c r="O166" s="49">
        <v>224800</v>
      </c>
      <c r="P166" s="49">
        <v>15956260</v>
      </c>
      <c r="Q166" s="49">
        <v>1</v>
      </c>
      <c r="R166" s="82">
        <f t="shared" si="8"/>
        <v>0</v>
      </c>
      <c r="S166" s="82">
        <f>IF(AND(R166=0,B166="N"),S165,S165*(D166*F166*G166+I166*K166*L166+N166*P166*Q166)/T165)</f>
        <v>358717483341809.62</v>
      </c>
      <c r="T166" s="81">
        <f>E166*F166*G166+J166*K166*L166+O166*P166*Q166</f>
        <v>342885797352500</v>
      </c>
      <c r="U166" s="80">
        <f t="shared" si="6"/>
        <v>955.86586457447868</v>
      </c>
      <c r="V166" s="52">
        <f t="shared" si="7"/>
        <v>1.5101275082417509E-2</v>
      </c>
      <c r="W166" s="48">
        <f>(E166-D166)/D166</f>
        <v>1.8162393162393164E-2</v>
      </c>
      <c r="X166" s="48">
        <f>(J166-I166)/I166</f>
        <v>-1.1131725417439703E-2</v>
      </c>
      <c r="Y166" s="48">
        <f>(O166-N166)/N166</f>
        <v>5.8165548098434005E-3</v>
      </c>
      <c r="Z166" s="48" t="e">
        <f>(#REF!-#REF!)/#REF!</f>
        <v>#REF!</v>
      </c>
    </row>
    <row r="167" spans="1:26" x14ac:dyDescent="0.3">
      <c r="A167" s="48">
        <v>20180831</v>
      </c>
      <c r="B167" s="48" t="s">
        <v>88</v>
      </c>
      <c r="C167" s="79">
        <f>E167*F167*G167/T167</f>
        <v>0.89204235877805749</v>
      </c>
      <c r="D167" s="49">
        <v>47650</v>
      </c>
      <c r="E167" s="49">
        <v>48450</v>
      </c>
      <c r="F167" s="49">
        <v>6419324700</v>
      </c>
      <c r="G167" s="49">
        <v>1</v>
      </c>
      <c r="H167" s="48">
        <f>J167*K167*L167/T167</f>
        <v>9.7106759969711298E-2</v>
      </c>
      <c r="I167" s="48">
        <v>266500</v>
      </c>
      <c r="J167" s="48">
        <v>270000</v>
      </c>
      <c r="K167" s="51">
        <v>125395903</v>
      </c>
      <c r="L167" s="48">
        <v>1</v>
      </c>
      <c r="M167" s="49">
        <f>O167*P167*Q167/T167</f>
        <v>1.0850881252231267E-2</v>
      </c>
      <c r="N167" s="49">
        <v>224800</v>
      </c>
      <c r="O167" s="49">
        <v>237100</v>
      </c>
      <c r="P167" s="49">
        <v>15956260</v>
      </c>
      <c r="Q167" s="49">
        <v>1</v>
      </c>
      <c r="R167" s="82">
        <f t="shared" si="8"/>
        <v>0</v>
      </c>
      <c r="S167" s="82">
        <f>IF(AND(R167=0,B167="N"),S166,S166*(D167*F167*G167+I167*K167*L167+N167*P167*Q167)/T166)</f>
        <v>358717483341809.62</v>
      </c>
      <c r="T167" s="81">
        <f>E167*F167*G167+J167*K167*L167+O167*P167*Q167</f>
        <v>348656404771000</v>
      </c>
      <c r="U167" s="80">
        <f t="shared" si="6"/>
        <v>971.95263950594028</v>
      </c>
      <c r="V167" s="52">
        <f t="shared" si="7"/>
        <v>1.6829531765550524E-2</v>
      </c>
      <c r="W167" s="48">
        <f>(E167-D167)/D167</f>
        <v>1.6789087093389297E-2</v>
      </c>
      <c r="X167" s="48">
        <f>(J167-I167)/I167</f>
        <v>1.3133208255159476E-2</v>
      </c>
      <c r="Y167" s="48">
        <f>(O167-N167)/N167</f>
        <v>5.47153024911032E-2</v>
      </c>
      <c r="Z167" s="48" t="e">
        <f>(#REF!-#REF!)/#REF!</f>
        <v>#REF!</v>
      </c>
    </row>
    <row r="168" spans="1:26" x14ac:dyDescent="0.3">
      <c r="A168" s="48">
        <v>20180903</v>
      </c>
      <c r="B168" s="48" t="s">
        <v>88</v>
      </c>
      <c r="C168" s="79">
        <f>E168*F168*G168/T168</f>
        <v>0.89108412924145897</v>
      </c>
      <c r="D168" s="49">
        <v>48450</v>
      </c>
      <c r="E168" s="49">
        <v>47450</v>
      </c>
      <c r="F168" s="49">
        <v>6419324700</v>
      </c>
      <c r="G168" s="49">
        <v>1</v>
      </c>
      <c r="H168" s="48">
        <f>J168*K168*L168/T168</f>
        <v>9.7946237332008523E-2</v>
      </c>
      <c r="I168" s="48">
        <v>270000</v>
      </c>
      <c r="J168" s="48">
        <v>267000</v>
      </c>
      <c r="K168" s="51">
        <v>125395903</v>
      </c>
      <c r="L168" s="48">
        <v>1</v>
      </c>
      <c r="M168" s="49">
        <f>O168*P168*Q168/T168</f>
        <v>1.0969633426532496E-2</v>
      </c>
      <c r="N168" s="49">
        <v>237100</v>
      </c>
      <c r="O168" s="49">
        <v>235000</v>
      </c>
      <c r="P168" s="49">
        <v>15956260</v>
      </c>
      <c r="Q168" s="49">
        <v>1</v>
      </c>
      <c r="R168" s="82">
        <f t="shared" si="8"/>
        <v>0</v>
      </c>
      <c r="S168" s="82">
        <f>IF(AND(R168=0,B168="N"),S167,S167*(D168*F168*G168+I168*K168*L168+N168*P168*Q168)/T167)</f>
        <v>358717483341809.62</v>
      </c>
      <c r="T168" s="81">
        <f>E168*F168*G168+J168*K168*L168+O168*P168*Q168</f>
        <v>341827384216000</v>
      </c>
      <c r="U168" s="80">
        <f t="shared" si="6"/>
        <v>952.91531662058514</v>
      </c>
      <c r="V168" s="52">
        <f t="shared" si="7"/>
        <v>-1.9586677489792224E-2</v>
      </c>
      <c r="W168" s="48">
        <f>(E168-D168)/D168</f>
        <v>-2.063983488132095E-2</v>
      </c>
      <c r="X168" s="48">
        <f>(J168-I168)/I168</f>
        <v>-1.1111111111111112E-2</v>
      </c>
      <c r="Y168" s="48">
        <f>(O168-N168)/N168</f>
        <v>-8.8570223534373688E-3</v>
      </c>
      <c r="Z168" s="48" t="e">
        <f>(#REF!-#REF!)/#REF!</f>
        <v>#REF!</v>
      </c>
    </row>
    <row r="169" spans="1:26" x14ac:dyDescent="0.3">
      <c r="A169" s="48">
        <v>20180904</v>
      </c>
      <c r="B169" s="48" t="s">
        <v>88</v>
      </c>
      <c r="C169" s="79">
        <f>E169*F169*G169/T169</f>
        <v>0.88715297514649916</v>
      </c>
      <c r="D169" s="49">
        <v>47450</v>
      </c>
      <c r="E169" s="49">
        <v>47650</v>
      </c>
      <c r="F169" s="49">
        <v>6419324700</v>
      </c>
      <c r="G169" s="49">
        <v>1</v>
      </c>
      <c r="H169" s="48">
        <f>J169*K169*L169/T169</f>
        <v>0.10183279016269738</v>
      </c>
      <c r="I169" s="48">
        <v>267000</v>
      </c>
      <c r="J169" s="48">
        <v>280000</v>
      </c>
      <c r="K169" s="51">
        <v>125395903</v>
      </c>
      <c r="L169" s="48">
        <v>1</v>
      </c>
      <c r="M169" s="49">
        <f>O169*P169*Q169/T169</f>
        <v>1.1014234690803457E-2</v>
      </c>
      <c r="N169" s="49">
        <v>235000</v>
      </c>
      <c r="O169" s="49">
        <v>238000</v>
      </c>
      <c r="P169" s="49">
        <v>15956260</v>
      </c>
      <c r="Q169" s="49">
        <v>1</v>
      </c>
      <c r="R169" s="82">
        <f t="shared" si="8"/>
        <v>0</v>
      </c>
      <c r="S169" s="82">
        <f>IF(AND(R169=0,B169="N"),S168,S168*(D169*F169*G169+I169*K169*L169+N169*P169*Q169)/T168)</f>
        <v>358717483341809.62</v>
      </c>
      <c r="T169" s="81">
        <f>E169*F169*G169+J169*K169*L169+O169*P169*Q169</f>
        <v>344789264675000</v>
      </c>
      <c r="U169" s="80">
        <f t="shared" si="6"/>
        <v>961.17217779001339</v>
      </c>
      <c r="V169" s="52">
        <f t="shared" si="7"/>
        <v>8.6648425368062564E-3</v>
      </c>
      <c r="W169" s="48">
        <f>(E169-D169)/D169</f>
        <v>4.2149631190727078E-3</v>
      </c>
      <c r="X169" s="48">
        <f>(J169-I169)/I169</f>
        <v>4.8689138576779027E-2</v>
      </c>
      <c r="Y169" s="48">
        <f>(O169-N169)/N169</f>
        <v>1.276595744680851E-2</v>
      </c>
      <c r="Z169" s="48" t="e">
        <f>(#REF!-#REF!)/#REF!</f>
        <v>#REF!</v>
      </c>
    </row>
    <row r="170" spans="1:26" x14ac:dyDescent="0.3">
      <c r="A170" s="48">
        <v>20180905</v>
      </c>
      <c r="B170" s="48" t="s">
        <v>88</v>
      </c>
      <c r="C170" s="79">
        <f>E170*F170*G170/T170</f>
        <v>0.88686299142844771</v>
      </c>
      <c r="D170" s="49">
        <v>47650</v>
      </c>
      <c r="E170" s="49">
        <v>46600</v>
      </c>
      <c r="F170" s="49">
        <v>6419324700</v>
      </c>
      <c r="G170" s="49">
        <v>1</v>
      </c>
      <c r="H170" s="48">
        <f>J170*K170*L170/T170</f>
        <v>0.10204858049872371</v>
      </c>
      <c r="I170" s="48">
        <v>280000</v>
      </c>
      <c r="J170" s="48">
        <v>274500</v>
      </c>
      <c r="K170" s="51">
        <v>125395903</v>
      </c>
      <c r="L170" s="48">
        <v>1</v>
      </c>
      <c r="M170" s="49">
        <f>O170*P170*Q170/T170</f>
        <v>1.1088428072828536E-2</v>
      </c>
      <c r="N170" s="49">
        <v>238000</v>
      </c>
      <c r="O170" s="49">
        <v>234400</v>
      </c>
      <c r="P170" s="49">
        <v>15956260</v>
      </c>
      <c r="Q170" s="49">
        <v>1</v>
      </c>
      <c r="R170" s="82">
        <f t="shared" si="8"/>
        <v>0</v>
      </c>
      <c r="S170" s="82">
        <f>IF(AND(R170=0,B170="N"),S169,S169*(D170*F170*G170+I170*K170*L170+N170*P170*Q170)/T169)</f>
        <v>358717483341809.62</v>
      </c>
      <c r="T170" s="81">
        <f>E170*F170*G170+J170*K170*L170+O170*P170*Q170</f>
        <v>337301853737500</v>
      </c>
      <c r="U170" s="80">
        <f t="shared" si="6"/>
        <v>940.29945403050397</v>
      </c>
      <c r="V170" s="52">
        <f t="shared" si="7"/>
        <v>-2.1715905060320499E-2</v>
      </c>
      <c r="W170" s="48">
        <f>(E170-D170)/D170</f>
        <v>-2.2035676810073453E-2</v>
      </c>
      <c r="X170" s="48">
        <f>(J170-I170)/I170</f>
        <v>-1.9642857142857142E-2</v>
      </c>
      <c r="Y170" s="48">
        <f>(O170-N170)/N170</f>
        <v>-1.5126050420168067E-2</v>
      </c>
      <c r="Z170" s="48" t="e">
        <f>(#REF!-#REF!)/#REF!</f>
        <v>#REF!</v>
      </c>
    </row>
    <row r="171" spans="1:26" x14ac:dyDescent="0.3">
      <c r="A171" s="48">
        <v>20180906</v>
      </c>
      <c r="B171" s="48" t="s">
        <v>88</v>
      </c>
      <c r="C171" s="79">
        <f>E171*F171*G171/T171</f>
        <v>0.88519788178647352</v>
      </c>
      <c r="D171" s="49">
        <v>46600</v>
      </c>
      <c r="E171" s="49">
        <v>46100</v>
      </c>
      <c r="F171" s="49">
        <v>6419324700</v>
      </c>
      <c r="G171" s="49">
        <v>1</v>
      </c>
      <c r="H171" s="48">
        <f>J171*K171*L171/T171</f>
        <v>0.10408698568966301</v>
      </c>
      <c r="I171" s="48">
        <v>274500</v>
      </c>
      <c r="J171" s="48">
        <v>277500</v>
      </c>
      <c r="K171" s="51">
        <v>125395903</v>
      </c>
      <c r="L171" s="48">
        <v>1</v>
      </c>
      <c r="M171" s="49">
        <f>O171*P171*Q171/T171</f>
        <v>1.0715132523863469E-2</v>
      </c>
      <c r="N171" s="49">
        <v>234400</v>
      </c>
      <c r="O171" s="49">
        <v>224500</v>
      </c>
      <c r="P171" s="49">
        <v>15956260</v>
      </c>
      <c r="Q171" s="49">
        <v>1</v>
      </c>
      <c r="R171" s="82">
        <f t="shared" si="8"/>
        <v>0</v>
      </c>
      <c r="S171" s="82">
        <f>IF(AND(R171=0,B171="N"),S170,S170*(D171*F171*G171+I171*K171*L171+N171*P171*Q171)/T170)</f>
        <v>358717483341809.62</v>
      </c>
      <c r="T171" s="81">
        <f>E171*F171*G171+J171*K171*L171+O171*P171*Q171</f>
        <v>334310412122500</v>
      </c>
      <c r="U171" s="80">
        <f t="shared" si="6"/>
        <v>931.96018495688156</v>
      </c>
      <c r="V171" s="52">
        <f t="shared" si="7"/>
        <v>-8.8687375472536138E-3</v>
      </c>
      <c r="W171" s="48">
        <f>(E171-D171)/D171</f>
        <v>-1.0729613733905579E-2</v>
      </c>
      <c r="X171" s="48">
        <f>(J171-I171)/I171</f>
        <v>1.092896174863388E-2</v>
      </c>
      <c r="Y171" s="48">
        <f>(O171-N171)/N171</f>
        <v>-4.2235494880546072E-2</v>
      </c>
      <c r="Z171" s="48" t="e">
        <f>(#REF!-#REF!)/#REF!</f>
        <v>#REF!</v>
      </c>
    </row>
    <row r="172" spans="1:26" x14ac:dyDescent="0.3">
      <c r="A172" s="48">
        <v>20180907</v>
      </c>
      <c r="B172" s="48" t="s">
        <v>88</v>
      </c>
      <c r="C172" s="79">
        <f>E172*F172*G172/T172</f>
        <v>0.88179157732925062</v>
      </c>
      <c r="D172" s="49">
        <v>46100</v>
      </c>
      <c r="E172" s="49">
        <v>44900</v>
      </c>
      <c r="F172" s="49">
        <v>6419324700</v>
      </c>
      <c r="G172" s="49">
        <v>1</v>
      </c>
      <c r="H172" s="48">
        <f>J172*K172*L172/T172</f>
        <v>0.10722484351821587</v>
      </c>
      <c r="I172" s="48">
        <v>277500</v>
      </c>
      <c r="J172" s="48">
        <v>279500</v>
      </c>
      <c r="K172" s="51">
        <v>125395903</v>
      </c>
      <c r="L172" s="48">
        <v>1</v>
      </c>
      <c r="M172" s="49">
        <f>O172*P172*Q172/T172</f>
        <v>1.098357915253347E-2</v>
      </c>
      <c r="N172" s="49">
        <v>224500</v>
      </c>
      <c r="O172" s="49">
        <v>225000</v>
      </c>
      <c r="P172" s="49">
        <v>15956260</v>
      </c>
      <c r="Q172" s="49">
        <v>1</v>
      </c>
      <c r="R172" s="82">
        <f t="shared" si="8"/>
        <v>0</v>
      </c>
      <c r="S172" s="82">
        <f>IF(AND(R172=0,B172="N"),S171,S171*(D172*F172*G172+I172*K172*L172+N172*P172*Q172)/T171)</f>
        <v>358717483341809.62</v>
      </c>
      <c r="T172" s="81">
        <f>E172*F172*G172+J172*K172*L172+O172*P172*Q172</f>
        <v>326865992418500</v>
      </c>
      <c r="U172" s="80">
        <f t="shared" si="6"/>
        <v>911.2073082511024</v>
      </c>
      <c r="V172" s="52">
        <f t="shared" si="7"/>
        <v>-2.2267986380490407E-2</v>
      </c>
      <c r="W172" s="48">
        <f>(E172-D172)/D172</f>
        <v>-2.6030368763557483E-2</v>
      </c>
      <c r="X172" s="48">
        <f>(J172-I172)/I172</f>
        <v>7.2072072072072073E-3</v>
      </c>
      <c r="Y172" s="48">
        <f>(O172-N172)/N172</f>
        <v>2.2271714922048997E-3</v>
      </c>
      <c r="Z172" s="48" t="e">
        <f>(#REF!-#REF!)/#REF!</f>
        <v>#REF!</v>
      </c>
    </row>
    <row r="173" spans="1:26" x14ac:dyDescent="0.3">
      <c r="A173" s="48">
        <v>20180910</v>
      </c>
      <c r="B173" s="48" t="s">
        <v>88</v>
      </c>
      <c r="C173" s="79">
        <f>E173*F173*G173/T173</f>
        <v>0.88515080400379365</v>
      </c>
      <c r="D173" s="49">
        <v>44900</v>
      </c>
      <c r="E173" s="49">
        <v>45500</v>
      </c>
      <c r="F173" s="49">
        <v>6419324700</v>
      </c>
      <c r="G173" s="49">
        <v>1</v>
      </c>
      <c r="H173" s="48">
        <f>J173*K173*L173/T173</f>
        <v>0.10412390278006538</v>
      </c>
      <c r="I173" s="48">
        <v>279500</v>
      </c>
      <c r="J173" s="48">
        <v>274000</v>
      </c>
      <c r="K173" s="51">
        <v>125395903</v>
      </c>
      <c r="L173" s="48">
        <v>1</v>
      </c>
      <c r="M173" s="49">
        <f>O173*P173*Q173/T173</f>
        <v>1.0725293216141E-2</v>
      </c>
      <c r="N173" s="49">
        <v>225000</v>
      </c>
      <c r="O173" s="49">
        <v>221800</v>
      </c>
      <c r="P173" s="49">
        <v>15956260</v>
      </c>
      <c r="Q173" s="49">
        <v>1</v>
      </c>
      <c r="R173" s="82">
        <f t="shared" si="8"/>
        <v>0</v>
      </c>
      <c r="S173" s="82">
        <f>IF(AND(R173=0,B173="N"),S172,S172*(D173*F173*G173+I173*K173*L173+N173*P173*Q173)/T172)</f>
        <v>358717483341809.62</v>
      </c>
      <c r="T173" s="81">
        <f>E173*F173*G173+J173*K173*L173+O173*P173*Q173</f>
        <v>329976849740000</v>
      </c>
      <c r="U173" s="80">
        <f t="shared" si="6"/>
        <v>919.87947357886742</v>
      </c>
      <c r="V173" s="52">
        <f t="shared" si="7"/>
        <v>9.5172253879412666E-3</v>
      </c>
      <c r="W173" s="48">
        <f>(E173-D173)/D173</f>
        <v>1.3363028953229399E-2</v>
      </c>
      <c r="X173" s="48">
        <f>(J173-I173)/I173</f>
        <v>-1.9677996422182469E-2</v>
      </c>
      <c r="Y173" s="48">
        <f>(O173-N173)/N173</f>
        <v>-1.4222222222222223E-2</v>
      </c>
      <c r="Z173" s="48" t="e">
        <f>(#REF!-#REF!)/#REF!</f>
        <v>#REF!</v>
      </c>
    </row>
    <row r="174" spans="1:26" x14ac:dyDescent="0.3">
      <c r="A174" s="48">
        <v>20180911</v>
      </c>
      <c r="B174" s="48" t="s">
        <v>88</v>
      </c>
      <c r="C174" s="79">
        <f>E174*F174*G174/T174</f>
        <v>0.88392395196618345</v>
      </c>
      <c r="D174" s="49">
        <v>45500</v>
      </c>
      <c r="E174" s="49">
        <v>45050</v>
      </c>
      <c r="F174" s="49">
        <v>6419324700</v>
      </c>
      <c r="G174" s="49">
        <v>1</v>
      </c>
      <c r="H174" s="48">
        <f>J174*K174*L174/T174</f>
        <v>0.10520986404801129</v>
      </c>
      <c r="I174" s="48">
        <v>274000</v>
      </c>
      <c r="J174" s="48">
        <v>274500</v>
      </c>
      <c r="K174" s="51">
        <v>125395903</v>
      </c>
      <c r="L174" s="48">
        <v>1</v>
      </c>
      <c r="M174" s="49">
        <f>O174*P174*Q174/T174</f>
        <v>1.086618398580525E-2</v>
      </c>
      <c r="N174" s="49">
        <v>221800</v>
      </c>
      <c r="O174" s="49">
        <v>222800</v>
      </c>
      <c r="P174" s="49">
        <v>15956260</v>
      </c>
      <c r="Q174" s="49">
        <v>1</v>
      </c>
      <c r="R174" s="82">
        <f t="shared" si="8"/>
        <v>0</v>
      </c>
      <c r="S174" s="82">
        <f>IF(AND(R174=0,B174="N"),S173,S173*(D174*F174*G174+I174*K174*L174+N174*P174*Q174)/T173)</f>
        <v>358717483341809.62</v>
      </c>
      <c r="T174" s="81">
        <f>E174*F174*G174+J174*K174*L174+O174*P174*Q174</f>
        <v>327166807836500</v>
      </c>
      <c r="U174" s="80">
        <f t="shared" si="6"/>
        <v>912.04589413545239</v>
      </c>
      <c r="V174" s="52">
        <f t="shared" si="7"/>
        <v>-8.5158759037614381E-3</v>
      </c>
      <c r="W174" s="48">
        <f>(E174-D174)/D174</f>
        <v>-9.8901098901098897E-3</v>
      </c>
      <c r="X174" s="48">
        <f>(J174-I174)/I174</f>
        <v>1.8248175182481751E-3</v>
      </c>
      <c r="Y174" s="48">
        <f>(O174-N174)/N174</f>
        <v>4.508566275924256E-3</v>
      </c>
      <c r="Z174" s="48" t="e">
        <f>(#REF!-#REF!)/#REF!</f>
        <v>#REF!</v>
      </c>
    </row>
    <row r="175" spans="1:26" x14ac:dyDescent="0.3">
      <c r="A175" s="48">
        <v>20180912</v>
      </c>
      <c r="B175" s="48" t="s">
        <v>88</v>
      </c>
      <c r="C175" s="79">
        <f>E175*F175*G175/T175</f>
        <v>0.87888584933283009</v>
      </c>
      <c r="D175" s="49">
        <v>45050</v>
      </c>
      <c r="E175" s="49">
        <v>44550</v>
      </c>
      <c r="F175" s="49">
        <v>6419324700</v>
      </c>
      <c r="G175" s="49">
        <v>1</v>
      </c>
      <c r="H175" s="48">
        <f>J175*K175*L175/T175</f>
        <v>0.10983066859672669</v>
      </c>
      <c r="I175" s="48">
        <v>274500</v>
      </c>
      <c r="J175" s="48">
        <v>285000</v>
      </c>
      <c r="K175" s="51">
        <v>125395903</v>
      </c>
      <c r="L175" s="48">
        <v>1</v>
      </c>
      <c r="M175" s="49">
        <f>O175*P175*Q175/T175</f>
        <v>1.1283482070443209E-2</v>
      </c>
      <c r="N175" s="49">
        <v>222800</v>
      </c>
      <c r="O175" s="49">
        <v>230100</v>
      </c>
      <c r="P175" s="49">
        <v>15956260</v>
      </c>
      <c r="Q175" s="49">
        <v>1</v>
      </c>
      <c r="R175" s="82">
        <f t="shared" si="8"/>
        <v>0</v>
      </c>
      <c r="S175" s="82">
        <f>IF(AND(R175=0,B175="N"),S174,S174*(D175*F175*G175+I175*K175*L175+N175*P175*Q175)/T174)</f>
        <v>358717483341809.62</v>
      </c>
      <c r="T175" s="81">
        <f>E175*F175*G175+J175*K175*L175+O175*P175*Q175</f>
        <v>325390283166000</v>
      </c>
      <c r="U175" s="80">
        <f t="shared" si="6"/>
        <v>907.09346010868035</v>
      </c>
      <c r="V175" s="52">
        <f t="shared" si="7"/>
        <v>-5.4300272153152513E-3</v>
      </c>
      <c r="W175" s="48">
        <f>(E175-D175)/D175</f>
        <v>-1.1098779134295227E-2</v>
      </c>
      <c r="X175" s="48">
        <f>(J175-I175)/I175</f>
        <v>3.825136612021858E-2</v>
      </c>
      <c r="Y175" s="48">
        <f>(O175-N175)/N175</f>
        <v>3.2764811490125674E-2</v>
      </c>
      <c r="Z175" s="48" t="e">
        <f>(#REF!-#REF!)/#REF!</f>
        <v>#REF!</v>
      </c>
    </row>
    <row r="176" spans="1:26" x14ac:dyDescent="0.3">
      <c r="A176" s="48">
        <v>20180913</v>
      </c>
      <c r="B176" s="48" t="s">
        <v>88</v>
      </c>
      <c r="C176" s="79">
        <f>E176*F176*G176/T176</f>
        <v>0.87469024524985861</v>
      </c>
      <c r="D176" s="49">
        <v>44550</v>
      </c>
      <c r="E176" s="49">
        <v>44050</v>
      </c>
      <c r="F176" s="49">
        <v>6419324700</v>
      </c>
      <c r="G176" s="49">
        <v>1</v>
      </c>
      <c r="H176" s="48">
        <f>J176*K176*L176/T176</f>
        <v>0.11384408730922205</v>
      </c>
      <c r="I176" s="48">
        <v>285000</v>
      </c>
      <c r="J176" s="48">
        <v>293500</v>
      </c>
      <c r="K176" s="51">
        <v>125395903</v>
      </c>
      <c r="L176" s="48">
        <v>1</v>
      </c>
      <c r="M176" s="49">
        <f>O176*P176*Q176/T176</f>
        <v>1.1465667440919324E-2</v>
      </c>
      <c r="N176" s="49">
        <v>230100</v>
      </c>
      <c r="O176" s="49">
        <v>232300</v>
      </c>
      <c r="P176" s="49">
        <v>15956260</v>
      </c>
      <c r="Q176" s="49">
        <v>1</v>
      </c>
      <c r="R176" s="82">
        <f t="shared" si="8"/>
        <v>0</v>
      </c>
      <c r="S176" s="82">
        <f>IF(AND(R176=0,B176="N"),S175,S175*(D176*F176*G176+I176*K176*L176+N176*P176*Q176)/T175)</f>
        <v>358717483341809.62</v>
      </c>
      <c r="T176" s="81">
        <f>E176*F176*G176+J176*K176*L176+O176*P176*Q176</f>
        <v>323281589763500</v>
      </c>
      <c r="U176" s="80">
        <f t="shared" si="6"/>
        <v>901.21503627816207</v>
      </c>
      <c r="V176" s="52">
        <f t="shared" si="7"/>
        <v>-6.4805051398055154E-3</v>
      </c>
      <c r="W176" s="48">
        <f>(E176-D176)/D176</f>
        <v>-1.1223344556677889E-2</v>
      </c>
      <c r="X176" s="48">
        <f>(J176-I176)/I176</f>
        <v>2.9824561403508771E-2</v>
      </c>
      <c r="Y176" s="48">
        <f>(O176-N176)/N176</f>
        <v>9.5610604085180351E-3</v>
      </c>
      <c r="Z176" s="48" t="e">
        <f>(#REF!-#REF!)/#REF!</f>
        <v>#REF!</v>
      </c>
    </row>
    <row r="177" spans="1:26" x14ac:dyDescent="0.3">
      <c r="A177" s="48">
        <v>20180914</v>
      </c>
      <c r="B177" s="48" t="s">
        <v>88</v>
      </c>
      <c r="C177" s="79">
        <f>E177*F177*G177/T177</f>
        <v>0.87950266654823728</v>
      </c>
      <c r="D177" s="49">
        <v>44050</v>
      </c>
      <c r="E177" s="49">
        <v>45850</v>
      </c>
      <c r="F177" s="49">
        <v>6419324700</v>
      </c>
      <c r="G177" s="49">
        <v>1</v>
      </c>
      <c r="H177" s="48">
        <f>J177*K177*L177/T177</f>
        <v>0.10903974147988152</v>
      </c>
      <c r="I177" s="48">
        <v>293500</v>
      </c>
      <c r="J177" s="48">
        <v>291000</v>
      </c>
      <c r="K177" s="51">
        <v>125395903</v>
      </c>
      <c r="L177" s="48">
        <v>1</v>
      </c>
      <c r="M177" s="49">
        <f>O177*P177*Q177/T177</f>
        <v>1.1457591971881195E-2</v>
      </c>
      <c r="N177" s="49">
        <v>232300</v>
      </c>
      <c r="O177" s="49">
        <v>240300</v>
      </c>
      <c r="P177" s="49">
        <v>15956260</v>
      </c>
      <c r="Q177" s="49">
        <v>1</v>
      </c>
      <c r="R177" s="82">
        <f t="shared" si="8"/>
        <v>0</v>
      </c>
      <c r="S177" s="82">
        <f>IF(AND(R177=0,B177="N"),S176,S176*(D177*F177*G177+I177*K177*L177+N177*P177*Q177)/T176)</f>
        <v>358717483341809.62</v>
      </c>
      <c r="T177" s="81">
        <f>E177*F177*G177+J177*K177*L177+O177*P177*Q177</f>
        <v>334650534546000</v>
      </c>
      <c r="U177" s="80">
        <f t="shared" si="6"/>
        <v>932.90834733896406</v>
      </c>
      <c r="V177" s="52">
        <f t="shared" si="7"/>
        <v>3.5167312777746172E-2</v>
      </c>
      <c r="W177" s="48">
        <f>(E177-D177)/D177</f>
        <v>4.0862656072644721E-2</v>
      </c>
      <c r="X177" s="48">
        <f>(J177-I177)/I177</f>
        <v>-8.5178875638841564E-3</v>
      </c>
      <c r="Y177" s="48">
        <f>(O177-N177)/N177</f>
        <v>3.4438226431338786E-2</v>
      </c>
      <c r="Z177" s="48" t="e">
        <f>(#REF!-#REF!)/#REF!</f>
        <v>#REF!</v>
      </c>
    </row>
    <row r="178" spans="1:26" x14ac:dyDescent="0.3">
      <c r="A178" s="48">
        <v>20180917</v>
      </c>
      <c r="B178" s="48" t="s">
        <v>88</v>
      </c>
      <c r="C178" s="79">
        <f>E178*F178*G178/T178</f>
        <v>0.87400297293823936</v>
      </c>
      <c r="D178" s="49">
        <v>45850</v>
      </c>
      <c r="E178" s="49">
        <v>45150</v>
      </c>
      <c r="F178" s="49">
        <v>6419324700</v>
      </c>
      <c r="G178" s="49">
        <v>1</v>
      </c>
      <c r="H178" s="48">
        <f>J178*K178*L178/T178</f>
        <v>0.11438643843464626</v>
      </c>
      <c r="I178" s="48">
        <v>291000</v>
      </c>
      <c r="J178" s="48">
        <v>302500</v>
      </c>
      <c r="K178" s="51">
        <v>125395903</v>
      </c>
      <c r="L178" s="48">
        <v>1</v>
      </c>
      <c r="M178" s="49">
        <f>O178*P178*Q178/T178</f>
        <v>1.1610588627114398E-2</v>
      </c>
      <c r="N178" s="49">
        <v>240300</v>
      </c>
      <c r="O178" s="49">
        <v>241300</v>
      </c>
      <c r="P178" s="49">
        <v>15956260</v>
      </c>
      <c r="Q178" s="49">
        <v>1</v>
      </c>
      <c r="R178" s="82">
        <f t="shared" si="8"/>
        <v>0</v>
      </c>
      <c r="S178" s="82">
        <f>IF(AND(R178=0,B178="N"),S177,S177*(D178*F178*G178+I178*K178*L178+N178*P178*Q178)/T177)</f>
        <v>358717483341809.62</v>
      </c>
      <c r="T178" s="81">
        <f>E178*F178*G178+J178*K178*L178+O178*P178*Q178</f>
        <v>331615016400500</v>
      </c>
      <c r="U178" s="80">
        <f t="shared" si="6"/>
        <v>924.44620571926623</v>
      </c>
      <c r="V178" s="52">
        <f t="shared" si="7"/>
        <v>-9.070710583558737E-3</v>
      </c>
      <c r="W178" s="48">
        <f>(E178-D178)/D178</f>
        <v>-1.5267175572519083E-2</v>
      </c>
      <c r="X178" s="48">
        <f>(J178-I178)/I178</f>
        <v>3.951890034364261E-2</v>
      </c>
      <c r="Y178" s="48">
        <f>(O178-N178)/N178</f>
        <v>4.1614648356221393E-3</v>
      </c>
      <c r="Z178" s="48" t="e">
        <f>(#REF!-#REF!)/#REF!</f>
        <v>#REF!</v>
      </c>
    </row>
    <row r="179" spans="1:26" x14ac:dyDescent="0.3">
      <c r="A179" s="48">
        <v>20180918</v>
      </c>
      <c r="B179" s="48" t="s">
        <v>88</v>
      </c>
      <c r="C179" s="79">
        <f>E179*F179*G179/T179</f>
        <v>0.87543737270298594</v>
      </c>
      <c r="D179" s="49">
        <v>45150</v>
      </c>
      <c r="E179" s="49">
        <v>45500</v>
      </c>
      <c r="F179" s="49">
        <v>6419324700</v>
      </c>
      <c r="G179" s="49">
        <v>1</v>
      </c>
      <c r="H179" s="48">
        <f>J179*K179*L179/T179</f>
        <v>0.11294113976703371</v>
      </c>
      <c r="I179" s="48">
        <v>302500</v>
      </c>
      <c r="J179" s="48">
        <v>300500</v>
      </c>
      <c r="K179" s="51">
        <v>125395903</v>
      </c>
      <c r="L179" s="48">
        <v>1</v>
      </c>
      <c r="M179" s="49">
        <f>O179*P179*Q179/T179</f>
        <v>1.1621487529980301E-2</v>
      </c>
      <c r="N179" s="49">
        <v>241300</v>
      </c>
      <c r="O179" s="49">
        <v>243000</v>
      </c>
      <c r="P179" s="49">
        <v>15956260</v>
      </c>
      <c r="Q179" s="49">
        <v>1</v>
      </c>
      <c r="R179" s="82">
        <f t="shared" si="8"/>
        <v>0</v>
      </c>
      <c r="S179" s="82">
        <f>IF(AND(R179=0,B179="N"),S178,S178*(D179*F179*G179+I179*K179*L179+N179*P179*Q179)/T178)</f>
        <v>358717483341809.62</v>
      </c>
      <c r="T179" s="81">
        <f>E179*F179*G179+J179*K179*L179+O179*P179*Q179</f>
        <v>333638113881500</v>
      </c>
      <c r="U179" s="80">
        <f t="shared" si="6"/>
        <v>930.08601301874</v>
      </c>
      <c r="V179" s="52">
        <f t="shared" si="7"/>
        <v>6.1007414650868907E-3</v>
      </c>
      <c r="W179" s="48">
        <f>(E179-D179)/D179</f>
        <v>7.7519379844961239E-3</v>
      </c>
      <c r="X179" s="48">
        <f>(J179-I179)/I179</f>
        <v>-6.6115702479338841E-3</v>
      </c>
      <c r="Y179" s="48">
        <f>(O179-N179)/N179</f>
        <v>7.0451719850808123E-3</v>
      </c>
      <c r="Z179" s="48" t="e">
        <f>(#REF!-#REF!)/#REF!</f>
        <v>#REF!</v>
      </c>
    </row>
    <row r="180" spans="1:26" x14ac:dyDescent="0.3">
      <c r="A180" s="48">
        <v>20180919</v>
      </c>
      <c r="B180" s="48" t="s">
        <v>88</v>
      </c>
      <c r="C180" s="79">
        <f>E180*F180*G180/T180</f>
        <v>0.87518914766829781</v>
      </c>
      <c r="D180" s="49">
        <v>45500</v>
      </c>
      <c r="E180" s="49">
        <v>46150</v>
      </c>
      <c r="F180" s="49">
        <v>6419324700</v>
      </c>
      <c r="G180" s="49">
        <v>1</v>
      </c>
      <c r="H180" s="48">
        <f>J180*K180*L180/T180</f>
        <v>0.11335629651669435</v>
      </c>
      <c r="I180" s="48">
        <v>300500</v>
      </c>
      <c r="J180" s="48">
        <v>306000</v>
      </c>
      <c r="K180" s="51">
        <v>125395903</v>
      </c>
      <c r="L180" s="48">
        <v>1</v>
      </c>
      <c r="M180" s="49">
        <f>O180*P180*Q180/T180</f>
        <v>1.1454555815007879E-2</v>
      </c>
      <c r="N180" s="49">
        <v>243000</v>
      </c>
      <c r="O180" s="49">
        <v>243000</v>
      </c>
      <c r="P180" s="49">
        <v>15956260</v>
      </c>
      <c r="Q180" s="49">
        <v>1</v>
      </c>
      <c r="R180" s="82">
        <f t="shared" si="8"/>
        <v>0</v>
      </c>
      <c r="S180" s="82">
        <f>IF(AND(R180=0,B180="N"),S179,S179*(D180*F180*G180+I180*K180*L180+N180*P180*Q180)/T179)</f>
        <v>358717483341809.62</v>
      </c>
      <c r="T180" s="81">
        <f>E180*F180*G180+J180*K180*L180+O180*P180*Q180</f>
        <v>338500352403000</v>
      </c>
      <c r="U180" s="80">
        <f t="shared" si="6"/>
        <v>943.64051969124284</v>
      </c>
      <c r="V180" s="52">
        <f t="shared" si="7"/>
        <v>1.4573390506658155E-2</v>
      </c>
      <c r="W180" s="48">
        <f>(E180-D180)/D180</f>
        <v>1.4285714285714285E-2</v>
      </c>
      <c r="X180" s="48">
        <f>(J180-I180)/I180</f>
        <v>1.8302828618968387E-2</v>
      </c>
      <c r="Y180" s="48">
        <f>(O180-N180)/N180</f>
        <v>0</v>
      </c>
      <c r="Z180" s="48" t="e">
        <f>(#REF!-#REF!)/#REF!</f>
        <v>#REF!</v>
      </c>
    </row>
    <row r="181" spans="1:26" x14ac:dyDescent="0.3">
      <c r="A181" s="48">
        <v>20180920</v>
      </c>
      <c r="B181" s="48" t="s">
        <v>88</v>
      </c>
      <c r="C181" s="79">
        <f>E181*F181*G181/T181</f>
        <v>0.88064937240594987</v>
      </c>
      <c r="D181" s="49">
        <v>46150</v>
      </c>
      <c r="E181" s="49">
        <v>47250</v>
      </c>
      <c r="F181" s="49">
        <v>6419324700</v>
      </c>
      <c r="G181" s="49">
        <v>1</v>
      </c>
      <c r="H181" s="48">
        <f>J181*K181*L181/T181</f>
        <v>0.10794932186506052</v>
      </c>
      <c r="I181" s="48">
        <v>306000</v>
      </c>
      <c r="J181" s="48">
        <v>296500</v>
      </c>
      <c r="K181" s="51">
        <v>125395903</v>
      </c>
      <c r="L181" s="48">
        <v>1</v>
      </c>
      <c r="M181" s="49">
        <f>O181*P181*Q181/T181</f>
        <v>1.1401305728989609E-2</v>
      </c>
      <c r="N181" s="49">
        <v>243000</v>
      </c>
      <c r="O181" s="49">
        <v>246100</v>
      </c>
      <c r="P181" s="49">
        <v>15956260</v>
      </c>
      <c r="Q181" s="49">
        <v>1</v>
      </c>
      <c r="R181" s="82">
        <f t="shared" si="8"/>
        <v>0</v>
      </c>
      <c r="S181" s="82">
        <f>IF(AND(R181=0,B181="N"),S180,S180*(D181*F181*G181+I181*K181*L181+N181*P181*Q181)/T180)</f>
        <v>358717483341809.62</v>
      </c>
      <c r="T181" s="81">
        <f>E181*F181*G181+J181*K181*L181+O181*P181*Q181</f>
        <v>344419812900500</v>
      </c>
      <c r="U181" s="80">
        <f t="shared" si="6"/>
        <v>960.14225370864949</v>
      </c>
      <c r="V181" s="52">
        <f t="shared" si="7"/>
        <v>1.7487309704341626E-2</v>
      </c>
      <c r="W181" s="48">
        <f>(E181-D181)/D181</f>
        <v>2.3835319609967497E-2</v>
      </c>
      <c r="X181" s="48">
        <f>(J181-I181)/I181</f>
        <v>-3.1045751633986929E-2</v>
      </c>
      <c r="Y181" s="48">
        <f>(O181-N181)/N181</f>
        <v>1.2757201646090535E-2</v>
      </c>
      <c r="Z181" s="48" t="e">
        <f>(#REF!-#REF!)/#REF!</f>
        <v>#REF!</v>
      </c>
    </row>
    <row r="182" spans="1:26" x14ac:dyDescent="0.3">
      <c r="A182" s="48">
        <v>20180921</v>
      </c>
      <c r="B182" s="48" t="s">
        <v>88</v>
      </c>
      <c r="C182" s="79">
        <f>E182*F182*G182/T182</f>
        <v>0.87911174641620549</v>
      </c>
      <c r="D182" s="49">
        <v>47250</v>
      </c>
      <c r="E182" s="49">
        <v>47400</v>
      </c>
      <c r="F182" s="49">
        <v>6419324700</v>
      </c>
      <c r="G182" s="49">
        <v>1</v>
      </c>
      <c r="H182" s="48">
        <f>J182*K182*L182/T182</f>
        <v>0.10959358254539425</v>
      </c>
      <c r="I182" s="48">
        <v>296500</v>
      </c>
      <c r="J182" s="48">
        <v>302500</v>
      </c>
      <c r="K182" s="51">
        <v>125395903</v>
      </c>
      <c r="L182" s="48">
        <v>1</v>
      </c>
      <c r="M182" s="49">
        <f>O182*P182*Q182/T182</f>
        <v>1.1294671038400244E-2</v>
      </c>
      <c r="N182" s="49">
        <v>246100</v>
      </c>
      <c r="O182" s="49">
        <v>245000</v>
      </c>
      <c r="P182" s="49">
        <v>15956260</v>
      </c>
      <c r="Q182" s="49">
        <v>1</v>
      </c>
      <c r="R182" s="82">
        <f t="shared" si="8"/>
        <v>0</v>
      </c>
      <c r="S182" s="82">
        <f>IF(AND(R182=0,B182="N"),S181,S181*(D182*F182*G182+I182*K182*L182+N182*P182*Q182)/T181)</f>
        <v>358717483341809.62</v>
      </c>
      <c r="T182" s="81">
        <f>E182*F182*G182+J182*K182*L182+O182*P182*Q182</f>
        <v>346117535137500</v>
      </c>
      <c r="U182" s="80">
        <f t="shared" si="6"/>
        <v>964.87500947283479</v>
      </c>
      <c r="V182" s="52">
        <f t="shared" si="7"/>
        <v>4.9292235040219682E-3</v>
      </c>
      <c r="W182" s="48">
        <f>(E182-D182)/D182</f>
        <v>3.1746031746031746E-3</v>
      </c>
      <c r="X182" s="48">
        <f>(J182-I182)/I182</f>
        <v>2.0236087689713321E-2</v>
      </c>
      <c r="Y182" s="48">
        <f>(O182-N182)/N182</f>
        <v>-4.469727752945957E-3</v>
      </c>
      <c r="Z182" s="48" t="e">
        <f>(#REF!-#REF!)/#REF!</f>
        <v>#REF!</v>
      </c>
    </row>
    <row r="183" spans="1:26" x14ac:dyDescent="0.3">
      <c r="A183" s="48">
        <v>20180927</v>
      </c>
      <c r="B183" s="48" t="s">
        <v>88</v>
      </c>
      <c r="C183" s="79">
        <f>E183*F183*G183/T183</f>
        <v>0.87966697781922509</v>
      </c>
      <c r="D183" s="49">
        <v>47400</v>
      </c>
      <c r="E183" s="49">
        <v>47500</v>
      </c>
      <c r="F183" s="49">
        <v>6419324700</v>
      </c>
      <c r="G183" s="49">
        <v>1</v>
      </c>
      <c r="H183" s="48">
        <f>J183*K183*L183/T183</f>
        <v>0.10888929318424292</v>
      </c>
      <c r="I183" s="48">
        <v>302500</v>
      </c>
      <c r="J183" s="48">
        <v>301000</v>
      </c>
      <c r="K183" s="51">
        <v>125395903</v>
      </c>
      <c r="L183" s="48">
        <v>1</v>
      </c>
      <c r="M183" s="49">
        <f>O183*P183*Q183/T183</f>
        <v>1.144372899653202E-2</v>
      </c>
      <c r="N183" s="49">
        <v>245000</v>
      </c>
      <c r="O183" s="49">
        <v>248600</v>
      </c>
      <c r="P183" s="49">
        <v>15956260</v>
      </c>
      <c r="Q183" s="49">
        <v>1</v>
      </c>
      <c r="R183" s="82">
        <f t="shared" si="8"/>
        <v>0</v>
      </c>
      <c r="S183" s="82">
        <f>IF(AND(R183=0,B183="N"),S182,S182*(D183*F183*G183+I183*K183*L183+N183*P183*Q183)/T182)</f>
        <v>358717483341809.62</v>
      </c>
      <c r="T183" s="81">
        <f>E183*F183*G183+J183*K183*L183+O183*P183*Q183</f>
        <v>346628816289000</v>
      </c>
      <c r="U183" s="80">
        <f t="shared" si="6"/>
        <v>966.30031260201849</v>
      </c>
      <c r="V183" s="52">
        <f t="shared" si="7"/>
        <v>1.4771893926058114E-3</v>
      </c>
      <c r="W183" s="48">
        <f>(E183-D183)/D183</f>
        <v>2.1097046413502108E-3</v>
      </c>
      <c r="X183" s="48">
        <f>(J183-I183)/I183</f>
        <v>-4.9586776859504135E-3</v>
      </c>
      <c r="Y183" s="48">
        <f>(O183-N183)/N183</f>
        <v>1.4693877551020407E-2</v>
      </c>
      <c r="Z183" s="48" t="e">
        <f>(#REF!-#REF!)/#REF!</f>
        <v>#REF!</v>
      </c>
    </row>
    <row r="184" spans="1:26" x14ac:dyDescent="0.3">
      <c r="A184" s="48">
        <v>20180928</v>
      </c>
      <c r="B184" s="48" t="s">
        <v>88</v>
      </c>
      <c r="C184" s="79">
        <f>E184*F184*G184/T184</f>
        <v>0.87889951683984269</v>
      </c>
      <c r="D184" s="49">
        <v>47500</v>
      </c>
      <c r="E184" s="49">
        <v>46450</v>
      </c>
      <c r="F184" s="49">
        <v>6419324700</v>
      </c>
      <c r="G184" s="49">
        <v>1</v>
      </c>
      <c r="H184" s="48">
        <f>J184*K184*L184/T184</f>
        <v>0.10977513007366824</v>
      </c>
      <c r="I184" s="48">
        <v>301000</v>
      </c>
      <c r="J184" s="48">
        <v>297000</v>
      </c>
      <c r="K184" s="51">
        <v>125395903</v>
      </c>
      <c r="L184" s="48">
        <v>1</v>
      </c>
      <c r="M184" s="49">
        <f>O184*P184*Q184/T184</f>
        <v>1.1325353086489026E-2</v>
      </c>
      <c r="N184" s="49">
        <v>248600</v>
      </c>
      <c r="O184" s="49">
        <v>240800</v>
      </c>
      <c r="P184" s="49">
        <v>15956260</v>
      </c>
      <c r="Q184" s="49">
        <v>1</v>
      </c>
      <c r="R184" s="82">
        <f t="shared" si="8"/>
        <v>0</v>
      </c>
      <c r="S184" s="82">
        <f>IF(AND(R184=0,B184="N"),S183,S183*(D184*F184*G184+I184*K184*L184+N184*P184*Q184)/T183)</f>
        <v>358717483341809.62</v>
      </c>
      <c r="T184" s="81">
        <f>E184*F184*G184+J184*K184*L184+O184*P184*Q184</f>
        <v>339262482914000</v>
      </c>
      <c r="U184" s="80">
        <f t="shared" si="6"/>
        <v>945.76511786778008</v>
      </c>
      <c r="V184" s="52">
        <f t="shared" si="7"/>
        <v>-2.1251358885460762E-2</v>
      </c>
      <c r="W184" s="48">
        <f>(E184-D184)/D184</f>
        <v>-2.2105263157894735E-2</v>
      </c>
      <c r="X184" s="48">
        <f>(J184-I184)/I184</f>
        <v>-1.3289036544850499E-2</v>
      </c>
      <c r="Y184" s="48">
        <f>(O184-N184)/N184</f>
        <v>-3.1375703942075624E-2</v>
      </c>
      <c r="Z184" s="48" t="e">
        <f>(#REF!-#REF!)/#REF!</f>
        <v>#REF!</v>
      </c>
    </row>
    <row r="185" spans="1:26" x14ac:dyDescent="0.3">
      <c r="A185" s="48">
        <v>20181001</v>
      </c>
      <c r="B185" s="48" t="s">
        <v>88</v>
      </c>
      <c r="C185" s="79">
        <f>E185*F185*G185/T185</f>
        <v>0.8802500131276414</v>
      </c>
      <c r="D185" s="49">
        <v>46450</v>
      </c>
      <c r="E185" s="49">
        <v>46350</v>
      </c>
      <c r="F185" s="49">
        <v>6419324700</v>
      </c>
      <c r="G185" s="49">
        <v>1</v>
      </c>
      <c r="H185" s="48">
        <f>J185*K185*L185/T185</f>
        <v>0.10832611223885423</v>
      </c>
      <c r="I185" s="48">
        <v>297000</v>
      </c>
      <c r="J185" s="48">
        <v>292000</v>
      </c>
      <c r="K185" s="51">
        <v>125395903</v>
      </c>
      <c r="L185" s="48">
        <v>1</v>
      </c>
      <c r="M185" s="49">
        <f>O185*P185*Q185/T185</f>
        <v>1.1423874633504385E-2</v>
      </c>
      <c r="N185" s="49">
        <v>240800</v>
      </c>
      <c r="O185" s="49">
        <v>242000</v>
      </c>
      <c r="P185" s="49">
        <v>15956260</v>
      </c>
      <c r="Q185" s="49">
        <v>1</v>
      </c>
      <c r="R185" s="82">
        <f t="shared" si="8"/>
        <v>0</v>
      </c>
      <c r="S185" s="82">
        <f>IF(AND(R185=0,B185="N"),S184,S184*(D185*F185*G185+I185*K185*L185+N185*P185*Q185)/T184)</f>
        <v>358717483341809.62</v>
      </c>
      <c r="T185" s="81">
        <f>E185*F185*G185+J185*K185*L185+O185*P185*Q185</f>
        <v>338012718441000</v>
      </c>
      <c r="U185" s="80">
        <f t="shared" si="6"/>
        <v>942.2811380479028</v>
      </c>
      <c r="V185" s="52">
        <f t="shared" si="7"/>
        <v>-3.6837685743072038E-3</v>
      </c>
      <c r="W185" s="48">
        <f>(E185-D185)/D185</f>
        <v>-2.1528525296017221E-3</v>
      </c>
      <c r="X185" s="48">
        <f>(J185-I185)/I185</f>
        <v>-1.6835016835016835E-2</v>
      </c>
      <c r="Y185" s="48">
        <f>(O185-N185)/N185</f>
        <v>4.9833887043189366E-3</v>
      </c>
      <c r="Z185" s="48" t="e">
        <f>(#REF!-#REF!)/#REF!</f>
        <v>#REF!</v>
      </c>
    </row>
    <row r="186" spans="1:26" x14ac:dyDescent="0.3">
      <c r="A186" s="48">
        <v>20181002</v>
      </c>
      <c r="B186" s="48" t="s">
        <v>88</v>
      </c>
      <c r="C186" s="79">
        <f>E186*F186*G186/T186</f>
        <v>0.88020495760350292</v>
      </c>
      <c r="D186" s="49">
        <v>46350</v>
      </c>
      <c r="E186" s="49">
        <v>45700</v>
      </c>
      <c r="F186" s="49">
        <v>6419324700</v>
      </c>
      <c r="G186" s="49">
        <v>1</v>
      </c>
      <c r="H186" s="48">
        <f>J186*K186*L186/T186</f>
        <v>0.10854440226678029</v>
      </c>
      <c r="I186" s="48">
        <v>292000</v>
      </c>
      <c r="J186" s="48">
        <v>288500</v>
      </c>
      <c r="K186" s="51">
        <v>125395903</v>
      </c>
      <c r="L186" s="48">
        <v>1</v>
      </c>
      <c r="M186" s="49">
        <f>O186*P186*Q186/T186</f>
        <v>1.1250640129716823E-2</v>
      </c>
      <c r="N186" s="49">
        <v>242000</v>
      </c>
      <c r="O186" s="49">
        <v>235000</v>
      </c>
      <c r="P186" s="49">
        <v>15956260</v>
      </c>
      <c r="Q186" s="49">
        <v>1</v>
      </c>
      <c r="R186" s="82">
        <f t="shared" si="8"/>
        <v>0</v>
      </c>
      <c r="S186" s="82">
        <f>IF(AND(R186=0,B186="N"),S185,S185*(D186*F186*G186+I186*K186*L186+N186*P186*Q186)/T185)</f>
        <v>358717483341809.62</v>
      </c>
      <c r="T186" s="81">
        <f>E186*F186*G186+J186*K186*L186+O186*P186*Q186</f>
        <v>333289577905500</v>
      </c>
      <c r="U186" s="80">
        <f t="shared" si="6"/>
        <v>929.11439609961735</v>
      </c>
      <c r="V186" s="52">
        <f t="shared" si="7"/>
        <v>-1.3973262773319029E-2</v>
      </c>
      <c r="W186" s="48">
        <f>(E186-D186)/D186</f>
        <v>-1.4023732470334413E-2</v>
      </c>
      <c r="X186" s="48">
        <f>(J186-I186)/I186</f>
        <v>-1.1986301369863013E-2</v>
      </c>
      <c r="Y186" s="48">
        <f>(O186-N186)/N186</f>
        <v>-2.8925619834710745E-2</v>
      </c>
      <c r="Z186" s="48" t="e">
        <f>(#REF!-#REF!)/#REF!</f>
        <v>#REF!</v>
      </c>
    </row>
    <row r="187" spans="1:26" x14ac:dyDescent="0.3">
      <c r="A187" s="48">
        <v>20181004</v>
      </c>
      <c r="B187" s="48" t="s">
        <v>88</v>
      </c>
      <c r="C187" s="79">
        <f>E187*F187*G187/T187</f>
        <v>0.87732053426865164</v>
      </c>
      <c r="D187" s="49">
        <v>45700</v>
      </c>
      <c r="E187" s="49">
        <v>44700</v>
      </c>
      <c r="F187" s="49">
        <v>6419324700</v>
      </c>
      <c r="G187" s="49">
        <v>1</v>
      </c>
      <c r="H187" s="48">
        <f>J187*K187*L187/T187</f>
        <v>0.11137581926980002</v>
      </c>
      <c r="I187" s="48">
        <v>288500</v>
      </c>
      <c r="J187" s="48">
        <v>290500</v>
      </c>
      <c r="K187" s="51">
        <v>125395903</v>
      </c>
      <c r="L187" s="48">
        <v>1</v>
      </c>
      <c r="M187" s="49">
        <f>O187*P187*Q187/T187</f>
        <v>1.1303646461548324E-2</v>
      </c>
      <c r="N187" s="49">
        <v>235000</v>
      </c>
      <c r="O187" s="49">
        <v>231700</v>
      </c>
      <c r="P187" s="49">
        <v>15956260</v>
      </c>
      <c r="Q187" s="49">
        <v>1</v>
      </c>
      <c r="R187" s="82">
        <f t="shared" si="8"/>
        <v>0</v>
      </c>
      <c r="S187" s="82">
        <f>IF(AND(R187=0,B187="N"),S186,S186*(D187*F187*G187+I187*K187*L187+N187*P187*Q187)/T186)</f>
        <v>358717483341809.62</v>
      </c>
      <c r="T187" s="81">
        <f>E187*F187*G187+J187*K187*L187+O187*P187*Q187</f>
        <v>327068389353500</v>
      </c>
      <c r="U187" s="80">
        <f t="shared" si="6"/>
        <v>911.77153203276612</v>
      </c>
      <c r="V187" s="52">
        <f t="shared" si="7"/>
        <v>-1.8666015874531532E-2</v>
      </c>
      <c r="W187" s="48">
        <f>(E187-D187)/D187</f>
        <v>-2.1881838074398249E-2</v>
      </c>
      <c r="X187" s="48">
        <f>(J187-I187)/I187</f>
        <v>6.9324090121317154E-3</v>
      </c>
      <c r="Y187" s="48">
        <f>(O187-N187)/N187</f>
        <v>-1.4042553191489362E-2</v>
      </c>
      <c r="Z187" s="48" t="e">
        <f>(#REF!-#REF!)/#REF!</f>
        <v>#REF!</v>
      </c>
    </row>
    <row r="188" spans="1:26" x14ac:dyDescent="0.3">
      <c r="A188" s="48">
        <v>20181005</v>
      </c>
      <c r="B188" s="48" t="s">
        <v>88</v>
      </c>
      <c r="C188" s="79">
        <f>E188*F188*G188/T188</f>
        <v>0.87829267638909858</v>
      </c>
      <c r="D188" s="49">
        <v>44700</v>
      </c>
      <c r="E188" s="49">
        <v>44700</v>
      </c>
      <c r="F188" s="49">
        <v>6419324700</v>
      </c>
      <c r="G188" s="49">
        <v>1</v>
      </c>
      <c r="H188" s="48">
        <f>J188*K188*L188/T188</f>
        <v>0.11092350515160834</v>
      </c>
      <c r="I188" s="48">
        <v>290500</v>
      </c>
      <c r="J188" s="48">
        <v>289000</v>
      </c>
      <c r="K188" s="51">
        <v>125395903</v>
      </c>
      <c r="L188" s="48">
        <v>1</v>
      </c>
      <c r="M188" s="49">
        <f>O188*P188*Q188/T188</f>
        <v>1.078381845929313E-2</v>
      </c>
      <c r="N188" s="49">
        <v>231700</v>
      </c>
      <c r="O188" s="49">
        <v>220800</v>
      </c>
      <c r="P188" s="49">
        <v>15956260</v>
      </c>
      <c r="Q188" s="49">
        <v>1</v>
      </c>
      <c r="R188" s="82">
        <f t="shared" si="8"/>
        <v>0</v>
      </c>
      <c r="S188" s="82">
        <f>IF(AND(R188=0,B188="N"),S187,S187*(D188*F188*G188+I188*K188*L188+N188*P188*Q188)/T187)</f>
        <v>358717483341809.62</v>
      </c>
      <c r="T188" s="81">
        <f>E188*F188*G188+J188*K188*L188+O188*P188*Q188</f>
        <v>326706372265000</v>
      </c>
      <c r="U188" s="80">
        <f t="shared" si="6"/>
        <v>910.7623336933724</v>
      </c>
      <c r="V188" s="52">
        <f t="shared" si="7"/>
        <v>-1.106854408081533E-3</v>
      </c>
      <c r="W188" s="48">
        <f>(E188-D188)/D188</f>
        <v>0</v>
      </c>
      <c r="X188" s="48">
        <f>(J188-I188)/I188</f>
        <v>-5.1635111876075735E-3</v>
      </c>
      <c r="Y188" s="48">
        <f>(O188-N188)/N188</f>
        <v>-4.7043590850237377E-2</v>
      </c>
      <c r="Z188" s="48" t="e">
        <f>(#REF!-#REF!)/#REF!</f>
        <v>#REF!</v>
      </c>
    </row>
    <row r="189" spans="1:26" x14ac:dyDescent="0.3">
      <c r="A189" s="48">
        <v>20181008</v>
      </c>
      <c r="B189" s="48" t="s">
        <v>88</v>
      </c>
      <c r="C189" s="79">
        <f>E189*F189*G189/T189</f>
        <v>0.87869291667252847</v>
      </c>
      <c r="D189" s="49">
        <v>44700</v>
      </c>
      <c r="E189" s="49">
        <v>44950</v>
      </c>
      <c r="F189" s="49">
        <v>6419324700</v>
      </c>
      <c r="G189" s="49">
        <v>1</v>
      </c>
      <c r="H189" s="48">
        <f>J189*K189*L189/T189</f>
        <v>0.11073870257457744</v>
      </c>
      <c r="I189" s="48">
        <v>289000</v>
      </c>
      <c r="J189" s="48">
        <v>290000</v>
      </c>
      <c r="K189" s="51">
        <v>125395903</v>
      </c>
      <c r="L189" s="48">
        <v>1</v>
      </c>
      <c r="M189" s="49">
        <f>O189*P189*Q189/T189</f>
        <v>1.0568380752894057E-2</v>
      </c>
      <c r="N189" s="49">
        <v>220800</v>
      </c>
      <c r="O189" s="49">
        <v>217500</v>
      </c>
      <c r="P189" s="49">
        <v>15956260</v>
      </c>
      <c r="Q189" s="49">
        <v>1</v>
      </c>
      <c r="R189" s="82">
        <f t="shared" si="8"/>
        <v>0</v>
      </c>
      <c r="S189" s="82">
        <f>IF(AND(R189=0,B189="N"),S188,S188*(D189*F189*G189+I189*K189*L189+N189*P189*Q189)/T188)</f>
        <v>358717483341809.62</v>
      </c>
      <c r="T189" s="81">
        <f>E189*F189*G189+J189*K189*L189+O189*P189*Q189</f>
        <v>328383943685000</v>
      </c>
      <c r="U189" s="80">
        <f t="shared" si="6"/>
        <v>915.43891484122105</v>
      </c>
      <c r="V189" s="52">
        <f t="shared" si="7"/>
        <v>5.1347985910703267E-3</v>
      </c>
      <c r="W189" s="48">
        <f>(E189-D189)/D189</f>
        <v>5.5928411633109623E-3</v>
      </c>
      <c r="X189" s="48">
        <f>(J189-I189)/I189</f>
        <v>3.4602076124567475E-3</v>
      </c>
      <c r="Y189" s="48">
        <f>(O189-N189)/N189</f>
        <v>-1.4945652173913044E-2</v>
      </c>
      <c r="Z189" s="48" t="e">
        <f>(#REF!-#REF!)/#REF!</f>
        <v>#REF!</v>
      </c>
    </row>
    <row r="190" spans="1:26" x14ac:dyDescent="0.3">
      <c r="A190" s="48">
        <v>20181010</v>
      </c>
      <c r="B190" s="48" t="s">
        <v>88</v>
      </c>
      <c r="C190" s="79">
        <f>E190*F190*G190/T190</f>
        <v>0.88060117672561378</v>
      </c>
      <c r="D190" s="49">
        <v>44950</v>
      </c>
      <c r="E190" s="49">
        <v>45300</v>
      </c>
      <c r="F190" s="49">
        <v>6419324700</v>
      </c>
      <c r="G190" s="49">
        <v>1</v>
      </c>
      <c r="H190" s="48">
        <f>J190*K190*L190/T190</f>
        <v>0.10879268353522945</v>
      </c>
      <c r="I190" s="48">
        <v>290000</v>
      </c>
      <c r="J190" s="48">
        <v>286500</v>
      </c>
      <c r="K190" s="51">
        <v>125395903</v>
      </c>
      <c r="L190" s="48">
        <v>1</v>
      </c>
      <c r="M190" s="49">
        <f>O190*P190*Q190/T190</f>
        <v>1.0606139739156776E-2</v>
      </c>
      <c r="N190" s="49">
        <v>217500</v>
      </c>
      <c r="O190" s="49">
        <v>219500</v>
      </c>
      <c r="P190" s="49">
        <v>15956260</v>
      </c>
      <c r="Q190" s="49">
        <v>1</v>
      </c>
      <c r="R190" s="82">
        <f t="shared" si="8"/>
        <v>0</v>
      </c>
      <c r="S190" s="82">
        <f>IF(AND(R190=0,B190="N"),S189,S189*(D190*F190*G190+I190*K190*L190+N190*P190*Q190)/T189)</f>
        <v>358717483341809.62</v>
      </c>
      <c r="T190" s="81">
        <f>E190*F190*G190+J190*K190*L190+O190*P190*Q190</f>
        <v>330223734189500</v>
      </c>
      <c r="U190" s="80">
        <f t="shared" si="6"/>
        <v>920.56771561045184</v>
      </c>
      <c r="V190" s="52">
        <f t="shared" si="7"/>
        <v>5.6025592599156238E-3</v>
      </c>
      <c r="W190" s="48">
        <f>(E190-D190)/D190</f>
        <v>7.7864293659621799E-3</v>
      </c>
      <c r="X190" s="48">
        <f>(J190-I190)/I190</f>
        <v>-1.2068965517241379E-2</v>
      </c>
      <c r="Y190" s="48">
        <f>(O190-N190)/N190</f>
        <v>9.1954022988505746E-3</v>
      </c>
      <c r="Z190" s="48" t="e">
        <f>(#REF!-#REF!)/#REF!</f>
        <v>#REF!</v>
      </c>
    </row>
    <row r="191" spans="1:26" x14ac:dyDescent="0.3">
      <c r="A191" s="48">
        <v>20181011</v>
      </c>
      <c r="B191" s="48" t="s">
        <v>88</v>
      </c>
      <c r="C191" s="79">
        <f>E191*F191*G191/T191</f>
        <v>0.88088190965726265</v>
      </c>
      <c r="D191" s="49">
        <v>45300</v>
      </c>
      <c r="E191" s="49">
        <v>43100</v>
      </c>
      <c r="F191" s="49">
        <v>6419324700</v>
      </c>
      <c r="G191" s="49">
        <v>1</v>
      </c>
      <c r="H191" s="48">
        <f>J191*K191*L191/T191</f>
        <v>0.10839375427351503</v>
      </c>
      <c r="I191" s="48">
        <v>286500</v>
      </c>
      <c r="J191" s="48">
        <v>271500</v>
      </c>
      <c r="K191" s="51">
        <v>125395903</v>
      </c>
      <c r="L191" s="48">
        <v>1</v>
      </c>
      <c r="M191" s="49">
        <f>O191*P191*Q191/T191</f>
        <v>1.0724336069222349E-2</v>
      </c>
      <c r="N191" s="49">
        <v>219500</v>
      </c>
      <c r="O191" s="49">
        <v>211100</v>
      </c>
      <c r="P191" s="49">
        <v>15956260</v>
      </c>
      <c r="Q191" s="49">
        <v>1</v>
      </c>
      <c r="R191" s="82">
        <f t="shared" si="8"/>
        <v>0</v>
      </c>
      <c r="S191" s="82">
        <f>IF(AND(R191=0,B191="N"),S190,S190*(D191*F191*G191+I191*K191*L191+N191*P191*Q191)/T190)</f>
        <v>358717483341809.62</v>
      </c>
      <c r="T191" s="81">
        <f>E191*F191*G191+J191*K191*L191+O191*P191*Q191</f>
        <v>314086248720500</v>
      </c>
      <c r="U191" s="80">
        <f t="shared" si="6"/>
        <v>875.58110018634909</v>
      </c>
      <c r="V191" s="52">
        <f t="shared" si="7"/>
        <v>-4.8868339244626871E-2</v>
      </c>
      <c r="W191" s="48">
        <f>(E191-D191)/D191</f>
        <v>-4.856512141280353E-2</v>
      </c>
      <c r="X191" s="48">
        <f>(J191-I191)/I191</f>
        <v>-5.2356020942408377E-2</v>
      </c>
      <c r="Y191" s="48">
        <f>(O191-N191)/N191</f>
        <v>-3.826879271070615E-2</v>
      </c>
      <c r="Z191" s="48" t="e">
        <f>(#REF!-#REF!)/#REF!</f>
        <v>#REF!</v>
      </c>
    </row>
    <row r="192" spans="1:26" x14ac:dyDescent="0.3">
      <c r="A192" s="48">
        <v>20181012</v>
      </c>
      <c r="B192" s="48" t="s">
        <v>88</v>
      </c>
      <c r="C192" s="79">
        <f>E192*F192*G192/T192</f>
        <v>0.88150858699048418</v>
      </c>
      <c r="D192" s="49">
        <v>43100</v>
      </c>
      <c r="E192" s="49">
        <v>44000</v>
      </c>
      <c r="F192" s="49">
        <v>6419324700</v>
      </c>
      <c r="G192" s="49">
        <v>1</v>
      </c>
      <c r="H192" s="48">
        <f>J192*K192*L192/T192</f>
        <v>0.10742620235868579</v>
      </c>
      <c r="I192" s="48">
        <v>271500</v>
      </c>
      <c r="J192" s="48">
        <v>274500</v>
      </c>
      <c r="K192" s="51">
        <v>125395903</v>
      </c>
      <c r="L192" s="48">
        <v>1</v>
      </c>
      <c r="M192" s="49">
        <f>O192*P192*Q192/T192</f>
        <v>1.1065210650830071E-2</v>
      </c>
      <c r="N192" s="49">
        <v>211100</v>
      </c>
      <c r="O192" s="49">
        <v>222200</v>
      </c>
      <c r="P192" s="49">
        <v>15956260</v>
      </c>
      <c r="Q192" s="49">
        <v>1</v>
      </c>
      <c r="R192" s="82">
        <f t="shared" si="8"/>
        <v>0</v>
      </c>
      <c r="S192" s="82">
        <f>IF(AND(R192=0,B192="N"),S191,S191*(D192*F192*G192+I192*K192*L192+N192*P192*Q192)/T191)</f>
        <v>358717483341809.62</v>
      </c>
      <c r="T192" s="81">
        <f>E192*F192*G192+J192*K192*L192+O192*P192*Q192</f>
        <v>320416943145500</v>
      </c>
      <c r="U192" s="80">
        <f t="shared" si="6"/>
        <v>893.22923477411234</v>
      </c>
      <c r="V192" s="52">
        <f t="shared" si="7"/>
        <v>2.0155910839106984E-2</v>
      </c>
      <c r="W192" s="48">
        <f>(E192-D192)/D192</f>
        <v>2.0881670533642691E-2</v>
      </c>
      <c r="X192" s="48">
        <f>(J192-I192)/I192</f>
        <v>1.1049723756906077E-2</v>
      </c>
      <c r="Y192" s="48">
        <f>(O192-N192)/N192</f>
        <v>5.2581714827096164E-2</v>
      </c>
      <c r="Z192" s="48" t="e">
        <f>(#REF!-#REF!)/#REF!</f>
        <v>#REF!</v>
      </c>
    </row>
    <row r="193" spans="1:26" x14ac:dyDescent="0.3">
      <c r="A193" s="48">
        <v>20181015</v>
      </c>
      <c r="B193" s="48" t="s">
        <v>88</v>
      </c>
      <c r="C193" s="79">
        <f>E193*F193*G193/T193</f>
        <v>0.88609863905140851</v>
      </c>
      <c r="D193" s="49">
        <v>44000</v>
      </c>
      <c r="E193" s="49">
        <v>43800</v>
      </c>
      <c r="F193" s="49">
        <v>6419324700</v>
      </c>
      <c r="G193" s="49">
        <v>1</v>
      </c>
      <c r="H193" s="48">
        <f>J193*K193*L193/T193</f>
        <v>0.10334123702934196</v>
      </c>
      <c r="I193" s="48">
        <v>274500</v>
      </c>
      <c r="J193" s="48">
        <v>261500</v>
      </c>
      <c r="K193" s="51">
        <v>125395903</v>
      </c>
      <c r="L193" s="48">
        <v>1</v>
      </c>
      <c r="M193" s="49">
        <f>O193*P193*Q193/T193</f>
        <v>1.056012391924953E-2</v>
      </c>
      <c r="N193" s="49">
        <v>222200</v>
      </c>
      <c r="O193" s="49">
        <v>210000</v>
      </c>
      <c r="P193" s="49">
        <v>15956260</v>
      </c>
      <c r="Q193" s="49">
        <v>1</v>
      </c>
      <c r="R193" s="82">
        <f t="shared" si="8"/>
        <v>0</v>
      </c>
      <c r="S193" s="82">
        <f>IF(AND(R193=0,B193="N"),S192,S192*(D193*F193*G193+I193*K193*L193+N193*P193*Q193)/T192)</f>
        <v>358717483341809.62</v>
      </c>
      <c r="T193" s="81">
        <f>E193*F193*G193+J193*K193*L193+O193*P193*Q193</f>
        <v>317308265094500</v>
      </c>
      <c r="U193" s="80">
        <f t="shared" si="6"/>
        <v>884.5631446185962</v>
      </c>
      <c r="V193" s="52">
        <f t="shared" si="7"/>
        <v>-9.7019777433815201E-3</v>
      </c>
      <c r="W193" s="48">
        <f>(E193-D193)/D193</f>
        <v>-4.5454545454545452E-3</v>
      </c>
      <c r="X193" s="48">
        <f>(J193-I193)/I193</f>
        <v>-4.7358834244080147E-2</v>
      </c>
      <c r="Y193" s="48">
        <f>(O193-N193)/N193</f>
        <v>-5.4905490549054907E-2</v>
      </c>
      <c r="Z193" s="48" t="e">
        <f>(#REF!-#REF!)/#REF!</f>
        <v>#REF!</v>
      </c>
    </row>
    <row r="194" spans="1:26" x14ac:dyDescent="0.3">
      <c r="A194" s="48">
        <v>20181016</v>
      </c>
      <c r="B194" s="48" t="s">
        <v>88</v>
      </c>
      <c r="C194" s="79">
        <f>E194*F194*G194/T194</f>
        <v>0.88519212730337504</v>
      </c>
      <c r="D194" s="49">
        <v>43800</v>
      </c>
      <c r="E194" s="49">
        <v>43600</v>
      </c>
      <c r="F194" s="49">
        <v>6419324700</v>
      </c>
      <c r="G194" s="49">
        <v>1</v>
      </c>
      <c r="H194" s="48">
        <f>J194*K194*L194/T194</f>
        <v>0.1039073690284221</v>
      </c>
      <c r="I194" s="48">
        <v>261500</v>
      </c>
      <c r="J194" s="48">
        <v>262000</v>
      </c>
      <c r="K194" s="51">
        <v>125395903</v>
      </c>
      <c r="L194" s="48">
        <v>1</v>
      </c>
      <c r="M194" s="49">
        <f>O194*P194*Q194/T194</f>
        <v>1.0900503668202813E-2</v>
      </c>
      <c r="N194" s="49">
        <v>210000</v>
      </c>
      <c r="O194" s="49">
        <v>216000</v>
      </c>
      <c r="P194" s="49">
        <v>15956260</v>
      </c>
      <c r="Q194" s="49">
        <v>1</v>
      </c>
      <c r="R194" s="82">
        <f t="shared" si="8"/>
        <v>0</v>
      </c>
      <c r="S194" s="82">
        <f>IF(AND(R194=0,B194="N"),S193,S193*(D194*F194*G194+I194*K194*L194+N194*P194*Q194)/T193)</f>
        <v>358717483341809.62</v>
      </c>
      <c r="T194" s="81">
        <f>E194*F194*G194+J194*K194*L194+O194*P194*Q194</f>
        <v>316182835666000</v>
      </c>
      <c r="U194" s="80">
        <f t="shared" si="6"/>
        <v>881.42577473627114</v>
      </c>
      <c r="V194" s="52">
        <f t="shared" si="7"/>
        <v>-3.5468014933832952E-3</v>
      </c>
      <c r="W194" s="48">
        <f>(E194-D194)/D194</f>
        <v>-4.5662100456621002E-3</v>
      </c>
      <c r="X194" s="48">
        <f>(J194-I194)/I194</f>
        <v>1.9120458891013384E-3</v>
      </c>
      <c r="Y194" s="48">
        <f>(O194-N194)/N194</f>
        <v>2.8571428571428571E-2</v>
      </c>
      <c r="Z194" s="48" t="e">
        <f>(#REF!-#REF!)/#REF!</f>
        <v>#REF!</v>
      </c>
    </row>
    <row r="195" spans="1:26" x14ac:dyDescent="0.3">
      <c r="A195" s="48">
        <v>20181017</v>
      </c>
      <c r="B195" s="48" t="s">
        <v>88</v>
      </c>
      <c r="C195" s="79">
        <f>E195*F195*G195/T195</f>
        <v>0.88517857005960709</v>
      </c>
      <c r="D195" s="49">
        <v>43600</v>
      </c>
      <c r="E195" s="49">
        <v>44150</v>
      </c>
      <c r="F195" s="49">
        <v>6419324700</v>
      </c>
      <c r="G195" s="49">
        <v>1</v>
      </c>
      <c r="H195" s="48">
        <f>J195*K195*L195/T195</f>
        <v>0.10398213071630685</v>
      </c>
      <c r="I195" s="48">
        <v>262000</v>
      </c>
      <c r="J195" s="48">
        <v>265500</v>
      </c>
      <c r="K195" s="51">
        <v>125395903</v>
      </c>
      <c r="L195" s="48">
        <v>1</v>
      </c>
      <c r="M195" s="49">
        <f>O195*P195*Q195/T195</f>
        <v>1.083929922408604E-2</v>
      </c>
      <c r="N195" s="49">
        <v>216000</v>
      </c>
      <c r="O195" s="49">
        <v>217500</v>
      </c>
      <c r="P195" s="49">
        <v>15956260</v>
      </c>
      <c r="Q195" s="49">
        <v>1</v>
      </c>
      <c r="R195" s="82">
        <f t="shared" si="8"/>
        <v>0</v>
      </c>
      <c r="S195" s="82">
        <f>IF(AND(R195=0,B195="N"),S194,S194*(D195*F195*G195+I195*K195*L195+N195*P195*Q195)/T194)</f>
        <v>358717483341809.62</v>
      </c>
      <c r="T195" s="81">
        <f>E195*F195*G195+J195*K195*L195+O195*P195*Q195</f>
        <v>320176284301500</v>
      </c>
      <c r="U195" s="80">
        <f t="shared" ref="U195:U258" si="9">T195/S195*1000</f>
        <v>892.5583479197611</v>
      </c>
      <c r="V195" s="52">
        <f t="shared" si="7"/>
        <v>1.2630187932524338E-2</v>
      </c>
      <c r="W195" s="48">
        <f>(E195-D195)/D195</f>
        <v>1.261467889908257E-2</v>
      </c>
      <c r="X195" s="48">
        <f>(J195-I195)/I195</f>
        <v>1.3358778625954198E-2</v>
      </c>
      <c r="Y195" s="48">
        <f>(O195-N195)/N195</f>
        <v>6.9444444444444441E-3</v>
      </c>
      <c r="Z195" s="48" t="e">
        <f>(#REF!-#REF!)/#REF!</f>
        <v>#REF!</v>
      </c>
    </row>
    <row r="196" spans="1:26" x14ac:dyDescent="0.3">
      <c r="A196" s="48">
        <v>20181018</v>
      </c>
      <c r="B196" s="48" t="s">
        <v>88</v>
      </c>
      <c r="C196" s="79">
        <f>E196*F196*G196/T196</f>
        <v>0.88685634465012597</v>
      </c>
      <c r="D196" s="49">
        <v>44150</v>
      </c>
      <c r="E196" s="49">
        <v>44050</v>
      </c>
      <c r="F196" s="49">
        <v>6419324700</v>
      </c>
      <c r="G196" s="49">
        <v>1</v>
      </c>
      <c r="H196" s="48">
        <f>J196*K196*L196/T196</f>
        <v>0.10244932371663634</v>
      </c>
      <c r="I196" s="48">
        <v>265500</v>
      </c>
      <c r="J196" s="48">
        <v>260500</v>
      </c>
      <c r="K196" s="51">
        <v>125395903</v>
      </c>
      <c r="L196" s="48">
        <v>1</v>
      </c>
      <c r="M196" s="49">
        <f>O196*P196*Q196/T196</f>
        <v>1.0694331633237677E-2</v>
      </c>
      <c r="N196" s="49">
        <v>217500</v>
      </c>
      <c r="O196" s="49">
        <v>213700</v>
      </c>
      <c r="P196" s="49">
        <v>15956260</v>
      </c>
      <c r="Q196" s="49">
        <v>1</v>
      </c>
      <c r="R196" s="82">
        <f t="shared" si="8"/>
        <v>0</v>
      </c>
      <c r="S196" s="82">
        <f>IF(AND(R196=0,B196="N"),S195,S195*(D196*F196*G196+I196*K196*L196+N196*P196*Q196)/T195)</f>
        <v>358717483341809.62</v>
      </c>
      <c r="T196" s="81">
        <f>E196*F196*G196+J196*K196*L196+O196*P196*Q196</f>
        <v>318846738528500</v>
      </c>
      <c r="U196" s="80">
        <f t="shared" si="9"/>
        <v>888.85196104222734</v>
      </c>
      <c r="V196" s="52">
        <f t="shared" ref="V196:V259" si="10">(U196-U195)/U195</f>
        <v>-4.1525429527067229E-3</v>
      </c>
      <c r="W196" s="48">
        <f>(E196-D196)/D196</f>
        <v>-2.2650056625141564E-3</v>
      </c>
      <c r="X196" s="48">
        <f>(J196-I196)/I196</f>
        <v>-1.8832391713747645E-2</v>
      </c>
      <c r="Y196" s="48">
        <f>(O196-N196)/N196</f>
        <v>-1.747126436781609E-2</v>
      </c>
      <c r="Z196" s="48" t="e">
        <f>(#REF!-#REF!)/#REF!</f>
        <v>#REF!</v>
      </c>
    </row>
    <row r="197" spans="1:26" x14ac:dyDescent="0.3">
      <c r="A197" s="48">
        <v>20181019</v>
      </c>
      <c r="B197" s="48" t="s">
        <v>88</v>
      </c>
      <c r="C197" s="79">
        <f>E197*F197*G197/T197</f>
        <v>0.88170135317447096</v>
      </c>
      <c r="D197" s="49">
        <v>44050</v>
      </c>
      <c r="E197" s="49">
        <v>43900</v>
      </c>
      <c r="F197" s="49">
        <v>6419324700</v>
      </c>
      <c r="G197" s="49">
        <v>1</v>
      </c>
      <c r="H197" s="48">
        <f>J197*K197*L197/T197</f>
        <v>0.10710595990099465</v>
      </c>
      <c r="I197" s="48">
        <v>260500</v>
      </c>
      <c r="J197" s="48">
        <v>273000</v>
      </c>
      <c r="K197" s="51">
        <v>125395903</v>
      </c>
      <c r="L197" s="48">
        <v>1</v>
      </c>
      <c r="M197" s="49">
        <f>O197*P197*Q197/T197</f>
        <v>1.1192686924534392E-2</v>
      </c>
      <c r="N197" s="49">
        <v>213700</v>
      </c>
      <c r="O197" s="49">
        <v>224200</v>
      </c>
      <c r="P197" s="49">
        <v>15956260</v>
      </c>
      <c r="Q197" s="49">
        <v>1</v>
      </c>
      <c r="R197" s="82">
        <f t="shared" ref="R197:R260" si="11">IF(T196&lt;&gt;(D197*F197*G197+I197*K197*L197+N197*P197*Q197),1,0)</f>
        <v>0</v>
      </c>
      <c r="S197" s="82">
        <f>IF(AND(R197=0,B197="N"),S196,S196*(D197*F197*G197+I197*K197*L197+N197*P197*Q197)/T196)</f>
        <v>358717483341809.62</v>
      </c>
      <c r="T197" s="81">
        <f>E197*F197*G197+J197*K197*L197+O197*P197*Q197</f>
        <v>319618829341000</v>
      </c>
      <c r="U197" s="80">
        <f t="shared" si="9"/>
        <v>891.00432564209905</v>
      </c>
      <c r="V197" s="52">
        <f t="shared" si="10"/>
        <v>2.4215107736815229E-3</v>
      </c>
      <c r="W197" s="48">
        <f>(E197-D197)/D197</f>
        <v>-3.4052213393870601E-3</v>
      </c>
      <c r="X197" s="48">
        <f>(J197-I197)/I197</f>
        <v>4.7984644913627639E-2</v>
      </c>
      <c r="Y197" s="48">
        <f>(O197-N197)/N197</f>
        <v>4.9134300421151147E-2</v>
      </c>
      <c r="Z197" s="48" t="e">
        <f>(#REF!-#REF!)/#REF!</f>
        <v>#REF!</v>
      </c>
    </row>
    <row r="198" spans="1:26" x14ac:dyDescent="0.3">
      <c r="A198" s="48">
        <v>20181022</v>
      </c>
      <c r="B198" s="48" t="s">
        <v>88</v>
      </c>
      <c r="C198" s="79">
        <f>E198*F198*G198/T198</f>
        <v>0.88241950056879082</v>
      </c>
      <c r="D198" s="49">
        <v>43900</v>
      </c>
      <c r="E198" s="49">
        <v>43550</v>
      </c>
      <c r="F198" s="49">
        <v>6419324700</v>
      </c>
      <c r="G198" s="49">
        <v>1</v>
      </c>
      <c r="H198" s="48">
        <f>J198*K198*L198/T198</f>
        <v>0.106273560572772</v>
      </c>
      <c r="I198" s="48">
        <v>273000</v>
      </c>
      <c r="J198" s="48">
        <v>268500</v>
      </c>
      <c r="K198" s="51">
        <v>125395903</v>
      </c>
      <c r="L198" s="48">
        <v>1</v>
      </c>
      <c r="M198" s="49">
        <f>O198*P198*Q198/T198</f>
        <v>1.1306938858437145E-2</v>
      </c>
      <c r="N198" s="49">
        <v>224200</v>
      </c>
      <c r="O198" s="49">
        <v>224500</v>
      </c>
      <c r="P198" s="49">
        <v>15956260</v>
      </c>
      <c r="Q198" s="49">
        <v>1</v>
      </c>
      <c r="R198" s="82">
        <f t="shared" si="11"/>
        <v>0</v>
      </c>
      <c r="S198" s="82">
        <f>IF(AND(R198=0,B198="N"),S197,S197*(D198*F198*G198+I198*K198*L198+N198*P198*Q198)/T197)</f>
        <v>358717483341809.62</v>
      </c>
      <c r="T198" s="81">
        <f>E198*F198*G198+J198*K198*L198+O198*P198*Q198</f>
        <v>316812571010500</v>
      </c>
      <c r="U198" s="80">
        <f t="shared" si="9"/>
        <v>883.18129369964424</v>
      </c>
      <c r="V198" s="52">
        <f t="shared" si="10"/>
        <v>-8.7800156714358986E-3</v>
      </c>
      <c r="W198" s="48">
        <f>(E198-D198)/D198</f>
        <v>-7.972665148063782E-3</v>
      </c>
      <c r="X198" s="48">
        <f>(J198-I198)/I198</f>
        <v>-1.6483516483516484E-2</v>
      </c>
      <c r="Y198" s="48">
        <f>(O198-N198)/N198</f>
        <v>1.3380909901873326E-3</v>
      </c>
      <c r="Z198" s="48" t="e">
        <f>(#REF!-#REF!)/#REF!</f>
        <v>#REF!</v>
      </c>
    </row>
    <row r="199" spans="1:26" x14ac:dyDescent="0.3">
      <c r="A199" s="48">
        <v>20181023</v>
      </c>
      <c r="B199" s="48" t="s">
        <v>88</v>
      </c>
      <c r="C199" s="79">
        <f>E199*F199*G199/T199</f>
        <v>0.88942943225497695</v>
      </c>
      <c r="D199" s="49">
        <v>43550</v>
      </c>
      <c r="E199" s="49">
        <v>43050</v>
      </c>
      <c r="F199" s="49">
        <v>6419324700</v>
      </c>
      <c r="G199" s="49">
        <v>1</v>
      </c>
      <c r="H199" s="48">
        <f>J199*K199*L199/T199</f>
        <v>9.9483090437955404E-2</v>
      </c>
      <c r="I199" s="48">
        <v>268500</v>
      </c>
      <c r="J199" s="48">
        <v>246500</v>
      </c>
      <c r="K199" s="51">
        <v>125395903</v>
      </c>
      <c r="L199" s="48">
        <v>1</v>
      </c>
      <c r="M199" s="49">
        <f>O199*P199*Q199/T199</f>
        <v>1.1087477307067634E-2</v>
      </c>
      <c r="N199" s="49">
        <v>224500</v>
      </c>
      <c r="O199" s="49">
        <v>215900</v>
      </c>
      <c r="P199" s="49">
        <v>15956260</v>
      </c>
      <c r="Q199" s="49">
        <v>1</v>
      </c>
      <c r="R199" s="82">
        <f t="shared" si="11"/>
        <v>0</v>
      </c>
      <c r="S199" s="82">
        <f>IF(AND(R199=0,B199="N"),S198,S198*(D199*F199*G199+I199*K199*L199+N199*P199*Q199)/T198)</f>
        <v>358717483341809.62</v>
      </c>
      <c r="T199" s="81">
        <f>E199*F199*G199+J199*K199*L199+O199*P199*Q199</f>
        <v>310706974958500</v>
      </c>
      <c r="U199" s="80">
        <f t="shared" si="9"/>
        <v>866.16066789930596</v>
      </c>
      <c r="V199" s="52">
        <f t="shared" si="10"/>
        <v>-1.9271950076115086E-2</v>
      </c>
      <c r="W199" s="48">
        <f>(E199-D199)/D199</f>
        <v>-1.1481056257175661E-2</v>
      </c>
      <c r="X199" s="48">
        <f>(J199-I199)/I199</f>
        <v>-8.1936685288640593E-2</v>
      </c>
      <c r="Y199" s="48">
        <f>(O199-N199)/N199</f>
        <v>-3.8307349665924278E-2</v>
      </c>
      <c r="Z199" s="48" t="e">
        <f>(#REF!-#REF!)/#REF!</f>
        <v>#REF!</v>
      </c>
    </row>
    <row r="200" spans="1:26" x14ac:dyDescent="0.3">
      <c r="A200" s="48">
        <v>20181024</v>
      </c>
      <c r="B200" s="48" t="s">
        <v>88</v>
      </c>
      <c r="C200" s="79">
        <f>E200*F200*G200/T200</f>
        <v>0.89591040888715601</v>
      </c>
      <c r="D200" s="49">
        <v>43050</v>
      </c>
      <c r="E200" s="49">
        <v>42550</v>
      </c>
      <c r="F200" s="49">
        <v>6419324700</v>
      </c>
      <c r="G200" s="49">
        <v>1</v>
      </c>
      <c r="H200" s="48">
        <f>J200*K200*L200/T200</f>
        <v>9.2748216648735018E-2</v>
      </c>
      <c r="I200" s="48">
        <v>246500</v>
      </c>
      <c r="J200" s="48">
        <v>225500</v>
      </c>
      <c r="K200" s="51">
        <v>125395903</v>
      </c>
      <c r="L200" s="48">
        <v>1</v>
      </c>
      <c r="M200" s="49">
        <f>O200*P200*Q200/T200</f>
        <v>1.1341374464109001E-2</v>
      </c>
      <c r="N200" s="49">
        <v>215900</v>
      </c>
      <c r="O200" s="49">
        <v>216700</v>
      </c>
      <c r="P200" s="49">
        <v>15956260</v>
      </c>
      <c r="Q200" s="49">
        <v>1</v>
      </c>
      <c r="R200" s="82">
        <f t="shared" si="11"/>
        <v>0</v>
      </c>
      <c r="S200" s="82">
        <f>IF(AND(R200=0,B200="N"),S199,S199*(D200*F200*G200+I200*K200*L200+N200*P200*Q200)/T199)</f>
        <v>358717483341809.62</v>
      </c>
      <c r="T200" s="81">
        <f>E200*F200*G200+J200*K200*L200+O200*P200*Q200</f>
        <v>304876763653500</v>
      </c>
      <c r="U200" s="80">
        <f t="shared" si="9"/>
        <v>849.90773466983023</v>
      </c>
      <c r="V200" s="52">
        <f t="shared" si="10"/>
        <v>-1.8764339956573953E-2</v>
      </c>
      <c r="W200" s="48">
        <f>(E200-D200)/D200</f>
        <v>-1.1614401858304297E-2</v>
      </c>
      <c r="X200" s="48">
        <f>(J200-I200)/I200</f>
        <v>-8.5192697768762676E-2</v>
      </c>
      <c r="Y200" s="48">
        <f>(O200-N200)/N200</f>
        <v>3.7054191755442334E-3</v>
      </c>
      <c r="Z200" s="48" t="e">
        <f>(#REF!-#REF!)/#REF!</f>
        <v>#REF!</v>
      </c>
    </row>
    <row r="201" spans="1:26" x14ac:dyDescent="0.3">
      <c r="A201" s="48">
        <v>20181025</v>
      </c>
      <c r="B201" s="48" t="s">
        <v>88</v>
      </c>
      <c r="C201" s="79">
        <f>E201*F201*G201/T201</f>
        <v>0.88890025864253563</v>
      </c>
      <c r="D201" s="49">
        <v>42550</v>
      </c>
      <c r="E201" s="49">
        <v>41000</v>
      </c>
      <c r="F201" s="49">
        <v>6419324700</v>
      </c>
      <c r="G201" s="49">
        <v>1</v>
      </c>
      <c r="H201" s="48">
        <f>J201*K201*L201/T201</f>
        <v>0.10016000201029611</v>
      </c>
      <c r="I201" s="48">
        <v>225500</v>
      </c>
      <c r="J201" s="48">
        <v>236500</v>
      </c>
      <c r="K201" s="51">
        <v>125395903</v>
      </c>
      <c r="L201" s="48">
        <v>1</v>
      </c>
      <c r="M201" s="49">
        <f>O201*P201*Q201/T201</f>
        <v>1.0939739347168295E-2</v>
      </c>
      <c r="N201" s="49">
        <v>216700</v>
      </c>
      <c r="O201" s="49">
        <v>203000</v>
      </c>
      <c r="P201" s="49">
        <v>15956260</v>
      </c>
      <c r="Q201" s="49">
        <v>1</v>
      </c>
      <c r="R201" s="82">
        <f t="shared" si="11"/>
        <v>0</v>
      </c>
      <c r="S201" s="82">
        <f>IF(AND(R201=0,B201="N"),S200,S200*(D201*F201*G201+I201*K201*L201+N201*P201*Q201)/T200)</f>
        <v>358717483341809.62</v>
      </c>
      <c r="T201" s="81">
        <f>E201*F201*G201+J201*K201*L201+O201*P201*Q201</f>
        <v>296087564539500</v>
      </c>
      <c r="U201" s="80">
        <f t="shared" si="9"/>
        <v>825.40600413771381</v>
      </c>
      <c r="V201" s="52">
        <f t="shared" si="10"/>
        <v>-2.8828694613109728E-2</v>
      </c>
      <c r="W201" s="48">
        <f>(E201-D201)/D201</f>
        <v>-3.6427732079905996E-2</v>
      </c>
      <c r="X201" s="48">
        <f>(J201-I201)/I201</f>
        <v>4.878048780487805E-2</v>
      </c>
      <c r="Y201" s="48">
        <f>(O201-N201)/N201</f>
        <v>-6.3221042916474388E-2</v>
      </c>
      <c r="Z201" s="48" t="e">
        <f>(#REF!-#REF!)/#REF!</f>
        <v>#REF!</v>
      </c>
    </row>
    <row r="202" spans="1:26" x14ac:dyDescent="0.3">
      <c r="A202" s="48">
        <v>20181026</v>
      </c>
      <c r="B202" s="48" t="s">
        <v>88</v>
      </c>
      <c r="C202" s="79">
        <f>E202*F202*G202/T202</f>
        <v>0.89250270542777577</v>
      </c>
      <c r="D202" s="49">
        <v>41000</v>
      </c>
      <c r="E202" s="49">
        <v>41000</v>
      </c>
      <c r="F202" s="49">
        <v>6419324700</v>
      </c>
      <c r="G202" s="49">
        <v>1</v>
      </c>
      <c r="H202" s="48">
        <f>J202*K202*L202/T202</f>
        <v>9.6951500553342118E-2</v>
      </c>
      <c r="I202" s="48">
        <v>236500</v>
      </c>
      <c r="J202" s="48">
        <v>228000</v>
      </c>
      <c r="K202" s="51">
        <v>125395903</v>
      </c>
      <c r="L202" s="48">
        <v>1</v>
      </c>
      <c r="M202" s="49">
        <f>O202*P202*Q202/T202</f>
        <v>1.0545794018882089E-2</v>
      </c>
      <c r="N202" s="49">
        <v>203000</v>
      </c>
      <c r="O202" s="49">
        <v>194900</v>
      </c>
      <c r="P202" s="49">
        <v>15956260</v>
      </c>
      <c r="Q202" s="49">
        <v>1</v>
      </c>
      <c r="R202" s="82">
        <f t="shared" si="11"/>
        <v>0</v>
      </c>
      <c r="S202" s="82">
        <f>IF(AND(R202=0,B202="N"),S201,S201*(D202*F202*G202+I202*K202*L202+N202*P202*Q202)/T201)</f>
        <v>358717483341809.62</v>
      </c>
      <c r="T202" s="81">
        <f>E202*F202*G202+J202*K202*L202+O202*P202*Q202</f>
        <v>294892453658000</v>
      </c>
      <c r="U202" s="80">
        <f t="shared" si="9"/>
        <v>822.07438263332995</v>
      </c>
      <c r="V202" s="52">
        <f t="shared" si="10"/>
        <v>-4.0363427061138766E-3</v>
      </c>
      <c r="W202" s="48">
        <f>(E202-D202)/D202</f>
        <v>0</v>
      </c>
      <c r="X202" s="48">
        <f>(J202-I202)/I202</f>
        <v>-3.5940803382663845E-2</v>
      </c>
      <c r="Y202" s="48">
        <f>(O202-N202)/N202</f>
        <v>-3.9901477832512314E-2</v>
      </c>
      <c r="Z202" s="48" t="e">
        <f>(#REF!-#REF!)/#REF!</f>
        <v>#REF!</v>
      </c>
    </row>
    <row r="203" spans="1:26" x14ac:dyDescent="0.3">
      <c r="A203" s="48">
        <v>20181029</v>
      </c>
      <c r="B203" s="48" t="s">
        <v>88</v>
      </c>
      <c r="C203" s="79">
        <f>E203*F203*G203/T203</f>
        <v>0.8978464824086867</v>
      </c>
      <c r="D203" s="49">
        <v>41000</v>
      </c>
      <c r="E203" s="49">
        <v>41400</v>
      </c>
      <c r="F203" s="49">
        <v>6419324700</v>
      </c>
      <c r="G203" s="49">
        <v>1</v>
      </c>
      <c r="H203" s="48">
        <f>J203*K203*L203/T203</f>
        <v>9.2353262411598649E-2</v>
      </c>
      <c r="I203" s="48">
        <v>228000</v>
      </c>
      <c r="J203" s="48">
        <v>218000</v>
      </c>
      <c r="K203" s="51">
        <v>125395903</v>
      </c>
      <c r="L203" s="48">
        <v>1</v>
      </c>
      <c r="M203" s="49">
        <f>O203*P203*Q203/T203</f>
        <v>9.8002551797146641E-3</v>
      </c>
      <c r="N203" s="49">
        <v>194900</v>
      </c>
      <c r="O203" s="49">
        <v>181800</v>
      </c>
      <c r="P203" s="49">
        <v>15956260</v>
      </c>
      <c r="Q203" s="49">
        <v>1</v>
      </c>
      <c r="R203" s="82">
        <f t="shared" si="11"/>
        <v>0</v>
      </c>
      <c r="S203" s="82">
        <f>IF(AND(R203=0,B203="N"),S202,S202*(D203*F203*G203+I203*K203*L203+N203*P203*Q203)/T202)</f>
        <v>358717483341809.62</v>
      </c>
      <c r="T203" s="81">
        <f>E203*F203*G203+J203*K203*L203+O203*P203*Q203</f>
        <v>295997197502000</v>
      </c>
      <c r="U203" s="80">
        <f t="shared" si="9"/>
        <v>825.15408712308113</v>
      </c>
      <c r="V203" s="52">
        <f t="shared" si="10"/>
        <v>3.746260137538942E-3</v>
      </c>
      <c r="W203" s="48">
        <f>(E203-D203)/D203</f>
        <v>9.7560975609756097E-3</v>
      </c>
      <c r="X203" s="48">
        <f>(J203-I203)/I203</f>
        <v>-4.3859649122807015E-2</v>
      </c>
      <c r="Y203" s="48">
        <f>(O203-N203)/N203</f>
        <v>-6.7213955874807593E-2</v>
      </c>
      <c r="Z203" s="48" t="e">
        <f>(#REF!-#REF!)/#REF!</f>
        <v>#REF!</v>
      </c>
    </row>
    <row r="204" spans="1:26" x14ac:dyDescent="0.3">
      <c r="A204" s="48">
        <v>20181030</v>
      </c>
      <c r="B204" s="48" t="s">
        <v>88</v>
      </c>
      <c r="C204" s="79">
        <f>E204*F204*G204/T204</f>
        <v>0.89670500635587513</v>
      </c>
      <c r="D204" s="49">
        <v>41400</v>
      </c>
      <c r="E204" s="49">
        <v>42350</v>
      </c>
      <c r="F204" s="49">
        <v>6419324700</v>
      </c>
      <c r="G204" s="49">
        <v>1</v>
      </c>
      <c r="H204" s="48">
        <f>J204*K204*L204/T204</f>
        <v>9.3268873129433799E-2</v>
      </c>
      <c r="I204" s="48">
        <v>218000</v>
      </c>
      <c r="J204" s="48">
        <v>225500</v>
      </c>
      <c r="K204" s="51">
        <v>125395903</v>
      </c>
      <c r="L204" s="48">
        <v>1</v>
      </c>
      <c r="M204" s="49">
        <f>O204*P204*Q204/T204</f>
        <v>1.0026120514691109E-2</v>
      </c>
      <c r="N204" s="49">
        <v>181800</v>
      </c>
      <c r="O204" s="49">
        <v>190500</v>
      </c>
      <c r="P204" s="49">
        <v>15956260</v>
      </c>
      <c r="Q204" s="49">
        <v>1</v>
      </c>
      <c r="R204" s="82">
        <f t="shared" si="11"/>
        <v>0</v>
      </c>
      <c r="S204" s="82">
        <f>IF(AND(R204=0,B204="N"),S203,S203*(D204*F204*G204+I204*K204*L204+N204*P204*Q204)/T203)</f>
        <v>358717483341809.62</v>
      </c>
      <c r="T204" s="81">
        <f>E204*F204*G204+J204*K204*L204+O204*P204*Q204</f>
        <v>303174844701500</v>
      </c>
      <c r="U204" s="80">
        <f t="shared" si="9"/>
        <v>845.1632796849633</v>
      </c>
      <c r="V204" s="52">
        <f t="shared" si="10"/>
        <v>2.4249037693850232E-2</v>
      </c>
      <c r="W204" s="48">
        <f>(E204-D204)/D204</f>
        <v>2.2946859903381644E-2</v>
      </c>
      <c r="X204" s="48">
        <f>(J204-I204)/I204</f>
        <v>3.4403669724770644E-2</v>
      </c>
      <c r="Y204" s="48">
        <f>(O204-N204)/N204</f>
        <v>4.7854785478547858E-2</v>
      </c>
      <c r="Z204" s="48" t="e">
        <f>(#REF!-#REF!)/#REF!</f>
        <v>#REF!</v>
      </c>
    </row>
    <row r="205" spans="1:26" x14ac:dyDescent="0.3">
      <c r="A205" s="48">
        <v>20181031</v>
      </c>
      <c r="B205" s="48" t="s">
        <v>88</v>
      </c>
      <c r="C205" s="79">
        <f>E205*F205*G205/T205</f>
        <v>0.8999877741893717</v>
      </c>
      <c r="D205" s="49">
        <v>42350</v>
      </c>
      <c r="E205" s="49">
        <v>42400</v>
      </c>
      <c r="F205" s="49">
        <v>6419324700</v>
      </c>
      <c r="G205" s="49">
        <v>1</v>
      </c>
      <c r="H205" s="48">
        <f>J205*K205*L205/T205</f>
        <v>9.018286292443764E-2</v>
      </c>
      <c r="I205" s="48">
        <v>225500</v>
      </c>
      <c r="J205" s="48">
        <v>217500</v>
      </c>
      <c r="K205" s="51">
        <v>125395903</v>
      </c>
      <c r="L205" s="48">
        <v>1</v>
      </c>
      <c r="M205" s="49">
        <f>O205*P205*Q205/T205</f>
        <v>9.8293628861907019E-3</v>
      </c>
      <c r="N205" s="49">
        <v>190500</v>
      </c>
      <c r="O205" s="49">
        <v>186300</v>
      </c>
      <c r="P205" s="49">
        <v>15956260</v>
      </c>
      <c r="Q205" s="49">
        <v>1</v>
      </c>
      <c r="R205" s="82">
        <f t="shared" si="11"/>
        <v>0</v>
      </c>
      <c r="S205" s="82">
        <f>IF(AND(R205=0,B205="N"),S204,S204*(D205*F205*G205+I205*K205*L205+N205*P205*Q205)/T204)</f>
        <v>358717483341809.62</v>
      </c>
      <c r="T205" s="81">
        <f>E205*F205*G205+J205*K205*L205+O205*P205*Q205</f>
        <v>302425627420500</v>
      </c>
      <c r="U205" s="80">
        <f t="shared" si="9"/>
        <v>843.07467983747244</v>
      </c>
      <c r="V205" s="52">
        <f t="shared" si="10"/>
        <v>-2.4712382774951906E-3</v>
      </c>
      <c r="W205" s="48">
        <f>(E205-D205)/D205</f>
        <v>1.1806375442739079E-3</v>
      </c>
      <c r="X205" s="48">
        <f>(J205-I205)/I205</f>
        <v>-3.5476718403547672E-2</v>
      </c>
      <c r="Y205" s="48">
        <f>(O205-N205)/N205</f>
        <v>-2.2047244094488189E-2</v>
      </c>
      <c r="Z205" s="48" t="e">
        <f>(#REF!-#REF!)/#REF!</f>
        <v>#REF!</v>
      </c>
    </row>
    <row r="206" spans="1:26" x14ac:dyDescent="0.3">
      <c r="A206" s="48">
        <v>20181101</v>
      </c>
      <c r="B206" s="48" t="s">
        <v>88</v>
      </c>
      <c r="C206" s="79">
        <f>E206*F206*G206/T206</f>
        <v>0.89587661448507516</v>
      </c>
      <c r="D206" s="49">
        <v>42400</v>
      </c>
      <c r="E206" s="49">
        <v>42150</v>
      </c>
      <c r="F206" s="49">
        <v>6419324700</v>
      </c>
      <c r="G206" s="49">
        <v>1</v>
      </c>
      <c r="H206" s="48">
        <f>J206*K206*L206/T206</f>
        <v>9.4455233470097474E-2</v>
      </c>
      <c r="I206" s="48">
        <v>217500</v>
      </c>
      <c r="J206" s="48">
        <v>227500</v>
      </c>
      <c r="K206" s="51">
        <v>125395903</v>
      </c>
      <c r="L206" s="48">
        <v>1</v>
      </c>
      <c r="M206" s="49">
        <f>O206*P206*Q206/T206</f>
        <v>9.6681520448274084E-3</v>
      </c>
      <c r="N206" s="49">
        <v>186300</v>
      </c>
      <c r="O206" s="49">
        <v>183000</v>
      </c>
      <c r="P206" s="49">
        <v>15956260</v>
      </c>
      <c r="Q206" s="49">
        <v>1</v>
      </c>
      <c r="R206" s="82">
        <f t="shared" si="11"/>
        <v>0</v>
      </c>
      <c r="S206" s="82">
        <f>IF(AND(R206=0,B206="N"),S205,S205*(D206*F206*G206+I206*K206*L206+N206*P206*Q206)/T205)</f>
        <v>358717483341809.62</v>
      </c>
      <c r="T206" s="81">
        <f>E206*F206*G206+J206*K206*L206+O206*P206*Q206</f>
        <v>302022099617500</v>
      </c>
      <c r="U206" s="80">
        <f t="shared" si="9"/>
        <v>841.9497617006682</v>
      </c>
      <c r="V206" s="52">
        <f t="shared" si="10"/>
        <v>-1.3343042599987718E-3</v>
      </c>
      <c r="W206" s="48">
        <f>(E206-D206)/D206</f>
        <v>-5.89622641509434E-3</v>
      </c>
      <c r="X206" s="48">
        <f>(J206-I206)/I206</f>
        <v>4.5977011494252873E-2</v>
      </c>
      <c r="Y206" s="48">
        <f>(O206-N206)/N206</f>
        <v>-1.7713365539452495E-2</v>
      </c>
      <c r="Z206" s="48" t="e">
        <f>(#REF!-#REF!)/#REF!</f>
        <v>#REF!</v>
      </c>
    </row>
    <row r="207" spans="1:26" x14ac:dyDescent="0.3">
      <c r="A207" s="48">
        <v>20181102</v>
      </c>
      <c r="B207" s="48" t="s">
        <v>88</v>
      </c>
      <c r="C207" s="79">
        <f>E207*F207*G207/T207</f>
        <v>0.89623318488280668</v>
      </c>
      <c r="D207" s="49">
        <v>42150</v>
      </c>
      <c r="E207" s="49">
        <v>44150</v>
      </c>
      <c r="F207" s="49">
        <v>6419324700</v>
      </c>
      <c r="G207" s="49">
        <v>1</v>
      </c>
      <c r="H207" s="48">
        <f>J207*K207*L207/T207</f>
        <v>9.3781129990117215E-2</v>
      </c>
      <c r="I207" s="48">
        <v>227500</v>
      </c>
      <c r="J207" s="48">
        <v>236500</v>
      </c>
      <c r="K207" s="51">
        <v>125395903</v>
      </c>
      <c r="L207" s="48">
        <v>1</v>
      </c>
      <c r="M207" s="49">
        <f>O207*P207*Q207/T207</f>
        <v>9.985685127076066E-3</v>
      </c>
      <c r="N207" s="49">
        <v>183000</v>
      </c>
      <c r="O207" s="49">
        <v>197900</v>
      </c>
      <c r="P207" s="49">
        <v>15956260</v>
      </c>
      <c r="Q207" s="49">
        <v>1</v>
      </c>
      <c r="R207" s="82">
        <f t="shared" si="11"/>
        <v>0</v>
      </c>
      <c r="S207" s="82">
        <f>IF(AND(R207=0,B207="N"),S206,S206*(D207*F207*G207+I207*K207*L207+N207*P207*Q207)/T206)</f>
        <v>358717483341809.62</v>
      </c>
      <c r="T207" s="81">
        <f>E207*F207*G207+J207*K207*L207+O207*P207*Q207</f>
        <v>316227060418500</v>
      </c>
      <c r="U207" s="80">
        <f t="shared" si="9"/>
        <v>881.54906048216799</v>
      </c>
      <c r="V207" s="52">
        <f t="shared" si="10"/>
        <v>4.7032852294550814E-2</v>
      </c>
      <c r="W207" s="48">
        <f>(E207-D207)/D207</f>
        <v>4.7449584816132859E-2</v>
      </c>
      <c r="X207" s="48">
        <f>(J207-I207)/I207</f>
        <v>3.9560439560439559E-2</v>
      </c>
      <c r="Y207" s="48">
        <f>(O207-N207)/N207</f>
        <v>8.14207650273224E-2</v>
      </c>
      <c r="Z207" s="48" t="e">
        <f>(#REF!-#REF!)/#REF!</f>
        <v>#REF!</v>
      </c>
    </row>
    <row r="208" spans="1:26" x14ac:dyDescent="0.3">
      <c r="A208" s="48">
        <v>20181105</v>
      </c>
      <c r="B208" s="48" t="s">
        <v>88</v>
      </c>
      <c r="C208" s="79">
        <f>E208*F208*G208/T208</f>
        <v>0.89396393478969571</v>
      </c>
      <c r="D208" s="49">
        <v>44150</v>
      </c>
      <c r="E208" s="49">
        <v>43800</v>
      </c>
      <c r="F208" s="49">
        <v>6419324700</v>
      </c>
      <c r="G208" s="49">
        <v>1</v>
      </c>
      <c r="H208" s="48">
        <f>J208*K208*L208/T208</f>
        <v>9.5686602214431593E-2</v>
      </c>
      <c r="I208" s="48">
        <v>236500</v>
      </c>
      <c r="J208" s="48">
        <v>240000</v>
      </c>
      <c r="K208" s="51">
        <v>125395903</v>
      </c>
      <c r="L208" s="48">
        <v>1</v>
      </c>
      <c r="M208" s="49">
        <f>O208*P208*Q208/T208</f>
        <v>1.0349462995872675E-2</v>
      </c>
      <c r="N208" s="49">
        <v>197900</v>
      </c>
      <c r="O208" s="49">
        <v>204000</v>
      </c>
      <c r="P208" s="49">
        <v>15956260</v>
      </c>
      <c r="Q208" s="49">
        <v>1</v>
      </c>
      <c r="R208" s="82">
        <f t="shared" si="11"/>
        <v>0</v>
      </c>
      <c r="S208" s="82">
        <f>IF(AND(R208=0,B208="N"),S207,S207*(D208*F208*G208+I208*K208*L208+N208*P208*Q208)/T207)</f>
        <v>358717483341809.62</v>
      </c>
      <c r="T208" s="81">
        <f>E208*F208*G208+J208*K208*L208+O208*P208*Q208</f>
        <v>314516515620000</v>
      </c>
      <c r="U208" s="80">
        <f t="shared" si="9"/>
        <v>876.78055914634069</v>
      </c>
      <c r="V208" s="52">
        <f t="shared" si="10"/>
        <v>-5.4092296726164484E-3</v>
      </c>
      <c r="W208" s="48">
        <f>(E208-D208)/D208</f>
        <v>-7.9275198187995465E-3</v>
      </c>
      <c r="X208" s="48">
        <f>(J208-I208)/I208</f>
        <v>1.4799154334038054E-2</v>
      </c>
      <c r="Y208" s="48">
        <f>(O208-N208)/N208</f>
        <v>3.0823648307225872E-2</v>
      </c>
      <c r="Z208" s="48" t="e">
        <f>(#REF!-#REF!)/#REF!</f>
        <v>#REF!</v>
      </c>
    </row>
    <row r="209" spans="1:26" x14ac:dyDescent="0.3">
      <c r="A209" s="48">
        <v>20181106</v>
      </c>
      <c r="B209" s="48" t="s">
        <v>88</v>
      </c>
      <c r="C209" s="79">
        <f>E209*F209*G209/T209</f>
        <v>0.89353530466439057</v>
      </c>
      <c r="D209" s="49">
        <v>43800</v>
      </c>
      <c r="E209" s="49">
        <v>43750</v>
      </c>
      <c r="F209" s="49">
        <v>6419324700</v>
      </c>
      <c r="G209" s="49">
        <v>1</v>
      </c>
      <c r="H209" s="48">
        <f>J209*K209*L209/T209</f>
        <v>9.6148985355959504E-2</v>
      </c>
      <c r="I209" s="48">
        <v>240000</v>
      </c>
      <c r="J209" s="48">
        <v>241000</v>
      </c>
      <c r="K209" s="51">
        <v>125395903</v>
      </c>
      <c r="L209" s="48">
        <v>1</v>
      </c>
      <c r="M209" s="49">
        <f>O209*P209*Q209/T209</f>
        <v>1.0315709979649913E-2</v>
      </c>
      <c r="N209" s="49">
        <v>204000</v>
      </c>
      <c r="O209" s="49">
        <v>203200</v>
      </c>
      <c r="P209" s="49">
        <v>15956260</v>
      </c>
      <c r="Q209" s="49">
        <v>1</v>
      </c>
      <c r="R209" s="82">
        <f t="shared" si="11"/>
        <v>0</v>
      </c>
      <c r="S209" s="82">
        <f>IF(AND(R209=0,B209="N"),S208,S208*(D209*F209*G209+I209*K209*L209+N209*P209*Q209)/T208)</f>
        <v>358717483341809.62</v>
      </c>
      <c r="T209" s="81">
        <f>E209*F209*G209+J209*K209*L209+O209*P209*Q209</f>
        <v>314308180280000</v>
      </c>
      <c r="U209" s="80">
        <f t="shared" si="9"/>
        <v>876.19978081889712</v>
      </c>
      <c r="V209" s="52">
        <f t="shared" si="10"/>
        <v>-6.6239872837626633E-4</v>
      </c>
      <c r="W209" s="48">
        <f>(E209-D209)/D209</f>
        <v>-1.1415525114155251E-3</v>
      </c>
      <c r="X209" s="48">
        <f>(J209-I209)/I209</f>
        <v>4.1666666666666666E-3</v>
      </c>
      <c r="Y209" s="48">
        <f>(O209-N209)/N209</f>
        <v>-3.9215686274509803E-3</v>
      </c>
      <c r="Z209" s="48" t="e">
        <f>(#REF!-#REF!)/#REF!</f>
        <v>#REF!</v>
      </c>
    </row>
    <row r="210" spans="1:26" x14ac:dyDescent="0.3">
      <c r="A210" s="48">
        <v>20181107</v>
      </c>
      <c r="B210" s="48" t="s">
        <v>88</v>
      </c>
      <c r="C210" s="79">
        <f>E210*F210*G210/T210</f>
        <v>0.89684569807113512</v>
      </c>
      <c r="D210" s="49">
        <v>43750</v>
      </c>
      <c r="E210" s="49">
        <v>44000</v>
      </c>
      <c r="F210" s="49">
        <v>6419324700</v>
      </c>
      <c r="G210" s="49">
        <v>1</v>
      </c>
      <c r="H210" s="48">
        <f>J210*K210*L210/T210</f>
        <v>9.2970665851214371E-2</v>
      </c>
      <c r="I210" s="48">
        <v>241000</v>
      </c>
      <c r="J210" s="48">
        <v>233500</v>
      </c>
      <c r="K210" s="51">
        <v>125395903</v>
      </c>
      <c r="L210" s="48">
        <v>1</v>
      </c>
      <c r="M210" s="49">
        <f>O210*P210*Q210/T210</f>
        <v>1.01836360776505E-2</v>
      </c>
      <c r="N210" s="49">
        <v>203200</v>
      </c>
      <c r="O210" s="49">
        <v>201000</v>
      </c>
      <c r="P210" s="49">
        <v>15956260</v>
      </c>
      <c r="Q210" s="49">
        <v>1</v>
      </c>
      <c r="R210" s="82">
        <f t="shared" si="11"/>
        <v>0</v>
      </c>
      <c r="S210" s="82">
        <f>IF(AND(R210=0,B210="N"),S209,S209*(D210*F210*G210+I210*K210*L210+N210*P210*Q210)/T209)</f>
        <v>358717483341809.62</v>
      </c>
      <c r="T210" s="81">
        <f>E210*F210*G210+J210*K210*L210+O210*P210*Q210</f>
        <v>314937438410500</v>
      </c>
      <c r="U210" s="80">
        <f t="shared" si="9"/>
        <v>877.95396944845004</v>
      </c>
      <c r="V210" s="52">
        <f t="shared" si="10"/>
        <v>2.0020418493068414E-3</v>
      </c>
      <c r="W210" s="48">
        <f>(E210-D210)/D210</f>
        <v>5.7142857142857143E-3</v>
      </c>
      <c r="X210" s="48">
        <f>(J210-I210)/I210</f>
        <v>-3.1120331950207469E-2</v>
      </c>
      <c r="Y210" s="48">
        <f>(O210-N210)/N210</f>
        <v>-1.0826771653543307E-2</v>
      </c>
      <c r="Z210" s="48" t="e">
        <f>(#REF!-#REF!)/#REF!</f>
        <v>#REF!</v>
      </c>
    </row>
    <row r="211" spans="1:26" x14ac:dyDescent="0.3">
      <c r="A211" s="48">
        <v>20181108</v>
      </c>
      <c r="B211" s="48" t="s">
        <v>88</v>
      </c>
      <c r="C211" s="79">
        <f>E211*F211*G211/T211</f>
        <v>0.89509355995994266</v>
      </c>
      <c r="D211" s="49">
        <v>44000</v>
      </c>
      <c r="E211" s="49">
        <v>44050</v>
      </c>
      <c r="F211" s="49">
        <v>6419324700</v>
      </c>
      <c r="G211" s="49">
        <v>1</v>
      </c>
      <c r="H211" s="48">
        <f>J211*K211*L211/T211</f>
        <v>9.4668371582363117E-2</v>
      </c>
      <c r="I211" s="48">
        <v>233500</v>
      </c>
      <c r="J211" s="48">
        <v>238500</v>
      </c>
      <c r="K211" s="51">
        <v>125395903</v>
      </c>
      <c r="L211" s="48">
        <v>1</v>
      </c>
      <c r="M211" s="49">
        <f>O211*P211*Q211/T211</f>
        <v>1.0238068457694248E-2</v>
      </c>
      <c r="N211" s="49">
        <v>201000</v>
      </c>
      <c r="O211" s="49">
        <v>202700</v>
      </c>
      <c r="P211" s="49">
        <v>15956260</v>
      </c>
      <c r="Q211" s="49">
        <v>1</v>
      </c>
      <c r="R211" s="82">
        <f t="shared" si="11"/>
        <v>0</v>
      </c>
      <c r="S211" s="82">
        <f>IF(AND(R211=0,B211="N"),S210,S210*(D211*F211*G211+I211*K211*L211+N211*P211*Q211)/T210)</f>
        <v>358717483341809.62</v>
      </c>
      <c r="T211" s="81">
        <f>E211*F211*G211+J211*K211*L211+O211*P211*Q211</f>
        <v>315912509802500</v>
      </c>
      <c r="U211" s="80">
        <f t="shared" si="9"/>
        <v>880.67218486108118</v>
      </c>
      <c r="V211" s="52">
        <f t="shared" si="10"/>
        <v>3.0960796433767267E-3</v>
      </c>
      <c r="W211" s="48">
        <f>(E211-D211)/D211</f>
        <v>1.1363636363636363E-3</v>
      </c>
      <c r="X211" s="48">
        <f>(J211-I211)/I211</f>
        <v>2.1413276231263382E-2</v>
      </c>
      <c r="Y211" s="48">
        <f>(O211-N211)/N211</f>
        <v>8.4577114427860697E-3</v>
      </c>
      <c r="Z211" s="48" t="e">
        <f>(#REF!-#REF!)/#REF!</f>
        <v>#REF!</v>
      </c>
    </row>
    <row r="212" spans="1:26" x14ac:dyDescent="0.3">
      <c r="A212" s="48">
        <v>20181109</v>
      </c>
      <c r="B212" s="48" t="s">
        <v>88</v>
      </c>
      <c r="C212" s="79">
        <f>E212*F212*G212/T212</f>
        <v>0.89923118094851417</v>
      </c>
      <c r="D212" s="49">
        <v>44050</v>
      </c>
      <c r="E212" s="49">
        <v>44300</v>
      </c>
      <c r="F212" s="49">
        <v>6419324700</v>
      </c>
      <c r="G212" s="49">
        <v>1</v>
      </c>
      <c r="H212" s="48">
        <f>J212*K212*L212/T212</f>
        <v>9.1000614504215482E-2</v>
      </c>
      <c r="I212" s="48">
        <v>238500</v>
      </c>
      <c r="J212" s="48">
        <v>229500</v>
      </c>
      <c r="K212" s="51">
        <v>125395903</v>
      </c>
      <c r="L212" s="48">
        <v>1</v>
      </c>
      <c r="M212" s="49">
        <f>O212*P212*Q212/T212</f>
        <v>9.7682045472703219E-3</v>
      </c>
      <c r="N212" s="49">
        <v>202700</v>
      </c>
      <c r="O212" s="49">
        <v>193600</v>
      </c>
      <c r="P212" s="49">
        <v>15956260</v>
      </c>
      <c r="Q212" s="49">
        <v>1</v>
      </c>
      <c r="R212" s="82">
        <f t="shared" si="11"/>
        <v>0</v>
      </c>
      <c r="S212" s="82">
        <f>IF(AND(R212=0,B212="N"),S211,S211*(D212*F212*G212+I212*K212*L212+N212*P212*Q212)/T211)</f>
        <v>358717483341809.62</v>
      </c>
      <c r="T212" s="81">
        <f>E212*F212*G212+J212*K212*L212+O212*P212*Q212</f>
        <v>316243575884500</v>
      </c>
      <c r="U212" s="80">
        <f t="shared" si="9"/>
        <v>881.59510079736572</v>
      </c>
      <c r="V212" s="52">
        <f t="shared" si="10"/>
        <v>1.0479676230834086E-3</v>
      </c>
      <c r="W212" s="48">
        <f>(E212-D212)/D212</f>
        <v>5.6753688989784334E-3</v>
      </c>
      <c r="X212" s="48">
        <f>(J212-I212)/I212</f>
        <v>-3.7735849056603772E-2</v>
      </c>
      <c r="Y212" s="48">
        <f>(O212-N212)/N212</f>
        <v>-4.4893931919092252E-2</v>
      </c>
      <c r="Z212" s="48" t="e">
        <f>(#REF!-#REF!)/#REF!</f>
        <v>#REF!</v>
      </c>
    </row>
    <row r="213" spans="1:26" x14ac:dyDescent="0.3">
      <c r="A213" s="48">
        <v>20181112</v>
      </c>
      <c r="B213" s="48" t="s">
        <v>88</v>
      </c>
      <c r="C213" s="79">
        <f>E213*F213*G213/T213</f>
        <v>0.91136752932315745</v>
      </c>
      <c r="D213" s="49">
        <v>44300</v>
      </c>
      <c r="E213" s="49">
        <v>45200</v>
      </c>
      <c r="F213" s="49">
        <v>6419324700</v>
      </c>
      <c r="G213" s="49">
        <v>1</v>
      </c>
      <c r="H213" s="48">
        <f>J213*K213*L213/T213</f>
        <v>7.9561046976645941E-2</v>
      </c>
      <c r="I213" s="48">
        <v>229500</v>
      </c>
      <c r="J213" s="48">
        <v>202000</v>
      </c>
      <c r="K213" s="51">
        <v>125395903</v>
      </c>
      <c r="L213" s="48">
        <v>1</v>
      </c>
      <c r="M213" s="49">
        <f>O213*P213*Q213/T213</f>
        <v>9.0714237001966423E-3</v>
      </c>
      <c r="N213" s="49">
        <v>193600</v>
      </c>
      <c r="O213" s="49">
        <v>181000</v>
      </c>
      <c r="P213" s="49">
        <v>15956260</v>
      </c>
      <c r="Q213" s="49">
        <v>1</v>
      </c>
      <c r="R213" s="82">
        <f t="shared" si="11"/>
        <v>0</v>
      </c>
      <c r="S213" s="82">
        <f>IF(AND(R213=0,B213="N"),S212,S212*(D213*F213*G213+I213*K213*L213+N213*P213*Q213)/T212)</f>
        <v>358717483341809.62</v>
      </c>
      <c r="T213" s="81">
        <f>E213*F213*G213+J213*K213*L213+O213*P213*Q213</f>
        <v>318371531906000</v>
      </c>
      <c r="U213" s="80">
        <f t="shared" si="9"/>
        <v>887.52722320655516</v>
      </c>
      <c r="V213" s="52">
        <f t="shared" si="10"/>
        <v>6.7288513783981914E-3</v>
      </c>
      <c r="W213" s="48">
        <f>(E213-D213)/D213</f>
        <v>2.0316027088036117E-2</v>
      </c>
      <c r="X213" s="48">
        <f>(J213-I213)/I213</f>
        <v>-0.11982570806100218</v>
      </c>
      <c r="Y213" s="48">
        <f>(O213-N213)/N213</f>
        <v>-6.5082644628099179E-2</v>
      </c>
      <c r="Z213" s="48" t="e">
        <f>(#REF!-#REF!)/#REF!</f>
        <v>#REF!</v>
      </c>
    </row>
    <row r="214" spans="1:26" x14ac:dyDescent="0.3">
      <c r="A214" s="48">
        <v>20181113</v>
      </c>
      <c r="B214" s="48" t="s">
        <v>88</v>
      </c>
      <c r="C214" s="79">
        <f>E214*F214*G214/T214</f>
        <v>0.91043133613316951</v>
      </c>
      <c r="D214" s="49">
        <v>45200</v>
      </c>
      <c r="E214" s="49">
        <v>44500</v>
      </c>
      <c r="F214" s="49">
        <v>6419324700</v>
      </c>
      <c r="G214" s="49">
        <v>1</v>
      </c>
      <c r="H214" s="48">
        <f>J214*K214*L214/T214</f>
        <v>8.0130078264911087E-2</v>
      </c>
      <c r="I214" s="48">
        <v>202000</v>
      </c>
      <c r="J214" s="48">
        <v>200500</v>
      </c>
      <c r="K214" s="51">
        <v>125395903</v>
      </c>
      <c r="L214" s="48">
        <v>1</v>
      </c>
      <c r="M214" s="49">
        <f>O214*P214*Q214/T214</f>
        <v>9.4385856019194025E-3</v>
      </c>
      <c r="N214" s="49">
        <v>181000</v>
      </c>
      <c r="O214" s="49">
        <v>185600</v>
      </c>
      <c r="P214" s="49">
        <v>15956260</v>
      </c>
      <c r="Q214" s="49">
        <v>1</v>
      </c>
      <c r="R214" s="82">
        <f t="shared" si="11"/>
        <v>0</v>
      </c>
      <c r="S214" s="82">
        <f>IF(AND(R214=0,B214="N"),S213,S213*(D214*F214*G214+I214*K214*L214+N214*P214*Q214)/T213)</f>
        <v>358717483341809.62</v>
      </c>
      <c r="T214" s="81">
        <f>E214*F214*G214+J214*K214*L214+O214*P214*Q214</f>
        <v>313763309557500</v>
      </c>
      <c r="U214" s="80">
        <f t="shared" si="9"/>
        <v>874.68083973628256</v>
      </c>
      <c r="V214" s="52">
        <f t="shared" si="10"/>
        <v>-1.4474354289505378E-2</v>
      </c>
      <c r="W214" s="48">
        <f>(E214-D214)/D214</f>
        <v>-1.5486725663716814E-2</v>
      </c>
      <c r="X214" s="48">
        <f>(J214-I214)/I214</f>
        <v>-7.4257425742574254E-3</v>
      </c>
      <c r="Y214" s="48">
        <f>(O214-N214)/N214</f>
        <v>2.541436464088398E-2</v>
      </c>
      <c r="Z214" s="48" t="e">
        <f>(#REF!-#REF!)/#REF!</f>
        <v>#REF!</v>
      </c>
    </row>
    <row r="215" spans="1:26" x14ac:dyDescent="0.3">
      <c r="A215" s="48">
        <v>20181114</v>
      </c>
      <c r="B215" s="48" t="s">
        <v>88</v>
      </c>
      <c r="C215" s="79">
        <f>E215*F215*G215/T215</f>
        <v>0.90696064924988484</v>
      </c>
      <c r="D215" s="49">
        <v>44500</v>
      </c>
      <c r="E215" s="49">
        <v>44100</v>
      </c>
      <c r="F215" s="49">
        <v>6419324700</v>
      </c>
      <c r="G215" s="49">
        <v>1</v>
      </c>
      <c r="H215" s="48">
        <f>J215*K215*L215/T215</f>
        <v>8.3561685931942575E-2</v>
      </c>
      <c r="I215" s="48">
        <v>200500</v>
      </c>
      <c r="J215" s="48">
        <v>208000</v>
      </c>
      <c r="K215" s="51">
        <v>125395903</v>
      </c>
      <c r="L215" s="48">
        <v>1</v>
      </c>
      <c r="M215" s="49">
        <f>O215*P215*Q215/T215</f>
        <v>9.4776648181725699E-3</v>
      </c>
      <c r="N215" s="49">
        <v>185600</v>
      </c>
      <c r="O215" s="49">
        <v>185400</v>
      </c>
      <c r="P215" s="49">
        <v>15956260</v>
      </c>
      <c r="Q215" s="49">
        <v>1</v>
      </c>
      <c r="R215" s="82">
        <f t="shared" si="11"/>
        <v>0</v>
      </c>
      <c r="S215" s="82">
        <f>IF(AND(R215=0,B215="N"),S214,S214*(D215*F215*G215+I215*K215*L215+N215*P215*Q215)/T214)</f>
        <v>358717483341809.62</v>
      </c>
      <c r="T215" s="81">
        <f>E215*F215*G215+J215*K215*L215+O215*P215*Q215</f>
        <v>312132857698000</v>
      </c>
      <c r="U215" s="80">
        <f t="shared" si="9"/>
        <v>870.13561421699444</v>
      </c>
      <c r="V215" s="52">
        <f t="shared" si="10"/>
        <v>-5.1964388755314627E-3</v>
      </c>
      <c r="W215" s="48">
        <f>(E215-D215)/D215</f>
        <v>-8.988764044943821E-3</v>
      </c>
      <c r="X215" s="48">
        <f>(J215-I215)/I215</f>
        <v>3.7406483790523692E-2</v>
      </c>
      <c r="Y215" s="48">
        <f>(O215-N215)/N215</f>
        <v>-1.0775862068965517E-3</v>
      </c>
      <c r="Z215" s="48" t="e">
        <f>(#REF!-#REF!)/#REF!</f>
        <v>#REF!</v>
      </c>
    </row>
    <row r="216" spans="1:26" s="47" customFormat="1" x14ac:dyDescent="0.3">
      <c r="A216" s="48">
        <v>20181115</v>
      </c>
      <c r="B216" s="48" t="s">
        <v>88</v>
      </c>
      <c r="C216" s="79">
        <f>E216*F216*G216/T216</f>
        <v>0.90333178447519735</v>
      </c>
      <c r="D216" s="49">
        <v>44100</v>
      </c>
      <c r="E216" s="49">
        <v>44250</v>
      </c>
      <c r="F216" s="49">
        <v>6419324700</v>
      </c>
      <c r="G216" s="49">
        <v>1</v>
      </c>
      <c r="H216" s="48">
        <f>J216*K216*L216/T216</f>
        <v>8.7174208150016419E-2</v>
      </c>
      <c r="I216" s="48">
        <v>208000</v>
      </c>
      <c r="J216" s="48">
        <v>218500</v>
      </c>
      <c r="K216" s="51">
        <v>125456133</v>
      </c>
      <c r="L216" s="48">
        <v>1</v>
      </c>
      <c r="M216" s="49">
        <f>O216*P216*Q216/T216</f>
        <v>9.4940073747862373E-3</v>
      </c>
      <c r="N216" s="49">
        <v>185400</v>
      </c>
      <c r="O216" s="49">
        <v>187100</v>
      </c>
      <c r="P216" s="49">
        <v>15956260</v>
      </c>
      <c r="Q216" s="49">
        <v>1</v>
      </c>
      <c r="R216" s="82">
        <f t="shared" si="11"/>
        <v>1</v>
      </c>
      <c r="S216" s="82">
        <f>IF(AND(R216=0,B216="N"),S215,S215*(D216*F216*G216+I216*K216*L216+N216*P216*Q216)/T215)</f>
        <v>358731880913631</v>
      </c>
      <c r="T216" s="81">
        <f>E216*F216*G216+J216*K216*L216+O216*P216*Q216</f>
        <v>314452699281500</v>
      </c>
      <c r="U216" s="80">
        <f t="shared" si="9"/>
        <v>876.5674756328898</v>
      </c>
      <c r="V216" s="52">
        <f t="shared" si="10"/>
        <v>7.3917919354251106E-3</v>
      </c>
      <c r="W216" s="48">
        <f>(E216-D216)/D216</f>
        <v>3.4013605442176869E-3</v>
      </c>
      <c r="X216" s="48">
        <f>(J216-I216)/I216</f>
        <v>5.0480769230769232E-2</v>
      </c>
      <c r="Y216" s="48">
        <f>(O216-N216)/N216</f>
        <v>9.1693635382955763E-3</v>
      </c>
      <c r="Z216" s="48" t="e">
        <f>(#REF!-#REF!)/#REF!</f>
        <v>#REF!</v>
      </c>
    </row>
    <row r="217" spans="1:26" x14ac:dyDescent="0.3">
      <c r="A217" s="48">
        <v>20181116</v>
      </c>
      <c r="B217" s="48" t="s">
        <v>88</v>
      </c>
      <c r="C217" s="79">
        <f>E217*F217*G217/T217</f>
        <v>0.90069774923323875</v>
      </c>
      <c r="D217" s="49">
        <v>44250</v>
      </c>
      <c r="E217" s="49">
        <v>44000</v>
      </c>
      <c r="F217" s="49">
        <v>6419324700</v>
      </c>
      <c r="G217" s="49">
        <v>1</v>
      </c>
      <c r="H217" s="48">
        <f>J217*K217*L217/T217</f>
        <v>8.9614229002141374E-2</v>
      </c>
      <c r="I217" s="48">
        <v>218500</v>
      </c>
      <c r="J217" s="48">
        <v>224000</v>
      </c>
      <c r="K217" s="51">
        <v>125456133</v>
      </c>
      <c r="L217" s="48">
        <v>1</v>
      </c>
      <c r="M217" s="49">
        <f>O217*P217*Q217/T217</f>
        <v>9.6880217646199262E-3</v>
      </c>
      <c r="N217" s="49">
        <v>187100</v>
      </c>
      <c r="O217" s="49">
        <v>190400</v>
      </c>
      <c r="P217" s="49">
        <v>15956260</v>
      </c>
      <c r="Q217" s="49">
        <v>1</v>
      </c>
      <c r="R217" s="82">
        <f t="shared" si="11"/>
        <v>0</v>
      </c>
      <c r="S217" s="82">
        <f>IF(AND(R217=0,B217="N"),S216,S216*(D217*F217*G217+I217*K217*L217+N217*P217*Q217)/T216)</f>
        <v>358731880913631</v>
      </c>
      <c r="T217" s="81">
        <f>E217*F217*G217+J217*K217*L217+O217*P217*Q217</f>
        <v>313590532496000</v>
      </c>
      <c r="U217" s="80">
        <f t="shared" si="9"/>
        <v>874.16410188393786</v>
      </c>
      <c r="V217" s="52">
        <f t="shared" si="10"/>
        <v>-2.741801191307808E-3</v>
      </c>
      <c r="W217" s="48">
        <f>(E217-D217)/D217</f>
        <v>-5.6497175141242938E-3</v>
      </c>
      <c r="X217" s="48">
        <f>(J217-I217)/I217</f>
        <v>2.5171624713958809E-2</v>
      </c>
      <c r="Y217" s="48">
        <f>(O217-N217)/N217</f>
        <v>1.7637626937466594E-2</v>
      </c>
      <c r="Z217" s="48" t="e">
        <f>(#REF!-#REF!)/#REF!</f>
        <v>#REF!</v>
      </c>
    </row>
    <row r="218" spans="1:26" x14ac:dyDescent="0.3">
      <c r="A218" s="48">
        <v>20181119</v>
      </c>
      <c r="B218" s="48" t="s">
        <v>88</v>
      </c>
      <c r="C218" s="79">
        <f>E218*F218*G218/T218</f>
        <v>0.89765275222654795</v>
      </c>
      <c r="D218" s="49">
        <v>44000</v>
      </c>
      <c r="E218" s="49">
        <v>43650</v>
      </c>
      <c r="F218" s="49">
        <v>6419324700</v>
      </c>
      <c r="G218" s="49">
        <v>1</v>
      </c>
      <c r="H218" s="48">
        <f>J218*K218*L218/T218</f>
        <v>9.2036936484298199E-2</v>
      </c>
      <c r="I218" s="48">
        <v>224000</v>
      </c>
      <c r="J218" s="48">
        <v>229000</v>
      </c>
      <c r="K218" s="51">
        <v>125456133</v>
      </c>
      <c r="L218" s="48">
        <v>1</v>
      </c>
      <c r="M218" s="49">
        <f>O218*P218*Q218/T218</f>
        <v>1.0310311289153882E-2</v>
      </c>
      <c r="N218" s="49">
        <v>190400</v>
      </c>
      <c r="O218" s="49">
        <v>201700</v>
      </c>
      <c r="P218" s="49">
        <v>15956260</v>
      </c>
      <c r="Q218" s="49">
        <v>1</v>
      </c>
      <c r="R218" s="82">
        <f t="shared" si="11"/>
        <v>0</v>
      </c>
      <c r="S218" s="82">
        <f>IF(AND(R218=0,B218="N"),S217,S217*(D218*F218*G218+I218*K218*L218+N218*P218*Q218)/T217)</f>
        <v>358731880913631</v>
      </c>
      <c r="T218" s="81">
        <f>E218*F218*G218+J218*K218*L218+O218*P218*Q218</f>
        <v>312151355254000</v>
      </c>
      <c r="U218" s="80">
        <f t="shared" si="9"/>
        <v>870.15225538082075</v>
      </c>
      <c r="V218" s="52">
        <f t="shared" si="10"/>
        <v>-4.5893516954895073E-3</v>
      </c>
      <c r="W218" s="48">
        <f>(E218-D218)/D218</f>
        <v>-7.9545454545454537E-3</v>
      </c>
      <c r="X218" s="48">
        <f>(J218-I218)/I218</f>
        <v>2.2321428571428572E-2</v>
      </c>
      <c r="Y218" s="48">
        <f>(O218-N218)/N218</f>
        <v>5.9348739495798317E-2</v>
      </c>
      <c r="Z218" s="48" t="e">
        <f>(#REF!-#REF!)/#REF!</f>
        <v>#REF!</v>
      </c>
    </row>
    <row r="219" spans="1:26" x14ac:dyDescent="0.3">
      <c r="A219" s="48">
        <v>20181120</v>
      </c>
      <c r="B219" s="48" t="s">
        <v>88</v>
      </c>
      <c r="C219" s="79">
        <f>E219*F219*G219/T219</f>
        <v>0.89673201408796988</v>
      </c>
      <c r="D219" s="49">
        <v>43650</v>
      </c>
      <c r="E219" s="49">
        <v>42800</v>
      </c>
      <c r="F219" s="49">
        <v>6419324700</v>
      </c>
      <c r="G219" s="49">
        <v>1</v>
      </c>
      <c r="H219" s="48">
        <f>J219*K219*L219/T219</f>
        <v>9.31542899895767E-2</v>
      </c>
      <c r="I219" s="48">
        <v>229000</v>
      </c>
      <c r="J219" s="48">
        <v>227500</v>
      </c>
      <c r="K219" s="51">
        <v>125456133</v>
      </c>
      <c r="L219" s="48">
        <v>1</v>
      </c>
      <c r="M219" s="49">
        <f>O219*P219*Q219/T219</f>
        <v>1.011369592245346E-2</v>
      </c>
      <c r="N219" s="49">
        <v>201700</v>
      </c>
      <c r="O219" s="49">
        <v>194200</v>
      </c>
      <c r="P219" s="49">
        <v>15956260</v>
      </c>
      <c r="Q219" s="49">
        <v>1</v>
      </c>
      <c r="R219" s="82">
        <f t="shared" si="11"/>
        <v>0</v>
      </c>
      <c r="S219" s="82">
        <f>IF(AND(R219=0,B219="N"),S218,S218*(D219*F219*G219+I219*K219*L219+N219*P219*Q219)/T218)</f>
        <v>358731880913631</v>
      </c>
      <c r="T219" s="81">
        <f>E219*F219*G219+J219*K219*L219+O219*P219*Q219</f>
        <v>306387073109500</v>
      </c>
      <c r="U219" s="80">
        <f t="shared" si="9"/>
        <v>854.08375840246651</v>
      </c>
      <c r="V219" s="52">
        <f t="shared" si="10"/>
        <v>-1.8466305039135801E-2</v>
      </c>
      <c r="W219" s="48">
        <f>(E219-D219)/D219</f>
        <v>-1.9473081328751432E-2</v>
      </c>
      <c r="X219" s="48">
        <f>(J219-I219)/I219</f>
        <v>-6.5502183406113534E-3</v>
      </c>
      <c r="Y219" s="48">
        <f>(O219-N219)/N219</f>
        <v>-3.7183936539414972E-2</v>
      </c>
      <c r="Z219" s="48" t="e">
        <f>(#REF!-#REF!)/#REF!</f>
        <v>#REF!</v>
      </c>
    </row>
    <row r="220" spans="1:26" x14ac:dyDescent="0.3">
      <c r="A220" s="48">
        <v>20181121</v>
      </c>
      <c r="B220" s="48" t="s">
        <v>88</v>
      </c>
      <c r="C220" s="79">
        <f>E220*F220*G220/T220</f>
        <v>0.89627292322834462</v>
      </c>
      <c r="D220" s="49">
        <v>42800</v>
      </c>
      <c r="E220" s="49">
        <v>42100</v>
      </c>
      <c r="F220" s="49">
        <v>6419324700</v>
      </c>
      <c r="G220" s="49">
        <v>1</v>
      </c>
      <c r="H220" s="48">
        <f>J220*K220*L220/T220</f>
        <v>9.3614528018473669E-2</v>
      </c>
      <c r="I220" s="48">
        <v>227500</v>
      </c>
      <c r="J220" s="48">
        <v>225000</v>
      </c>
      <c r="K220" s="51">
        <v>125456133</v>
      </c>
      <c r="L220" s="48">
        <v>1</v>
      </c>
      <c r="M220" s="49">
        <f>O220*P220*Q220/T220</f>
        <v>1.0112548753181717E-2</v>
      </c>
      <c r="N220" s="49">
        <v>194200</v>
      </c>
      <c r="O220" s="49">
        <v>191100</v>
      </c>
      <c r="P220" s="49">
        <v>15956260</v>
      </c>
      <c r="Q220" s="49">
        <v>1</v>
      </c>
      <c r="R220" s="82">
        <f t="shared" si="11"/>
        <v>0</v>
      </c>
      <c r="S220" s="82">
        <f>IF(AND(R220=0,B220="N"),S219,S219*(D220*F220*G220+I220*K220*L220+N220*P220*Q220)/T219)</f>
        <v>358731880913631</v>
      </c>
      <c r="T220" s="81">
        <f>E220*F220*G220+J220*K220*L220+O220*P220*Q220</f>
        <v>301530441081000</v>
      </c>
      <c r="U220" s="80">
        <f t="shared" si="9"/>
        <v>840.54542437948817</v>
      </c>
      <c r="V220" s="52">
        <f t="shared" si="10"/>
        <v>-1.5851295484533418E-2</v>
      </c>
      <c r="W220" s="48">
        <f>(E220-D220)/D220</f>
        <v>-1.6355140186915886E-2</v>
      </c>
      <c r="X220" s="48">
        <f>(J220-I220)/I220</f>
        <v>-1.098901098901099E-2</v>
      </c>
      <c r="Y220" s="48">
        <f>(O220-N220)/N220</f>
        <v>-1.596292481977343E-2</v>
      </c>
      <c r="Z220" s="48" t="e">
        <f>(#REF!-#REF!)/#REF!</f>
        <v>#REF!</v>
      </c>
    </row>
    <row r="221" spans="1:26" x14ac:dyDescent="0.3">
      <c r="A221" s="48">
        <v>20181122</v>
      </c>
      <c r="B221" s="48" t="s">
        <v>88</v>
      </c>
      <c r="C221" s="79">
        <f>E221*F221*G221/T221</f>
        <v>0.89760233381194621</v>
      </c>
      <c r="D221" s="49">
        <v>42100</v>
      </c>
      <c r="E221" s="49">
        <v>42450</v>
      </c>
      <c r="F221" s="49">
        <v>6419324700</v>
      </c>
      <c r="G221" s="49">
        <v>1</v>
      </c>
      <c r="H221" s="48">
        <f>J221*K221*L221/T221</f>
        <v>9.2153894783156221E-2</v>
      </c>
      <c r="I221" s="48">
        <v>225000</v>
      </c>
      <c r="J221" s="48">
        <v>223000</v>
      </c>
      <c r="K221" s="51">
        <v>125456133</v>
      </c>
      <c r="L221" s="48">
        <v>1</v>
      </c>
      <c r="M221" s="49">
        <f>O221*P221*Q221/T221</f>
        <v>1.0243771404897538E-2</v>
      </c>
      <c r="N221" s="49">
        <v>191100</v>
      </c>
      <c r="O221" s="49">
        <v>194900</v>
      </c>
      <c r="P221" s="49">
        <v>15956260</v>
      </c>
      <c r="Q221" s="49">
        <v>1</v>
      </c>
      <c r="R221" s="82">
        <f t="shared" si="11"/>
        <v>0</v>
      </c>
      <c r="S221" s="82">
        <f>IF(AND(R221=0,B221="N"),S220,S220*(D221*F221*G221+I221*K221*L221+N221*P221*Q221)/T220)</f>
        <v>358731880913631</v>
      </c>
      <c r="T221" s="81">
        <f>E221*F221*G221+J221*K221*L221+O221*P221*Q221</f>
        <v>303586926248000</v>
      </c>
      <c r="U221" s="80">
        <f t="shared" si="9"/>
        <v>846.27807674861265</v>
      </c>
      <c r="V221" s="52">
        <f t="shared" si="10"/>
        <v>6.8201577247969302E-3</v>
      </c>
      <c r="W221" s="48">
        <f>(E221-D221)/D221</f>
        <v>8.3135391923990498E-3</v>
      </c>
      <c r="X221" s="48">
        <f>(J221-I221)/I221</f>
        <v>-8.8888888888888889E-3</v>
      </c>
      <c r="Y221" s="48">
        <f>(O221-N221)/N221</f>
        <v>1.9884877027734171E-2</v>
      </c>
      <c r="Z221" s="48" t="e">
        <f>(#REF!-#REF!)/#REF!</f>
        <v>#REF!</v>
      </c>
    </row>
    <row r="222" spans="1:26" x14ac:dyDescent="0.3">
      <c r="A222" s="48">
        <v>20181123</v>
      </c>
      <c r="B222" s="48" t="s">
        <v>88</v>
      </c>
      <c r="C222" s="79">
        <f>E222*F222*G222/T222</f>
        <v>0.89850682041183749</v>
      </c>
      <c r="D222" s="49">
        <v>42450</v>
      </c>
      <c r="E222" s="49">
        <v>42400</v>
      </c>
      <c r="F222" s="49">
        <v>6419324700</v>
      </c>
      <c r="G222" s="49">
        <v>1</v>
      </c>
      <c r="H222" s="48">
        <f>J222*K222*L222/T222</f>
        <v>9.1527236233869935E-2</v>
      </c>
      <c r="I222" s="48">
        <v>223000</v>
      </c>
      <c r="J222" s="48">
        <v>221000</v>
      </c>
      <c r="K222" s="51">
        <v>125456133</v>
      </c>
      <c r="L222" s="48">
        <v>1</v>
      </c>
      <c r="M222" s="49">
        <f>O222*P222*Q222/T222</f>
        <v>9.9659433542925238E-3</v>
      </c>
      <c r="N222" s="49">
        <v>194900</v>
      </c>
      <c r="O222" s="49">
        <v>189200</v>
      </c>
      <c r="P222" s="49">
        <v>15956260</v>
      </c>
      <c r="Q222" s="49">
        <v>1</v>
      </c>
      <c r="R222" s="82">
        <f t="shared" si="11"/>
        <v>0</v>
      </c>
      <c r="S222" s="82">
        <f>IF(AND(R222=0,B222="N"),S221,S221*(D222*F222*G222+I222*K222*L222+N222*P222*Q222)/T221)</f>
        <v>358731880913631</v>
      </c>
      <c r="T222" s="81">
        <f>E222*F222*G222+J222*K222*L222+O222*P222*Q222</f>
        <v>302924097065000</v>
      </c>
      <c r="U222" s="80">
        <f t="shared" si="9"/>
        <v>844.4303759495873</v>
      </c>
      <c r="V222" s="52">
        <f t="shared" si="10"/>
        <v>-2.1833258473670791E-3</v>
      </c>
      <c r="W222" s="48">
        <f>(E222-D222)/D222</f>
        <v>-1.1778563015312131E-3</v>
      </c>
      <c r="X222" s="48">
        <f>(J222-I222)/I222</f>
        <v>-8.9686098654708519E-3</v>
      </c>
      <c r="Y222" s="48">
        <f>(O222-N222)/N222</f>
        <v>-2.9245767060030785E-2</v>
      </c>
      <c r="Z222" s="48" t="e">
        <f>(#REF!-#REF!)/#REF!</f>
        <v>#REF!</v>
      </c>
    </row>
    <row r="223" spans="1:26" x14ac:dyDescent="0.3">
      <c r="A223" s="48">
        <v>20181126</v>
      </c>
      <c r="B223" s="48" t="s">
        <v>88</v>
      </c>
      <c r="C223" s="79">
        <f>E223*F223*G223/T223</f>
        <v>0.89150859282261719</v>
      </c>
      <c r="D223" s="49">
        <v>42400</v>
      </c>
      <c r="E223" s="49">
        <v>42600</v>
      </c>
      <c r="F223" s="49">
        <v>6419324700</v>
      </c>
      <c r="G223" s="49">
        <v>1</v>
      </c>
      <c r="H223" s="48">
        <f>J223*K223*L223/T223</f>
        <v>9.8363408250390513E-2</v>
      </c>
      <c r="I223" s="48">
        <v>221000</v>
      </c>
      <c r="J223" s="48">
        <v>240500</v>
      </c>
      <c r="K223" s="51">
        <v>125456133</v>
      </c>
      <c r="L223" s="48">
        <v>1</v>
      </c>
      <c r="M223" s="49">
        <f>O223*P223*Q223/T223</f>
        <v>1.0127998926992314E-2</v>
      </c>
      <c r="N223" s="49">
        <v>189200</v>
      </c>
      <c r="O223" s="49">
        <v>194700</v>
      </c>
      <c r="P223" s="49">
        <v>15956260</v>
      </c>
      <c r="Q223" s="49">
        <v>1</v>
      </c>
      <c r="R223" s="82">
        <f t="shared" si="11"/>
        <v>0</v>
      </c>
      <c r="S223" s="82">
        <f>IF(AND(R223=0,B223="N"),S222,S222*(D223*F223*G223+I223*K223*L223+N223*P223*Q223)/T222)</f>
        <v>358731880913631</v>
      </c>
      <c r="T223" s="81">
        <f>E223*F223*G223+J223*K223*L223+O223*P223*Q223</f>
        <v>306742116028500</v>
      </c>
      <c r="U223" s="80">
        <f t="shared" si="9"/>
        <v>855.07347506242922</v>
      </c>
      <c r="V223" s="52">
        <f t="shared" si="10"/>
        <v>1.2603879983442612E-2</v>
      </c>
      <c r="W223" s="48">
        <f>(E223-D223)/D223</f>
        <v>4.7169811320754715E-3</v>
      </c>
      <c r="X223" s="48">
        <f>(J223-I223)/I223</f>
        <v>8.8235294117647065E-2</v>
      </c>
      <c r="Y223" s="48">
        <f>(O223-N223)/N223</f>
        <v>2.9069767441860465E-2</v>
      </c>
      <c r="Z223" s="48" t="e">
        <f>(#REF!-#REF!)/#REF!</f>
        <v>#REF!</v>
      </c>
    </row>
    <row r="224" spans="1:26" x14ac:dyDescent="0.3">
      <c r="A224" s="48">
        <v>20181127</v>
      </c>
      <c r="B224" s="48" t="s">
        <v>88</v>
      </c>
      <c r="C224" s="79">
        <f>E224*F224*G224/T224</f>
        <v>0.89305260197371039</v>
      </c>
      <c r="D224" s="49">
        <v>42600</v>
      </c>
      <c r="E224" s="49">
        <v>43050</v>
      </c>
      <c r="F224" s="49">
        <v>6419324700</v>
      </c>
      <c r="G224" s="49">
        <v>1</v>
      </c>
      <c r="H224" s="48">
        <f>J224*K224*L224/T224</f>
        <v>9.6490241811765895E-2</v>
      </c>
      <c r="I224" s="48">
        <v>240500</v>
      </c>
      <c r="J224" s="48">
        <v>238000</v>
      </c>
      <c r="K224" s="51">
        <v>125456133</v>
      </c>
      <c r="L224" s="48">
        <v>1</v>
      </c>
      <c r="M224" s="49">
        <f>O224*P224*Q224/T224</f>
        <v>1.0457156214523726E-2</v>
      </c>
      <c r="N224" s="49">
        <v>194700</v>
      </c>
      <c r="O224" s="49">
        <v>202800</v>
      </c>
      <c r="P224" s="49">
        <v>15956260</v>
      </c>
      <c r="Q224" s="49">
        <v>1</v>
      </c>
      <c r="R224" s="82">
        <f t="shared" si="11"/>
        <v>0</v>
      </c>
      <c r="S224" s="82">
        <f>IF(AND(R224=0,B224="N"),S223,S223*(D224*F224*G224+I224*K224*L224+N224*P224*Q224)/T223)</f>
        <v>358731880913631</v>
      </c>
      <c r="T224" s="81">
        <f>E224*F224*G224+J224*K224*L224+O224*P224*Q224</f>
        <v>309446417517000</v>
      </c>
      <c r="U224" s="80">
        <f t="shared" si="9"/>
        <v>862.61197841934472</v>
      </c>
      <c r="V224" s="52">
        <f t="shared" si="10"/>
        <v>8.8162053633637858E-3</v>
      </c>
      <c r="W224" s="48">
        <f>(E224-D224)/D224</f>
        <v>1.0563380281690141E-2</v>
      </c>
      <c r="X224" s="48">
        <f>(J224-I224)/I224</f>
        <v>-1.0395010395010396E-2</v>
      </c>
      <c r="Y224" s="48">
        <f>(O224-N224)/N224</f>
        <v>4.1602465331278891E-2</v>
      </c>
      <c r="Z224" s="48" t="e">
        <f>(#REF!-#REF!)/#REF!</f>
        <v>#REF!</v>
      </c>
    </row>
    <row r="225" spans="1:26" x14ac:dyDescent="0.3">
      <c r="A225" s="48">
        <v>20181128</v>
      </c>
      <c r="B225" s="48" t="s">
        <v>88</v>
      </c>
      <c r="C225" s="79">
        <f>E225*F225*G225/T225</f>
        <v>0.89417237600820998</v>
      </c>
      <c r="D225" s="49">
        <v>43050</v>
      </c>
      <c r="E225" s="49">
        <v>43150</v>
      </c>
      <c r="F225" s="49">
        <v>6419324700</v>
      </c>
      <c r="G225" s="49">
        <v>1</v>
      </c>
      <c r="H225" s="48">
        <f>J225*K225*L225/T225</f>
        <v>9.5577354443890775E-2</v>
      </c>
      <c r="I225" s="48">
        <v>238000</v>
      </c>
      <c r="J225" s="48">
        <v>236000</v>
      </c>
      <c r="K225" s="51">
        <v>125456133</v>
      </c>
      <c r="L225" s="48">
        <v>1</v>
      </c>
      <c r="M225" s="49">
        <f>O225*P225*Q225/T225</f>
        <v>1.0250269547899293E-2</v>
      </c>
      <c r="N225" s="49">
        <v>202800</v>
      </c>
      <c r="O225" s="49">
        <v>199000</v>
      </c>
      <c r="P225" s="49">
        <v>15956260</v>
      </c>
      <c r="Q225" s="49">
        <v>1</v>
      </c>
      <c r="R225" s="82">
        <f t="shared" si="11"/>
        <v>0</v>
      </c>
      <c r="S225" s="82">
        <f>IF(AND(R225=0,B225="N"),S224,S224*(D225*F225*G225+I225*K225*L225+N225*P225*Q225)/T224)</f>
        <v>358731880913631</v>
      </c>
      <c r="T225" s="81">
        <f>E225*F225*G225+J225*K225*L225+O225*P225*Q225</f>
        <v>309776803933000</v>
      </c>
      <c r="U225" s="80">
        <f t="shared" si="9"/>
        <v>863.5329626796746</v>
      </c>
      <c r="V225" s="52">
        <f t="shared" si="10"/>
        <v>1.0676692225135697E-3</v>
      </c>
      <c r="W225" s="48">
        <f>(E225-D225)/D225</f>
        <v>2.3228803716608595E-3</v>
      </c>
      <c r="X225" s="48">
        <f>(J225-I225)/I225</f>
        <v>-8.4033613445378148E-3</v>
      </c>
      <c r="Y225" s="48">
        <f>(O225-N225)/N225</f>
        <v>-1.8737672583826429E-2</v>
      </c>
      <c r="Z225" s="48" t="e">
        <f>(#REF!-#REF!)/#REF!</f>
        <v>#REF!</v>
      </c>
    </row>
    <row r="226" spans="1:26" x14ac:dyDescent="0.3">
      <c r="A226" s="48">
        <v>20181129</v>
      </c>
      <c r="B226" s="48" t="s">
        <v>88</v>
      </c>
      <c r="C226" s="79">
        <f>E226*F226*G226/T226</f>
        <v>0.89393926892536291</v>
      </c>
      <c r="D226" s="49">
        <v>43150</v>
      </c>
      <c r="E226" s="49">
        <v>43150</v>
      </c>
      <c r="F226" s="49">
        <v>6419324700</v>
      </c>
      <c r="G226" s="49">
        <v>1</v>
      </c>
      <c r="H226" s="48">
        <f>J226*K226*L226/T226</f>
        <v>9.5957321029423642E-2</v>
      </c>
      <c r="I226" s="48">
        <v>236000</v>
      </c>
      <c r="J226" s="48">
        <v>237000</v>
      </c>
      <c r="K226" s="51">
        <v>125456133</v>
      </c>
      <c r="L226" s="48">
        <v>1</v>
      </c>
      <c r="M226" s="49">
        <f>O226*P226*Q226/T226</f>
        <v>1.0103410045213498E-2</v>
      </c>
      <c r="N226" s="49">
        <v>199000</v>
      </c>
      <c r="O226" s="49">
        <v>196200</v>
      </c>
      <c r="P226" s="49">
        <v>15956260</v>
      </c>
      <c r="Q226" s="49">
        <v>1</v>
      </c>
      <c r="R226" s="82">
        <f t="shared" si="11"/>
        <v>0</v>
      </c>
      <c r="S226" s="82">
        <f>IF(AND(R226=0,B226="N"),S225,S225*(D226*F226*G226+I226*K226*L226+N226*P226*Q226)/T225)</f>
        <v>358731880913631</v>
      </c>
      <c r="T226" s="81">
        <f>E226*F226*G226+J226*K226*L226+O226*P226*Q226</f>
        <v>309857582538000</v>
      </c>
      <c r="U226" s="80">
        <f t="shared" si="9"/>
        <v>863.75814089576807</v>
      </c>
      <c r="V226" s="52">
        <f t="shared" si="10"/>
        <v>2.6076389185504366E-4</v>
      </c>
      <c r="W226" s="48">
        <f>(E226-D226)/D226</f>
        <v>0</v>
      </c>
      <c r="X226" s="48">
        <f>(J226-I226)/I226</f>
        <v>4.2372881355932203E-3</v>
      </c>
      <c r="Y226" s="48">
        <f>(O226-N226)/N226</f>
        <v>-1.407035175879397E-2</v>
      </c>
      <c r="Z226" s="48" t="e">
        <f>(#REF!-#REF!)/#REF!</f>
        <v>#REF!</v>
      </c>
    </row>
    <row r="227" spans="1:26" x14ac:dyDescent="0.3">
      <c r="A227" s="48">
        <v>20181130</v>
      </c>
      <c r="B227" s="48" t="s">
        <v>88</v>
      </c>
      <c r="C227" s="79">
        <f>E227*F227*G227/T227</f>
        <v>0.89002613220303239</v>
      </c>
      <c r="D227" s="49">
        <v>43150</v>
      </c>
      <c r="E227" s="49">
        <v>41850</v>
      </c>
      <c r="F227" s="49">
        <v>6419324700</v>
      </c>
      <c r="G227" s="49">
        <v>1</v>
      </c>
      <c r="H227" s="48">
        <f>J227*K227*L227/T227</f>
        <v>9.9544063922022655E-2</v>
      </c>
      <c r="I227" s="48">
        <v>237000</v>
      </c>
      <c r="J227" s="48">
        <v>239500</v>
      </c>
      <c r="K227" s="51">
        <v>125456133</v>
      </c>
      <c r="L227" s="48">
        <v>1</v>
      </c>
      <c r="M227" s="49">
        <f>O227*P227*Q227/T227</f>
        <v>1.0429803874944939E-2</v>
      </c>
      <c r="N227" s="49">
        <v>196200</v>
      </c>
      <c r="O227" s="49">
        <v>197300</v>
      </c>
      <c r="P227" s="49">
        <v>15956260</v>
      </c>
      <c r="Q227" s="49">
        <v>1</v>
      </c>
      <c r="R227" s="82">
        <f t="shared" si="11"/>
        <v>0</v>
      </c>
      <c r="S227" s="82">
        <f>IF(AND(R227=0,B227="N"),S226,S226*(D227*F227*G227+I227*K227*L227+N227*P227*Q227)/T226)</f>
        <v>358731880913631</v>
      </c>
      <c r="T227" s="81">
        <f>E227*F227*G227+J227*K227*L227+O227*P227*Q227</f>
        <v>301843652646500</v>
      </c>
      <c r="U227" s="80">
        <f t="shared" si="9"/>
        <v>841.4185320740213</v>
      </c>
      <c r="V227" s="52">
        <f t="shared" si="10"/>
        <v>-2.5863268621212965E-2</v>
      </c>
      <c r="W227" s="48">
        <f>(E227-D227)/D227</f>
        <v>-3.0127462340672075E-2</v>
      </c>
      <c r="X227" s="48">
        <f>(J227-I227)/I227</f>
        <v>1.0548523206751054E-2</v>
      </c>
      <c r="Y227" s="48">
        <f>(O227-N227)/N227</f>
        <v>5.6065239551478085E-3</v>
      </c>
      <c r="Z227" s="48" t="e">
        <f>(#REF!-#REF!)/#REF!</f>
        <v>#REF!</v>
      </c>
    </row>
    <row r="228" spans="1:26" x14ac:dyDescent="0.3">
      <c r="A228" s="48">
        <v>20181203</v>
      </c>
      <c r="B228" s="48" t="s">
        <v>88</v>
      </c>
      <c r="C228" s="79">
        <f>E228*F228*G228/T228</f>
        <v>0.8924378746414815</v>
      </c>
      <c r="D228" s="49">
        <v>41850</v>
      </c>
      <c r="E228" s="49">
        <v>43250</v>
      </c>
      <c r="F228" s="49">
        <v>6419324700</v>
      </c>
      <c r="G228" s="49">
        <v>1</v>
      </c>
      <c r="H228" s="48">
        <f>J228*K228*L228/T228</f>
        <v>9.6986104390865122E-2</v>
      </c>
      <c r="I228" s="48">
        <v>239500</v>
      </c>
      <c r="J228" s="48">
        <v>240500</v>
      </c>
      <c r="K228" s="51">
        <v>125456133</v>
      </c>
      <c r="L228" s="48">
        <v>1</v>
      </c>
      <c r="M228" s="49">
        <f>O228*P228*Q228/T228</f>
        <v>1.0576020967653326E-2</v>
      </c>
      <c r="N228" s="49">
        <v>197300</v>
      </c>
      <c r="O228" s="49">
        <v>206200</v>
      </c>
      <c r="P228" s="49">
        <v>15956260</v>
      </c>
      <c r="Q228" s="49">
        <v>1</v>
      </c>
      <c r="R228" s="82">
        <f t="shared" si="11"/>
        <v>0</v>
      </c>
      <c r="S228" s="82">
        <f>IF(AND(R228=0,B228="N"),S227,S227*(D228*F228*G228+I228*K228*L228+N228*P228*Q228)/T227)</f>
        <v>358731880913631</v>
      </c>
      <c r="T228" s="81">
        <f>E228*F228*G228+J228*K228*L228+O228*P228*Q228</f>
        <v>311098174073500</v>
      </c>
      <c r="U228" s="80">
        <f t="shared" si="9"/>
        <v>867.21641043217073</v>
      </c>
      <c r="V228" s="52">
        <f t="shared" si="10"/>
        <v>3.0659983557243472E-2</v>
      </c>
      <c r="W228" s="48">
        <f>(E228-D228)/D228</f>
        <v>3.3452807646356032E-2</v>
      </c>
      <c r="X228" s="48">
        <f>(J228-I228)/I228</f>
        <v>4.1753653444676405E-3</v>
      </c>
      <c r="Y228" s="48">
        <f>(O228-N228)/N228</f>
        <v>4.5108971109984797E-2</v>
      </c>
      <c r="Z228" s="48" t="e">
        <f>(#REF!-#REF!)/#REF!</f>
        <v>#REF!</v>
      </c>
    </row>
    <row r="229" spans="1:26" x14ac:dyDescent="0.3">
      <c r="A229" s="48">
        <v>20181204</v>
      </c>
      <c r="B229" s="48" t="s">
        <v>88</v>
      </c>
      <c r="C229" s="79">
        <f>E229*F229*G229/T229</f>
        <v>0.88885808310367032</v>
      </c>
      <c r="D229" s="49">
        <v>43250</v>
      </c>
      <c r="E229" s="49">
        <v>42150</v>
      </c>
      <c r="F229" s="49">
        <v>6419324700</v>
      </c>
      <c r="G229" s="49">
        <v>1</v>
      </c>
      <c r="H229" s="48">
        <f>J229*K229*L229/T229</f>
        <v>0.10035438784291106</v>
      </c>
      <c r="I229" s="48">
        <v>240500</v>
      </c>
      <c r="J229" s="48">
        <v>243500</v>
      </c>
      <c r="K229" s="51">
        <v>125456133</v>
      </c>
      <c r="L229" s="48">
        <v>1</v>
      </c>
      <c r="M229" s="49">
        <f>O229*P229*Q229/T229</f>
        <v>1.0787529053418631E-2</v>
      </c>
      <c r="N229" s="49">
        <v>206200</v>
      </c>
      <c r="O229" s="49">
        <v>205800</v>
      </c>
      <c r="P229" s="49">
        <v>15956260</v>
      </c>
      <c r="Q229" s="49">
        <v>1</v>
      </c>
      <c r="R229" s="82">
        <f t="shared" si="11"/>
        <v>0</v>
      </c>
      <c r="S229" s="82">
        <f>IF(AND(R229=0,B229="N"),S228,S228*(D229*F229*G229+I229*K229*L229+N229*P229*Q229)/T228)</f>
        <v>358731880913631</v>
      </c>
      <c r="T229" s="81">
        <f>E229*F229*G229+J229*K229*L229+O229*P229*Q229</f>
        <v>304406902798500</v>
      </c>
      <c r="U229" s="80">
        <f t="shared" si="9"/>
        <v>848.56384111505724</v>
      </c>
      <c r="V229" s="52">
        <f t="shared" si="10"/>
        <v>-2.1508552066972674E-2</v>
      </c>
      <c r="W229" s="48">
        <f>(E229-D229)/D229</f>
        <v>-2.5433526011560695E-2</v>
      </c>
      <c r="X229" s="48">
        <f>(J229-I229)/I229</f>
        <v>1.2474012474012475E-2</v>
      </c>
      <c r="Y229" s="48">
        <f>(O229-N229)/N229</f>
        <v>-1.9398642095053346E-3</v>
      </c>
      <c r="Z229" s="48" t="e">
        <f>(#REF!-#REF!)/#REF!</f>
        <v>#REF!</v>
      </c>
    </row>
    <row r="230" spans="1:26" x14ac:dyDescent="0.3">
      <c r="A230" s="48">
        <v>20181205</v>
      </c>
      <c r="B230" s="48" t="s">
        <v>88</v>
      </c>
      <c r="C230" s="79">
        <f>E230*F230*G230/T230</f>
        <v>0.88795316744175445</v>
      </c>
      <c r="D230" s="49">
        <v>42150</v>
      </c>
      <c r="E230" s="49">
        <v>41450</v>
      </c>
      <c r="F230" s="49">
        <v>6419324700</v>
      </c>
      <c r="G230" s="49">
        <v>1</v>
      </c>
      <c r="H230" s="48">
        <f>J230*K230*L230/T230</f>
        <v>0.10131726207281086</v>
      </c>
      <c r="I230" s="48">
        <v>243500</v>
      </c>
      <c r="J230" s="48">
        <v>242000</v>
      </c>
      <c r="K230" s="51">
        <v>125456133</v>
      </c>
      <c r="L230" s="48">
        <v>1</v>
      </c>
      <c r="M230" s="49">
        <f>O230*P230*Q230/T230</f>
        <v>1.0729570485434721E-2</v>
      </c>
      <c r="N230" s="49">
        <v>205800</v>
      </c>
      <c r="O230" s="49">
        <v>201500</v>
      </c>
      <c r="P230" s="49">
        <v>15956260</v>
      </c>
      <c r="Q230" s="49">
        <v>1</v>
      </c>
      <c r="R230" s="82">
        <f t="shared" si="11"/>
        <v>0</v>
      </c>
      <c r="S230" s="82">
        <f>IF(AND(R230=0,B230="N"),S229,S229*(D230*F230*G230+I230*K230*L230+N230*P230*Q230)/T229)</f>
        <v>358731880913631</v>
      </c>
      <c r="T230" s="81">
        <f>E230*F230*G230+J230*K230*L230+O230*P230*Q230</f>
        <v>299656579391000</v>
      </c>
      <c r="U230" s="80">
        <f t="shared" si="9"/>
        <v>835.32185271023036</v>
      </c>
      <c r="V230" s="52">
        <f t="shared" si="10"/>
        <v>-1.5605176373561026E-2</v>
      </c>
      <c r="W230" s="48">
        <f>(E230-D230)/D230</f>
        <v>-1.6607354685646499E-2</v>
      </c>
      <c r="X230" s="48">
        <f>(J230-I230)/I230</f>
        <v>-6.1601642710472282E-3</v>
      </c>
      <c r="Y230" s="48">
        <f>(O230-N230)/N230</f>
        <v>-2.0894071914480079E-2</v>
      </c>
      <c r="Z230" s="48" t="e">
        <f>(#REF!-#REF!)/#REF!</f>
        <v>#REF!</v>
      </c>
    </row>
    <row r="231" spans="1:26" x14ac:dyDescent="0.3">
      <c r="A231" s="48">
        <v>20181206</v>
      </c>
      <c r="B231" s="48" t="s">
        <v>88</v>
      </c>
      <c r="C231" s="79">
        <f>E231*F231*G231/T231</f>
        <v>0.88843148898336632</v>
      </c>
      <c r="D231" s="49">
        <v>41450</v>
      </c>
      <c r="E231" s="49">
        <v>40500</v>
      </c>
      <c r="F231" s="49">
        <v>6419324700</v>
      </c>
      <c r="G231" s="49">
        <v>1</v>
      </c>
      <c r="H231" s="48">
        <f>J231*K231*L231/T231</f>
        <v>0.10096303206908851</v>
      </c>
      <c r="I231" s="48">
        <v>242000</v>
      </c>
      <c r="J231" s="48">
        <v>235500</v>
      </c>
      <c r="K231" s="51">
        <v>125456133</v>
      </c>
      <c r="L231" s="48">
        <v>1</v>
      </c>
      <c r="M231" s="49">
        <f>O231*P231*Q231/T231</f>
        <v>1.0605478947545141E-2</v>
      </c>
      <c r="N231" s="49">
        <v>201500</v>
      </c>
      <c r="O231" s="49">
        <v>194500</v>
      </c>
      <c r="P231" s="49">
        <v>15956260</v>
      </c>
      <c r="Q231" s="49">
        <v>1</v>
      </c>
      <c r="R231" s="82">
        <f t="shared" si="11"/>
        <v>0</v>
      </c>
      <c r="S231" s="82">
        <f>IF(AND(R231=0,B231="N"),S230,S230*(D231*F231*G231+I231*K231*L231+N231*P231*Q231)/T230)</f>
        <v>358731880913631</v>
      </c>
      <c r="T231" s="81">
        <f>E231*F231*G231+J231*K231*L231+O231*P231*Q231</f>
        <v>292631062241500</v>
      </c>
      <c r="U231" s="80">
        <f t="shared" si="9"/>
        <v>815.73754051693686</v>
      </c>
      <c r="V231" s="52">
        <f t="shared" si="10"/>
        <v>-2.3445229081163779E-2</v>
      </c>
      <c r="W231" s="48">
        <f>(E231-D231)/D231</f>
        <v>-2.2919179734620022E-2</v>
      </c>
      <c r="X231" s="48">
        <f>(J231-I231)/I231</f>
        <v>-2.6859504132231406E-2</v>
      </c>
      <c r="Y231" s="48">
        <f>(O231-N231)/N231</f>
        <v>-3.4739454094292806E-2</v>
      </c>
      <c r="Z231" s="48" t="e">
        <f>(#REF!-#REF!)/#REF!</f>
        <v>#REF!</v>
      </c>
    </row>
    <row r="232" spans="1:26" x14ac:dyDescent="0.3">
      <c r="A232" s="48">
        <v>20181207</v>
      </c>
      <c r="B232" s="48" t="s">
        <v>88</v>
      </c>
      <c r="C232" s="79">
        <f>E232*F232*G232/T232</f>
        <v>0.88558083671767551</v>
      </c>
      <c r="D232" s="49">
        <v>40500</v>
      </c>
      <c r="E232" s="49">
        <v>40950</v>
      </c>
      <c r="F232" s="49">
        <v>6419324700</v>
      </c>
      <c r="G232" s="49">
        <v>1</v>
      </c>
      <c r="H232" s="48">
        <f>J232*K232*L232/T232</f>
        <v>0.10375961554051238</v>
      </c>
      <c r="I232" s="48">
        <v>235500</v>
      </c>
      <c r="J232" s="48">
        <v>245500</v>
      </c>
      <c r="K232" s="51">
        <v>125456133</v>
      </c>
      <c r="L232" s="48">
        <v>1</v>
      </c>
      <c r="M232" s="49">
        <f>O232*P232*Q232/T232</f>
        <v>1.0659547741812079E-2</v>
      </c>
      <c r="N232" s="49">
        <v>194500</v>
      </c>
      <c r="O232" s="49">
        <v>198300</v>
      </c>
      <c r="P232" s="49">
        <v>15956260</v>
      </c>
      <c r="Q232" s="49">
        <v>1</v>
      </c>
      <c r="R232" s="82">
        <f t="shared" si="11"/>
        <v>0</v>
      </c>
      <c r="S232" s="82">
        <f>IF(AND(R232=0,B232="N"),S231,S231*(D232*F232*G232+I232*K232*L232+N232*P232*Q232)/T231)</f>
        <v>358731880913631</v>
      </c>
      <c r="T232" s="81">
        <f>E232*F232*G232+J232*K232*L232+O232*P232*Q232</f>
        <v>296834953474500</v>
      </c>
      <c r="U232" s="80">
        <f t="shared" si="9"/>
        <v>827.45629610200876</v>
      </c>
      <c r="V232" s="52">
        <f t="shared" si="10"/>
        <v>1.4365840730641954E-2</v>
      </c>
      <c r="W232" s="48">
        <f>(E232-D232)/D232</f>
        <v>1.1111111111111112E-2</v>
      </c>
      <c r="X232" s="48">
        <f>(J232-I232)/I232</f>
        <v>4.2462845010615709E-2</v>
      </c>
      <c r="Y232" s="48">
        <f>(O232-N232)/N232</f>
        <v>1.9537275064267352E-2</v>
      </c>
      <c r="Z232" s="48" t="e">
        <f>(#REF!-#REF!)/#REF!</f>
        <v>#REF!</v>
      </c>
    </row>
    <row r="233" spans="1:26" x14ac:dyDescent="0.3">
      <c r="A233" s="48">
        <v>20181210</v>
      </c>
      <c r="B233" s="48" t="s">
        <v>88</v>
      </c>
      <c r="C233" s="79">
        <f>E233*F233*G233/T233</f>
        <v>0.88421924343278546</v>
      </c>
      <c r="D233" s="49">
        <v>40950</v>
      </c>
      <c r="E233" s="49">
        <v>40200</v>
      </c>
      <c r="F233" s="49">
        <v>6419324700</v>
      </c>
      <c r="G233" s="49">
        <v>1</v>
      </c>
      <c r="H233" s="48">
        <f>J233*K233*L233/T233</f>
        <v>0.10510305168719145</v>
      </c>
      <c r="I233" s="48">
        <v>245500</v>
      </c>
      <c r="J233" s="48">
        <v>244500</v>
      </c>
      <c r="K233" s="51">
        <v>125456133</v>
      </c>
      <c r="L233" s="48">
        <v>1</v>
      </c>
      <c r="M233" s="49">
        <f>O233*P233*Q233/T233</f>
        <v>1.0677704880023111E-2</v>
      </c>
      <c r="N233" s="49">
        <v>198300</v>
      </c>
      <c r="O233" s="49">
        <v>195300</v>
      </c>
      <c r="P233" s="49">
        <v>15956260</v>
      </c>
      <c r="Q233" s="49">
        <v>1</v>
      </c>
      <c r="R233" s="82">
        <f t="shared" si="11"/>
        <v>0</v>
      </c>
      <c r="S233" s="82">
        <f>IF(AND(R233=0,B233="N"),S232,S232*(D233*F233*G233+I233*K233*L233+N233*P233*Q233)/T232)</f>
        <v>358731880913631</v>
      </c>
      <c r="T233" s="81">
        <f>E233*F233*G233+J233*K233*L233+O233*P233*Q233</f>
        <v>291847135036500</v>
      </c>
      <c r="U233" s="80">
        <f t="shared" si="9"/>
        <v>813.5522672063978</v>
      </c>
      <c r="V233" s="52">
        <f t="shared" si="10"/>
        <v>-1.6803339295513531E-2</v>
      </c>
      <c r="W233" s="48">
        <f>(E233-D233)/D233</f>
        <v>-1.8315018315018316E-2</v>
      </c>
      <c r="X233" s="48">
        <f>(J233-I233)/I233</f>
        <v>-4.0733197556008143E-3</v>
      </c>
      <c r="Y233" s="48">
        <f>(O233-N233)/N233</f>
        <v>-1.5128593040847202E-2</v>
      </c>
      <c r="Z233" s="48" t="e">
        <f>(#REF!-#REF!)/#REF!</f>
        <v>#REF!</v>
      </c>
    </row>
    <row r="234" spans="1:26" x14ac:dyDescent="0.3">
      <c r="A234" s="48">
        <v>20181211</v>
      </c>
      <c r="B234" s="48" t="s">
        <v>88</v>
      </c>
      <c r="C234" s="79">
        <f>E234*F234*G234/T234</f>
        <v>0.89374394607768615</v>
      </c>
      <c r="D234" s="49">
        <v>40200</v>
      </c>
      <c r="E234" s="49">
        <v>40250</v>
      </c>
      <c r="F234" s="49">
        <v>6419324700</v>
      </c>
      <c r="G234" s="49">
        <v>1</v>
      </c>
      <c r="H234" s="48">
        <f>J234*K234*L234/T234</f>
        <v>9.5471217844931497E-2</v>
      </c>
      <c r="I234" s="48">
        <v>244500</v>
      </c>
      <c r="J234" s="48">
        <v>220000</v>
      </c>
      <c r="K234" s="51">
        <v>125456133</v>
      </c>
      <c r="L234" s="48">
        <v>1</v>
      </c>
      <c r="M234" s="49">
        <f>O234*P234*Q234/T234</f>
        <v>1.0784836077382365E-2</v>
      </c>
      <c r="N234" s="49">
        <v>195300</v>
      </c>
      <c r="O234" s="49">
        <v>195400</v>
      </c>
      <c r="P234" s="49">
        <v>15956260</v>
      </c>
      <c r="Q234" s="49">
        <v>1</v>
      </c>
      <c r="R234" s="82">
        <f t="shared" si="11"/>
        <v>0</v>
      </c>
      <c r="S234" s="82">
        <f>IF(AND(R234=0,B234="N"),S233,S233*(D234*F234*G234+I234*K234*L234+N234*P234*Q234)/T233)</f>
        <v>358731880913631</v>
      </c>
      <c r="T234" s="81">
        <f>E234*F234*G234+J234*K234*L234+O234*P234*Q234</f>
        <v>289096021639000</v>
      </c>
      <c r="U234" s="80">
        <f t="shared" si="9"/>
        <v>805.88327110130285</v>
      </c>
      <c r="V234" s="52">
        <f t="shared" si="10"/>
        <v>-9.4265561221149267E-3</v>
      </c>
      <c r="W234" s="48">
        <f>(E234-D234)/D234</f>
        <v>1.2437810945273632E-3</v>
      </c>
      <c r="X234" s="48">
        <f>(J234-I234)/I234</f>
        <v>-0.10020449897750511</v>
      </c>
      <c r="Y234" s="48">
        <f>(O234-N234)/N234</f>
        <v>5.1203277009728623E-4</v>
      </c>
      <c r="Z234" s="48" t="e">
        <f>(#REF!-#REF!)/#REF!</f>
        <v>#REF!</v>
      </c>
    </row>
    <row r="235" spans="1:26" s="47" customFormat="1" x14ac:dyDescent="0.3">
      <c r="A235" s="65">
        <v>20181212</v>
      </c>
      <c r="B235" s="48" t="s">
        <v>88</v>
      </c>
      <c r="C235" s="79">
        <f>E235*F235*G235/T235</f>
        <v>0.88410416633336375</v>
      </c>
      <c r="D235" s="49">
        <v>40250</v>
      </c>
      <c r="E235" s="49">
        <v>40450</v>
      </c>
      <c r="F235" s="49">
        <v>5969782550</v>
      </c>
      <c r="G235" s="49">
        <v>1</v>
      </c>
      <c r="H235" s="48">
        <f>J235*K235*L235/T235</f>
        <v>0.10403668423930137</v>
      </c>
      <c r="I235" s="48">
        <v>220000</v>
      </c>
      <c r="J235" s="48">
        <v>226500</v>
      </c>
      <c r="K235" s="51">
        <v>125456133</v>
      </c>
      <c r="L235" s="48">
        <v>1</v>
      </c>
      <c r="M235" s="49">
        <f>O235*P235*Q235/T235</f>
        <v>1.1859149427334915E-2</v>
      </c>
      <c r="N235" s="49">
        <v>195400</v>
      </c>
      <c r="O235" s="49">
        <v>203000</v>
      </c>
      <c r="P235" s="49">
        <v>15956260</v>
      </c>
      <c r="Q235" s="49">
        <v>1</v>
      </c>
      <c r="R235" s="82">
        <f t="shared" si="11"/>
        <v>1</v>
      </c>
      <c r="S235" s="82">
        <f>IF(AND(R235=0,B235="N"),S234,S234*(D235*F235*G235+I235*K235*L235+N235*P235*Q235)/T234)</f>
        <v>336279408965959.19</v>
      </c>
      <c r="T235" s="81">
        <f>E235*F235*G235+J235*K235*L235+O235*P235*Q235</f>
        <v>273132639052000</v>
      </c>
      <c r="U235" s="80">
        <f t="shared" si="9"/>
        <v>812.21933835279401</v>
      </c>
      <c r="V235" s="52">
        <f t="shared" si="10"/>
        <v>7.8622642741205239E-3</v>
      </c>
      <c r="W235" s="48">
        <f>(E235-D235)/D235</f>
        <v>4.9689440993788822E-3</v>
      </c>
      <c r="X235" s="48">
        <f>(J235-I235)/I235</f>
        <v>2.9545454545454545E-2</v>
      </c>
      <c r="Y235" s="48">
        <f>(O235-N235)/N235</f>
        <v>3.8894575230296824E-2</v>
      </c>
      <c r="Z235" s="48" t="e">
        <f>(#REF!-#REF!)/#REF!</f>
        <v>#REF!</v>
      </c>
    </row>
    <row r="236" spans="1:26" x14ac:dyDescent="0.3">
      <c r="A236" s="48">
        <v>20181213</v>
      </c>
      <c r="B236" s="48" t="s">
        <v>88</v>
      </c>
      <c r="C236" s="79">
        <f>E236*F236*G236/T236</f>
        <v>0.88651289216076756</v>
      </c>
      <c r="D236" s="49">
        <v>40450</v>
      </c>
      <c r="E236" s="49">
        <v>40000</v>
      </c>
      <c r="F236" s="49">
        <v>5969782550</v>
      </c>
      <c r="G236" s="49">
        <v>1</v>
      </c>
      <c r="H236" s="48">
        <f>J236*K236*L236/T236</f>
        <v>0.10130192786028304</v>
      </c>
      <c r="I236" s="48">
        <v>226500</v>
      </c>
      <c r="J236" s="48">
        <v>217500</v>
      </c>
      <c r="K236" s="51">
        <v>125456133</v>
      </c>
      <c r="L236" s="48">
        <v>1</v>
      </c>
      <c r="M236" s="49">
        <f>O236*P236*Q236/T236</f>
        <v>1.2185179978949351E-2</v>
      </c>
      <c r="N236" s="49">
        <v>203000</v>
      </c>
      <c r="O236" s="49">
        <v>205700</v>
      </c>
      <c r="P236" s="49">
        <v>15956260</v>
      </c>
      <c r="Q236" s="49">
        <v>1</v>
      </c>
      <c r="R236" s="82">
        <f t="shared" si="11"/>
        <v>0</v>
      </c>
      <c r="S236" s="82">
        <f>IF(AND(R236=0,B236="N"),S235,S235*(D236*F236*G236+I236*K236*L236+N236*P236*Q236)/T235)</f>
        <v>336279408965959.19</v>
      </c>
      <c r="T236" s="81">
        <f>E236*F236*G236+J236*K236*L236+O236*P236*Q236</f>
        <v>269360213609500</v>
      </c>
      <c r="U236" s="80">
        <f t="shared" si="9"/>
        <v>801.00121038563725</v>
      </c>
      <c r="V236" s="52">
        <f t="shared" si="10"/>
        <v>-1.3811697699672446E-2</v>
      </c>
      <c r="W236" s="48">
        <f>(E236-D236)/D236</f>
        <v>-1.1124845488257108E-2</v>
      </c>
      <c r="X236" s="48">
        <f>(J236-I236)/I236</f>
        <v>-3.9735099337748346E-2</v>
      </c>
      <c r="Y236" s="48">
        <f>(O236-N236)/N236</f>
        <v>1.3300492610837438E-2</v>
      </c>
      <c r="Z236" s="48" t="e">
        <f>(#REF!-#REF!)/#REF!</f>
        <v>#REF!</v>
      </c>
    </row>
    <row r="237" spans="1:26" x14ac:dyDescent="0.3">
      <c r="A237" s="48">
        <v>20181214</v>
      </c>
      <c r="B237" s="48" t="s">
        <v>88</v>
      </c>
      <c r="C237" s="79">
        <f>E237*F237*G237/T237</f>
        <v>0.88816105900314579</v>
      </c>
      <c r="D237" s="49">
        <v>40000</v>
      </c>
      <c r="E237" s="49">
        <v>38950</v>
      </c>
      <c r="F237" s="49">
        <v>5969782550</v>
      </c>
      <c r="G237" s="49">
        <v>1</v>
      </c>
      <c r="H237" s="48">
        <f>J237*K237*L237/T237</f>
        <v>9.9673793052451012E-2</v>
      </c>
      <c r="I237" s="48">
        <v>217500</v>
      </c>
      <c r="J237" s="48">
        <v>208000</v>
      </c>
      <c r="K237" s="51">
        <v>125456133</v>
      </c>
      <c r="L237" s="48">
        <v>1</v>
      </c>
      <c r="M237" s="49">
        <f>O237*P237*Q237/T237</f>
        <v>1.2165147944403248E-2</v>
      </c>
      <c r="N237" s="49">
        <v>205700</v>
      </c>
      <c r="O237" s="49">
        <v>199600</v>
      </c>
      <c r="P237" s="49">
        <v>15956260</v>
      </c>
      <c r="Q237" s="49">
        <v>1</v>
      </c>
      <c r="R237" s="82">
        <f t="shared" si="11"/>
        <v>0</v>
      </c>
      <c r="S237" s="82">
        <f>IF(AND(R237=0,B237="N"),S236,S236*(D237*F237*G237+I237*K237*L237+N237*P237*Q237)/T236)</f>
        <v>336279408965959.19</v>
      </c>
      <c r="T237" s="81">
        <f>E237*F237*G237+J237*K237*L237+O237*P237*Q237</f>
        <v>261802775482500</v>
      </c>
      <c r="U237" s="80">
        <f t="shared" si="9"/>
        <v>778.52752354813879</v>
      </c>
      <c r="V237" s="52">
        <f t="shared" si="10"/>
        <v>-2.8056994853576614E-2</v>
      </c>
      <c r="W237" s="48">
        <f>(E237-D237)/D237</f>
        <v>-2.6249999999999999E-2</v>
      </c>
      <c r="X237" s="48">
        <f>(J237-I237)/I237</f>
        <v>-4.3678160919540229E-2</v>
      </c>
      <c r="Y237" s="48">
        <f>(O237-N237)/N237</f>
        <v>-2.9654837141468156E-2</v>
      </c>
      <c r="Z237" s="48" t="e">
        <f>(#REF!-#REF!)/#REF!</f>
        <v>#REF!</v>
      </c>
    </row>
    <row r="238" spans="1:26" x14ac:dyDescent="0.3">
      <c r="A238" s="48">
        <v>20181217</v>
      </c>
      <c r="B238" s="48" t="s">
        <v>88</v>
      </c>
      <c r="C238" s="79">
        <f>E238*F238*G238/T238</f>
        <v>0.88579325801639741</v>
      </c>
      <c r="D238" s="49">
        <v>38950</v>
      </c>
      <c r="E238" s="49">
        <v>39150</v>
      </c>
      <c r="F238" s="49">
        <v>5969782550</v>
      </c>
      <c r="G238" s="49">
        <v>1</v>
      </c>
      <c r="H238" s="48">
        <f>J238*K238*L238/T238</f>
        <v>0.10199086739105612</v>
      </c>
      <c r="I238" s="48">
        <v>208000</v>
      </c>
      <c r="J238" s="48">
        <v>214500</v>
      </c>
      <c r="K238" s="51">
        <v>125456133</v>
      </c>
      <c r="L238" s="48">
        <v>1</v>
      </c>
      <c r="M238" s="49">
        <f>O238*P238*Q238/T238</f>
        <v>1.2215874592546482E-2</v>
      </c>
      <c r="N238" s="49">
        <v>199600</v>
      </c>
      <c r="O238" s="49">
        <v>202000</v>
      </c>
      <c r="P238" s="49">
        <v>15956260</v>
      </c>
      <c r="Q238" s="49">
        <v>1</v>
      </c>
      <c r="R238" s="82">
        <f t="shared" si="11"/>
        <v>0</v>
      </c>
      <c r="S238" s="82">
        <f>IF(AND(R238=0,B238="N"),S237,S237*(D238*F238*G238+I238*K238*L238+N238*P238*Q238)/T237)</f>
        <v>336279408965959.19</v>
      </c>
      <c r="T238" s="81">
        <f>E238*F238*G238+J238*K238*L238+O238*P238*Q238</f>
        <v>263850491881000</v>
      </c>
      <c r="U238" s="80">
        <f t="shared" si="9"/>
        <v>784.61685386068052</v>
      </c>
      <c r="V238" s="52">
        <f t="shared" si="10"/>
        <v>7.8215992734458686E-3</v>
      </c>
      <c r="W238" s="48">
        <f>(E238-D238)/D238</f>
        <v>5.1347881899871627E-3</v>
      </c>
      <c r="X238" s="48">
        <f>(J238-I238)/I238</f>
        <v>3.125E-2</v>
      </c>
      <c r="Y238" s="48">
        <f>(O238-N238)/N238</f>
        <v>1.2024048096192385E-2</v>
      </c>
      <c r="Z238" s="48" t="e">
        <f>(#REF!-#REF!)/#REF!</f>
        <v>#REF!</v>
      </c>
    </row>
    <row r="239" spans="1:26" x14ac:dyDescent="0.3">
      <c r="A239" s="48">
        <v>20181218</v>
      </c>
      <c r="B239" s="48" t="s">
        <v>88</v>
      </c>
      <c r="C239" s="79">
        <f>E239*F239*G239/T239</f>
        <v>0.88275714728594912</v>
      </c>
      <c r="D239" s="49">
        <v>39150</v>
      </c>
      <c r="E239" s="49">
        <v>38900</v>
      </c>
      <c r="F239" s="49">
        <v>5969782550</v>
      </c>
      <c r="G239" s="49">
        <v>1</v>
      </c>
      <c r="H239" s="48">
        <f>J239*K239*L239/T239</f>
        <v>0.10420209899098967</v>
      </c>
      <c r="I239" s="48">
        <v>214500</v>
      </c>
      <c r="J239" s="48">
        <v>218500</v>
      </c>
      <c r="K239" s="51">
        <v>125456133</v>
      </c>
      <c r="L239" s="48">
        <v>1</v>
      </c>
      <c r="M239" s="49">
        <f>O239*P239*Q239/T239</f>
        <v>1.3040753723061191E-2</v>
      </c>
      <c r="N239" s="49">
        <v>202000</v>
      </c>
      <c r="O239" s="49">
        <v>215000</v>
      </c>
      <c r="P239" s="49">
        <v>15956260</v>
      </c>
      <c r="Q239" s="49">
        <v>1</v>
      </c>
      <c r="R239" s="82">
        <f t="shared" si="11"/>
        <v>0</v>
      </c>
      <c r="S239" s="82">
        <f>IF(AND(R239=0,B239="N"),S238,S238*(D239*F239*G239+I239*K239*L239+N239*P239*Q239)/T238)</f>
        <v>336279408965959.19</v>
      </c>
      <c r="T239" s="81">
        <f>E239*F239*G239+J239*K239*L239+O239*P239*Q239</f>
        <v>263067302155500</v>
      </c>
      <c r="U239" s="80">
        <f t="shared" si="9"/>
        <v>782.28786878274104</v>
      </c>
      <c r="V239" s="52">
        <f t="shared" si="10"/>
        <v>-2.9683087566622951E-3</v>
      </c>
      <c r="W239" s="48">
        <f>(E239-D239)/D239</f>
        <v>-6.3856960408684551E-3</v>
      </c>
      <c r="X239" s="48">
        <f>(J239-I239)/I239</f>
        <v>1.8648018648018648E-2</v>
      </c>
      <c r="Y239" s="48">
        <f>(O239-N239)/N239</f>
        <v>6.4356435643564358E-2</v>
      </c>
      <c r="Z239" s="48" t="e">
        <f>(#REF!-#REF!)/#REF!</f>
        <v>#REF!</v>
      </c>
    </row>
    <row r="240" spans="1:26" x14ac:dyDescent="0.3">
      <c r="A240" s="48">
        <v>20181219</v>
      </c>
      <c r="B240" s="48" t="s">
        <v>88</v>
      </c>
      <c r="C240" s="79">
        <f>E240*F240*G240/T240</f>
        <v>0.88027118702465779</v>
      </c>
      <c r="D240" s="49">
        <v>38900</v>
      </c>
      <c r="E240" s="49">
        <v>39100</v>
      </c>
      <c r="F240" s="49">
        <v>5969782550</v>
      </c>
      <c r="G240" s="49">
        <v>1</v>
      </c>
      <c r="H240" s="48">
        <f>J240*K240*L240/T240</f>
        <v>0.10668900389378512</v>
      </c>
      <c r="I240" s="48">
        <v>218500</v>
      </c>
      <c r="J240" s="48">
        <v>225500</v>
      </c>
      <c r="K240" s="51">
        <v>125456133</v>
      </c>
      <c r="L240" s="48">
        <v>1</v>
      </c>
      <c r="M240" s="49">
        <f>O240*P240*Q240/T240</f>
        <v>1.3039809081557083E-2</v>
      </c>
      <c r="N240" s="49">
        <v>215000</v>
      </c>
      <c r="O240" s="49">
        <v>216700</v>
      </c>
      <c r="P240" s="49">
        <v>15956260</v>
      </c>
      <c r="Q240" s="49">
        <v>1</v>
      </c>
      <c r="R240" s="82">
        <f t="shared" si="11"/>
        <v>0</v>
      </c>
      <c r="S240" s="82">
        <f>IF(AND(R240=0,B240="N"),S239,S239*(D240*F240*G240+I240*K240*L240+N240*P240*Q240)/T239)</f>
        <v>336279408965959.19</v>
      </c>
      <c r="T240" s="81">
        <f>E240*F240*G240+J240*K240*L240+O240*P240*Q240</f>
        <v>265166577238500</v>
      </c>
      <c r="U240" s="80">
        <f t="shared" si="9"/>
        <v>788.53052006327937</v>
      </c>
      <c r="V240" s="52">
        <f t="shared" si="10"/>
        <v>7.9799924422349067E-3</v>
      </c>
      <c r="W240" s="48">
        <f>(E240-D240)/D240</f>
        <v>5.1413881748071976E-3</v>
      </c>
      <c r="X240" s="48">
        <f>(J240-I240)/I240</f>
        <v>3.2036613272311214E-2</v>
      </c>
      <c r="Y240" s="48">
        <f>(O240-N240)/N240</f>
        <v>7.9069767441860457E-3</v>
      </c>
      <c r="Z240" s="48" t="e">
        <f>(#REF!-#REF!)/#REF!</f>
        <v>#REF!</v>
      </c>
    </row>
    <row r="241" spans="1:26" x14ac:dyDescent="0.3">
      <c r="A241" s="48">
        <v>20181220</v>
      </c>
      <c r="B241" s="48" t="s">
        <v>88</v>
      </c>
      <c r="C241" s="79">
        <f>E241*F241*G241/T241</f>
        <v>0.8792592682514081</v>
      </c>
      <c r="D241" s="49">
        <v>39100</v>
      </c>
      <c r="E241" s="49">
        <v>38650</v>
      </c>
      <c r="F241" s="49">
        <v>5969782550</v>
      </c>
      <c r="G241" s="49">
        <v>1</v>
      </c>
      <c r="H241" s="48">
        <f>J241*K241*L241/T241</f>
        <v>0.10708998548695686</v>
      </c>
      <c r="I241" s="48">
        <v>225500</v>
      </c>
      <c r="J241" s="48">
        <v>224000</v>
      </c>
      <c r="K241" s="51">
        <v>125456133</v>
      </c>
      <c r="L241" s="48">
        <v>1</v>
      </c>
      <c r="M241" s="49">
        <f>O241*P241*Q241/T241</f>
        <v>1.3650746261635024E-2</v>
      </c>
      <c r="N241" s="49">
        <v>216700</v>
      </c>
      <c r="O241" s="49">
        <v>224500</v>
      </c>
      <c r="P241" s="49">
        <v>15956260</v>
      </c>
      <c r="Q241" s="49">
        <v>1</v>
      </c>
      <c r="R241" s="82">
        <f t="shared" si="11"/>
        <v>0</v>
      </c>
      <c r="S241" s="82">
        <f>IF(AND(R241=0,B241="N"),S240,S240*(D241*F241*G241+I241*K241*L241+N241*P241*Q241)/T240)</f>
        <v>336279408965959.19</v>
      </c>
      <c r="T241" s="81">
        <f>E241*F241*G241+J241*K241*L241+O241*P241*Q241</f>
        <v>262416449719500</v>
      </c>
      <c r="U241" s="80">
        <f t="shared" si="9"/>
        <v>780.35241743292056</v>
      </c>
      <c r="V241" s="52">
        <f t="shared" si="10"/>
        <v>-1.0371320351306779E-2</v>
      </c>
      <c r="W241" s="48">
        <f>(E241-D241)/D241</f>
        <v>-1.1508951406649617E-2</v>
      </c>
      <c r="X241" s="48">
        <f>(J241-I241)/I241</f>
        <v>-6.6518847006651885E-3</v>
      </c>
      <c r="Y241" s="48">
        <f>(O241-N241)/N241</f>
        <v>3.599446239040148E-2</v>
      </c>
      <c r="Z241" s="48" t="e">
        <f>(#REF!-#REF!)/#REF!</f>
        <v>#REF!</v>
      </c>
    </row>
    <row r="242" spans="1:26" x14ac:dyDescent="0.3">
      <c r="A242" s="48">
        <v>20181221</v>
      </c>
      <c r="B242" s="48" t="s">
        <v>88</v>
      </c>
      <c r="C242" s="79">
        <f>E242*F242*G242/T242</f>
        <v>0.88074002277855612</v>
      </c>
      <c r="D242" s="49">
        <v>38650</v>
      </c>
      <c r="E242" s="49">
        <v>38650</v>
      </c>
      <c r="F242" s="49">
        <v>5969782550</v>
      </c>
      <c r="G242" s="49">
        <v>1</v>
      </c>
      <c r="H242" s="48">
        <f>J242*K242*L242/T242</f>
        <v>0.10535479330352028</v>
      </c>
      <c r="I242" s="48">
        <v>224000</v>
      </c>
      <c r="J242" s="48">
        <v>220000</v>
      </c>
      <c r="K242" s="51">
        <v>125456133</v>
      </c>
      <c r="L242" s="48">
        <v>1</v>
      </c>
      <c r="M242" s="49">
        <f>O242*P242*Q242/T242</f>
        <v>1.3905183917923628E-2</v>
      </c>
      <c r="N242" s="49">
        <v>224500</v>
      </c>
      <c r="O242" s="49">
        <v>228300</v>
      </c>
      <c r="P242" s="49">
        <v>15956260</v>
      </c>
      <c r="Q242" s="49">
        <v>1</v>
      </c>
      <c r="R242" s="82">
        <f t="shared" si="11"/>
        <v>0</v>
      </c>
      <c r="S242" s="82">
        <f>IF(AND(R242=0,B242="N"),S241,S241*(D242*F242*G242+I242*K242*L242+N242*P242*Q242)/T241)</f>
        <v>336279408965959.19</v>
      </c>
      <c r="T242" s="81">
        <f>E242*F242*G242+J242*K242*L242+O242*P242*Q242</f>
        <v>261975258975500</v>
      </c>
      <c r="U242" s="80">
        <f t="shared" si="9"/>
        <v>779.04044074854187</v>
      </c>
      <c r="V242" s="52">
        <f t="shared" si="10"/>
        <v>-1.6812617672084934E-3</v>
      </c>
      <c r="W242" s="48">
        <f>(E242-D242)/D242</f>
        <v>0</v>
      </c>
      <c r="X242" s="48">
        <f>(J242-I242)/I242</f>
        <v>-1.7857142857142856E-2</v>
      </c>
      <c r="Y242" s="48">
        <f>(O242-N242)/N242</f>
        <v>1.6926503340757237E-2</v>
      </c>
      <c r="Z242" s="48" t="e">
        <f>(#REF!-#REF!)/#REF!</f>
        <v>#REF!</v>
      </c>
    </row>
    <row r="243" spans="1:26" x14ac:dyDescent="0.3">
      <c r="A243" s="48">
        <v>20181224</v>
      </c>
      <c r="B243" s="48" t="s">
        <v>88</v>
      </c>
      <c r="C243" s="79">
        <f>E243*F243*G243/T243</f>
        <v>0.88523508815846363</v>
      </c>
      <c r="D243" s="49">
        <v>38650</v>
      </c>
      <c r="E243" s="49">
        <v>38800</v>
      </c>
      <c r="F243" s="49">
        <v>5969782550</v>
      </c>
      <c r="G243" s="49">
        <v>1</v>
      </c>
      <c r="H243" s="48">
        <f>J243*K243*L243/T243</f>
        <v>0.10092816541160762</v>
      </c>
      <c r="I243" s="48">
        <v>220000</v>
      </c>
      <c r="J243" s="48">
        <v>210500</v>
      </c>
      <c r="K243" s="51">
        <v>125456133</v>
      </c>
      <c r="L243" s="48">
        <v>1</v>
      </c>
      <c r="M243" s="49">
        <f>O243*P243*Q243/T243</f>
        <v>1.3836746429928735E-2</v>
      </c>
      <c r="N243" s="49">
        <v>228300</v>
      </c>
      <c r="O243" s="49">
        <v>226900</v>
      </c>
      <c r="P243" s="49">
        <v>15956260</v>
      </c>
      <c r="Q243" s="49">
        <v>1</v>
      </c>
      <c r="R243" s="82">
        <f t="shared" si="11"/>
        <v>0</v>
      </c>
      <c r="S243" s="82">
        <f>IF(AND(R243=0,B243="N"),S242,S242*(D243*F243*G243+I243*K243*L243+N243*P243*Q243)/T242)</f>
        <v>336279408965959.19</v>
      </c>
      <c r="T243" s="81">
        <f>E243*F243*G243+J243*K243*L243+O243*P243*Q243</f>
        <v>261656554330500</v>
      </c>
      <c r="U243" s="80">
        <f t="shared" si="9"/>
        <v>778.09270313362208</v>
      </c>
      <c r="V243" s="52">
        <f t="shared" si="10"/>
        <v>-1.2165448227683191E-3</v>
      </c>
      <c r="W243" s="48">
        <f>(E243-D243)/D243</f>
        <v>3.8809831824062097E-3</v>
      </c>
      <c r="X243" s="48">
        <f>(J243-I243)/I243</f>
        <v>-4.3181818181818182E-2</v>
      </c>
      <c r="Y243" s="48">
        <f>(O243-N243)/N243</f>
        <v>-6.1322820849759093E-3</v>
      </c>
      <c r="Z243" s="48" t="e">
        <f>(#REF!-#REF!)/#REF!</f>
        <v>#REF!</v>
      </c>
    </row>
    <row r="244" spans="1:26" x14ac:dyDescent="0.3">
      <c r="A244" s="48">
        <v>20181226</v>
      </c>
      <c r="B244" s="48" t="s">
        <v>88</v>
      </c>
      <c r="C244" s="79">
        <f>E244*F244*G244/T244</f>
        <v>0.87628095399183314</v>
      </c>
      <c r="D244" s="49">
        <v>38800</v>
      </c>
      <c r="E244" s="49">
        <v>38350</v>
      </c>
      <c r="F244" s="49">
        <v>5969782550</v>
      </c>
      <c r="G244" s="49">
        <v>1</v>
      </c>
      <c r="H244" s="48">
        <f>J244*K244*L244/T244</f>
        <v>0.10948288570115715</v>
      </c>
      <c r="I244" s="48">
        <v>210500</v>
      </c>
      <c r="J244" s="48">
        <v>228000</v>
      </c>
      <c r="K244" s="51">
        <v>125456133</v>
      </c>
      <c r="L244" s="48">
        <v>1</v>
      </c>
      <c r="M244" s="49">
        <f>O244*P244*Q244/T244</f>
        <v>1.4236160307009712E-2</v>
      </c>
      <c r="N244" s="49">
        <v>226900</v>
      </c>
      <c r="O244" s="49">
        <v>233100</v>
      </c>
      <c r="P244" s="49">
        <v>15956260</v>
      </c>
      <c r="Q244" s="49">
        <v>1</v>
      </c>
      <c r="R244" s="82">
        <f t="shared" si="11"/>
        <v>0</v>
      </c>
      <c r="S244" s="82">
        <f>IF(AND(R244=0,B244="N"),S243,S243*(D244*F244*G244+I244*K244*L244+N244*P244*Q244)/T243)</f>
        <v>336279408965959.19</v>
      </c>
      <c r="T244" s="81">
        <f>E244*F244*G244+J244*K244*L244+O244*P244*Q244</f>
        <v>261264563322500</v>
      </c>
      <c r="U244" s="80">
        <f t="shared" si="9"/>
        <v>776.92703257054688</v>
      </c>
      <c r="V244" s="52">
        <f t="shared" si="10"/>
        <v>-1.4981127035129319E-3</v>
      </c>
      <c r="W244" s="48">
        <f>(E244-D244)/D244</f>
        <v>-1.1597938144329897E-2</v>
      </c>
      <c r="X244" s="48">
        <f>(J244-I244)/I244</f>
        <v>8.3135391923990498E-2</v>
      </c>
      <c r="Y244" s="48">
        <f>(O244-N244)/N244</f>
        <v>2.7324812692816218E-2</v>
      </c>
      <c r="Z244" s="48" t="e">
        <f>(#REF!-#REF!)/#REF!</f>
        <v>#REF!</v>
      </c>
    </row>
    <row r="245" spans="1:26" s="47" customFormat="1" x14ac:dyDescent="0.3">
      <c r="A245" s="48">
        <v>20181227</v>
      </c>
      <c r="B245" s="48" t="s">
        <v>88</v>
      </c>
      <c r="C245" s="79">
        <f>E245*F245*G245/T245</f>
        <v>0.8775453423444064</v>
      </c>
      <c r="D245" s="49">
        <v>38350</v>
      </c>
      <c r="E245" s="49">
        <v>38250</v>
      </c>
      <c r="F245" s="49">
        <v>5969782550</v>
      </c>
      <c r="G245" s="49">
        <v>1</v>
      </c>
      <c r="H245" s="48">
        <f>J245*K245*L245/T245</f>
        <v>0.10751681082003513</v>
      </c>
      <c r="I245" s="48">
        <v>224000</v>
      </c>
      <c r="J245" s="48">
        <v>223000</v>
      </c>
      <c r="K245" s="51">
        <v>125456133</v>
      </c>
      <c r="L245" s="48">
        <v>1</v>
      </c>
      <c r="M245" s="49">
        <f>O245*P245*Q245/T245</f>
        <v>1.4937846835558457E-2</v>
      </c>
      <c r="N245" s="49">
        <v>233100</v>
      </c>
      <c r="O245" s="49">
        <v>243600</v>
      </c>
      <c r="P245" s="49">
        <v>15956260</v>
      </c>
      <c r="Q245" s="49">
        <v>1</v>
      </c>
      <c r="R245" s="82">
        <f t="shared" si="11"/>
        <v>1</v>
      </c>
      <c r="S245" s="82">
        <f>IF(AND(R245=0,B245="N"),S244,S244*(D245*F245*G245+I245*K245*L245+N245*P245*Q245)/T244)</f>
        <v>335633499490600</v>
      </c>
      <c r="T245" s="81">
        <f>E245*F245*G245+J245*K245*L245+O245*P245*Q245</f>
        <v>260207845132500</v>
      </c>
      <c r="U245" s="80">
        <f t="shared" si="9"/>
        <v>775.27376000138383</v>
      </c>
      <c r="V245" s="52">
        <f t="shared" si="10"/>
        <v>-2.1279637595991731E-3</v>
      </c>
      <c r="W245" s="48">
        <f>(E245-D245)/D245</f>
        <v>-2.6075619295958278E-3</v>
      </c>
      <c r="X245" s="48">
        <f>(J245-I245)/I245</f>
        <v>-4.464285714285714E-3</v>
      </c>
      <c r="Y245" s="48">
        <f>(O245-N245)/N245</f>
        <v>4.5045045045045043E-2</v>
      </c>
      <c r="Z245" s="48" t="e">
        <f>(#REF!-#REF!)/#REF!</f>
        <v>#REF!</v>
      </c>
    </row>
    <row r="246" spans="1:26" x14ac:dyDescent="0.3">
      <c r="A246" s="48">
        <v>20181228</v>
      </c>
      <c r="B246" s="48" t="s">
        <v>88</v>
      </c>
      <c r="C246" s="79">
        <f>E246*F246*G246/T246</f>
        <v>0.87845175726139912</v>
      </c>
      <c r="D246" s="49">
        <v>38250</v>
      </c>
      <c r="E246" s="49">
        <v>38700</v>
      </c>
      <c r="F246" s="49">
        <v>5969782550</v>
      </c>
      <c r="G246" s="49">
        <v>1</v>
      </c>
      <c r="H246" s="48">
        <f>J246*K246*L246/T246</f>
        <v>0.10613786587235391</v>
      </c>
      <c r="I246" s="48">
        <v>223000</v>
      </c>
      <c r="J246" s="48">
        <v>222500</v>
      </c>
      <c r="K246" s="51">
        <v>125456133</v>
      </c>
      <c r="L246" s="48">
        <v>1</v>
      </c>
      <c r="M246" s="49">
        <f>O246*P246*Q246/T246</f>
        <v>1.5410376866246913E-2</v>
      </c>
      <c r="N246" s="49">
        <v>243600</v>
      </c>
      <c r="O246" s="49">
        <v>254000</v>
      </c>
      <c r="P246" s="49">
        <v>15956260</v>
      </c>
      <c r="Q246" s="49">
        <v>1</v>
      </c>
      <c r="R246" s="82">
        <f t="shared" si="11"/>
        <v>0</v>
      </c>
      <c r="S246" s="82">
        <f>IF(AND(R246=0,B246="N"),S245,S245*(D246*F246*G246+I246*K246*L246+N246*P246*Q246)/T245)</f>
        <v>335633499490600</v>
      </c>
      <c r="T246" s="81">
        <f>E246*F246*G246+J246*K246*L246+O246*P246*Q246</f>
        <v>262997464317500</v>
      </c>
      <c r="U246" s="80">
        <f t="shared" si="9"/>
        <v>783.58526403549797</v>
      </c>
      <c r="V246" s="52">
        <f t="shared" si="10"/>
        <v>1.0720734355950988E-2</v>
      </c>
      <c r="W246" s="48">
        <f>(E246-D246)/D246</f>
        <v>1.1764705882352941E-2</v>
      </c>
      <c r="X246" s="48">
        <f>(J246-I246)/I246</f>
        <v>-2.242152466367713E-3</v>
      </c>
      <c r="Y246" s="48">
        <f>(O246-N246)/N246</f>
        <v>4.2692939244663386E-2</v>
      </c>
      <c r="Z246" s="48" t="e">
        <f>(#REF!-#REF!)/#REF!</f>
        <v>#REF!</v>
      </c>
    </row>
    <row r="247" spans="1:26" s="107" customFormat="1" x14ac:dyDescent="0.3">
      <c r="A247" s="99">
        <v>20190102</v>
      </c>
      <c r="B247" s="99" t="s">
        <v>89</v>
      </c>
      <c r="C247" s="100">
        <f>E247*F247*G247/T247</f>
        <v>0.88162963563909724</v>
      </c>
      <c r="D247" s="99">
        <v>38700</v>
      </c>
      <c r="E247" s="99">
        <v>38750</v>
      </c>
      <c r="F247" s="99">
        <v>5969782550</v>
      </c>
      <c r="G247" s="49">
        <v>1</v>
      </c>
      <c r="H247" s="101">
        <f>J247*K247*L247/T247</f>
        <v>0.10255932522470289</v>
      </c>
      <c r="I247" s="99">
        <v>222500</v>
      </c>
      <c r="J247" s="99">
        <v>214500</v>
      </c>
      <c r="K247" s="102">
        <v>125456133</v>
      </c>
      <c r="L247" s="48">
        <v>1</v>
      </c>
      <c r="M247" s="101">
        <f>O247*P247*Q247/T247</f>
        <v>1.5811039136199856E-2</v>
      </c>
      <c r="N247" s="99">
        <v>254000</v>
      </c>
      <c r="O247" s="99">
        <v>260000</v>
      </c>
      <c r="P247" s="99">
        <v>15956260</v>
      </c>
      <c r="Q247" s="49">
        <v>1</v>
      </c>
      <c r="R247" s="82">
        <f t="shared" si="11"/>
        <v>0</v>
      </c>
      <c r="S247" s="103">
        <f>IF(AND(R247=0,B247="N"),S246,S246*(D247*F247*G247+I247*K247*L247+N247*P247*Q247)/T246)</f>
        <v>335633499490600</v>
      </c>
      <c r="T247" s="104">
        <f>E247*F247*G247+J247*K247*L247+O247*P247*Q247</f>
        <v>262388041941000</v>
      </c>
      <c r="U247" s="105">
        <f t="shared" si="9"/>
        <v>781.76952640077172</v>
      </c>
      <c r="V247" s="106">
        <f t="shared" si="10"/>
        <v>-2.317217689080981E-3</v>
      </c>
      <c r="W247" s="99">
        <f>(E247-D247)/D247</f>
        <v>1.2919896640826874E-3</v>
      </c>
      <c r="X247" s="99">
        <f>(J247-I247)/I247</f>
        <v>-3.5955056179775284E-2</v>
      </c>
      <c r="Y247" s="99">
        <f>(O247-N247)/N247</f>
        <v>2.3622047244094488E-2</v>
      </c>
      <c r="Z247" s="99" t="e">
        <f>(#REF!-#REF!)/#REF!</f>
        <v>#REF!</v>
      </c>
    </row>
    <row r="248" spans="1:26" x14ac:dyDescent="0.3">
      <c r="A248" s="48">
        <v>20190103</v>
      </c>
      <c r="B248" s="48" t="s">
        <v>88</v>
      </c>
      <c r="C248" s="79">
        <f>E248*F248*G248/T248</f>
        <v>0.88076206042195626</v>
      </c>
      <c r="D248" s="49">
        <v>38750</v>
      </c>
      <c r="E248" s="49">
        <v>37600</v>
      </c>
      <c r="F248" s="49">
        <v>5969782550</v>
      </c>
      <c r="G248" s="49">
        <v>1</v>
      </c>
      <c r="H248" s="48">
        <f>J248*K248*L248/T248</f>
        <v>0.10362301844326724</v>
      </c>
      <c r="I248" s="48">
        <v>214500</v>
      </c>
      <c r="J248" s="48">
        <v>210500</v>
      </c>
      <c r="K248" s="51">
        <v>125456133</v>
      </c>
      <c r="L248" s="48">
        <v>1</v>
      </c>
      <c r="M248" s="49">
        <f>O248*P248*Q248/T248</f>
        <v>1.5614921134776551E-2</v>
      </c>
      <c r="N248" s="49">
        <v>260000</v>
      </c>
      <c r="O248" s="49">
        <v>249400</v>
      </c>
      <c r="P248" s="49">
        <v>15956260</v>
      </c>
      <c r="Q248" s="49">
        <v>1</v>
      </c>
      <c r="R248" s="82">
        <f t="shared" si="11"/>
        <v>0</v>
      </c>
      <c r="S248" s="82">
        <f>IF(AND(R248=0,B248="N"),S247,S247*(D248*F248*G248+I248*K248*L248+N248*P248*Q248)/T247)</f>
        <v>335633499490600</v>
      </c>
      <c r="T248" s="81">
        <f>E248*F248*G248+J248*K248*L248+O248*P248*Q248</f>
        <v>254851831120500</v>
      </c>
      <c r="U248" s="80">
        <f t="shared" si="9"/>
        <v>759.31583559834019</v>
      </c>
      <c r="V248" s="52">
        <f t="shared" si="10"/>
        <v>-2.8721624525078666E-2</v>
      </c>
      <c r="W248" s="48">
        <f>(E248-D248)/D248</f>
        <v>-2.9677419354838711E-2</v>
      </c>
      <c r="X248" s="48">
        <f>(J248-I248)/I248</f>
        <v>-1.8648018648018648E-2</v>
      </c>
      <c r="Y248" s="48">
        <f>(O248-N248)/N248</f>
        <v>-4.0769230769230766E-2</v>
      </c>
      <c r="Z248" s="48" t="e">
        <f>(#REF!-#REF!)/#REF!</f>
        <v>#REF!</v>
      </c>
    </row>
    <row r="249" spans="1:26" x14ac:dyDescent="0.3">
      <c r="A249" s="48">
        <v>20190104</v>
      </c>
      <c r="B249" s="48" t="s">
        <v>88</v>
      </c>
      <c r="C249" s="79">
        <f>E249*F249*G249/T249</f>
        <v>0.87596647285727647</v>
      </c>
      <c r="D249" s="49">
        <v>37600</v>
      </c>
      <c r="E249" s="49">
        <v>37450</v>
      </c>
      <c r="F249" s="49">
        <v>5969782550</v>
      </c>
      <c r="G249" s="49">
        <v>1</v>
      </c>
      <c r="H249" s="48">
        <f>J249*K249*L249/T249</f>
        <v>0.10814133524831585</v>
      </c>
      <c r="I249" s="48">
        <v>210500</v>
      </c>
      <c r="J249" s="48">
        <v>220000</v>
      </c>
      <c r="K249" s="51">
        <v>125456133</v>
      </c>
      <c r="L249" s="48">
        <v>1</v>
      </c>
      <c r="M249" s="49">
        <f>O249*P249*Q249/T249</f>
        <v>1.5892191894407718E-2</v>
      </c>
      <c r="N249" s="49">
        <v>249400</v>
      </c>
      <c r="O249" s="49">
        <v>254200</v>
      </c>
      <c r="P249" s="49">
        <v>15956260</v>
      </c>
      <c r="Q249" s="49">
        <v>1</v>
      </c>
      <c r="R249" s="82">
        <f t="shared" si="11"/>
        <v>0</v>
      </c>
      <c r="S249" s="82">
        <f>IF(AND(R249=0,B249="N"),S248,S248*(D249*F249*G249+I249*K249*L249+N249*P249*Q249)/T248)</f>
        <v>335633499490600</v>
      </c>
      <c r="T249" s="81">
        <f>E249*F249*G249+J249*K249*L249+O249*P249*Q249</f>
        <v>255224787049500</v>
      </c>
      <c r="U249" s="80">
        <f t="shared" si="9"/>
        <v>760.42703555175967</v>
      </c>
      <c r="V249" s="52">
        <f t="shared" si="10"/>
        <v>1.4634225987712505E-3</v>
      </c>
      <c r="W249" s="48">
        <f>(E249-D249)/D249</f>
        <v>-3.9893617021276593E-3</v>
      </c>
      <c r="X249" s="48">
        <f>(J249-I249)/I249</f>
        <v>4.5130641330166268E-2</v>
      </c>
      <c r="Y249" s="48">
        <f>(O249-N249)/N249</f>
        <v>1.9246190858059342E-2</v>
      </c>
      <c r="Z249" s="48" t="e">
        <f>(#REF!-#REF!)/#REF!</f>
        <v>#REF!</v>
      </c>
    </row>
    <row r="250" spans="1:26" x14ac:dyDescent="0.3">
      <c r="A250" s="48">
        <v>20190107</v>
      </c>
      <c r="B250" s="48" t="s">
        <v>88</v>
      </c>
      <c r="C250" s="79">
        <f>E250*F250*G250/T250</f>
        <v>0.88124412278771913</v>
      </c>
      <c r="D250" s="49">
        <v>37450</v>
      </c>
      <c r="E250" s="49">
        <v>38750</v>
      </c>
      <c r="F250" s="49">
        <v>5969782550</v>
      </c>
      <c r="G250" s="49">
        <v>1</v>
      </c>
      <c r="H250" s="48">
        <f>J250*K250*L250/T250</f>
        <v>0.10323136326618225</v>
      </c>
      <c r="I250" s="48">
        <v>220000</v>
      </c>
      <c r="J250" s="48">
        <v>216000</v>
      </c>
      <c r="K250" s="51">
        <v>125456133</v>
      </c>
      <c r="L250" s="48">
        <v>1</v>
      </c>
      <c r="M250" s="49">
        <f>O250*P250*Q250/T250</f>
        <v>1.5524513946098589E-2</v>
      </c>
      <c r="N250" s="49">
        <v>254200</v>
      </c>
      <c r="O250" s="49">
        <v>255400</v>
      </c>
      <c r="P250" s="49">
        <v>15956260</v>
      </c>
      <c r="Q250" s="49">
        <v>1</v>
      </c>
      <c r="R250" s="82">
        <f t="shared" si="11"/>
        <v>0</v>
      </c>
      <c r="S250" s="82">
        <f>IF(AND(R250=0,B250="N"),S249,S249*(D250*F250*G250+I250*K250*L250+N250*P250*Q250)/T249)</f>
        <v>335633499490600</v>
      </c>
      <c r="T250" s="81">
        <f>E250*F250*G250+J250*K250*L250+O250*P250*Q250</f>
        <v>262502827344500</v>
      </c>
      <c r="U250" s="80">
        <f t="shared" si="9"/>
        <v>782.11152266656222</v>
      </c>
      <c r="V250" s="52">
        <f t="shared" si="10"/>
        <v>2.8516196953818802E-2</v>
      </c>
      <c r="W250" s="48">
        <f>(E250-D250)/D250</f>
        <v>3.4712950600801068E-2</v>
      </c>
      <c r="X250" s="48">
        <f>(J250-I250)/I250</f>
        <v>-1.8181818181818181E-2</v>
      </c>
      <c r="Y250" s="48">
        <f>(O250-N250)/N250</f>
        <v>4.7206923682140047E-3</v>
      </c>
      <c r="Z250" s="48" t="e">
        <f>(#REF!-#REF!)/#REF!</f>
        <v>#REF!</v>
      </c>
    </row>
    <row r="251" spans="1:26" x14ac:dyDescent="0.3">
      <c r="A251" s="48">
        <v>20190108</v>
      </c>
      <c r="B251" s="48" t="s">
        <v>88</v>
      </c>
      <c r="C251" s="79">
        <f>E251*F251*G251/T251</f>
        <v>0.88029090426805956</v>
      </c>
      <c r="D251" s="49">
        <v>38750</v>
      </c>
      <c r="E251" s="49">
        <v>38100</v>
      </c>
      <c r="F251" s="49">
        <v>5969782550</v>
      </c>
      <c r="G251" s="49">
        <v>1</v>
      </c>
      <c r="H251" s="48">
        <f>J251*K251*L251/T251</f>
        <v>0.10366508374937201</v>
      </c>
      <c r="I251" s="48">
        <v>216000</v>
      </c>
      <c r="J251" s="48">
        <v>213500</v>
      </c>
      <c r="K251" s="51">
        <v>125456133</v>
      </c>
      <c r="L251" s="48">
        <v>1</v>
      </c>
      <c r="M251" s="49">
        <f>O251*P251*Q251/T251</f>
        <v>1.6044011982568381E-2</v>
      </c>
      <c r="N251" s="49">
        <v>255400</v>
      </c>
      <c r="O251" s="49">
        <v>259800</v>
      </c>
      <c r="P251" s="49">
        <v>15956260</v>
      </c>
      <c r="Q251" s="49">
        <v>1</v>
      </c>
      <c r="R251" s="82">
        <f t="shared" si="11"/>
        <v>0</v>
      </c>
      <c r="S251" s="82">
        <f>IF(AND(R251=0,B251="N"),S250,S250*(D251*F251*G251+I251*K251*L251+N251*P251*Q251)/T250)</f>
        <v>335633499490600</v>
      </c>
      <c r="T251" s="81">
        <f>E251*F251*G251+J251*K251*L251+O251*P251*Q251</f>
        <v>258379035898500</v>
      </c>
      <c r="U251" s="80">
        <f t="shared" si="9"/>
        <v>769.82493192916922</v>
      </c>
      <c r="V251" s="52">
        <f t="shared" si="10"/>
        <v>-1.5709512494461921E-2</v>
      </c>
      <c r="W251" s="48">
        <f>(E251-D251)/D251</f>
        <v>-1.6774193548387096E-2</v>
      </c>
      <c r="X251" s="48">
        <f>(J251-I251)/I251</f>
        <v>-1.1574074074074073E-2</v>
      </c>
      <c r="Y251" s="48">
        <f>(O251-N251)/N251</f>
        <v>1.7227877838684416E-2</v>
      </c>
      <c r="Z251" s="48" t="e">
        <f>(#REF!-#REF!)/#REF!</f>
        <v>#REF!</v>
      </c>
    </row>
    <row r="252" spans="1:26" x14ac:dyDescent="0.3">
      <c r="A252" s="48">
        <v>20190109</v>
      </c>
      <c r="B252" s="48" t="s">
        <v>88</v>
      </c>
      <c r="C252" s="79">
        <f>E252*F252*G252/T252</f>
        <v>0.8849434539213975</v>
      </c>
      <c r="D252" s="49">
        <v>38100</v>
      </c>
      <c r="E252" s="49">
        <v>39600</v>
      </c>
      <c r="F252" s="49">
        <v>5969782550</v>
      </c>
      <c r="G252" s="49">
        <v>1</v>
      </c>
      <c r="H252" s="48">
        <f>J252*K252*L252/T252</f>
        <v>0.10050033125233852</v>
      </c>
      <c r="I252" s="48">
        <v>213500</v>
      </c>
      <c r="J252" s="48">
        <v>214000</v>
      </c>
      <c r="K252" s="51">
        <v>125456133</v>
      </c>
      <c r="L252" s="48">
        <v>1</v>
      </c>
      <c r="M252" s="49">
        <f>O252*P252*Q252/T252</f>
        <v>1.4556214826264003E-2</v>
      </c>
      <c r="N252" s="49">
        <v>259800</v>
      </c>
      <c r="O252" s="49">
        <v>243700</v>
      </c>
      <c r="P252" s="49">
        <v>15956260</v>
      </c>
      <c r="Q252" s="49">
        <v>1</v>
      </c>
      <c r="R252" s="82">
        <f t="shared" si="11"/>
        <v>0</v>
      </c>
      <c r="S252" s="82">
        <f>IF(AND(R252=0,B252="N"),S251,S251*(D252*F252*G252+I252*K252*L252+N252*P252*Q252)/T251)</f>
        <v>335633499490600</v>
      </c>
      <c r="T252" s="81">
        <f>E252*F252*G252+J252*K252*L252+O252*P252*Q252</f>
        <v>267139542004000</v>
      </c>
      <c r="U252" s="80">
        <f t="shared" si="9"/>
        <v>795.92633753616622</v>
      </c>
      <c r="V252" s="52">
        <f t="shared" si="10"/>
        <v>3.390563818397941E-2</v>
      </c>
      <c r="W252" s="48">
        <f>(E252-D252)/D252</f>
        <v>3.937007874015748E-2</v>
      </c>
      <c r="X252" s="48">
        <f>(J252-I252)/I252</f>
        <v>2.34192037470726E-3</v>
      </c>
      <c r="Y252" s="48">
        <f>(O252-N252)/N252</f>
        <v>-6.19707467282525E-2</v>
      </c>
      <c r="Z252" s="48" t="e">
        <f>(#REF!-#REF!)/#REF!</f>
        <v>#REF!</v>
      </c>
    </row>
    <row r="253" spans="1:26" x14ac:dyDescent="0.3">
      <c r="A253" s="48">
        <v>20190110</v>
      </c>
      <c r="B253" s="48" t="s">
        <v>88</v>
      </c>
      <c r="C253" s="79">
        <f>E253*F253*G253/T253</f>
        <v>0.88412757805868536</v>
      </c>
      <c r="D253" s="49">
        <v>39600</v>
      </c>
      <c r="E253" s="49">
        <v>39800</v>
      </c>
      <c r="F253" s="49">
        <v>5969782550</v>
      </c>
      <c r="G253" s="49">
        <v>1</v>
      </c>
      <c r="H253" s="48">
        <f>J253*K253*L253/T253</f>
        <v>0.10107020598532608</v>
      </c>
      <c r="I253" s="48">
        <v>214000</v>
      </c>
      <c r="J253" s="48">
        <v>216500</v>
      </c>
      <c r="K253" s="51">
        <v>125456133</v>
      </c>
      <c r="L253" s="48">
        <v>1</v>
      </c>
      <c r="M253" s="49">
        <f>O253*P253*Q253/T253</f>
        <v>1.480221595598853E-2</v>
      </c>
      <c r="N253" s="49">
        <v>243700</v>
      </c>
      <c r="O253" s="49">
        <v>249300</v>
      </c>
      <c r="P253" s="49">
        <v>15956260</v>
      </c>
      <c r="Q253" s="49">
        <v>1</v>
      </c>
      <c r="R253" s="82">
        <f t="shared" si="11"/>
        <v>0</v>
      </c>
      <c r="S253" s="82">
        <f>IF(AND(R253=0,B253="N"),S252,S252*(D253*F253*G253+I253*K253*L253+N253*P253*Q253)/T252)</f>
        <v>335633499490600</v>
      </c>
      <c r="T253" s="81">
        <f>E253*F253*G253+J253*K253*L253+O253*P253*Q253</f>
        <v>268736493902500</v>
      </c>
      <c r="U253" s="80">
        <f t="shared" si="9"/>
        <v>800.68436050146556</v>
      </c>
      <c r="V253" s="52">
        <f t="shared" si="10"/>
        <v>5.977968991487414E-3</v>
      </c>
      <c r="W253" s="48">
        <f>(E253-D253)/D253</f>
        <v>5.0505050505050509E-3</v>
      </c>
      <c r="X253" s="48">
        <f>(J253-I253)/I253</f>
        <v>1.1682242990654205E-2</v>
      </c>
      <c r="Y253" s="48">
        <f>(O253-N253)/N253</f>
        <v>2.2979072630283134E-2</v>
      </c>
      <c r="Z253" s="48" t="e">
        <f>(#REF!-#REF!)/#REF!</f>
        <v>#REF!</v>
      </c>
    </row>
    <row r="254" spans="1:26" x14ac:dyDescent="0.3">
      <c r="A254" s="48">
        <v>20190111</v>
      </c>
      <c r="B254" s="48" t="s">
        <v>88</v>
      </c>
      <c r="C254" s="79">
        <f>E254*F254*G254/T254</f>
        <v>0.88593288118295255</v>
      </c>
      <c r="D254" s="49">
        <v>39800</v>
      </c>
      <c r="E254" s="49">
        <v>40500</v>
      </c>
      <c r="F254" s="49">
        <v>5969782550</v>
      </c>
      <c r="G254" s="49">
        <v>1</v>
      </c>
      <c r="H254" s="48">
        <f>J254*K254*L254/T254</f>
        <v>9.9526122149670132E-2</v>
      </c>
      <c r="I254" s="48">
        <v>216500</v>
      </c>
      <c r="J254" s="48">
        <v>216500</v>
      </c>
      <c r="K254" s="51">
        <v>125456133</v>
      </c>
      <c r="L254" s="48">
        <v>1</v>
      </c>
      <c r="M254" s="49">
        <f>O254*P254*Q254/T254</f>
        <v>1.4540996667377357E-2</v>
      </c>
      <c r="N254" s="49">
        <v>249300</v>
      </c>
      <c r="O254" s="49">
        <v>248700</v>
      </c>
      <c r="P254" s="49">
        <v>15956260</v>
      </c>
      <c r="Q254" s="49">
        <v>1</v>
      </c>
      <c r="R254" s="82">
        <f t="shared" si="11"/>
        <v>0</v>
      </c>
      <c r="S254" s="82">
        <f>IF(AND(R254=0,B254="N"),S253,S253*(D254*F254*G254+I254*K254*L254+N254*P254*Q254)/T253)</f>
        <v>335633499490600</v>
      </c>
      <c r="T254" s="81">
        <f>E254*F254*G254+J254*K254*L254+O254*P254*Q254</f>
        <v>272905767931500</v>
      </c>
      <c r="U254" s="80">
        <f t="shared" si="9"/>
        <v>813.10646388306418</v>
      </c>
      <c r="V254" s="52">
        <f t="shared" si="10"/>
        <v>1.5514357460184062E-2</v>
      </c>
      <c r="W254" s="48">
        <f>(E254-D254)/D254</f>
        <v>1.7587939698492462E-2</v>
      </c>
      <c r="X254" s="48">
        <f>(J254-I254)/I254</f>
        <v>0</v>
      </c>
      <c r="Y254" s="48">
        <f>(O254-N254)/N254</f>
        <v>-2.4067388688327317E-3</v>
      </c>
      <c r="Z254" s="48" t="e">
        <f>(#REF!-#REF!)/#REF!</f>
        <v>#REF!</v>
      </c>
    </row>
    <row r="255" spans="1:26" x14ac:dyDescent="0.3">
      <c r="A255" s="48">
        <v>20190114</v>
      </c>
      <c r="B255" s="48" t="s">
        <v>88</v>
      </c>
      <c r="C255" s="79">
        <f>E255*F255*G255/T255</f>
        <v>0.88732140188638797</v>
      </c>
      <c r="D255" s="49">
        <v>40500</v>
      </c>
      <c r="E255" s="49">
        <v>40050</v>
      </c>
      <c r="F255" s="49">
        <v>5969782550</v>
      </c>
      <c r="G255" s="49">
        <v>1</v>
      </c>
      <c r="H255" s="48">
        <f>J255*K255*L255/T255</f>
        <v>9.8241339711289108E-2</v>
      </c>
      <c r="I255" s="48">
        <v>216500</v>
      </c>
      <c r="J255" s="48">
        <v>211000</v>
      </c>
      <c r="K255" s="51">
        <v>125456133</v>
      </c>
      <c r="L255" s="48">
        <v>1</v>
      </c>
      <c r="M255" s="49">
        <f>O255*P255*Q255/T255</f>
        <v>1.4437258402322913E-2</v>
      </c>
      <c r="N255" s="49">
        <v>248700</v>
      </c>
      <c r="O255" s="49">
        <v>243800</v>
      </c>
      <c r="P255" s="49">
        <v>15956260</v>
      </c>
      <c r="Q255" s="49">
        <v>1</v>
      </c>
      <c r="R255" s="82">
        <f t="shared" si="11"/>
        <v>0</v>
      </c>
      <c r="S255" s="82">
        <f>IF(AND(R255=0,B255="N"),S254,S254*(D255*F255*G255+I255*K255*L255+N255*P255*Q255)/T254)</f>
        <v>335633499490600</v>
      </c>
      <c r="T255" s="81">
        <f>E255*F255*G255+J255*K255*L255+O255*P255*Q255</f>
        <v>269451171378500</v>
      </c>
      <c r="U255" s="80">
        <f t="shared" si="9"/>
        <v>802.81369942944707</v>
      </c>
      <c r="V255" s="52">
        <f t="shared" si="10"/>
        <v>-1.265856921670881E-2</v>
      </c>
      <c r="W255" s="48">
        <f>(E255-D255)/D255</f>
        <v>-1.1111111111111112E-2</v>
      </c>
      <c r="X255" s="48">
        <f>(J255-I255)/I255</f>
        <v>-2.5404157043879907E-2</v>
      </c>
      <c r="Y255" s="48">
        <f>(O255-N255)/N255</f>
        <v>-1.9702452754322478E-2</v>
      </c>
      <c r="Z255" s="48" t="e">
        <f>(#REF!-#REF!)/#REF!</f>
        <v>#REF!</v>
      </c>
    </row>
    <row r="256" spans="1:26" x14ac:dyDescent="0.3">
      <c r="A256" s="48">
        <v>20190115</v>
      </c>
      <c r="B256" s="48" t="s">
        <v>88</v>
      </c>
      <c r="C256" s="79">
        <f>E256*F256*G256/T256</f>
        <v>0.89113205028561626</v>
      </c>
      <c r="D256" s="49">
        <v>40050</v>
      </c>
      <c r="E256" s="49">
        <v>41100</v>
      </c>
      <c r="F256" s="49">
        <v>5969782550</v>
      </c>
      <c r="G256" s="49">
        <v>1</v>
      </c>
      <c r="H256" s="48">
        <f>J256*K256*L256/T256</f>
        <v>9.4547865257376074E-2</v>
      </c>
      <c r="I256" s="48">
        <v>211000</v>
      </c>
      <c r="J256" s="48">
        <v>207500</v>
      </c>
      <c r="K256" s="51">
        <v>125456133</v>
      </c>
      <c r="L256" s="48">
        <v>1</v>
      </c>
      <c r="M256" s="49">
        <f>O256*P256*Q256/T256</f>
        <v>1.4320084457007659E-2</v>
      </c>
      <c r="N256" s="49">
        <v>243800</v>
      </c>
      <c r="O256" s="49">
        <v>247100</v>
      </c>
      <c r="P256" s="49">
        <v>15956260</v>
      </c>
      <c r="Q256" s="49">
        <v>1</v>
      </c>
      <c r="R256" s="82">
        <f t="shared" si="11"/>
        <v>0</v>
      </c>
      <c r="S256" s="82">
        <f>IF(AND(R256=0,B256="N"),S255,S255*(D256*F256*G256+I256*K256*L256+N256*P256*Q256)/T255)</f>
        <v>335633499490600</v>
      </c>
      <c r="T256" s="81">
        <f>E256*F256*G256+J256*K256*L256+O256*P256*Q256</f>
        <v>275333002248500</v>
      </c>
      <c r="U256" s="80">
        <f t="shared" si="9"/>
        <v>820.33826380972198</v>
      </c>
      <c r="V256" s="52">
        <f t="shared" si="10"/>
        <v>2.1828930414029394E-2</v>
      </c>
      <c r="W256" s="48">
        <f>(E256-D256)/D256</f>
        <v>2.6217228464419477E-2</v>
      </c>
      <c r="X256" s="48">
        <f>(J256-I256)/I256</f>
        <v>-1.6587677725118485E-2</v>
      </c>
      <c r="Y256" s="48">
        <f>(O256-N256)/N256</f>
        <v>1.3535684987694831E-2</v>
      </c>
      <c r="Z256" s="48" t="e">
        <f>(#REF!-#REF!)/#REF!</f>
        <v>#REF!</v>
      </c>
    </row>
    <row r="257" spans="1:26" x14ac:dyDescent="0.3">
      <c r="A257" s="48">
        <v>20190116</v>
      </c>
      <c r="B257" s="48" t="s">
        <v>88</v>
      </c>
      <c r="C257" s="79">
        <f>E257*F257*G257/T257</f>
        <v>0.89406774407234335</v>
      </c>
      <c r="D257" s="49">
        <v>41100</v>
      </c>
      <c r="E257" s="49">
        <v>41450</v>
      </c>
      <c r="F257" s="49">
        <v>5969782550</v>
      </c>
      <c r="G257" s="49">
        <v>1</v>
      </c>
      <c r="H257" s="48">
        <f>J257*K257*L257/T257</f>
        <v>9.1565241693447305E-2</v>
      </c>
      <c r="I257" s="48">
        <v>207500</v>
      </c>
      <c r="J257" s="48">
        <v>202000</v>
      </c>
      <c r="K257" s="51">
        <v>125456133</v>
      </c>
      <c r="L257" s="48">
        <v>1</v>
      </c>
      <c r="M257" s="49">
        <f>O257*P257*Q257/T257</f>
        <v>1.4367014234209373E-2</v>
      </c>
      <c r="N257" s="49">
        <v>247100</v>
      </c>
      <c r="O257" s="49">
        <v>249200</v>
      </c>
      <c r="P257" s="49">
        <v>15956260</v>
      </c>
      <c r="Q257" s="49">
        <v>1</v>
      </c>
      <c r="R257" s="82">
        <f t="shared" si="11"/>
        <v>0</v>
      </c>
      <c r="S257" s="82">
        <f>IF(AND(R257=0,B257="N"),S256,S256*(D257*F257*G257+I257*K257*L257+N257*P257*Q257)/T256)</f>
        <v>335633499490600</v>
      </c>
      <c r="T257" s="81">
        <f>E257*F257*G257+J257*K257*L257+O257*P257*Q257</f>
        <v>276765925555500</v>
      </c>
      <c r="U257" s="80">
        <f t="shared" si="9"/>
        <v>824.60757336664869</v>
      </c>
      <c r="V257" s="52">
        <f t="shared" si="10"/>
        <v>5.2043281963950706E-3</v>
      </c>
      <c r="W257" s="48">
        <f>(E257-D257)/D257</f>
        <v>8.5158150851581509E-3</v>
      </c>
      <c r="X257" s="48">
        <f>(J257-I257)/I257</f>
        <v>-2.6506024096385541E-2</v>
      </c>
      <c r="Y257" s="48">
        <f>(O257-N257)/N257</f>
        <v>8.4985835694051E-3</v>
      </c>
      <c r="Z257" s="48" t="e">
        <f>(#REF!-#REF!)/#REF!</f>
        <v>#REF!</v>
      </c>
    </row>
    <row r="258" spans="1:26" x14ac:dyDescent="0.3">
      <c r="A258" s="48">
        <v>20190117</v>
      </c>
      <c r="B258" s="48" t="s">
        <v>88</v>
      </c>
      <c r="C258" s="79">
        <f>E258*F258*G258/T258</f>
        <v>0.89751221088567512</v>
      </c>
      <c r="D258" s="49">
        <v>41450</v>
      </c>
      <c r="E258" s="49">
        <v>41950</v>
      </c>
      <c r="F258" s="49">
        <v>5969782550</v>
      </c>
      <c r="G258" s="49">
        <v>1</v>
      </c>
      <c r="H258" s="48">
        <f>J258*K258*L258/T258</f>
        <v>8.7899933654647974E-2</v>
      </c>
      <c r="I258" s="48">
        <v>202000</v>
      </c>
      <c r="J258" s="48">
        <v>195500</v>
      </c>
      <c r="K258" s="51">
        <v>125456133</v>
      </c>
      <c r="L258" s="48">
        <v>1</v>
      </c>
      <c r="M258" s="49">
        <f>O258*P258*Q258/T258</f>
        <v>1.458785545967691E-2</v>
      </c>
      <c r="N258" s="49">
        <v>249200</v>
      </c>
      <c r="O258" s="49">
        <v>255100</v>
      </c>
      <c r="P258" s="49">
        <v>15956260</v>
      </c>
      <c r="Q258" s="49">
        <v>1</v>
      </c>
      <c r="R258" s="82">
        <f t="shared" si="11"/>
        <v>0</v>
      </c>
      <c r="S258" s="82">
        <f>IF(AND(R258=0,B258="N"),S257,S257*(D258*F258*G258+I258*K258*L258+N258*P258*Q258)/T257)</f>
        <v>335633499490600</v>
      </c>
      <c r="T258" s="81">
        <f>E258*F258*G258+J258*K258*L258+O258*P258*Q258</f>
        <v>279029493900000</v>
      </c>
      <c r="U258" s="80">
        <f t="shared" si="9"/>
        <v>831.35174028662379</v>
      </c>
      <c r="V258" s="52">
        <f t="shared" si="10"/>
        <v>8.178638103504797E-3</v>
      </c>
      <c r="W258" s="48">
        <f>(E258-D258)/D258</f>
        <v>1.2062726176115802E-2</v>
      </c>
      <c r="X258" s="48">
        <f>(J258-I258)/I258</f>
        <v>-3.2178217821782179E-2</v>
      </c>
      <c r="Y258" s="48">
        <f>(O258-N258)/N258</f>
        <v>2.3675762439807384E-2</v>
      </c>
      <c r="Z258" s="48" t="e">
        <f>(#REF!-#REF!)/#REF!</f>
        <v>#REF!</v>
      </c>
    </row>
    <row r="259" spans="1:26" x14ac:dyDescent="0.3">
      <c r="A259" s="48">
        <v>20190118</v>
      </c>
      <c r="B259" s="48" t="s">
        <v>88</v>
      </c>
      <c r="C259" s="79">
        <f>E259*F259*G259/T259</f>
        <v>0.89577528632904035</v>
      </c>
      <c r="D259" s="49">
        <v>41950</v>
      </c>
      <c r="E259" s="49">
        <v>42300</v>
      </c>
      <c r="F259" s="49">
        <v>5969782550</v>
      </c>
      <c r="G259" s="49">
        <v>1</v>
      </c>
      <c r="H259" s="48">
        <f>J259*K259*L259/T259</f>
        <v>8.94516078556164E-2</v>
      </c>
      <c r="I259" s="48">
        <v>195500</v>
      </c>
      <c r="J259" s="48">
        <v>201000</v>
      </c>
      <c r="K259" s="51">
        <v>125456133</v>
      </c>
      <c r="L259" s="48">
        <v>1</v>
      </c>
      <c r="M259" s="49">
        <f>O259*P259*Q259/T259</f>
        <v>1.47731058153433E-2</v>
      </c>
      <c r="N259" s="49">
        <v>255100</v>
      </c>
      <c r="O259" s="49">
        <v>261000</v>
      </c>
      <c r="P259" s="49">
        <v>15956260</v>
      </c>
      <c r="Q259" s="49">
        <v>1</v>
      </c>
      <c r="R259" s="82">
        <f t="shared" si="11"/>
        <v>0</v>
      </c>
      <c r="S259" s="82">
        <f>IF(AND(R259=0,B259="N"),S258,S258*(D259*F259*G259+I259*K259*L259+N259*P259*Q259)/T258)</f>
        <v>335633499490600</v>
      </c>
      <c r="T259" s="81">
        <f>E259*F259*G259+J259*K259*L259+O259*P259*Q259</f>
        <v>281903068458000</v>
      </c>
      <c r="U259" s="80">
        <f t="shared" ref="U259:U322" si="12">T259/S259*1000</f>
        <v>839.91338434885631</v>
      </c>
      <c r="V259" s="52">
        <f t="shared" si="10"/>
        <v>1.0298461706811046E-2</v>
      </c>
      <c r="W259" s="48">
        <f>(E259-D259)/D259</f>
        <v>8.3432657926102508E-3</v>
      </c>
      <c r="X259" s="48">
        <f>(J259-I259)/I259</f>
        <v>2.8132992327365727E-2</v>
      </c>
      <c r="Y259" s="48">
        <f>(O259-N259)/N259</f>
        <v>2.3128185025480204E-2</v>
      </c>
      <c r="Z259" s="48" t="e">
        <f>(#REF!-#REF!)/#REF!</f>
        <v>#REF!</v>
      </c>
    </row>
    <row r="260" spans="1:26" x14ac:dyDescent="0.3">
      <c r="A260" s="48">
        <v>20190121</v>
      </c>
      <c r="B260" s="48" t="s">
        <v>88</v>
      </c>
      <c r="C260" s="79">
        <f>E260*F260*G260/T260</f>
        <v>0.89814834849274772</v>
      </c>
      <c r="D260" s="49">
        <v>42300</v>
      </c>
      <c r="E260" s="49">
        <v>42750</v>
      </c>
      <c r="F260" s="49">
        <v>5969782550</v>
      </c>
      <c r="G260" s="49">
        <v>1</v>
      </c>
      <c r="H260" s="48">
        <f>J260*K260*L260/T260</f>
        <v>8.7419945536038018E-2</v>
      </c>
      <c r="I260" s="48">
        <v>201000</v>
      </c>
      <c r="J260" s="48">
        <v>198000</v>
      </c>
      <c r="K260" s="51">
        <v>125456133</v>
      </c>
      <c r="L260" s="48">
        <v>1</v>
      </c>
      <c r="M260" s="49">
        <f>O260*P260*Q260/T260</f>
        <v>1.4431705971214282E-2</v>
      </c>
      <c r="N260" s="49">
        <v>261000</v>
      </c>
      <c r="O260" s="49">
        <v>257000</v>
      </c>
      <c r="P260" s="49">
        <v>15956260</v>
      </c>
      <c r="Q260" s="49">
        <v>1</v>
      </c>
      <c r="R260" s="82">
        <f t="shared" si="11"/>
        <v>0</v>
      </c>
      <c r="S260" s="82">
        <f>IF(AND(R260=0,B260="N"),S259,S259*(D260*F260*G260+I260*K260*L260+N260*P260*Q260)/T259)</f>
        <v>335633499490600</v>
      </c>
      <c r="T260" s="81">
        <f>E260*F260*G260+J260*K260*L260+O260*P260*Q260</f>
        <v>284149277166500</v>
      </c>
      <c r="U260" s="80">
        <f t="shared" si="12"/>
        <v>846.6058292684163</v>
      </c>
      <c r="V260" s="52">
        <f t="shared" ref="V260:V323" si="13">(U260-U259)/U259</f>
        <v>7.9680179459794102E-3</v>
      </c>
      <c r="W260" s="48">
        <f>(E260-D260)/D260</f>
        <v>1.0638297872340425E-2</v>
      </c>
      <c r="X260" s="48">
        <f>(J260-I260)/I260</f>
        <v>-1.4925373134328358E-2</v>
      </c>
      <c r="Y260" s="48">
        <f>(O260-N260)/N260</f>
        <v>-1.532567049808429E-2</v>
      </c>
      <c r="Z260" s="48" t="e">
        <f>(#REF!-#REF!)/#REF!</f>
        <v>#REF!</v>
      </c>
    </row>
    <row r="261" spans="1:26" x14ac:dyDescent="0.3">
      <c r="A261" s="48">
        <v>20190122</v>
      </c>
      <c r="B261" s="48" t="s">
        <v>88</v>
      </c>
      <c r="C261" s="79">
        <f>E261*F261*G261/T261</f>
        <v>0.89604162870337023</v>
      </c>
      <c r="D261" s="49">
        <v>42750</v>
      </c>
      <c r="E261" s="49">
        <v>42150</v>
      </c>
      <c r="F261" s="49">
        <v>5969782550</v>
      </c>
      <c r="G261" s="49">
        <v>1</v>
      </c>
      <c r="H261" s="48">
        <f>J261*K261*L261/T261</f>
        <v>8.9349883012316222E-2</v>
      </c>
      <c r="I261" s="48">
        <v>198000</v>
      </c>
      <c r="J261" s="48">
        <v>200000</v>
      </c>
      <c r="K261" s="51">
        <v>125456133</v>
      </c>
      <c r="L261" s="48">
        <v>1</v>
      </c>
      <c r="M261" s="49">
        <f>O261*P261*Q261/T261</f>
        <v>1.4608488284313504E-2</v>
      </c>
      <c r="N261" s="49">
        <v>257000</v>
      </c>
      <c r="O261" s="49">
        <v>257100</v>
      </c>
      <c r="P261" s="49">
        <v>15956260</v>
      </c>
      <c r="Q261" s="49">
        <v>1</v>
      </c>
      <c r="R261" s="82">
        <f t="shared" ref="R261:R324" si="14">IF(T260&lt;&gt;(D261*F261*G261+I261*K261*L261+N261*P261*Q261),1,0)</f>
        <v>0</v>
      </c>
      <c r="S261" s="82">
        <f>IF(AND(R261=0,B261="N"),S260,S260*(D261*F261*G261+I261*K261*L261+N261*P261*Q261)/T260)</f>
        <v>335633499490600</v>
      </c>
      <c r="T261" s="81">
        <f>E261*F261*G261+J261*K261*L261+O261*P261*Q261</f>
        <v>280819915528500</v>
      </c>
      <c r="U261" s="80">
        <f t="shared" si="12"/>
        <v>836.68619477706477</v>
      </c>
      <c r="V261" s="52">
        <f t="shared" si="13"/>
        <v>-1.1716945653354946E-2</v>
      </c>
      <c r="W261" s="48">
        <f>(E261-D261)/D261</f>
        <v>-1.4035087719298246E-2</v>
      </c>
      <c r="X261" s="48">
        <f>(J261-I261)/I261</f>
        <v>1.0101010101010102E-2</v>
      </c>
      <c r="Y261" s="48">
        <f>(O261-N261)/N261</f>
        <v>3.8910505836575878E-4</v>
      </c>
      <c r="Z261" s="48" t="e">
        <f>(#REF!-#REF!)/#REF!</f>
        <v>#REF!</v>
      </c>
    </row>
    <row r="262" spans="1:26" x14ac:dyDescent="0.3">
      <c r="A262" s="48">
        <v>20190123</v>
      </c>
      <c r="B262" s="48" t="s">
        <v>88</v>
      </c>
      <c r="C262" s="79">
        <f>E262*F262*G262/T262</f>
        <v>0.89597464624495371</v>
      </c>
      <c r="D262" s="49">
        <v>42150</v>
      </c>
      <c r="E262" s="49">
        <v>42000</v>
      </c>
      <c r="F262" s="49">
        <v>5969782550</v>
      </c>
      <c r="G262" s="49">
        <v>1</v>
      </c>
      <c r="H262" s="48">
        <f>J262*K262*L262/T262</f>
        <v>8.9662286645468117E-2</v>
      </c>
      <c r="I262" s="48">
        <v>200000</v>
      </c>
      <c r="J262" s="48">
        <v>200000</v>
      </c>
      <c r="K262" s="51">
        <v>125456133</v>
      </c>
      <c r="L262" s="48">
        <v>1</v>
      </c>
      <c r="M262" s="49">
        <f>O262*P262*Q262/T262</f>
        <v>1.4363067109578158E-2</v>
      </c>
      <c r="N262" s="49">
        <v>257100</v>
      </c>
      <c r="O262" s="49">
        <v>251900</v>
      </c>
      <c r="P262" s="49">
        <v>15956260</v>
      </c>
      <c r="Q262" s="49">
        <v>1</v>
      </c>
      <c r="R262" s="82">
        <f t="shared" si="14"/>
        <v>0</v>
      </c>
      <c r="S262" s="82">
        <f>IF(AND(R262=0,B262="N"),S261,S261*(D262*F262*G262+I262*K262*L262+N262*P262*Q262)/T261)</f>
        <v>335633499490600</v>
      </c>
      <c r="T262" s="81">
        <f>E262*F262*G262+J262*K262*L262+O262*P262*Q262</f>
        <v>279841475594000</v>
      </c>
      <c r="U262" s="80">
        <f t="shared" si="12"/>
        <v>833.77099133049285</v>
      </c>
      <c r="V262" s="52">
        <f t="shared" si="13"/>
        <v>-3.4842255851355109E-3</v>
      </c>
      <c r="W262" s="48">
        <f>(E262-D262)/D262</f>
        <v>-3.5587188612099642E-3</v>
      </c>
      <c r="X262" s="48">
        <f>(J262-I262)/I262</f>
        <v>0</v>
      </c>
      <c r="Y262" s="48">
        <f>(O262-N262)/N262</f>
        <v>-2.0225593154414623E-2</v>
      </c>
      <c r="Z262" s="48" t="e">
        <f>(#REF!-#REF!)/#REF!</f>
        <v>#REF!</v>
      </c>
    </row>
    <row r="263" spans="1:26" x14ac:dyDescent="0.3">
      <c r="A263" s="48">
        <v>20190124</v>
      </c>
      <c r="B263" s="48" t="s">
        <v>88</v>
      </c>
      <c r="C263" s="79">
        <f>E263*F263*G263/T263</f>
        <v>0.89462647200887935</v>
      </c>
      <c r="D263" s="49">
        <v>42000</v>
      </c>
      <c r="E263" s="49">
        <v>43050</v>
      </c>
      <c r="F263" s="49">
        <v>5969782550</v>
      </c>
      <c r="G263" s="49">
        <v>1</v>
      </c>
      <c r="H263" s="48">
        <f>J263*K263*L263/T263</f>
        <v>9.0837528342871357E-2</v>
      </c>
      <c r="I263" s="48">
        <v>200000</v>
      </c>
      <c r="J263" s="48">
        <v>208000</v>
      </c>
      <c r="K263" s="51">
        <v>125456133</v>
      </c>
      <c r="L263" s="48">
        <v>1</v>
      </c>
      <c r="M263" s="49">
        <f>O263*P263*Q263/T263</f>
        <v>1.453599964824925E-2</v>
      </c>
      <c r="N263" s="49">
        <v>251900</v>
      </c>
      <c r="O263" s="49">
        <v>261700</v>
      </c>
      <c r="P263" s="49">
        <v>15956260</v>
      </c>
      <c r="Q263" s="49">
        <v>1</v>
      </c>
      <c r="R263" s="82">
        <f t="shared" si="14"/>
        <v>0</v>
      </c>
      <c r="S263" s="82">
        <f>IF(AND(R263=0,B263="N"),S262,S262*(D263*F263*G263+I263*K263*L263+N263*P263*Q263)/T262)</f>
        <v>335633499490600</v>
      </c>
      <c r="T263" s="81">
        <f>E263*F263*G263+J263*K263*L263+O263*P263*Q263</f>
        <v>287269767683500</v>
      </c>
      <c r="U263" s="80">
        <f t="shared" si="12"/>
        <v>855.90314470843066</v>
      </c>
      <c r="V263" s="52">
        <f t="shared" si="13"/>
        <v>2.6544643083132879E-2</v>
      </c>
      <c r="W263" s="48">
        <f>(E263-D263)/D263</f>
        <v>2.5000000000000001E-2</v>
      </c>
      <c r="X263" s="48">
        <f>(J263-I263)/I263</f>
        <v>0.04</v>
      </c>
      <c r="Y263" s="48">
        <f>(O263-N263)/N263</f>
        <v>3.8904327113934101E-2</v>
      </c>
      <c r="Z263" s="48" t="e">
        <f>(#REF!-#REF!)/#REF!</f>
        <v>#REF!</v>
      </c>
    </row>
    <row r="264" spans="1:26" x14ac:dyDescent="0.3">
      <c r="A264" s="48">
        <v>20190125</v>
      </c>
      <c r="B264" s="48" t="s">
        <v>88</v>
      </c>
      <c r="C264" s="79">
        <f>E264*F264*G264/T264</f>
        <v>0.89810010831587861</v>
      </c>
      <c r="D264" s="49">
        <v>43050</v>
      </c>
      <c r="E264" s="49">
        <v>44750</v>
      </c>
      <c r="F264" s="49">
        <v>5969782550</v>
      </c>
      <c r="G264" s="49">
        <v>1</v>
      </c>
      <c r="H264" s="48">
        <f>J264*K264*L264/T264</f>
        <v>8.793690032183267E-2</v>
      </c>
      <c r="I264" s="48">
        <v>208000</v>
      </c>
      <c r="J264" s="48">
        <v>208500</v>
      </c>
      <c r="K264" s="51">
        <v>125456133</v>
      </c>
      <c r="L264" s="48">
        <v>1</v>
      </c>
      <c r="M264" s="49">
        <f>O264*P264*Q264/T264</f>
        <v>1.3962991362288719E-2</v>
      </c>
      <c r="N264" s="49">
        <v>261700</v>
      </c>
      <c r="O264" s="49">
        <v>260300</v>
      </c>
      <c r="P264" s="49">
        <v>15956260</v>
      </c>
      <c r="Q264" s="49">
        <v>1</v>
      </c>
      <c r="R264" s="82">
        <f t="shared" si="14"/>
        <v>0</v>
      </c>
      <c r="S264" s="82">
        <f>IF(AND(R264=0,B264="N"),S263,S263*(D264*F264*G264+I264*K264*L264+N264*P264*Q264)/T263)</f>
        <v>335633499490600</v>
      </c>
      <c r="T264" s="81">
        <f>E264*F264*G264+J264*K264*L264+O264*P264*Q264</f>
        <v>297458787321000</v>
      </c>
      <c r="U264" s="80">
        <f t="shared" si="12"/>
        <v>886.26072121066943</v>
      </c>
      <c r="V264" s="52">
        <f t="shared" si="13"/>
        <v>3.5468471742302443E-2</v>
      </c>
      <c r="W264" s="48">
        <f>(E264-D264)/D264</f>
        <v>3.9488966318234613E-2</v>
      </c>
      <c r="X264" s="48">
        <f>(J264-I264)/I264</f>
        <v>2.403846153846154E-3</v>
      </c>
      <c r="Y264" s="48">
        <f>(O264-N264)/N264</f>
        <v>-5.349636988918609E-3</v>
      </c>
      <c r="Z264" s="48" t="e">
        <f>(#REF!-#REF!)/#REF!</f>
        <v>#REF!</v>
      </c>
    </row>
    <row r="265" spans="1:26" x14ac:dyDescent="0.3">
      <c r="A265" s="48">
        <v>20190128</v>
      </c>
      <c r="B265" s="48" t="s">
        <v>88</v>
      </c>
      <c r="C265" s="79">
        <f>E265*F265*G265/T265</f>
        <v>0.89765425923624975</v>
      </c>
      <c r="D265" s="49">
        <v>44750</v>
      </c>
      <c r="E265" s="49">
        <v>45050</v>
      </c>
      <c r="F265" s="49">
        <v>5969782550</v>
      </c>
      <c r="G265" s="49">
        <v>1</v>
      </c>
      <c r="H265" s="48">
        <f>J265*K265*L265/T265</f>
        <v>8.8354798464625989E-2</v>
      </c>
      <c r="I265" s="48">
        <v>208500</v>
      </c>
      <c r="J265" s="48">
        <v>211000</v>
      </c>
      <c r="K265" s="51">
        <v>125456133</v>
      </c>
      <c r="L265" s="48">
        <v>1</v>
      </c>
      <c r="M265" s="49">
        <f>O265*P265*Q265/T265</f>
        <v>1.3990942299124226E-2</v>
      </c>
      <c r="N265" s="49">
        <v>260300</v>
      </c>
      <c r="O265" s="49">
        <v>262700</v>
      </c>
      <c r="P265" s="49">
        <v>15956260</v>
      </c>
      <c r="Q265" s="49">
        <v>1</v>
      </c>
      <c r="R265" s="82">
        <f t="shared" si="14"/>
        <v>0</v>
      </c>
      <c r="S265" s="82">
        <f>IF(AND(R265=0,B265="N"),S264,S264*(D265*F265*G265+I265*K265*L265+N265*P265*Q265)/T264)</f>
        <v>335633499490600</v>
      </c>
      <c r="T265" s="81">
        <f>E265*F265*G265+J265*K265*L265+O265*P265*Q265</f>
        <v>299601657442500</v>
      </c>
      <c r="U265" s="80">
        <f t="shared" si="12"/>
        <v>892.64527497169831</v>
      </c>
      <c r="V265" s="52">
        <f t="shared" si="13"/>
        <v>7.2039227376649549E-3</v>
      </c>
      <c r="W265" s="48">
        <f>(E265-D265)/D265</f>
        <v>6.7039106145251395E-3</v>
      </c>
      <c r="X265" s="48">
        <f>(J265-I265)/I265</f>
        <v>1.1990407673860911E-2</v>
      </c>
      <c r="Y265" s="48">
        <f>(O265-N265)/N265</f>
        <v>9.2201306185170952E-3</v>
      </c>
      <c r="Z265" s="48" t="e">
        <f>(#REF!-#REF!)/#REF!</f>
        <v>#REF!</v>
      </c>
    </row>
    <row r="266" spans="1:26" x14ac:dyDescent="0.3">
      <c r="A266" s="48">
        <v>20190129</v>
      </c>
      <c r="B266" s="48" t="s">
        <v>88</v>
      </c>
      <c r="C266" s="79">
        <f>E266*F266*G266/T266</f>
        <v>0.89840878293874593</v>
      </c>
      <c r="D266" s="49">
        <v>45050</v>
      </c>
      <c r="E266" s="49">
        <v>45500</v>
      </c>
      <c r="F266" s="49">
        <v>5969782550</v>
      </c>
      <c r="G266" s="49">
        <v>1</v>
      </c>
      <c r="H266" s="48">
        <f>J266*K266*L266/T266</f>
        <v>8.7347016860254048E-2</v>
      </c>
      <c r="I266" s="48">
        <v>211000</v>
      </c>
      <c r="J266" s="48">
        <v>210500</v>
      </c>
      <c r="K266" s="51">
        <v>125456133</v>
      </c>
      <c r="L266" s="48">
        <v>1</v>
      </c>
      <c r="M266" s="49">
        <f>O266*P266*Q266/T266</f>
        <v>1.4244200200999984E-2</v>
      </c>
      <c r="N266" s="49">
        <v>262700</v>
      </c>
      <c r="O266" s="49">
        <v>269900</v>
      </c>
      <c r="P266" s="49">
        <v>15956260</v>
      </c>
      <c r="Q266" s="49">
        <v>1</v>
      </c>
      <c r="R266" s="82">
        <f t="shared" si="14"/>
        <v>0</v>
      </c>
      <c r="S266" s="82">
        <f>IF(AND(R266=0,B266="N"),S265,S265*(D266*F266*G266+I266*K266*L266+N266*P266*Q266)/T265)</f>
        <v>335633499490600</v>
      </c>
      <c r="T266" s="81">
        <f>E266*F266*G266+J266*K266*L266+O266*P266*Q266</f>
        <v>302340216595500</v>
      </c>
      <c r="U266" s="80">
        <f t="shared" si="12"/>
        <v>900.80464868485979</v>
      </c>
      <c r="V266" s="52">
        <f t="shared" si="13"/>
        <v>9.1406675663187349E-3</v>
      </c>
      <c r="W266" s="48">
        <f>(E266-D266)/D266</f>
        <v>9.9889012208657056E-3</v>
      </c>
      <c r="X266" s="48">
        <f>(J266-I266)/I266</f>
        <v>-2.3696682464454978E-3</v>
      </c>
      <c r="Y266" s="48">
        <f>(O266-N266)/N266</f>
        <v>2.7407689379520365E-2</v>
      </c>
      <c r="Z266" s="48" t="e">
        <f>(#REF!-#REF!)/#REF!</f>
        <v>#REF!</v>
      </c>
    </row>
    <row r="267" spans="1:26" x14ac:dyDescent="0.3">
      <c r="A267" s="48">
        <v>20190130</v>
      </c>
      <c r="B267" s="48" t="s">
        <v>88</v>
      </c>
      <c r="C267" s="79">
        <f>E267*F267*G267/T267</f>
        <v>0.89836669831084259</v>
      </c>
      <c r="D267" s="49">
        <v>45500</v>
      </c>
      <c r="E267" s="49">
        <v>46400</v>
      </c>
      <c r="F267" s="49">
        <v>5969782550</v>
      </c>
      <c r="G267" s="49">
        <v>1</v>
      </c>
      <c r="H267" s="48">
        <f>J267*K267*L267/T267</f>
        <v>8.7479745060201036E-2</v>
      </c>
      <c r="I267" s="48">
        <v>210500</v>
      </c>
      <c r="J267" s="48">
        <v>215000</v>
      </c>
      <c r="K267" s="51">
        <v>125456133</v>
      </c>
      <c r="L267" s="48">
        <v>1</v>
      </c>
      <c r="M267" s="49">
        <f>O267*P267*Q267/T267</f>
        <v>1.4153556628956347E-2</v>
      </c>
      <c r="N267" s="49">
        <v>269900</v>
      </c>
      <c r="O267" s="49">
        <v>273500</v>
      </c>
      <c r="P267" s="49">
        <v>15956260</v>
      </c>
      <c r="Q267" s="49">
        <v>1</v>
      </c>
      <c r="R267" s="82">
        <f t="shared" si="14"/>
        <v>0</v>
      </c>
      <c r="S267" s="82">
        <f>IF(AND(R267=0,B267="N"),S266,S266*(D267*F267*G267+I267*K267*L267+N267*P267*Q267)/T266)</f>
        <v>335633499490600</v>
      </c>
      <c r="T267" s="81">
        <f>E267*F267*G267+J267*K267*L267+O267*P267*Q267</f>
        <v>308335016025000</v>
      </c>
      <c r="U267" s="80">
        <f t="shared" si="12"/>
        <v>918.66579615255444</v>
      </c>
      <c r="V267" s="52">
        <f t="shared" si="13"/>
        <v>1.982799211102123E-2</v>
      </c>
      <c r="W267" s="48">
        <f>(E267-D267)/D267</f>
        <v>1.9780219780219779E-2</v>
      </c>
      <c r="X267" s="48">
        <f>(J267-I267)/I267</f>
        <v>2.1377672209026127E-2</v>
      </c>
      <c r="Y267" s="48">
        <f>(O267-N267)/N267</f>
        <v>1.333827343460541E-2</v>
      </c>
      <c r="Z267" s="48" t="e">
        <f>(#REF!-#REF!)/#REF!</f>
        <v>#REF!</v>
      </c>
    </row>
    <row r="268" spans="1:26" x14ac:dyDescent="0.3">
      <c r="A268" s="48">
        <v>20190131</v>
      </c>
      <c r="B268" s="48" t="s">
        <v>88</v>
      </c>
      <c r="C268" s="79">
        <f>E268*F268*G268/T268</f>
        <v>0.89629001096156502</v>
      </c>
      <c r="D268" s="49">
        <v>46400</v>
      </c>
      <c r="E268" s="49">
        <v>46150</v>
      </c>
      <c r="F268" s="49">
        <v>5969782550</v>
      </c>
      <c r="G268" s="49">
        <v>1</v>
      </c>
      <c r="H268" s="48">
        <f>J268*K268*L268/T268</f>
        <v>8.9382881353535851E-2</v>
      </c>
      <c r="I268" s="48">
        <v>215000</v>
      </c>
      <c r="J268" s="48">
        <v>219000</v>
      </c>
      <c r="K268" s="51">
        <v>125456133</v>
      </c>
      <c r="L268" s="48">
        <v>1</v>
      </c>
      <c r="M268" s="49">
        <f>O268*P268*Q268/T268</f>
        <v>1.4327107684899091E-2</v>
      </c>
      <c r="N268" s="49">
        <v>273500</v>
      </c>
      <c r="O268" s="49">
        <v>276000</v>
      </c>
      <c r="P268" s="49">
        <v>15956260</v>
      </c>
      <c r="Q268" s="49">
        <v>1</v>
      </c>
      <c r="R268" s="82">
        <f t="shared" si="14"/>
        <v>0</v>
      </c>
      <c r="S268" s="82">
        <f>IF(AND(R268=0,B268="N"),S267,S267*(D268*F268*G268+I268*K268*L268+N268*P268*Q268)/T267)</f>
        <v>335633499490600</v>
      </c>
      <c r="T268" s="81">
        <f>E268*F268*G268+J268*K268*L268+O268*P268*Q268</f>
        <v>307384285569500</v>
      </c>
      <c r="U268" s="80">
        <f t="shared" si="12"/>
        <v>915.83315144651954</v>
      </c>
      <c r="V268" s="52">
        <f t="shared" si="13"/>
        <v>-3.0834332984837794E-3</v>
      </c>
      <c r="W268" s="48">
        <f>(E268-D268)/D268</f>
        <v>-5.387931034482759E-3</v>
      </c>
      <c r="X268" s="48">
        <f>(J268-I268)/I268</f>
        <v>1.8604651162790697E-2</v>
      </c>
      <c r="Y268" s="48">
        <f>(O268-N268)/N268</f>
        <v>9.140767824497258E-3</v>
      </c>
      <c r="Z268" s="48" t="e">
        <f>(#REF!-#REF!)/#REF!</f>
        <v>#REF!</v>
      </c>
    </row>
    <row r="269" spans="1:26" x14ac:dyDescent="0.3">
      <c r="A269" s="48">
        <v>20190201</v>
      </c>
      <c r="B269" s="48" t="s">
        <v>88</v>
      </c>
      <c r="C269" s="79">
        <f>E269*F269*G269/T269</f>
        <v>0.89823244645937372</v>
      </c>
      <c r="D269" s="49">
        <v>46150</v>
      </c>
      <c r="E269" s="49">
        <v>46350</v>
      </c>
      <c r="F269" s="49">
        <v>5969782550</v>
      </c>
      <c r="G269" s="49">
        <v>1</v>
      </c>
      <c r="H269" s="48">
        <f>J269*K269*L269/T269</f>
        <v>8.7357396353760677E-2</v>
      </c>
      <c r="I269" s="48">
        <v>219000</v>
      </c>
      <c r="J269" s="48">
        <v>214500</v>
      </c>
      <c r="K269" s="51">
        <v>125456133</v>
      </c>
      <c r="L269" s="48">
        <v>1</v>
      </c>
      <c r="M269" s="49">
        <f>O269*P269*Q269/T269</f>
        <v>1.4410157186865622E-2</v>
      </c>
      <c r="N269" s="49">
        <v>276000</v>
      </c>
      <c r="O269" s="49">
        <v>278200</v>
      </c>
      <c r="P269" s="49">
        <v>15956260</v>
      </c>
      <c r="Q269" s="49">
        <v>1</v>
      </c>
      <c r="R269" s="82">
        <f t="shared" si="14"/>
        <v>0</v>
      </c>
      <c r="S269" s="82">
        <f>IF(AND(R269=0,B269="N"),S268,S268*(D269*F269*G269+I269*K269*L269+N269*P269*Q269)/T268)</f>
        <v>335633499490600</v>
      </c>
      <c r="T269" s="81">
        <f>E269*F269*G269+J269*K269*L269+O269*P269*Q269</f>
        <v>308048793253000</v>
      </c>
      <c r="U269" s="80">
        <f t="shared" si="12"/>
        <v>917.81301246905912</v>
      </c>
      <c r="V269" s="52">
        <f t="shared" si="13"/>
        <v>2.16181410272436E-3</v>
      </c>
      <c r="W269" s="48">
        <f>(E269-D269)/D269</f>
        <v>4.3336944745395447E-3</v>
      </c>
      <c r="X269" s="48">
        <f>(J269-I269)/I269</f>
        <v>-2.0547945205479451E-2</v>
      </c>
      <c r="Y269" s="48">
        <f>(O269-N269)/N269</f>
        <v>7.9710144927536229E-3</v>
      </c>
      <c r="Z269" s="48" t="e">
        <f>(#REF!-#REF!)/#REF!</f>
        <v>#REF!</v>
      </c>
    </row>
    <row r="270" spans="1:26" x14ac:dyDescent="0.3">
      <c r="A270" s="48">
        <v>20190207</v>
      </c>
      <c r="B270" s="48" t="s">
        <v>88</v>
      </c>
      <c r="C270" s="79">
        <f>E270*F270*G270/T270</f>
        <v>0.89765741952051081</v>
      </c>
      <c r="D270" s="49">
        <v>46350</v>
      </c>
      <c r="E270" s="49">
        <v>46200</v>
      </c>
      <c r="F270" s="49">
        <v>5969782550</v>
      </c>
      <c r="G270" s="49">
        <v>1</v>
      </c>
      <c r="H270" s="48">
        <f>J270*K270*L270/T270</f>
        <v>8.7380757926073721E-2</v>
      </c>
      <c r="I270" s="48">
        <v>214500</v>
      </c>
      <c r="J270" s="48">
        <v>214000</v>
      </c>
      <c r="K270" s="51">
        <v>125456133</v>
      </c>
      <c r="L270" s="48">
        <v>1</v>
      </c>
      <c r="M270" s="49">
        <f>O270*P270*Q270/T270</f>
        <v>1.4961822553415422E-2</v>
      </c>
      <c r="N270" s="49">
        <v>278200</v>
      </c>
      <c r="O270" s="49">
        <v>288100</v>
      </c>
      <c r="P270" s="49">
        <v>15956260</v>
      </c>
      <c r="Q270" s="49">
        <v>1</v>
      </c>
      <c r="R270" s="82">
        <f t="shared" si="14"/>
        <v>0</v>
      </c>
      <c r="S270" s="82">
        <f>IF(AND(R270=0,B270="N"),S269,S269*(D270*F270*G270+I270*K270*L270+N270*P270*Q270)/T269)</f>
        <v>335633499490600</v>
      </c>
      <c r="T270" s="81">
        <f>E270*F270*G270+J270*K270*L270+O270*P270*Q270</f>
        <v>307248564778000</v>
      </c>
      <c r="U270" s="80">
        <f t="shared" si="12"/>
        <v>915.42877944042959</v>
      </c>
      <c r="V270" s="52">
        <f t="shared" si="13"/>
        <v>-2.5977328674122494E-3</v>
      </c>
      <c r="W270" s="48">
        <f>(E270-D270)/D270</f>
        <v>-3.2362459546925568E-3</v>
      </c>
      <c r="X270" s="48">
        <f>(J270-I270)/I270</f>
        <v>-2.331002331002331E-3</v>
      </c>
      <c r="Y270" s="48">
        <f>(O270-N270)/N270</f>
        <v>3.5585909417685122E-2</v>
      </c>
      <c r="Z270" s="48" t="e">
        <f>(#REF!-#REF!)/#REF!</f>
        <v>#REF!</v>
      </c>
    </row>
    <row r="271" spans="1:26" x14ac:dyDescent="0.3">
      <c r="A271" s="48">
        <v>20190208</v>
      </c>
      <c r="B271" s="48" t="s">
        <v>88</v>
      </c>
      <c r="C271" s="79">
        <f>E271*F271*G271/T271</f>
        <v>0.89436775766037546</v>
      </c>
      <c r="D271" s="49">
        <v>46200</v>
      </c>
      <c r="E271" s="49">
        <v>44800</v>
      </c>
      <c r="F271" s="49">
        <v>5969782550</v>
      </c>
      <c r="G271" s="49">
        <v>1</v>
      </c>
      <c r="H271" s="48">
        <f>J271*K271*L271/T271</f>
        <v>9.0200711856217003E-2</v>
      </c>
      <c r="I271" s="48">
        <v>214000</v>
      </c>
      <c r="J271" s="48">
        <v>215000</v>
      </c>
      <c r="K271" s="51">
        <v>125456133</v>
      </c>
      <c r="L271" s="48">
        <v>1</v>
      </c>
      <c r="M271" s="49">
        <f>O271*P271*Q271/T271</f>
        <v>1.5431530483407545E-2</v>
      </c>
      <c r="N271" s="49">
        <v>288100</v>
      </c>
      <c r="O271" s="49">
        <v>289200</v>
      </c>
      <c r="P271" s="49">
        <v>15956260</v>
      </c>
      <c r="Q271" s="49">
        <v>1</v>
      </c>
      <c r="R271" s="82">
        <f t="shared" si="14"/>
        <v>0</v>
      </c>
      <c r="S271" s="82">
        <f>IF(AND(R271=0,B271="N"),S270,S270*(D271*F271*G271+I271*K271*L271+N271*P271*Q271)/T270)</f>
        <v>335633499490600</v>
      </c>
      <c r="T271" s="81">
        <f>E271*F271*G271+J271*K271*L271+O271*P271*Q271</f>
        <v>299033877227000</v>
      </c>
      <c r="U271" s="80">
        <f t="shared" si="12"/>
        <v>890.95360767280908</v>
      </c>
      <c r="V271" s="52">
        <f t="shared" si="13"/>
        <v>-2.6736292672141407E-2</v>
      </c>
      <c r="W271" s="48">
        <f>(E271-D271)/D271</f>
        <v>-3.0303030303030304E-2</v>
      </c>
      <c r="X271" s="48">
        <f>(J271-I271)/I271</f>
        <v>4.6728971962616819E-3</v>
      </c>
      <c r="Y271" s="48">
        <f>(O271-N271)/N271</f>
        <v>3.8181187087816732E-3</v>
      </c>
      <c r="Z271" s="48" t="e">
        <f>(#REF!-#REF!)/#REF!</f>
        <v>#REF!</v>
      </c>
    </row>
    <row r="272" spans="1:26" x14ac:dyDescent="0.3">
      <c r="A272" s="48">
        <v>20190211</v>
      </c>
      <c r="B272" s="48" t="s">
        <v>88</v>
      </c>
      <c r="C272" s="79">
        <f>E272*F272*G272/T272</f>
        <v>0.89456289946006862</v>
      </c>
      <c r="D272" s="49">
        <v>44800</v>
      </c>
      <c r="E272" s="49">
        <v>45000</v>
      </c>
      <c r="F272" s="49">
        <v>5969782550</v>
      </c>
      <c r="G272" s="49">
        <v>1</v>
      </c>
      <c r="H272" s="48">
        <f>J272*K272*L272/T272</f>
        <v>9.0028295552217891E-2</v>
      </c>
      <c r="I272" s="48">
        <v>215000</v>
      </c>
      <c r="J272" s="48">
        <v>215500</v>
      </c>
      <c r="K272" s="51">
        <v>125456133</v>
      </c>
      <c r="L272" s="48">
        <v>1</v>
      </c>
      <c r="M272" s="49">
        <f>O272*P272*Q272/T272</f>
        <v>1.5408804987713505E-2</v>
      </c>
      <c r="N272" s="49">
        <v>289200</v>
      </c>
      <c r="O272" s="49">
        <v>290000</v>
      </c>
      <c r="P272" s="49">
        <v>15956260</v>
      </c>
      <c r="Q272" s="49">
        <v>1</v>
      </c>
      <c r="R272" s="82">
        <f t="shared" si="14"/>
        <v>0</v>
      </c>
      <c r="S272" s="82">
        <f>IF(AND(R272=0,B272="N"),S271,S271*(D272*F272*G272+I272*K272*L272+N272*P272*Q272)/T271)</f>
        <v>335633499490600</v>
      </c>
      <c r="T272" s="81">
        <f>E272*F272*G272+J272*K272*L272+O272*P272*Q272</f>
        <v>300303326811500</v>
      </c>
      <c r="U272" s="80">
        <f t="shared" si="12"/>
        <v>894.73585702046569</v>
      </c>
      <c r="V272" s="52">
        <f t="shared" si="13"/>
        <v>4.2451697990604957E-3</v>
      </c>
      <c r="W272" s="48">
        <f>(E272-D272)/D272</f>
        <v>4.464285714285714E-3</v>
      </c>
      <c r="X272" s="48">
        <f>(J272-I272)/I272</f>
        <v>2.3255813953488372E-3</v>
      </c>
      <c r="Y272" s="48">
        <f>(O272-N272)/N272</f>
        <v>2.7662517289073307E-3</v>
      </c>
      <c r="Z272" s="48" t="e">
        <f>(#REF!-#REF!)/#REF!</f>
        <v>#REF!</v>
      </c>
    </row>
    <row r="273" spans="1:26" x14ac:dyDescent="0.3">
      <c r="A273" s="48">
        <v>20190212</v>
      </c>
      <c r="B273" s="48" t="s">
        <v>88</v>
      </c>
      <c r="C273" s="79">
        <f>E273*F273*G273/T273</f>
        <v>0.89832182758937573</v>
      </c>
      <c r="D273" s="49">
        <v>45000</v>
      </c>
      <c r="E273" s="49">
        <v>46050</v>
      </c>
      <c r="F273" s="49">
        <v>5969782550</v>
      </c>
      <c r="G273" s="49">
        <v>1</v>
      </c>
      <c r="H273" s="48">
        <f>J273*K273*L273/T273</f>
        <v>8.711534020093889E-2</v>
      </c>
      <c r="I273" s="48">
        <v>215500</v>
      </c>
      <c r="J273" s="48">
        <v>212500</v>
      </c>
      <c r="K273" s="51">
        <v>125456133</v>
      </c>
      <c r="L273" s="48">
        <v>1</v>
      </c>
      <c r="M273" s="49">
        <f>O273*P273*Q273/T273</f>
        <v>1.4562832209685428E-2</v>
      </c>
      <c r="N273" s="49">
        <v>290000</v>
      </c>
      <c r="O273" s="49">
        <v>279300</v>
      </c>
      <c r="P273" s="49">
        <v>15956260</v>
      </c>
      <c r="Q273" s="49">
        <v>1</v>
      </c>
      <c r="R273" s="82">
        <f t="shared" si="14"/>
        <v>0</v>
      </c>
      <c r="S273" s="82">
        <f>IF(AND(R273=0,B273="N"),S272,S272*(D273*F273*G273+I273*K273*L273+N273*P273*Q273)/T272)</f>
        <v>335633499490600</v>
      </c>
      <c r="T273" s="81">
        <f>E273*F273*G273+J273*K273*L273+O273*P273*Q273</f>
        <v>306024498108000</v>
      </c>
      <c r="U273" s="80">
        <f t="shared" si="12"/>
        <v>911.78174578062567</v>
      </c>
      <c r="V273" s="52">
        <f t="shared" si="13"/>
        <v>1.9051308412880656E-2</v>
      </c>
      <c r="W273" s="48">
        <f>(E273-D273)/D273</f>
        <v>2.3333333333333334E-2</v>
      </c>
      <c r="X273" s="48">
        <f>(J273-I273)/I273</f>
        <v>-1.3921113689095127E-2</v>
      </c>
      <c r="Y273" s="48">
        <f>(O273-N273)/N273</f>
        <v>-3.689655172413793E-2</v>
      </c>
      <c r="Z273" s="48" t="e">
        <f>(#REF!-#REF!)/#REF!</f>
        <v>#REF!</v>
      </c>
    </row>
    <row r="274" spans="1:26" x14ac:dyDescent="0.3">
      <c r="A274" s="48">
        <v>20190213</v>
      </c>
      <c r="B274" s="48" t="s">
        <v>88</v>
      </c>
      <c r="C274" s="79">
        <f>E274*F274*G274/T274</f>
        <v>0.89864797462332324</v>
      </c>
      <c r="D274" s="49">
        <v>46050</v>
      </c>
      <c r="E274" s="49">
        <v>46200</v>
      </c>
      <c r="F274" s="49">
        <v>5969782550</v>
      </c>
      <c r="G274" s="49">
        <v>1</v>
      </c>
      <c r="H274" s="48">
        <f>J274*K274*L274/T274</f>
        <v>8.66596378791019E-2</v>
      </c>
      <c r="I274" s="48">
        <v>212500</v>
      </c>
      <c r="J274" s="48">
        <v>212000</v>
      </c>
      <c r="K274" s="51">
        <v>125456133</v>
      </c>
      <c r="L274" s="48">
        <v>1</v>
      </c>
      <c r="M274" s="49">
        <f>O274*P274*Q274/T274</f>
        <v>1.4692387497574814E-2</v>
      </c>
      <c r="N274" s="49">
        <v>279300</v>
      </c>
      <c r="O274" s="49">
        <v>282600</v>
      </c>
      <c r="P274" s="49">
        <v>15956260</v>
      </c>
      <c r="Q274" s="49">
        <v>1</v>
      </c>
      <c r="R274" s="82">
        <f t="shared" si="14"/>
        <v>0</v>
      </c>
      <c r="S274" s="82">
        <f>IF(AND(R274=0,B274="N"),S273,S273*(D274*F274*G274+I274*K274*L274+N274*P274*Q274)/T273)</f>
        <v>335633499490600</v>
      </c>
      <c r="T274" s="81">
        <f>E274*F274*G274+J274*K274*L274+O274*P274*Q274</f>
        <v>306909893082000</v>
      </c>
      <c r="U274" s="80">
        <f t="shared" si="12"/>
        <v>914.41972731507849</v>
      </c>
      <c r="V274" s="52">
        <f t="shared" si="13"/>
        <v>2.8932159989606952E-3</v>
      </c>
      <c r="W274" s="48">
        <f>(E274-D274)/D274</f>
        <v>3.2573289902280132E-3</v>
      </c>
      <c r="X274" s="48">
        <f>(J274-I274)/I274</f>
        <v>-2.352941176470588E-3</v>
      </c>
      <c r="Y274" s="48">
        <f>(O274-N274)/N274</f>
        <v>1.1815252416756176E-2</v>
      </c>
      <c r="Z274" s="48" t="e">
        <f>(#REF!-#REF!)/#REF!</f>
        <v>#REF!</v>
      </c>
    </row>
    <row r="275" spans="1:26" s="47" customFormat="1" x14ac:dyDescent="0.3">
      <c r="A275" s="48">
        <v>20190214</v>
      </c>
      <c r="B275" s="48" t="s">
        <v>88</v>
      </c>
      <c r="C275" s="79">
        <f>E275*F275*G275/T275</f>
        <v>0.90198576247322104</v>
      </c>
      <c r="D275" s="49">
        <v>46200</v>
      </c>
      <c r="E275" s="49">
        <v>47500</v>
      </c>
      <c r="F275" s="49">
        <v>5969782550</v>
      </c>
      <c r="G275" s="49">
        <v>1</v>
      </c>
      <c r="H275" s="48">
        <f>J275*K275*L275/T275</f>
        <v>8.3802842997756519E-2</v>
      </c>
      <c r="I275" s="48">
        <v>212000</v>
      </c>
      <c r="J275" s="48">
        <v>210000</v>
      </c>
      <c r="K275" s="51">
        <v>125456133</v>
      </c>
      <c r="L275" s="48">
        <v>1</v>
      </c>
      <c r="M275" s="49">
        <f>O275*P275*Q275/T275</f>
        <v>1.4211394529022425E-2</v>
      </c>
      <c r="N275" s="49">
        <v>282600</v>
      </c>
      <c r="O275" s="49">
        <v>280000</v>
      </c>
      <c r="P275" s="49">
        <v>15956260</v>
      </c>
      <c r="Q275" s="49">
        <v>1</v>
      </c>
      <c r="R275" s="82">
        <f t="shared" si="14"/>
        <v>0</v>
      </c>
      <c r="S275" s="82">
        <f>IF(AND(R275=0,B275="N"),S274,S274*(D275*F275*G275+I275*K275*L275+N275*P275*Q275)/T274)</f>
        <v>335633499490600</v>
      </c>
      <c r="T275" s="81">
        <f>E275*F275*G275+J275*K275*L275+O275*P275*Q275</f>
        <v>314378211855000</v>
      </c>
      <c r="U275" s="80">
        <f t="shared" si="12"/>
        <v>936.67113780996317</v>
      </c>
      <c r="V275" s="52">
        <f t="shared" si="13"/>
        <v>2.4333913442811789E-2</v>
      </c>
      <c r="W275" s="48">
        <f>(E275-D275)/D275</f>
        <v>2.813852813852814E-2</v>
      </c>
      <c r="X275" s="48">
        <f>(J275-I275)/I275</f>
        <v>-9.433962264150943E-3</v>
      </c>
      <c r="Y275" s="48">
        <f>(O275-N275)/N275</f>
        <v>-9.200283085633405E-3</v>
      </c>
      <c r="Z275" s="48" t="e">
        <f>(#REF!-#REF!)/#REF!</f>
        <v>#REF!</v>
      </c>
    </row>
    <row r="276" spans="1:26" x14ac:dyDescent="0.3">
      <c r="A276" s="48">
        <v>20190215</v>
      </c>
      <c r="B276" s="48" t="s">
        <v>88</v>
      </c>
      <c r="C276" s="79">
        <f>E276*F276*G276/T276</f>
        <v>0.89917451937988346</v>
      </c>
      <c r="D276" s="49">
        <v>47500</v>
      </c>
      <c r="E276" s="49">
        <v>46050</v>
      </c>
      <c r="F276" s="49">
        <v>5969782550</v>
      </c>
      <c r="G276" s="49">
        <v>1</v>
      </c>
      <c r="H276" s="48">
        <f>J276*K276*L276/T276</f>
        <v>8.5966999519412529E-2</v>
      </c>
      <c r="I276" s="48">
        <v>210000</v>
      </c>
      <c r="J276" s="48">
        <v>209500</v>
      </c>
      <c r="K276" s="51">
        <v>125456133</v>
      </c>
      <c r="L276" s="48">
        <v>1</v>
      </c>
      <c r="M276" s="49">
        <f>O276*P276*Q276/T276</f>
        <v>1.4858481100704E-2</v>
      </c>
      <c r="N276" s="49">
        <v>280000</v>
      </c>
      <c r="O276" s="49">
        <v>284700</v>
      </c>
      <c r="P276" s="49">
        <v>15956260</v>
      </c>
      <c r="Q276" s="49">
        <v>1</v>
      </c>
      <c r="R276" s="82">
        <f t="shared" si="14"/>
        <v>0</v>
      </c>
      <c r="S276" s="82">
        <f>IF(AND(R276=0,B276="N"),S275,S275*(D276*F276*G276+I276*K276*L276+N276*P276*Q276)/T275)</f>
        <v>335633499490600</v>
      </c>
      <c r="T276" s="81">
        <f>E276*F276*G276+J276*K276*L276+O276*P276*Q276</f>
        <v>305734293513000</v>
      </c>
      <c r="U276" s="80">
        <f t="shared" si="12"/>
        <v>910.91709849291317</v>
      </c>
      <c r="V276" s="52">
        <f t="shared" si="13"/>
        <v>-2.7495284393267084E-2</v>
      </c>
      <c r="W276" s="48">
        <f>(E276-D276)/D276</f>
        <v>-3.0526315789473683E-2</v>
      </c>
      <c r="X276" s="48">
        <f>(J276-I276)/I276</f>
        <v>-2.3809523809523812E-3</v>
      </c>
      <c r="Y276" s="48">
        <f>(O276-N276)/N276</f>
        <v>1.6785714285714286E-2</v>
      </c>
      <c r="Z276" s="48" t="e">
        <f>(#REF!-#REF!)/#REF!</f>
        <v>#REF!</v>
      </c>
    </row>
    <row r="277" spans="1:26" x14ac:dyDescent="0.3">
      <c r="A277" s="48">
        <v>20190218</v>
      </c>
      <c r="B277" s="48" t="s">
        <v>88</v>
      </c>
      <c r="C277" s="79">
        <f>E277*F277*G277/T277</f>
        <v>0.89883022250549582</v>
      </c>
      <c r="D277" s="49">
        <v>46050</v>
      </c>
      <c r="E277" s="49">
        <v>46200</v>
      </c>
      <c r="F277" s="49">
        <v>5969782550</v>
      </c>
      <c r="G277" s="49">
        <v>1</v>
      </c>
      <c r="H277" s="48">
        <f>J277*K277*L277/T277</f>
        <v>8.6677212653562305E-2</v>
      </c>
      <c r="I277" s="48">
        <v>209500</v>
      </c>
      <c r="J277" s="48">
        <v>212000</v>
      </c>
      <c r="K277" s="51">
        <v>125456133</v>
      </c>
      <c r="L277" s="48">
        <v>1</v>
      </c>
      <c r="M277" s="49">
        <f>O277*P277*Q277/T277</f>
        <v>1.4492564840941828E-2</v>
      </c>
      <c r="N277" s="49">
        <v>284700</v>
      </c>
      <c r="O277" s="49">
        <v>278700</v>
      </c>
      <c r="P277" s="49">
        <v>15956260</v>
      </c>
      <c r="Q277" s="49">
        <v>1</v>
      </c>
      <c r="R277" s="82">
        <f t="shared" si="14"/>
        <v>0</v>
      </c>
      <c r="S277" s="82">
        <f>IF(AND(R277=0,B277="N"),S276,S276*(D277*F277*G277+I277*K277*L277+N277*P277*Q277)/T276)</f>
        <v>335633499490600</v>
      </c>
      <c r="T277" s="81">
        <f>E277*F277*G277+J277*K277*L277+O277*P277*Q277</f>
        <v>306847663668000</v>
      </c>
      <c r="U277" s="80">
        <f t="shared" si="12"/>
        <v>914.23431848641735</v>
      </c>
      <c r="V277" s="52">
        <f t="shared" si="13"/>
        <v>3.6416266628351026E-3</v>
      </c>
      <c r="W277" s="48">
        <f>(E277-D277)/D277</f>
        <v>3.2573289902280132E-3</v>
      </c>
      <c r="X277" s="48">
        <f>(J277-I277)/I277</f>
        <v>1.1933174224343675E-2</v>
      </c>
      <c r="Y277" s="48">
        <f>(O277-N277)/N277</f>
        <v>-2.107481559536354E-2</v>
      </c>
      <c r="Z277" s="48" t="e">
        <f>(#REF!-#REF!)/#REF!</f>
        <v>#REF!</v>
      </c>
    </row>
    <row r="278" spans="1:26" x14ac:dyDescent="0.3">
      <c r="A278" s="48">
        <v>20190219</v>
      </c>
      <c r="B278" s="48" t="s">
        <v>88</v>
      </c>
      <c r="C278" s="79">
        <f>E278*F278*G278/T278</f>
        <v>0.89678054676721564</v>
      </c>
      <c r="D278" s="49">
        <v>46200</v>
      </c>
      <c r="E278" s="49">
        <v>45950</v>
      </c>
      <c r="F278" s="49">
        <v>5969782550</v>
      </c>
      <c r="G278" s="49">
        <v>1</v>
      </c>
      <c r="H278" s="48">
        <f>J278*K278*L278/T278</f>
        <v>8.8180489997534403E-2</v>
      </c>
      <c r="I278" s="48">
        <v>212000</v>
      </c>
      <c r="J278" s="48">
        <v>215000</v>
      </c>
      <c r="K278" s="51">
        <v>125456133</v>
      </c>
      <c r="L278" s="48">
        <v>1</v>
      </c>
      <c r="M278" s="49">
        <f>O278*P278*Q278/T278</f>
        <v>1.5038963235249921E-2</v>
      </c>
      <c r="N278" s="49">
        <v>278700</v>
      </c>
      <c r="O278" s="49">
        <v>288300</v>
      </c>
      <c r="P278" s="49">
        <v>15956260</v>
      </c>
      <c r="Q278" s="49">
        <v>1</v>
      </c>
      <c r="R278" s="82">
        <f t="shared" si="14"/>
        <v>0</v>
      </c>
      <c r="S278" s="82">
        <f>IF(AND(R278=0,B278="N"),S277,S277*(D278*F278*G278+I278*K278*L278+N278*P278*Q278)/T277)</f>
        <v>335633499490600</v>
      </c>
      <c r="T278" s="81">
        <f>E278*F278*G278+J278*K278*L278+O278*P278*Q278</f>
        <v>305884766525500</v>
      </c>
      <c r="U278" s="80">
        <f t="shared" si="12"/>
        <v>911.36542386188967</v>
      </c>
      <c r="V278" s="52">
        <f t="shared" si="13"/>
        <v>-3.138029897277704E-3</v>
      </c>
      <c r="W278" s="48">
        <f>(E278-D278)/D278</f>
        <v>-5.411255411255411E-3</v>
      </c>
      <c r="X278" s="48">
        <f>(J278-I278)/I278</f>
        <v>1.4150943396226415E-2</v>
      </c>
      <c r="Y278" s="48">
        <f>(O278-N278)/N278</f>
        <v>3.4445640473627553E-2</v>
      </c>
      <c r="Z278" s="48" t="e">
        <f>(#REF!-#REF!)/#REF!</f>
        <v>#REF!</v>
      </c>
    </row>
    <row r="279" spans="1:26" s="73" customFormat="1" x14ac:dyDescent="0.3">
      <c r="A279" s="48">
        <v>20190220</v>
      </c>
      <c r="B279" s="48" t="s">
        <v>88</v>
      </c>
      <c r="C279" s="79">
        <f>E279*F279*G279/T279</f>
        <v>0.89909335190216244</v>
      </c>
      <c r="D279" s="49">
        <v>45950</v>
      </c>
      <c r="E279" s="49">
        <v>46900</v>
      </c>
      <c r="F279" s="49">
        <v>5969782550</v>
      </c>
      <c r="G279" s="49">
        <v>1</v>
      </c>
      <c r="H279" s="48">
        <f>J279*K279*L279/T279</f>
        <v>8.6016461308088432E-2</v>
      </c>
      <c r="I279" s="48">
        <v>215000</v>
      </c>
      <c r="J279" s="48">
        <v>213500</v>
      </c>
      <c r="K279" s="51">
        <v>125461438</v>
      </c>
      <c r="L279" s="48">
        <v>1</v>
      </c>
      <c r="M279" s="49">
        <f>O279*P279*Q279/T279</f>
        <v>1.489018678974916E-2</v>
      </c>
      <c r="N279" s="49">
        <v>288300</v>
      </c>
      <c r="O279" s="49">
        <v>290600</v>
      </c>
      <c r="P279" s="49">
        <v>15956260</v>
      </c>
      <c r="Q279" s="49">
        <v>1</v>
      </c>
      <c r="R279" s="82">
        <f t="shared" si="14"/>
        <v>1</v>
      </c>
      <c r="S279" s="82">
        <f>IF(AND(R279=0,B279="N"),S278,S278*(D279*F279*G279+I279*K279*L279+N279*P279*Q279)/T278)</f>
        <v>335634750991886</v>
      </c>
      <c r="T279" s="81">
        <f>E279*F279*G279+J279*K279*L279+O279*P279*Q279</f>
        <v>311405707764000</v>
      </c>
      <c r="U279" s="80">
        <f t="shared" si="12"/>
        <v>927.8112795046311</v>
      </c>
      <c r="V279" s="52">
        <f t="shared" si="13"/>
        <v>1.8045292494258239E-2</v>
      </c>
      <c r="W279" s="48">
        <f>(E279-D279)/D279</f>
        <v>2.0674646354733407E-2</v>
      </c>
      <c r="X279" s="48">
        <f>(J279-I279)/I279</f>
        <v>-6.9767441860465115E-3</v>
      </c>
      <c r="Y279" s="48">
        <f>(O279-N279)/N279</f>
        <v>7.9778009018383628E-3</v>
      </c>
      <c r="Z279" s="48" t="e">
        <f>(#REF!-#REF!)/#REF!</f>
        <v>#REF!</v>
      </c>
    </row>
    <row r="280" spans="1:26" x14ac:dyDescent="0.3">
      <c r="A280" s="48">
        <v>20190221</v>
      </c>
      <c r="B280" s="48" t="s">
        <v>88</v>
      </c>
      <c r="C280" s="79">
        <f>E280*F280*G280/T280</f>
        <v>0.90152407765664999</v>
      </c>
      <c r="D280" s="49">
        <v>46900</v>
      </c>
      <c r="E280" s="49">
        <v>46950</v>
      </c>
      <c r="F280" s="49">
        <v>5969782550</v>
      </c>
      <c r="G280" s="49">
        <v>1</v>
      </c>
      <c r="H280" s="48">
        <f>J280*K280*L280/T280</f>
        <v>8.3735878974277672E-2</v>
      </c>
      <c r="I280" s="48">
        <v>213500</v>
      </c>
      <c r="J280" s="48">
        <v>207500</v>
      </c>
      <c r="K280" s="51">
        <v>125461438</v>
      </c>
      <c r="L280" s="48">
        <v>1</v>
      </c>
      <c r="M280" s="49">
        <f>O280*P280*Q280/T280</f>
        <v>1.4740043369072376E-2</v>
      </c>
      <c r="N280" s="49">
        <v>290600</v>
      </c>
      <c r="O280" s="49">
        <v>287200</v>
      </c>
      <c r="P280" s="49">
        <v>15956260</v>
      </c>
      <c r="Q280" s="49">
        <v>1</v>
      </c>
      <c r="R280" s="82">
        <f t="shared" si="14"/>
        <v>0</v>
      </c>
      <c r="S280" s="82">
        <f>IF(AND(R280=0,B280="N"),S279,S279*(D280*F280*G280+I280*K280*L280+N280*P280*Q280)/T279)</f>
        <v>335634750991886</v>
      </c>
      <c r="T280" s="81">
        <f>E280*F280*G280+J280*K280*L280+O280*P280*Q280</f>
        <v>310897176979500</v>
      </c>
      <c r="U280" s="80">
        <f t="shared" si="12"/>
        <v>926.29614800231457</v>
      </c>
      <c r="V280" s="52">
        <f t="shared" si="13"/>
        <v>-1.6330169030985278E-3</v>
      </c>
      <c r="W280" s="48">
        <f>(E280-D280)/D280</f>
        <v>1.0660980810234541E-3</v>
      </c>
      <c r="X280" s="48">
        <f>(J280-I280)/I280</f>
        <v>-2.8103044496487119E-2</v>
      </c>
      <c r="Y280" s="48">
        <f>(O280-N280)/N280</f>
        <v>-1.1699931176875429E-2</v>
      </c>
      <c r="Z280" s="48" t="e">
        <f>(#REF!-#REF!)/#REF!</f>
        <v>#REF!</v>
      </c>
    </row>
    <row r="281" spans="1:26" x14ac:dyDescent="0.3">
      <c r="A281" s="48">
        <v>20190222</v>
      </c>
      <c r="B281" s="48" t="s">
        <v>88</v>
      </c>
      <c r="C281" s="79">
        <f>E281*F281*G281/T281</f>
        <v>0.90206829456051452</v>
      </c>
      <c r="D281" s="49">
        <v>46950</v>
      </c>
      <c r="E281" s="49">
        <v>47150</v>
      </c>
      <c r="F281" s="49">
        <v>5969782550</v>
      </c>
      <c r="G281" s="49">
        <v>1</v>
      </c>
      <c r="H281" s="48">
        <f>J281*K281*L281/T281</f>
        <v>8.3229984910436414E-2</v>
      </c>
      <c r="I281" s="48">
        <v>207500</v>
      </c>
      <c r="J281" s="48">
        <v>207000</v>
      </c>
      <c r="K281" s="51">
        <v>125461438</v>
      </c>
      <c r="L281" s="48">
        <v>1</v>
      </c>
      <c r="M281" s="49">
        <f>O281*P281*Q281/T281</f>
        <v>1.4701720529049025E-2</v>
      </c>
      <c r="N281" s="49">
        <v>287200</v>
      </c>
      <c r="O281" s="49">
        <v>287500</v>
      </c>
      <c r="P281" s="49">
        <v>15956260</v>
      </c>
      <c r="Q281" s="49">
        <v>1</v>
      </c>
      <c r="R281" s="82">
        <f t="shared" si="14"/>
        <v>0</v>
      </c>
      <c r="S281" s="82">
        <f>IF(AND(R281=0,B281="N"),S280,S280*(D281*F281*G281+I281*K281*L281+N281*P281*Q281)/T280)</f>
        <v>335634750991886</v>
      </c>
      <c r="T281" s="81">
        <f>E281*F281*G281+J281*K281*L281+O281*P281*Q281</f>
        <v>312033189648500</v>
      </c>
      <c r="U281" s="80">
        <f t="shared" si="12"/>
        <v>929.68081739558443</v>
      </c>
      <c r="V281" s="52">
        <f t="shared" si="13"/>
        <v>3.653981937169194E-3</v>
      </c>
      <c r="W281" s="48">
        <f>(E281-D281)/D281</f>
        <v>4.2598509052183178E-3</v>
      </c>
      <c r="X281" s="48">
        <f>(J281-I281)/I281</f>
        <v>-2.4096385542168677E-3</v>
      </c>
      <c r="Y281" s="48">
        <f>(O281-N281)/N281</f>
        <v>1.0445682451253482E-3</v>
      </c>
      <c r="Z281" s="48" t="e">
        <f>(#REF!-#REF!)/#REF!</f>
        <v>#REF!</v>
      </c>
    </row>
    <row r="282" spans="1:26" x14ac:dyDescent="0.3">
      <c r="A282" s="48">
        <v>20190225</v>
      </c>
      <c r="B282" s="48" t="s">
        <v>88</v>
      </c>
      <c r="C282" s="79">
        <f>E282*F282*G282/T282</f>
        <v>0.90373471713186959</v>
      </c>
      <c r="D282" s="49">
        <v>47150</v>
      </c>
      <c r="E282" s="49">
        <v>47350</v>
      </c>
      <c r="F282" s="49">
        <v>5969782550</v>
      </c>
      <c r="G282" s="49">
        <v>1</v>
      </c>
      <c r="H282" s="48">
        <f>J282*K282*L282/T282</f>
        <v>8.1828181347182866E-2</v>
      </c>
      <c r="I282" s="48">
        <v>207000</v>
      </c>
      <c r="J282" s="48">
        <v>204000</v>
      </c>
      <c r="K282" s="51">
        <v>125461438</v>
      </c>
      <c r="L282" s="48">
        <v>1</v>
      </c>
      <c r="M282" s="49">
        <f>O282*P282*Q282/T282</f>
        <v>1.4437101520947503E-2</v>
      </c>
      <c r="N282" s="49">
        <v>287500</v>
      </c>
      <c r="O282" s="49">
        <v>283000</v>
      </c>
      <c r="P282" s="49">
        <v>15956260</v>
      </c>
      <c r="Q282" s="49">
        <v>1</v>
      </c>
      <c r="R282" s="82">
        <f t="shared" si="14"/>
        <v>0</v>
      </c>
      <c r="S282" s="82">
        <f>IF(AND(R282=0,B282="N"),S281,S281*(D282*F282*G282+I282*K282*L282+N282*P282*Q282)/T281)</f>
        <v>335634750991886</v>
      </c>
      <c r="T282" s="81">
        <f>E282*F282*G282+J282*K282*L282+O282*P282*Q282</f>
        <v>312778958674500</v>
      </c>
      <c r="U282" s="80">
        <f t="shared" si="12"/>
        <v>931.90278345778756</v>
      </c>
      <c r="V282" s="52">
        <f t="shared" si="13"/>
        <v>2.3900310952180031E-3</v>
      </c>
      <c r="W282" s="48">
        <f>(E282-D282)/D282</f>
        <v>4.2417815482502655E-3</v>
      </c>
      <c r="X282" s="48">
        <f>(J282-I282)/I282</f>
        <v>-1.4492753623188406E-2</v>
      </c>
      <c r="Y282" s="48">
        <f>(O282-N282)/N282</f>
        <v>-1.5652173913043479E-2</v>
      </c>
      <c r="Z282" s="48" t="e">
        <f>(#REF!-#REF!)/#REF!</f>
        <v>#REF!</v>
      </c>
    </row>
    <row r="283" spans="1:26" x14ac:dyDescent="0.3">
      <c r="A283" s="48">
        <v>20190226</v>
      </c>
      <c r="B283" s="48" t="s">
        <v>88</v>
      </c>
      <c r="C283" s="79">
        <f>E283*F283*G283/T283</f>
        <v>0.9025062980163614</v>
      </c>
      <c r="D283" s="49">
        <v>47350</v>
      </c>
      <c r="E283" s="49">
        <v>46750</v>
      </c>
      <c r="F283" s="49">
        <v>5969782550</v>
      </c>
      <c r="G283" s="49">
        <v>1</v>
      </c>
      <c r="H283" s="48">
        <f>J283*K283*L283/T283</f>
        <v>8.2968585718033255E-2</v>
      </c>
      <c r="I283" s="48">
        <v>204000</v>
      </c>
      <c r="J283" s="48">
        <v>204500</v>
      </c>
      <c r="K283" s="51">
        <v>125461438</v>
      </c>
      <c r="L283" s="48">
        <v>1</v>
      </c>
      <c r="M283" s="49">
        <f>O283*P283*Q283/T283</f>
        <v>1.4525116265605324E-2</v>
      </c>
      <c r="N283" s="49">
        <v>283000</v>
      </c>
      <c r="O283" s="49">
        <v>281500</v>
      </c>
      <c r="P283" s="49">
        <v>15956260</v>
      </c>
      <c r="Q283" s="49">
        <v>1</v>
      </c>
      <c r="R283" s="82">
        <f t="shared" si="14"/>
        <v>0</v>
      </c>
      <c r="S283" s="82">
        <f>IF(AND(R283=0,B283="N"),S282,S282*(D283*F283*G283+I283*K283*L283+N283*P283*Q283)/T282)</f>
        <v>335634750991886</v>
      </c>
      <c r="T283" s="81">
        <f>E283*F283*G283+J283*K283*L283+O283*P283*Q283</f>
        <v>309235885473500</v>
      </c>
      <c r="U283" s="80">
        <f t="shared" si="12"/>
        <v>921.3464474689506</v>
      </c>
      <c r="V283" s="52">
        <f t="shared" si="13"/>
        <v>-1.1327722350681373E-2</v>
      </c>
      <c r="W283" s="48">
        <f>(E283-D283)/D283</f>
        <v>-1.2671594508975714E-2</v>
      </c>
      <c r="X283" s="48">
        <f>(J283-I283)/I283</f>
        <v>2.4509803921568627E-3</v>
      </c>
      <c r="Y283" s="48">
        <f>(O283-N283)/N283</f>
        <v>-5.3003533568904597E-3</v>
      </c>
      <c r="Z283" s="48" t="e">
        <f>(#REF!-#REF!)/#REF!</f>
        <v>#REF!</v>
      </c>
    </row>
    <row r="284" spans="1:26" x14ac:dyDescent="0.3">
      <c r="A284" s="48">
        <v>20190227</v>
      </c>
      <c r="B284" s="48" t="s">
        <v>88</v>
      </c>
      <c r="C284" s="79">
        <f>E284*F284*G284/T284</f>
        <v>0.90343515988708711</v>
      </c>
      <c r="D284" s="49">
        <v>46750</v>
      </c>
      <c r="E284" s="49">
        <v>46750</v>
      </c>
      <c r="F284" s="49">
        <v>5969782550</v>
      </c>
      <c r="G284" s="49">
        <v>1</v>
      </c>
      <c r="H284" s="48">
        <f>J284*K284*L284/T284</f>
        <v>8.2241713370304351E-2</v>
      </c>
      <c r="I284" s="48">
        <v>204500</v>
      </c>
      <c r="J284" s="48">
        <v>202500</v>
      </c>
      <c r="K284" s="51">
        <v>125461438</v>
      </c>
      <c r="L284" s="48">
        <v>1</v>
      </c>
      <c r="M284" s="49">
        <f>O284*P284*Q284/T284</f>
        <v>1.4323126742608487E-2</v>
      </c>
      <c r="N284" s="49">
        <v>281500</v>
      </c>
      <c r="O284" s="49">
        <v>277300</v>
      </c>
      <c r="P284" s="49">
        <v>15956260</v>
      </c>
      <c r="Q284" s="49">
        <v>1</v>
      </c>
      <c r="R284" s="82">
        <f t="shared" si="14"/>
        <v>0</v>
      </c>
      <c r="S284" s="82">
        <f>IF(AND(R284=0,B284="N"),S283,S283*(D284*F284*G284+I284*K284*L284+N284*P284*Q284)/T283)</f>
        <v>335634750991886</v>
      </c>
      <c r="T284" s="81">
        <f>E284*F284*G284+J284*K284*L284+O284*P284*Q284</f>
        <v>308917946305500</v>
      </c>
      <c r="U284" s="80">
        <f t="shared" si="12"/>
        <v>920.3991702068065</v>
      </c>
      <c r="V284" s="52">
        <f t="shared" si="13"/>
        <v>-1.0281444778415139E-3</v>
      </c>
      <c r="W284" s="48">
        <f>(E284-D284)/D284</f>
        <v>0</v>
      </c>
      <c r="X284" s="48">
        <f>(J284-I284)/I284</f>
        <v>-9.7799511002444987E-3</v>
      </c>
      <c r="Y284" s="48">
        <f>(O284-N284)/N284</f>
        <v>-1.4920071047957371E-2</v>
      </c>
      <c r="Z284" s="48" t="e">
        <f>(#REF!-#REF!)/#REF!</f>
        <v>#REF!</v>
      </c>
    </row>
    <row r="285" spans="1:26" x14ac:dyDescent="0.3">
      <c r="A285" s="48">
        <v>20190228</v>
      </c>
      <c r="B285" s="48" t="s">
        <v>88</v>
      </c>
      <c r="C285" s="79">
        <f>E285*F285*G285/T285</f>
        <v>0.89947601571994218</v>
      </c>
      <c r="D285" s="49">
        <v>46750</v>
      </c>
      <c r="E285" s="49">
        <v>45100</v>
      </c>
      <c r="F285" s="49">
        <v>5969782550</v>
      </c>
      <c r="G285" s="49">
        <v>1</v>
      </c>
      <c r="H285" s="48">
        <f>J285*K285*L285/T285</f>
        <v>8.571525209008786E-2</v>
      </c>
      <c r="I285" s="48">
        <v>202500</v>
      </c>
      <c r="J285" s="48">
        <v>204500</v>
      </c>
      <c r="K285" s="51">
        <v>125461438</v>
      </c>
      <c r="L285" s="48">
        <v>1</v>
      </c>
      <c r="M285" s="49">
        <f>O285*P285*Q285/T285</f>
        <v>1.4808732189970019E-2</v>
      </c>
      <c r="N285" s="49">
        <v>277300</v>
      </c>
      <c r="O285" s="49">
        <v>277800</v>
      </c>
      <c r="P285" s="49">
        <v>15956260</v>
      </c>
      <c r="Q285" s="49">
        <v>1</v>
      </c>
      <c r="R285" s="82">
        <f t="shared" si="14"/>
        <v>0</v>
      </c>
      <c r="S285" s="82">
        <f>IF(AND(R285=0,B285="N"),S284,S284*(D285*F285*G285+I285*K285*L285+N285*P285*Q285)/T284)</f>
        <v>335634750991886</v>
      </c>
      <c r="T285" s="81">
        <f>E285*F285*G285+J285*K285*L285+O285*P285*Q285</f>
        <v>299326706104000</v>
      </c>
      <c r="U285" s="80">
        <f t="shared" si="12"/>
        <v>891.8227484472734</v>
      </c>
      <c r="V285" s="52">
        <f t="shared" si="13"/>
        <v>-3.1047856934847306E-2</v>
      </c>
      <c r="W285" s="48">
        <f>(E285-D285)/D285</f>
        <v>-3.5294117647058823E-2</v>
      </c>
      <c r="X285" s="48">
        <f>(J285-I285)/I285</f>
        <v>9.876543209876543E-3</v>
      </c>
      <c r="Y285" s="48">
        <f>(O285-N285)/N285</f>
        <v>1.8031013342949874E-3</v>
      </c>
      <c r="Z285" s="48" t="e">
        <f>(#REF!-#REF!)/#REF!</f>
        <v>#REF!</v>
      </c>
    </row>
    <row r="286" spans="1:26" x14ac:dyDescent="0.3">
      <c r="A286" s="48">
        <v>20190304</v>
      </c>
      <c r="B286" s="48" t="s">
        <v>88</v>
      </c>
      <c r="C286" s="79">
        <f>E286*F286*G286/T286</f>
        <v>0.89721356967497246</v>
      </c>
      <c r="D286" s="49">
        <v>45100</v>
      </c>
      <c r="E286" s="49">
        <v>44850</v>
      </c>
      <c r="F286" s="49">
        <v>5969782550</v>
      </c>
      <c r="G286" s="49">
        <v>1</v>
      </c>
      <c r="H286" s="48">
        <f>J286*K286*L286/T286</f>
        <v>8.7237504912398067E-2</v>
      </c>
      <c r="I286" s="48">
        <v>204500</v>
      </c>
      <c r="J286" s="48">
        <v>207500</v>
      </c>
      <c r="K286" s="51">
        <v>125461438</v>
      </c>
      <c r="L286" s="48">
        <v>1</v>
      </c>
      <c r="M286" s="49">
        <f>O286*P286*Q286/T286</f>
        <v>1.5548925412629486E-2</v>
      </c>
      <c r="N286" s="49">
        <v>277800</v>
      </c>
      <c r="O286" s="49">
        <v>290800</v>
      </c>
      <c r="P286" s="49">
        <v>15956260</v>
      </c>
      <c r="Q286" s="49">
        <v>1</v>
      </c>
      <c r="R286" s="82">
        <f t="shared" si="14"/>
        <v>0</v>
      </c>
      <c r="S286" s="82">
        <f>IF(AND(R286=0,B286="N"),S285,S285*(D286*F286*G286+I286*K286*L286+N286*P286*Q286)/T285)</f>
        <v>335634750991886</v>
      </c>
      <c r="T286" s="81">
        <f>E286*F286*G286+J286*K286*L286+O286*P286*Q286</f>
        <v>298418076160500</v>
      </c>
      <c r="U286" s="80">
        <f t="shared" si="12"/>
        <v>889.11554980108212</v>
      </c>
      <c r="V286" s="52">
        <f t="shared" si="13"/>
        <v>-3.0355792683071803E-3</v>
      </c>
      <c r="W286" s="48">
        <f>(E286-D286)/D286</f>
        <v>-5.5432372505543242E-3</v>
      </c>
      <c r="X286" s="48">
        <f>(J286-I286)/I286</f>
        <v>1.4669926650366748E-2</v>
      </c>
      <c r="Y286" s="48">
        <f>(O286-N286)/N286</f>
        <v>4.679625629949604E-2</v>
      </c>
      <c r="Z286" s="48" t="e">
        <f>(#REF!-#REF!)/#REF!</f>
        <v>#REF!</v>
      </c>
    </row>
    <row r="287" spans="1:26" x14ac:dyDescent="0.3">
      <c r="A287" s="48">
        <v>20190305</v>
      </c>
      <c r="B287" s="48" t="s">
        <v>88</v>
      </c>
      <c r="C287" s="79">
        <f>E287*F287*G287/T287</f>
        <v>0.89466447330627741</v>
      </c>
      <c r="D287" s="49">
        <v>44850</v>
      </c>
      <c r="E287" s="49">
        <v>44250</v>
      </c>
      <c r="F287" s="49">
        <v>5969782550</v>
      </c>
      <c r="G287" s="49">
        <v>1</v>
      </c>
      <c r="H287" s="48">
        <f>J287*K287*L287/T287</f>
        <v>8.9231452110727416E-2</v>
      </c>
      <c r="I287" s="48">
        <v>207500</v>
      </c>
      <c r="J287" s="48">
        <v>210000</v>
      </c>
      <c r="K287" s="51">
        <v>125461438</v>
      </c>
      <c r="L287" s="48">
        <v>1</v>
      </c>
      <c r="M287" s="49">
        <f>O287*P287*Q287/T287</f>
        <v>1.6104074582995127E-2</v>
      </c>
      <c r="N287" s="49">
        <v>290800</v>
      </c>
      <c r="O287" s="49">
        <v>298000</v>
      </c>
      <c r="P287" s="49">
        <v>15956260</v>
      </c>
      <c r="Q287" s="49">
        <v>1</v>
      </c>
      <c r="R287" s="82">
        <f t="shared" si="14"/>
        <v>0</v>
      </c>
      <c r="S287" s="82">
        <f>IF(AND(R287=0,B287="N"),S286,S286*(D287*F287*G287+I287*K287*L287+N287*P287*Q287)/T286)</f>
        <v>335634750991886</v>
      </c>
      <c r="T287" s="81">
        <f>E287*F287*G287+J287*K287*L287+O287*P287*Q287</f>
        <v>295264745297500</v>
      </c>
      <c r="U287" s="80">
        <f t="shared" si="12"/>
        <v>879.72042354052326</v>
      </c>
      <c r="V287" s="52">
        <f t="shared" si="13"/>
        <v>-1.0566822571780234E-2</v>
      </c>
      <c r="W287" s="48">
        <f>(E287-D287)/D287</f>
        <v>-1.3377926421404682E-2</v>
      </c>
      <c r="X287" s="48">
        <f>(J287-I287)/I287</f>
        <v>1.2048192771084338E-2</v>
      </c>
      <c r="Y287" s="48">
        <f>(O287-N287)/N287</f>
        <v>2.4759284731774415E-2</v>
      </c>
      <c r="Z287" s="48" t="e">
        <f>(#REF!-#REF!)/#REF!</f>
        <v>#REF!</v>
      </c>
    </row>
    <row r="288" spans="1:26" x14ac:dyDescent="0.3">
      <c r="A288" s="48">
        <v>20190306</v>
      </c>
      <c r="B288" s="48" t="s">
        <v>88</v>
      </c>
      <c r="C288" s="79">
        <f>E288*F288*G288/T288</f>
        <v>0.89376705589880345</v>
      </c>
      <c r="D288" s="49">
        <v>44250</v>
      </c>
      <c r="E288" s="49">
        <v>44000</v>
      </c>
      <c r="F288" s="49">
        <v>5969782550</v>
      </c>
      <c r="G288" s="49">
        <v>1</v>
      </c>
      <c r="H288" s="48">
        <f>J288*K288*L288/T288</f>
        <v>9.0075331725094882E-2</v>
      </c>
      <c r="I288" s="48">
        <v>210000</v>
      </c>
      <c r="J288" s="48">
        <v>211000</v>
      </c>
      <c r="K288" s="51">
        <v>125461438</v>
      </c>
      <c r="L288" s="48">
        <v>1</v>
      </c>
      <c r="M288" s="49">
        <f>O288*P288*Q288/T288</f>
        <v>1.6157612376101683E-2</v>
      </c>
      <c r="N288" s="49">
        <v>298000</v>
      </c>
      <c r="O288" s="49">
        <v>297600</v>
      </c>
      <c r="P288" s="49">
        <v>15956260</v>
      </c>
      <c r="Q288" s="49">
        <v>1</v>
      </c>
      <c r="R288" s="82">
        <f t="shared" si="14"/>
        <v>0</v>
      </c>
      <c r="S288" s="82">
        <f>IF(AND(R288=0,B288="N"),S287,S287*(D288*F288*G288+I288*K288*L288+N288*P288*Q288)/T287)</f>
        <v>335634750991886</v>
      </c>
      <c r="T288" s="81">
        <f>E288*F288*G288+J288*K288*L288+O288*P288*Q288</f>
        <v>293891378594000</v>
      </c>
      <c r="U288" s="80">
        <f t="shared" si="12"/>
        <v>875.62857459031363</v>
      </c>
      <c r="V288" s="52">
        <f t="shared" si="13"/>
        <v>-4.6513060748795236E-3</v>
      </c>
      <c r="W288" s="48">
        <f>(E288-D288)/D288</f>
        <v>-5.6497175141242938E-3</v>
      </c>
      <c r="X288" s="48">
        <f>(J288-I288)/I288</f>
        <v>4.7619047619047623E-3</v>
      </c>
      <c r="Y288" s="48">
        <f>(O288-N288)/N288</f>
        <v>-1.3422818791946308E-3</v>
      </c>
      <c r="Z288" s="48" t="e">
        <f>(#REF!-#REF!)/#REF!</f>
        <v>#REF!</v>
      </c>
    </row>
    <row r="289" spans="1:26" x14ac:dyDescent="0.3">
      <c r="A289" s="48">
        <v>20190307</v>
      </c>
      <c r="B289" s="48" t="s">
        <v>88</v>
      </c>
      <c r="C289" s="79">
        <f>E289*F289*G289/T289</f>
        <v>0.89690324533687837</v>
      </c>
      <c r="D289" s="49">
        <v>44000</v>
      </c>
      <c r="E289" s="49">
        <v>44450</v>
      </c>
      <c r="F289" s="49">
        <v>5969782550</v>
      </c>
      <c r="G289" s="49">
        <v>1</v>
      </c>
      <c r="H289" s="48">
        <f>J289*K289*L289/T289</f>
        <v>8.7780070315470221E-2</v>
      </c>
      <c r="I289" s="48">
        <v>211000</v>
      </c>
      <c r="J289" s="48">
        <v>207000</v>
      </c>
      <c r="K289" s="51">
        <v>125461438</v>
      </c>
      <c r="L289" s="48">
        <v>1</v>
      </c>
      <c r="M289" s="49">
        <f>O289*P289*Q289/T289</f>
        <v>1.531668434765141E-2</v>
      </c>
      <c r="N289" s="49">
        <v>297600</v>
      </c>
      <c r="O289" s="49">
        <v>284000</v>
      </c>
      <c r="P289" s="49">
        <v>15956260</v>
      </c>
      <c r="Q289" s="49">
        <v>1</v>
      </c>
      <c r="R289" s="82">
        <f t="shared" si="14"/>
        <v>0</v>
      </c>
      <c r="S289" s="82">
        <f>IF(AND(R289=0,B289="N"),S288,S288*(D289*F289*G289+I289*K289*L289+N289*P289*Q289)/T288)</f>
        <v>335634750991886</v>
      </c>
      <c r="T289" s="81">
        <f>E289*F289*G289+J289*K289*L289+O289*P289*Q289</f>
        <v>295858929853500</v>
      </c>
      <c r="U289" s="80">
        <f t="shared" si="12"/>
        <v>881.49075439644332</v>
      </c>
      <c r="V289" s="52">
        <f t="shared" si="13"/>
        <v>6.6948246965015581E-3</v>
      </c>
      <c r="W289" s="48">
        <f>(E289-D289)/D289</f>
        <v>1.0227272727272727E-2</v>
      </c>
      <c r="X289" s="48">
        <f>(J289-I289)/I289</f>
        <v>-1.8957345971563982E-2</v>
      </c>
      <c r="Y289" s="48">
        <f>(O289-N289)/N289</f>
        <v>-4.5698924731182797E-2</v>
      </c>
      <c r="Z289" s="48" t="e">
        <f>(#REF!-#REF!)/#REF!</f>
        <v>#REF!</v>
      </c>
    </row>
    <row r="290" spans="1:26" x14ac:dyDescent="0.3">
      <c r="A290" s="48">
        <v>20190308</v>
      </c>
      <c r="B290" s="48" t="s">
        <v>88</v>
      </c>
      <c r="C290" s="79">
        <f>E290*F290*G290/T290</f>
        <v>0.896040544322386</v>
      </c>
      <c r="D290" s="49">
        <v>44450</v>
      </c>
      <c r="E290" s="49">
        <v>43800</v>
      </c>
      <c r="F290" s="49">
        <v>5969782550</v>
      </c>
      <c r="G290" s="49">
        <v>1</v>
      </c>
      <c r="H290" s="48">
        <f>J290*K290*L290/T290</f>
        <v>8.8567119430030858E-2</v>
      </c>
      <c r="I290" s="48">
        <v>207000</v>
      </c>
      <c r="J290" s="48">
        <v>206000</v>
      </c>
      <c r="K290" s="51">
        <v>125461438</v>
      </c>
      <c r="L290" s="48">
        <v>1</v>
      </c>
      <c r="M290" s="49">
        <f>O290*P290*Q290/T290</f>
        <v>1.5392336247583176E-2</v>
      </c>
      <c r="N290" s="49">
        <v>284000</v>
      </c>
      <c r="O290" s="49">
        <v>281500</v>
      </c>
      <c r="P290" s="49">
        <v>15956260</v>
      </c>
      <c r="Q290" s="49">
        <v>1</v>
      </c>
      <c r="R290" s="82">
        <f t="shared" si="14"/>
        <v>0</v>
      </c>
      <c r="S290" s="82">
        <f>IF(AND(R290=0,B290="N"),S289,S289*(D290*F290*G290+I290*K290*L290+N290*P290*Q290)/T289)</f>
        <v>335634750991886</v>
      </c>
      <c r="T290" s="81">
        <f>E290*F290*G290+J290*K290*L290+O290*P290*Q290</f>
        <v>291813219108000</v>
      </c>
      <c r="U290" s="80">
        <f t="shared" si="12"/>
        <v>869.43684539702087</v>
      </c>
      <c r="V290" s="52">
        <f t="shared" si="13"/>
        <v>-1.3674458795289076E-2</v>
      </c>
      <c r="W290" s="48">
        <f>(E290-D290)/D290</f>
        <v>-1.4623172103487065E-2</v>
      </c>
      <c r="X290" s="48">
        <f>(J290-I290)/I290</f>
        <v>-4.830917874396135E-3</v>
      </c>
      <c r="Y290" s="48">
        <f>(O290-N290)/N290</f>
        <v>-8.8028169014084511E-3</v>
      </c>
      <c r="Z290" s="48" t="e">
        <f>(#REF!-#REF!)/#REF!</f>
        <v>#REF!</v>
      </c>
    </row>
    <row r="291" spans="1:26" x14ac:dyDescent="0.3">
      <c r="A291" s="48">
        <v>20190311</v>
      </c>
      <c r="B291" s="48" t="s">
        <v>88</v>
      </c>
      <c r="C291" s="79">
        <f>E291*F291*G291/T291</f>
        <v>0.89578259453193365</v>
      </c>
      <c r="D291" s="49">
        <v>43800</v>
      </c>
      <c r="E291" s="49">
        <v>43650</v>
      </c>
      <c r="F291" s="49">
        <v>5969782550</v>
      </c>
      <c r="G291" s="49">
        <v>1</v>
      </c>
      <c r="H291" s="48">
        <f>J291*K291*L291/T291</f>
        <v>8.8414598979940681E-2</v>
      </c>
      <c r="I291" s="48">
        <v>206000</v>
      </c>
      <c r="J291" s="48">
        <v>205000</v>
      </c>
      <c r="K291" s="51">
        <v>125461438</v>
      </c>
      <c r="L291" s="48">
        <v>1</v>
      </c>
      <c r="M291" s="49">
        <f>O291*P291*Q291/T291</f>
        <v>1.5802806488125716E-2</v>
      </c>
      <c r="N291" s="49">
        <v>281500</v>
      </c>
      <c r="O291" s="49">
        <v>288100</v>
      </c>
      <c r="P291" s="49">
        <v>15956260</v>
      </c>
      <c r="Q291" s="49">
        <v>1</v>
      </c>
      <c r="R291" s="82">
        <f t="shared" si="14"/>
        <v>0</v>
      </c>
      <c r="S291" s="82">
        <f>IF(AND(R291=0,B291="N"),S290,S290*(D291*F291*G291+I291*K291*L291+N291*P291*Q291)/T290)</f>
        <v>335634750991886</v>
      </c>
      <c r="T291" s="81">
        <f>E291*F291*G291+J291*K291*L291+O291*P291*Q291</f>
        <v>290897601603500</v>
      </c>
      <c r="U291" s="80">
        <f t="shared" si="12"/>
        <v>866.70882780708394</v>
      </c>
      <c r="V291" s="52">
        <f t="shared" si="13"/>
        <v>-3.1376834377098589E-3</v>
      </c>
      <c r="W291" s="48">
        <f>(E291-D291)/D291</f>
        <v>-3.4246575342465752E-3</v>
      </c>
      <c r="X291" s="48">
        <f>(J291-I291)/I291</f>
        <v>-4.8543689320388345E-3</v>
      </c>
      <c r="Y291" s="48">
        <f>(O291-N291)/N291</f>
        <v>2.3445825932504442E-2</v>
      </c>
      <c r="Z291" s="48" t="e">
        <f>(#REF!-#REF!)/#REF!</f>
        <v>#REF!</v>
      </c>
    </row>
    <row r="292" spans="1:26" x14ac:dyDescent="0.3">
      <c r="A292" s="48">
        <v>20190312</v>
      </c>
      <c r="B292" s="48" t="s">
        <v>88</v>
      </c>
      <c r="C292" s="79">
        <f>E292*F292*G292/T292</f>
        <v>0.8957190149787192</v>
      </c>
      <c r="D292" s="49">
        <v>43650</v>
      </c>
      <c r="E292" s="49">
        <v>44650</v>
      </c>
      <c r="F292" s="49">
        <v>5969782550</v>
      </c>
      <c r="G292" s="49">
        <v>1</v>
      </c>
      <c r="H292" s="48">
        <f>J292*K292*L292/T292</f>
        <v>8.8114699708993313E-2</v>
      </c>
      <c r="I292" s="48">
        <v>205000</v>
      </c>
      <c r="J292" s="48">
        <v>209000</v>
      </c>
      <c r="K292" s="51">
        <v>125461438</v>
      </c>
      <c r="L292" s="48">
        <v>1</v>
      </c>
      <c r="M292" s="49">
        <f>O292*P292*Q292/T292</f>
        <v>1.6166285312287493E-2</v>
      </c>
      <c r="N292" s="49">
        <v>288100</v>
      </c>
      <c r="O292" s="49">
        <v>301500</v>
      </c>
      <c r="P292" s="49">
        <v>15956260</v>
      </c>
      <c r="Q292" s="49">
        <v>1</v>
      </c>
      <c r="R292" s="82">
        <f t="shared" si="14"/>
        <v>0</v>
      </c>
      <c r="S292" s="82">
        <f>IF(AND(R292=0,B292="N"),S291,S291*(D292*F292*G292+I292*K292*L292+N292*P292*Q292)/T291)</f>
        <v>335634750991886</v>
      </c>
      <c r="T292" s="81">
        <f>E292*F292*G292+J292*K292*L292+O292*P292*Q292</f>
        <v>297583043789500</v>
      </c>
      <c r="U292" s="80">
        <f t="shared" si="12"/>
        <v>886.62762991634952</v>
      </c>
      <c r="V292" s="52">
        <f t="shared" si="13"/>
        <v>2.298211518124655E-2</v>
      </c>
      <c r="W292" s="48">
        <f>(E292-D292)/D292</f>
        <v>2.2909507445589918E-2</v>
      </c>
      <c r="X292" s="48">
        <f>(J292-I292)/I292</f>
        <v>1.9512195121951219E-2</v>
      </c>
      <c r="Y292" s="48">
        <f>(O292-N292)/N292</f>
        <v>4.6511627906976744E-2</v>
      </c>
      <c r="Z292" s="48" t="e">
        <f>(#REF!-#REF!)/#REF!</f>
        <v>#REF!</v>
      </c>
    </row>
    <row r="293" spans="1:26" x14ac:dyDescent="0.3">
      <c r="A293" s="48">
        <v>20190313</v>
      </c>
      <c r="B293" s="48" t="s">
        <v>88</v>
      </c>
      <c r="C293" s="79">
        <f>E293*F293*G293/T293</f>
        <v>0.89407145586672943</v>
      </c>
      <c r="D293" s="49">
        <v>44650</v>
      </c>
      <c r="E293" s="49">
        <v>43850</v>
      </c>
      <c r="F293" s="49">
        <v>5969782550</v>
      </c>
      <c r="G293" s="49">
        <v>1</v>
      </c>
      <c r="H293" s="48">
        <f>J293*K293*L293/T293</f>
        <v>8.891447774902396E-2</v>
      </c>
      <c r="I293" s="48">
        <v>209000</v>
      </c>
      <c r="J293" s="48">
        <v>207500</v>
      </c>
      <c r="K293" s="51">
        <v>125461438</v>
      </c>
      <c r="L293" s="48">
        <v>1</v>
      </c>
      <c r="M293" s="49">
        <f>O293*P293*Q293/T293</f>
        <v>1.7014066384246559E-2</v>
      </c>
      <c r="N293" s="49">
        <v>301500</v>
      </c>
      <c r="O293" s="49">
        <v>312200</v>
      </c>
      <c r="P293" s="49">
        <v>15956260</v>
      </c>
      <c r="Q293" s="49">
        <v>1</v>
      </c>
      <c r="R293" s="82">
        <f t="shared" si="14"/>
        <v>0</v>
      </c>
      <c r="S293" s="82">
        <f>IF(AND(R293=0,B293="N"),S292,S292*(D293*F293*G293+I293*K293*L293+N293*P293*Q293)/T292)</f>
        <v>335634750991886</v>
      </c>
      <c r="T293" s="81">
        <f>E293*F293*G293+J293*K293*L293+O293*P293*Q293</f>
        <v>292789757574500</v>
      </c>
      <c r="U293" s="80">
        <f t="shared" si="12"/>
        <v>872.34637268409142</v>
      </c>
      <c r="V293" s="52">
        <f t="shared" si="13"/>
        <v>-1.6107390239581739E-2</v>
      </c>
      <c r="W293" s="48">
        <f>(E293-D293)/D293</f>
        <v>-1.7917133258678612E-2</v>
      </c>
      <c r="X293" s="48">
        <f>(J293-I293)/I293</f>
        <v>-7.1770334928229667E-3</v>
      </c>
      <c r="Y293" s="48">
        <f>(O293-N293)/N293</f>
        <v>3.5489220563847429E-2</v>
      </c>
      <c r="Z293" s="48" t="e">
        <f>(#REF!-#REF!)/#REF!</f>
        <v>#REF!</v>
      </c>
    </row>
    <row r="294" spans="1:26" x14ac:dyDescent="0.3">
      <c r="A294" s="48">
        <v>20190314</v>
      </c>
      <c r="B294" s="48" t="s">
        <v>88</v>
      </c>
      <c r="C294" s="79">
        <f>E294*F294*G294/T294</f>
        <v>0.8949100231083994</v>
      </c>
      <c r="D294" s="49">
        <v>43850</v>
      </c>
      <c r="E294" s="49">
        <v>43850</v>
      </c>
      <c r="F294" s="49">
        <v>5969782550</v>
      </c>
      <c r="G294" s="49">
        <v>1</v>
      </c>
      <c r="H294" s="48">
        <f>J294*K294*L294/T294</f>
        <v>8.8354514276650017E-2</v>
      </c>
      <c r="I294" s="48">
        <v>207500</v>
      </c>
      <c r="J294" s="48">
        <v>206000</v>
      </c>
      <c r="K294" s="51">
        <v>125461438</v>
      </c>
      <c r="L294" s="48">
        <v>1</v>
      </c>
      <c r="M294" s="49">
        <f>O294*P294*Q294/T294</f>
        <v>1.6735462614950635E-2</v>
      </c>
      <c r="N294" s="49">
        <v>312200</v>
      </c>
      <c r="O294" s="49">
        <v>306800</v>
      </c>
      <c r="P294" s="49">
        <v>15956260</v>
      </c>
      <c r="Q294" s="49">
        <v>1</v>
      </c>
      <c r="R294" s="82">
        <f t="shared" si="14"/>
        <v>0</v>
      </c>
      <c r="S294" s="82">
        <f>IF(AND(R294=0,B294="N"),S293,S293*(D294*F294*G294+I294*K294*L294+N294*P294*Q294)/T293)</f>
        <v>335634750991886</v>
      </c>
      <c r="T294" s="81">
        <f>E294*F294*G294+J294*K294*L294+O294*P294*Q294</f>
        <v>292515401613500</v>
      </c>
      <c r="U294" s="80">
        <f t="shared" si="12"/>
        <v>871.52894850441635</v>
      </c>
      <c r="V294" s="52">
        <f t="shared" si="13"/>
        <v>-9.3704084211408917E-4</v>
      </c>
      <c r="W294" s="48">
        <f>(E294-D294)/D294</f>
        <v>0</v>
      </c>
      <c r="X294" s="48">
        <f>(J294-I294)/I294</f>
        <v>-7.2289156626506026E-3</v>
      </c>
      <c r="Y294" s="48">
        <f>(O294-N294)/N294</f>
        <v>-1.729660474055093E-2</v>
      </c>
      <c r="Z294" s="48" t="e">
        <f>(#REF!-#REF!)/#REF!</f>
        <v>#REF!</v>
      </c>
    </row>
    <row r="295" spans="1:26" x14ac:dyDescent="0.3">
      <c r="A295" s="48">
        <v>20190315</v>
      </c>
      <c r="B295" s="48" t="s">
        <v>88</v>
      </c>
      <c r="C295" s="79">
        <f>E295*F295*G295/T295</f>
        <v>0.89686432562879215</v>
      </c>
      <c r="D295" s="49">
        <v>43850</v>
      </c>
      <c r="E295" s="49">
        <v>44200</v>
      </c>
      <c r="F295" s="49">
        <v>5969782550</v>
      </c>
      <c r="G295" s="49">
        <v>1</v>
      </c>
      <c r="H295" s="48">
        <f>J295*K295*L295/T295</f>
        <v>8.6566980002424618E-2</v>
      </c>
      <c r="I295" s="48">
        <v>206000</v>
      </c>
      <c r="J295" s="48">
        <v>203000</v>
      </c>
      <c r="K295" s="51">
        <v>125461438</v>
      </c>
      <c r="L295" s="48">
        <v>1</v>
      </c>
      <c r="M295" s="49">
        <f>O295*P295*Q295/T295</f>
        <v>1.6568694368783277E-2</v>
      </c>
      <c r="N295" s="49">
        <v>306800</v>
      </c>
      <c r="O295" s="49">
        <v>305500</v>
      </c>
      <c r="P295" s="49">
        <v>15956260</v>
      </c>
      <c r="Q295" s="49">
        <v>1</v>
      </c>
      <c r="R295" s="82">
        <f t="shared" si="14"/>
        <v>0</v>
      </c>
      <c r="S295" s="82">
        <f>IF(AND(R295=0,B295="N"),S294,S294*(D295*F295*G295+I295*K295*L295+N295*P295*Q295)/T294)</f>
        <v>335634750991886</v>
      </c>
      <c r="T295" s="81">
        <f>E295*F295*G295+J295*K295*L295+O295*P295*Q295</f>
        <v>294207698054000</v>
      </c>
      <c r="U295" s="80">
        <f t="shared" si="12"/>
        <v>876.57102604703914</v>
      </c>
      <c r="V295" s="52">
        <f t="shared" si="13"/>
        <v>5.7853242296486288E-3</v>
      </c>
      <c r="W295" s="48">
        <f>(E295-D295)/D295</f>
        <v>7.98175598631699E-3</v>
      </c>
      <c r="X295" s="48">
        <f>(J295-I295)/I295</f>
        <v>-1.4563106796116505E-2</v>
      </c>
      <c r="Y295" s="48">
        <f>(O295-N295)/N295</f>
        <v>-4.2372881355932203E-3</v>
      </c>
      <c r="Z295" s="48" t="e">
        <f>(#REF!-#REF!)/#REF!</f>
        <v>#REF!</v>
      </c>
    </row>
    <row r="296" spans="1:26" x14ac:dyDescent="0.3">
      <c r="A296" s="48">
        <v>20190318</v>
      </c>
      <c r="B296" s="48" t="s">
        <v>88</v>
      </c>
      <c r="C296" s="79">
        <f>E296*F296*G296/T296</f>
        <v>0.89687976068011865</v>
      </c>
      <c r="D296" s="49">
        <v>44200</v>
      </c>
      <c r="E296" s="49">
        <v>43700</v>
      </c>
      <c r="F296" s="49">
        <v>5969782550</v>
      </c>
      <c r="G296" s="49">
        <v>1</v>
      </c>
      <c r="H296" s="48">
        <f>J296*K296*L296/T296</f>
        <v>8.6696305936145829E-2</v>
      </c>
      <c r="I296" s="48">
        <v>203000</v>
      </c>
      <c r="J296" s="48">
        <v>201000</v>
      </c>
      <c r="K296" s="51">
        <v>125461438</v>
      </c>
      <c r="L296" s="48">
        <v>1</v>
      </c>
      <c r="M296" s="49">
        <f>O296*P296*Q296/T296</f>
        <v>1.6423933383735496E-2</v>
      </c>
      <c r="N296" s="49">
        <v>305500</v>
      </c>
      <c r="O296" s="49">
        <v>299400</v>
      </c>
      <c r="P296" s="49">
        <v>15956260</v>
      </c>
      <c r="Q296" s="49">
        <v>1</v>
      </c>
      <c r="R296" s="82">
        <f t="shared" si="14"/>
        <v>0</v>
      </c>
      <c r="S296" s="82">
        <f>IF(AND(R296=0,B296="N"),S295,S295*(D296*F296*G296+I296*K296*L296+N296*P296*Q296)/T295)</f>
        <v>335634750991886</v>
      </c>
      <c r="T296" s="81">
        <f>E296*F296*G296+J296*K296*L296+O296*P296*Q296</f>
        <v>290874550717000</v>
      </c>
      <c r="U296" s="80">
        <f t="shared" si="12"/>
        <v>866.64014932122427</v>
      </c>
      <c r="V296" s="52">
        <f t="shared" si="13"/>
        <v>-1.1329232236432547E-2</v>
      </c>
      <c r="W296" s="48">
        <f>(E296-D296)/D296</f>
        <v>-1.1312217194570135E-2</v>
      </c>
      <c r="X296" s="48">
        <f>(J296-I296)/I296</f>
        <v>-9.852216748768473E-3</v>
      </c>
      <c r="Y296" s="48">
        <f>(O296-N296)/N296</f>
        <v>-1.9967266775777415E-2</v>
      </c>
      <c r="Z296" s="48" t="e">
        <f>(#REF!-#REF!)/#REF!</f>
        <v>#REF!</v>
      </c>
    </row>
    <row r="297" spans="1:26" x14ac:dyDescent="0.3">
      <c r="A297" s="48">
        <v>20190319</v>
      </c>
      <c r="B297" s="48" t="s">
        <v>88</v>
      </c>
      <c r="C297" s="79">
        <f>E297*F297*G297/T297</f>
        <v>0.89700112158307466</v>
      </c>
      <c r="D297" s="49">
        <v>43700</v>
      </c>
      <c r="E297" s="49">
        <v>43900</v>
      </c>
      <c r="F297" s="49">
        <v>5969782550</v>
      </c>
      <c r="G297" s="49">
        <v>1</v>
      </c>
      <c r="H297" s="48">
        <f>J297*K297*L297/T297</f>
        <v>8.7171847923535994E-2</v>
      </c>
      <c r="I297" s="48">
        <v>201000</v>
      </c>
      <c r="J297" s="48">
        <v>203000</v>
      </c>
      <c r="K297" s="51">
        <v>125461438</v>
      </c>
      <c r="L297" s="48">
        <v>1</v>
      </c>
      <c r="M297" s="49">
        <f>O297*P297*Q297/T297</f>
        <v>1.5827030493389332E-2</v>
      </c>
      <c r="N297" s="49">
        <v>299400</v>
      </c>
      <c r="O297" s="49">
        <v>289800</v>
      </c>
      <c r="P297" s="49">
        <v>15956260</v>
      </c>
      <c r="Q297" s="49">
        <v>1</v>
      </c>
      <c r="R297" s="82">
        <f t="shared" si="14"/>
        <v>0</v>
      </c>
      <c r="S297" s="82">
        <f>IF(AND(R297=0,B297="N"),S296,S296*(D297*F297*G297+I297*K297*L297+N297*P297*Q297)/T296)</f>
        <v>335634750991886</v>
      </c>
      <c r="T297" s="81">
        <f>E297*F297*G297+J297*K297*L297+O297*P297*Q297</f>
        <v>292166250007000</v>
      </c>
      <c r="U297" s="80">
        <f t="shared" si="12"/>
        <v>870.48867598952268</v>
      </c>
      <c r="V297" s="52">
        <f t="shared" si="13"/>
        <v>4.4407435673418476E-3</v>
      </c>
      <c r="W297" s="48">
        <f>(E297-D297)/D297</f>
        <v>4.5766590389016018E-3</v>
      </c>
      <c r="X297" s="48">
        <f>(J297-I297)/I297</f>
        <v>9.9502487562189053E-3</v>
      </c>
      <c r="Y297" s="48">
        <f>(O297-N297)/N297</f>
        <v>-3.2064128256513023E-2</v>
      </c>
      <c r="Z297" s="48" t="e">
        <f>(#REF!-#REF!)/#REF!</f>
        <v>#REF!</v>
      </c>
    </row>
    <row r="298" spans="1:26" x14ac:dyDescent="0.3">
      <c r="A298" s="48">
        <v>20190320</v>
      </c>
      <c r="B298" s="48" t="s">
        <v>88</v>
      </c>
      <c r="C298" s="79">
        <f>E298*F298*G298/T298</f>
        <v>0.89784505091025979</v>
      </c>
      <c r="D298" s="49">
        <v>43900</v>
      </c>
      <c r="E298" s="49">
        <v>44050</v>
      </c>
      <c r="F298" s="49">
        <v>5969782550</v>
      </c>
      <c r="G298" s="49">
        <v>1</v>
      </c>
      <c r="H298" s="48">
        <f>J298*K298*L298/T298</f>
        <v>8.6100026780987951E-2</v>
      </c>
      <c r="I298" s="48">
        <v>203000</v>
      </c>
      <c r="J298" s="48">
        <v>201000</v>
      </c>
      <c r="K298" s="51">
        <v>125461438</v>
      </c>
      <c r="L298" s="48">
        <v>1</v>
      </c>
      <c r="M298" s="49">
        <f>O298*P298*Q298/T298</f>
        <v>1.6054922308752287E-2</v>
      </c>
      <c r="N298" s="49">
        <v>289800</v>
      </c>
      <c r="O298" s="49">
        <v>294700</v>
      </c>
      <c r="P298" s="49">
        <v>15956260</v>
      </c>
      <c r="Q298" s="49">
        <v>1</v>
      </c>
      <c r="R298" s="82">
        <f t="shared" si="14"/>
        <v>0</v>
      </c>
      <c r="S298" s="82">
        <f>IF(AND(R298=0,B298="N"),S297,S297*(D298*F298*G298+I298*K298*L298+N298*P298*Q298)/T297)</f>
        <v>335634750991886</v>
      </c>
      <c r="T298" s="81">
        <f>E298*F298*G298+J298*K298*L298+O298*P298*Q298</f>
        <v>292888980187500</v>
      </c>
      <c r="U298" s="80">
        <f t="shared" si="12"/>
        <v>872.64199944117411</v>
      </c>
      <c r="V298" s="52">
        <f t="shared" si="13"/>
        <v>2.4736949612855722E-3</v>
      </c>
      <c r="W298" s="48">
        <f>(E298-D298)/D298</f>
        <v>3.4168564920273349E-3</v>
      </c>
      <c r="X298" s="48">
        <f>(J298-I298)/I298</f>
        <v>-9.852216748768473E-3</v>
      </c>
      <c r="Y298" s="48">
        <f>(O298-N298)/N298</f>
        <v>1.6908212560386472E-2</v>
      </c>
      <c r="Z298" s="48" t="e">
        <f>(#REF!-#REF!)/#REF!</f>
        <v>#REF!</v>
      </c>
    </row>
    <row r="299" spans="1:26" x14ac:dyDescent="0.3">
      <c r="A299" s="48">
        <v>20190321</v>
      </c>
      <c r="B299" s="48" t="s">
        <v>88</v>
      </c>
      <c r="C299" s="79">
        <f>E299*F299*G299/T299</f>
        <v>0.90221090656941372</v>
      </c>
      <c r="D299" s="49">
        <v>44050</v>
      </c>
      <c r="E299" s="49">
        <v>45850</v>
      </c>
      <c r="F299" s="49">
        <v>5969782550</v>
      </c>
      <c r="G299" s="49">
        <v>1</v>
      </c>
      <c r="H299" s="48">
        <f>J299*K299*L299/T299</f>
        <v>8.2915334780348404E-2</v>
      </c>
      <c r="I299" s="48">
        <v>201000</v>
      </c>
      <c r="J299" s="48">
        <v>200500</v>
      </c>
      <c r="K299" s="51">
        <v>125461438</v>
      </c>
      <c r="L299" s="48">
        <v>1</v>
      </c>
      <c r="M299" s="49">
        <f>O299*P299*Q299/T299</f>
        <v>1.4873758650237831E-2</v>
      </c>
      <c r="N299" s="49">
        <v>294700</v>
      </c>
      <c r="O299" s="49">
        <v>282800</v>
      </c>
      <c r="P299" s="49">
        <v>15956260</v>
      </c>
      <c r="Q299" s="49">
        <v>1</v>
      </c>
      <c r="R299" s="82">
        <f t="shared" si="14"/>
        <v>0</v>
      </c>
      <c r="S299" s="82">
        <f>IF(AND(R299=0,B299="N"),S298,S298*(D299*F299*G299+I299*K299*L299+N299*P299*Q299)/T298)</f>
        <v>335634750991886</v>
      </c>
      <c r="T299" s="81">
        <f>E299*F299*G299+J299*K299*L299+O299*P299*Q299</f>
        <v>303381978564500</v>
      </c>
      <c r="U299" s="80">
        <f t="shared" si="12"/>
        <v>903.90514590020587</v>
      </c>
      <c r="V299" s="52">
        <f t="shared" si="13"/>
        <v>3.5825855825243544E-2</v>
      </c>
      <c r="W299" s="48">
        <f>(E299-D299)/D299</f>
        <v>4.0862656072644721E-2</v>
      </c>
      <c r="X299" s="48">
        <f>(J299-I299)/I299</f>
        <v>-2.4875621890547263E-3</v>
      </c>
      <c r="Y299" s="48">
        <f>(O299-N299)/N299</f>
        <v>-4.0380047505938245E-2</v>
      </c>
      <c r="Z299" s="48" t="e">
        <f>(#REF!-#REF!)/#REF!</f>
        <v>#REF!</v>
      </c>
    </row>
    <row r="300" spans="1:26" x14ac:dyDescent="0.3">
      <c r="A300" s="48">
        <v>20190322</v>
      </c>
      <c r="B300" s="48" t="s">
        <v>88</v>
      </c>
      <c r="C300" s="79">
        <f>E300*F300*G300/T300</f>
        <v>0.90397867519459218</v>
      </c>
      <c r="D300" s="49">
        <v>45850</v>
      </c>
      <c r="E300" s="49">
        <v>46550</v>
      </c>
      <c r="F300" s="49">
        <v>5969782550</v>
      </c>
      <c r="G300" s="49">
        <v>1</v>
      </c>
      <c r="H300" s="48">
        <f>J300*K300*L300/T300</f>
        <v>8.1420384526818892E-2</v>
      </c>
      <c r="I300" s="48">
        <v>200500</v>
      </c>
      <c r="J300" s="48">
        <v>199500</v>
      </c>
      <c r="K300" s="51">
        <v>125461438</v>
      </c>
      <c r="L300" s="48">
        <v>1</v>
      </c>
      <c r="M300" s="49">
        <f>O300*P300*Q300/T300</f>
        <v>1.4600940278588891E-2</v>
      </c>
      <c r="N300" s="49">
        <v>282800</v>
      </c>
      <c r="O300" s="49">
        <v>281300</v>
      </c>
      <c r="P300" s="49">
        <v>15956260</v>
      </c>
      <c r="Q300" s="49">
        <v>1</v>
      </c>
      <c r="R300" s="82">
        <f t="shared" si="14"/>
        <v>0</v>
      </c>
      <c r="S300" s="82">
        <f>IF(AND(R300=0,B300="N"),S299,S299*(D300*F300*G300+I300*K300*L300+N300*P300*Q300)/T299)</f>
        <v>335634750991886</v>
      </c>
      <c r="T300" s="81">
        <f>E300*F300*G300+J300*K300*L300+O300*P300*Q300</f>
        <v>307411430521500</v>
      </c>
      <c r="U300" s="80">
        <f t="shared" si="12"/>
        <v>915.91061298933164</v>
      </c>
      <c r="V300" s="52">
        <f t="shared" si="13"/>
        <v>1.3281777566571368E-2</v>
      </c>
      <c r="W300" s="48">
        <f>(E300-D300)/D300</f>
        <v>1.5267175572519083E-2</v>
      </c>
      <c r="X300" s="48">
        <f>(J300-I300)/I300</f>
        <v>-4.9875311720698253E-3</v>
      </c>
      <c r="Y300" s="48">
        <f>(O300-N300)/N300</f>
        <v>-5.3041018387553042E-3</v>
      </c>
      <c r="Z300" s="48" t="e">
        <f>(#REF!-#REF!)/#REF!</f>
        <v>#REF!</v>
      </c>
    </row>
    <row r="301" spans="1:26" x14ac:dyDescent="0.3">
      <c r="A301" s="48">
        <v>20190325</v>
      </c>
      <c r="B301" s="48" t="s">
        <v>88</v>
      </c>
      <c r="C301" s="79">
        <f>E301*F301*G301/T301</f>
        <v>0.90301321294030157</v>
      </c>
      <c r="D301" s="49">
        <v>46550</v>
      </c>
      <c r="E301" s="49">
        <v>45500</v>
      </c>
      <c r="F301" s="49">
        <v>5969782550</v>
      </c>
      <c r="G301" s="49">
        <v>1</v>
      </c>
      <c r="H301" s="48">
        <f>J301*K301*L301/T301</f>
        <v>8.2584709865429332E-2</v>
      </c>
      <c r="I301" s="48">
        <v>199500</v>
      </c>
      <c r="J301" s="48">
        <v>198000</v>
      </c>
      <c r="K301" s="51">
        <v>125461438</v>
      </c>
      <c r="L301" s="48">
        <v>1</v>
      </c>
      <c r="M301" s="49">
        <f>O301*P301*Q301/T301</f>
        <v>1.4402077194269128E-2</v>
      </c>
      <c r="N301" s="49">
        <v>281300</v>
      </c>
      <c r="O301" s="49">
        <v>271500</v>
      </c>
      <c r="P301" s="49">
        <v>15956260</v>
      </c>
      <c r="Q301" s="49">
        <v>1</v>
      </c>
      <c r="R301" s="82">
        <f t="shared" si="14"/>
        <v>0</v>
      </c>
      <c r="S301" s="82">
        <f>IF(AND(R301=0,B301="N"),S300,S300*(D301*F301*G301+I301*K301*L301+N301*P301*Q301)/T300)</f>
        <v>335634750991886</v>
      </c>
      <c r="T301" s="81">
        <f>E301*F301*G301+J301*K301*L301+O301*P301*Q301</f>
        <v>300798595339000</v>
      </c>
      <c r="U301" s="80">
        <f t="shared" si="12"/>
        <v>896.20813831125554</v>
      </c>
      <c r="V301" s="52">
        <f t="shared" si="13"/>
        <v>-2.151135099720216E-2</v>
      </c>
      <c r="W301" s="48">
        <f>(E301-D301)/D301</f>
        <v>-2.2556390977443608E-2</v>
      </c>
      <c r="X301" s="48">
        <f>(J301-I301)/I301</f>
        <v>-7.5187969924812026E-3</v>
      </c>
      <c r="Y301" s="48">
        <f>(O301-N301)/N301</f>
        <v>-3.4838250977603978E-2</v>
      </c>
      <c r="Z301" s="48" t="e">
        <f>(#REF!-#REF!)/#REF!</f>
        <v>#REF!</v>
      </c>
    </row>
    <row r="302" spans="1:26" x14ac:dyDescent="0.3">
      <c r="A302" s="48">
        <v>20190326</v>
      </c>
      <c r="B302" s="48" t="s">
        <v>88</v>
      </c>
      <c r="C302" s="79">
        <f>E302*F302*G302/T302</f>
        <v>0.90390032979416179</v>
      </c>
      <c r="D302" s="49">
        <v>45500</v>
      </c>
      <c r="E302" s="49">
        <v>45250</v>
      </c>
      <c r="F302" s="49">
        <v>5969782550</v>
      </c>
      <c r="G302" s="49">
        <v>1</v>
      </c>
      <c r="H302" s="48">
        <f>J302*K302*L302/T302</f>
        <v>8.0813598184424698E-2</v>
      </c>
      <c r="I302" s="48">
        <v>198000</v>
      </c>
      <c r="J302" s="48">
        <v>192500</v>
      </c>
      <c r="K302" s="51">
        <v>125461438</v>
      </c>
      <c r="L302" s="48">
        <v>1</v>
      </c>
      <c r="M302" s="49">
        <f>O302*P302*Q302/T302</f>
        <v>1.5286072021413515E-2</v>
      </c>
      <c r="N302" s="49">
        <v>271500</v>
      </c>
      <c r="O302" s="49">
        <v>286300</v>
      </c>
      <c r="P302" s="49">
        <v>15956260</v>
      </c>
      <c r="Q302" s="49">
        <v>1</v>
      </c>
      <c r="R302" s="82">
        <f t="shared" si="14"/>
        <v>0</v>
      </c>
      <c r="S302" s="82">
        <f>IF(AND(R302=0,B302="N"),S301,S301*(D302*F302*G302+I302*K302*L302+N302*P302*Q302)/T301)</f>
        <v>335634750991886</v>
      </c>
      <c r="T302" s="81">
        <f>E302*F302*G302+J302*K302*L302+O302*P302*Q302</f>
        <v>298852264440500</v>
      </c>
      <c r="U302" s="80">
        <f t="shared" si="12"/>
        <v>890.40918306973765</v>
      </c>
      <c r="V302" s="52">
        <f t="shared" si="13"/>
        <v>-6.4705451709521243E-3</v>
      </c>
      <c r="W302" s="48">
        <f>(E302-D302)/D302</f>
        <v>-5.4945054945054949E-3</v>
      </c>
      <c r="X302" s="48">
        <f>(J302-I302)/I302</f>
        <v>-2.7777777777777776E-2</v>
      </c>
      <c r="Y302" s="48">
        <f>(O302-N302)/N302</f>
        <v>5.4511970534069983E-2</v>
      </c>
      <c r="Z302" s="48" t="e">
        <f>(#REF!-#REF!)/#REF!</f>
        <v>#REF!</v>
      </c>
    </row>
    <row r="303" spans="1:26" x14ac:dyDescent="0.3">
      <c r="A303" s="48">
        <v>20190327</v>
      </c>
      <c r="B303" s="48" t="s">
        <v>88</v>
      </c>
      <c r="C303" s="79">
        <f>E303*F303*G303/T303</f>
        <v>0.9085164956001579</v>
      </c>
      <c r="D303" s="49">
        <v>45250</v>
      </c>
      <c r="E303" s="49">
        <v>45350</v>
      </c>
      <c r="F303" s="49">
        <v>5969782550</v>
      </c>
      <c r="G303" s="49">
        <v>1</v>
      </c>
      <c r="H303" s="48">
        <f>J303*K303*L303/T303</f>
        <v>7.7047466763502701E-2</v>
      </c>
      <c r="I303" s="48">
        <v>192500</v>
      </c>
      <c r="J303" s="48">
        <v>183000</v>
      </c>
      <c r="K303" s="51">
        <v>125461438</v>
      </c>
      <c r="L303" s="48">
        <v>1</v>
      </c>
      <c r="M303" s="49">
        <f>O303*P303*Q303/T303</f>
        <v>1.443603763633945E-2</v>
      </c>
      <c r="N303" s="49">
        <v>286300</v>
      </c>
      <c r="O303" s="49">
        <v>269600</v>
      </c>
      <c r="P303" s="49">
        <v>15956260</v>
      </c>
      <c r="Q303" s="49">
        <v>1</v>
      </c>
      <c r="R303" s="82">
        <f t="shared" si="14"/>
        <v>0</v>
      </c>
      <c r="S303" s="82">
        <f>IF(AND(R303=0,B303="N"),S302,S302*(D303*F303*G303+I303*K303*L303+N303*P303*Q303)/T302)</f>
        <v>335634750991886</v>
      </c>
      <c r="T303" s="81">
        <f>E303*F303*G303+J303*K303*L303+O303*P303*Q303</f>
        <v>297990889492500</v>
      </c>
      <c r="U303" s="80">
        <f t="shared" si="12"/>
        <v>887.8427773401329</v>
      </c>
      <c r="V303" s="52">
        <f t="shared" si="13"/>
        <v>-2.8822767985803104E-3</v>
      </c>
      <c r="W303" s="48">
        <f>(E303-D303)/D303</f>
        <v>2.2099447513812156E-3</v>
      </c>
      <c r="X303" s="48">
        <f>(J303-I303)/I303</f>
        <v>-4.9350649350649353E-2</v>
      </c>
      <c r="Y303" s="48">
        <f>(O303-N303)/N303</f>
        <v>-5.8330422633601116E-2</v>
      </c>
      <c r="Z303" s="48" t="e">
        <f>(#REF!-#REF!)/#REF!</f>
        <v>#REF!</v>
      </c>
    </row>
    <row r="304" spans="1:26" x14ac:dyDescent="0.3">
      <c r="A304" s="48">
        <v>20190328</v>
      </c>
      <c r="B304" s="48" t="s">
        <v>88</v>
      </c>
      <c r="C304" s="79">
        <f>E304*F304*G304/T304</f>
        <v>0.90852241199747508</v>
      </c>
      <c r="D304" s="49">
        <v>45350</v>
      </c>
      <c r="E304" s="49">
        <v>44850</v>
      </c>
      <c r="F304" s="49">
        <v>5969782550</v>
      </c>
      <c r="G304" s="49">
        <v>1</v>
      </c>
      <c r="H304" s="48">
        <f>J304*K304*L304/T304</f>
        <v>7.6842618030860024E-2</v>
      </c>
      <c r="I304" s="48">
        <v>183000</v>
      </c>
      <c r="J304" s="48">
        <v>180500</v>
      </c>
      <c r="K304" s="51">
        <v>125461438</v>
      </c>
      <c r="L304" s="48">
        <v>1</v>
      </c>
      <c r="M304" s="49">
        <f>O304*P304*Q304/T304</f>
        <v>1.4634969971664955E-2</v>
      </c>
      <c r="N304" s="49">
        <v>269600</v>
      </c>
      <c r="O304" s="49">
        <v>270300</v>
      </c>
      <c r="P304" s="49">
        <v>15956260</v>
      </c>
      <c r="Q304" s="49">
        <v>1</v>
      </c>
      <c r="R304" s="82">
        <f t="shared" si="14"/>
        <v>0</v>
      </c>
      <c r="S304" s="82">
        <f>IF(AND(R304=0,B304="N"),S303,S303*(D304*F304*G304+I304*K304*L304+N304*P304*Q304)/T303)</f>
        <v>335634750991886</v>
      </c>
      <c r="T304" s="81">
        <f>E304*F304*G304+J304*K304*L304+O304*P304*Q304</f>
        <v>294703514004500</v>
      </c>
      <c r="U304" s="80">
        <f t="shared" si="12"/>
        <v>878.04827460081594</v>
      </c>
      <c r="V304" s="52">
        <f t="shared" si="13"/>
        <v>-1.1031798635181864E-2</v>
      </c>
      <c r="W304" s="48">
        <f>(E304-D304)/D304</f>
        <v>-1.1025358324145534E-2</v>
      </c>
      <c r="X304" s="48">
        <f>(J304-I304)/I304</f>
        <v>-1.3661202185792349E-2</v>
      </c>
      <c r="Y304" s="48">
        <f>(O304-N304)/N304</f>
        <v>2.5964391691394658E-3</v>
      </c>
      <c r="Z304" s="48" t="e">
        <f>(#REF!-#REF!)/#REF!</f>
        <v>#REF!</v>
      </c>
    </row>
    <row r="305" spans="1:26" x14ac:dyDescent="0.3">
      <c r="A305" s="48">
        <v>20190329</v>
      </c>
      <c r="B305" s="48" t="s">
        <v>88</v>
      </c>
      <c r="C305" s="79">
        <f>E305*F305*G305/T305</f>
        <v>0.90748766323369245</v>
      </c>
      <c r="D305" s="49">
        <v>44850</v>
      </c>
      <c r="E305" s="49">
        <v>44650</v>
      </c>
      <c r="F305" s="49">
        <v>5969782550</v>
      </c>
      <c r="G305" s="49">
        <v>1</v>
      </c>
      <c r="H305" s="48">
        <f>J305*K305*L305/T305</f>
        <v>7.7312477431718318E-2</v>
      </c>
      <c r="I305" s="48">
        <v>180500</v>
      </c>
      <c r="J305" s="48">
        <v>181000</v>
      </c>
      <c r="K305" s="51">
        <v>125461438</v>
      </c>
      <c r="L305" s="48">
        <v>1</v>
      </c>
      <c r="M305" s="49">
        <f>O305*P305*Q305/T305</f>
        <v>1.5199859334589243E-2</v>
      </c>
      <c r="N305" s="49">
        <v>270300</v>
      </c>
      <c r="O305" s="49">
        <v>279800</v>
      </c>
      <c r="P305" s="49">
        <v>15956260</v>
      </c>
      <c r="Q305" s="49">
        <v>1</v>
      </c>
      <c r="R305" s="82">
        <f t="shared" si="14"/>
        <v>0</v>
      </c>
      <c r="S305" s="82">
        <f>IF(AND(R305=0,B305="N"),S304,S304*(D305*F305*G305+I305*K305*L305+N305*P305*Q305)/T304)</f>
        <v>335634750991886</v>
      </c>
      <c r="T305" s="81">
        <f>E305*F305*G305+J305*K305*L305+O305*P305*Q305</f>
        <v>293723872683500</v>
      </c>
      <c r="U305" s="80">
        <f t="shared" si="12"/>
        <v>875.12950257823809</v>
      </c>
      <c r="V305" s="52">
        <f t="shared" si="13"/>
        <v>-3.3241589409247528E-3</v>
      </c>
      <c r="W305" s="48">
        <f>(E305-D305)/D305</f>
        <v>-4.459308807134894E-3</v>
      </c>
      <c r="X305" s="48">
        <f>(J305-I305)/I305</f>
        <v>2.7700831024930748E-3</v>
      </c>
      <c r="Y305" s="48">
        <f>(O305-N305)/N305</f>
        <v>3.5146133925268219E-2</v>
      </c>
      <c r="Z305" s="48" t="e">
        <f>(#REF!-#REF!)/#REF!</f>
        <v>#REF!</v>
      </c>
    </row>
    <row r="306" spans="1:26" x14ac:dyDescent="0.3">
      <c r="A306" s="48">
        <v>20190401</v>
      </c>
      <c r="B306" s="48" t="s">
        <v>88</v>
      </c>
      <c r="C306" s="79">
        <f>E306*F306*G306/T306</f>
        <v>0.9080887228129364</v>
      </c>
      <c r="D306" s="49">
        <v>44650</v>
      </c>
      <c r="E306" s="49">
        <v>45050</v>
      </c>
      <c r="F306" s="49">
        <v>5969782550</v>
      </c>
      <c r="G306" s="49">
        <v>1</v>
      </c>
      <c r="H306" s="48">
        <f>J306*K306*L306/T306</f>
        <v>7.7100398694050304E-2</v>
      </c>
      <c r="I306" s="48">
        <v>181000</v>
      </c>
      <c r="J306" s="48">
        <v>182000</v>
      </c>
      <c r="K306" s="51">
        <v>125461438</v>
      </c>
      <c r="L306" s="48">
        <v>1</v>
      </c>
      <c r="M306" s="49">
        <f>O306*P306*Q306/T306</f>
        <v>1.4810878493013302E-2</v>
      </c>
      <c r="N306" s="49">
        <v>279800</v>
      </c>
      <c r="O306" s="49">
        <v>274900</v>
      </c>
      <c r="P306" s="49">
        <v>15956260</v>
      </c>
      <c r="Q306" s="49">
        <v>1</v>
      </c>
      <c r="R306" s="82">
        <f t="shared" si="14"/>
        <v>0</v>
      </c>
      <c r="S306" s="82">
        <f>IF(AND(R306=0,B306="N"),S305,S305*(D306*F306*G306+I306*K306*L306+N306*P306*Q306)/T305)</f>
        <v>335634750991886</v>
      </c>
      <c r="T306" s="81">
        <f>E306*F306*G306+J306*K306*L306+O306*P306*Q306</f>
        <v>296159061467500</v>
      </c>
      <c r="U306" s="80">
        <f t="shared" si="12"/>
        <v>882.38497531103292</v>
      </c>
      <c r="V306" s="52">
        <f t="shared" si="13"/>
        <v>8.29074178326673E-3</v>
      </c>
      <c r="W306" s="48">
        <f>(E306-D306)/D306</f>
        <v>8.9585666293393058E-3</v>
      </c>
      <c r="X306" s="48">
        <f>(J306-I306)/I306</f>
        <v>5.5248618784530384E-3</v>
      </c>
      <c r="Y306" s="48">
        <f>(O306-N306)/N306</f>
        <v>-1.7512508934953538E-2</v>
      </c>
      <c r="Z306" s="48" t="e">
        <f>(#REF!-#REF!)/#REF!</f>
        <v>#REF!</v>
      </c>
    </row>
    <row r="307" spans="1:26" x14ac:dyDescent="0.3">
      <c r="A307" s="48">
        <v>20190402</v>
      </c>
      <c r="B307" s="48" t="s">
        <v>88</v>
      </c>
      <c r="C307" s="79">
        <f>E307*F307*G307/T307</f>
        <v>0.9062379194389879</v>
      </c>
      <c r="D307" s="49">
        <v>45050</v>
      </c>
      <c r="E307" s="49">
        <v>45750</v>
      </c>
      <c r="F307" s="49">
        <v>5969782550</v>
      </c>
      <c r="G307" s="49">
        <v>1</v>
      </c>
      <c r="H307" s="48">
        <f>J307*K307*L307/T307</f>
        <v>7.9096357050880056E-2</v>
      </c>
      <c r="I307" s="48">
        <v>182000</v>
      </c>
      <c r="J307" s="48">
        <v>190000</v>
      </c>
      <c r="K307" s="51">
        <v>125461438</v>
      </c>
      <c r="L307" s="48">
        <v>1</v>
      </c>
      <c r="M307" s="49">
        <f>O307*P307*Q307/T307</f>
        <v>1.4665723510132046E-2</v>
      </c>
      <c r="N307" s="49">
        <v>274900</v>
      </c>
      <c r="O307" s="49">
        <v>277000</v>
      </c>
      <c r="P307" s="49">
        <v>15956260</v>
      </c>
      <c r="Q307" s="49">
        <v>1</v>
      </c>
      <c r="R307" s="82">
        <f t="shared" si="14"/>
        <v>0</v>
      </c>
      <c r="S307" s="82">
        <f>IF(AND(R307=0,B307="N"),S306,S306*(D307*F307*G307+I307*K307*L307+N307*P307*Q307)/T306)</f>
        <v>335634750991886</v>
      </c>
      <c r="T307" s="81">
        <f>E307*F307*G307+J307*K307*L307+O307*P307*Q307</f>
        <v>301375108902500</v>
      </c>
      <c r="U307" s="80">
        <f t="shared" si="12"/>
        <v>897.92581969495097</v>
      </c>
      <c r="V307" s="52">
        <f t="shared" si="13"/>
        <v>1.7612317547043507E-2</v>
      </c>
      <c r="W307" s="48">
        <f>(E307-D307)/D307</f>
        <v>1.5538290788013319E-2</v>
      </c>
      <c r="X307" s="48">
        <f>(J307-I307)/I307</f>
        <v>4.3956043956043959E-2</v>
      </c>
      <c r="Y307" s="48">
        <f>(O307-N307)/N307</f>
        <v>7.6391415060021823E-3</v>
      </c>
      <c r="Z307" s="48" t="e">
        <f>(#REF!-#REF!)/#REF!</f>
        <v>#REF!</v>
      </c>
    </row>
    <row r="308" spans="1:26" x14ac:dyDescent="0.3">
      <c r="A308" s="48">
        <v>20190403</v>
      </c>
      <c r="B308" s="48" t="s">
        <v>88</v>
      </c>
      <c r="C308" s="79">
        <f>E308*F308*G308/T308</f>
        <v>0.90637373362211615</v>
      </c>
      <c r="D308" s="49">
        <v>45750</v>
      </c>
      <c r="E308" s="49">
        <v>46600</v>
      </c>
      <c r="F308" s="49">
        <v>5969782550</v>
      </c>
      <c r="G308" s="49">
        <v>1</v>
      </c>
      <c r="H308" s="48">
        <f>J308*K308*L308/T308</f>
        <v>7.9095925628449262E-2</v>
      </c>
      <c r="I308" s="48">
        <v>190000</v>
      </c>
      <c r="J308" s="48">
        <v>193500</v>
      </c>
      <c r="K308" s="51">
        <v>125461438</v>
      </c>
      <c r="L308" s="48">
        <v>1</v>
      </c>
      <c r="M308" s="49">
        <f>O308*P308*Q308/T308</f>
        <v>1.453034074943463E-2</v>
      </c>
      <c r="N308" s="49">
        <v>277000</v>
      </c>
      <c r="O308" s="49">
        <v>279500</v>
      </c>
      <c r="P308" s="49">
        <v>15956260</v>
      </c>
      <c r="Q308" s="49">
        <v>1</v>
      </c>
      <c r="R308" s="82">
        <f t="shared" si="14"/>
        <v>0</v>
      </c>
      <c r="S308" s="82">
        <f>IF(AND(R308=0,B308="N"),S307,S307*(D308*F308*G308+I308*K308*L308+N308*P308*Q308)/T307)</f>
        <v>335634750991886</v>
      </c>
      <c r="T308" s="81">
        <f>E308*F308*G308+J308*K308*L308+O308*P308*Q308</f>
        <v>306928429753000</v>
      </c>
      <c r="U308" s="80">
        <f t="shared" si="12"/>
        <v>914.47154636386279</v>
      </c>
      <c r="V308" s="52">
        <f t="shared" si="13"/>
        <v>1.8426607528150632E-2</v>
      </c>
      <c r="W308" s="48">
        <f>(E308-D308)/D308</f>
        <v>1.8579234972677595E-2</v>
      </c>
      <c r="X308" s="48">
        <f>(J308-I308)/I308</f>
        <v>1.8421052631578946E-2</v>
      </c>
      <c r="Y308" s="48">
        <f>(O308-N308)/N308</f>
        <v>9.0252707581227436E-3</v>
      </c>
      <c r="Z308" s="48" t="e">
        <f>(#REF!-#REF!)/#REF!</f>
        <v>#REF!</v>
      </c>
    </row>
    <row r="309" spans="1:26" x14ac:dyDescent="0.3">
      <c r="A309" s="48">
        <v>20190404</v>
      </c>
      <c r="B309" s="48" t="s">
        <v>88</v>
      </c>
      <c r="C309" s="79">
        <f>E309*F309*G309/T309</f>
        <v>0.90768464118802883</v>
      </c>
      <c r="D309" s="49">
        <v>46600</v>
      </c>
      <c r="E309" s="49">
        <v>46950</v>
      </c>
      <c r="F309" s="49">
        <v>5969782550</v>
      </c>
      <c r="G309" s="49">
        <v>1</v>
      </c>
      <c r="H309" s="48">
        <f>J309*K309*L309/T309</f>
        <v>7.8213527409477887E-2</v>
      </c>
      <c r="I309" s="48">
        <v>193500</v>
      </c>
      <c r="J309" s="48">
        <v>192500</v>
      </c>
      <c r="K309" s="51">
        <v>125461438</v>
      </c>
      <c r="L309" s="48">
        <v>1</v>
      </c>
      <c r="M309" s="49">
        <f>O309*P309*Q309/T309</f>
        <v>1.410183140249332E-2</v>
      </c>
      <c r="N309" s="49">
        <v>279500</v>
      </c>
      <c r="O309" s="49">
        <v>272900</v>
      </c>
      <c r="P309" s="49">
        <v>15956260</v>
      </c>
      <c r="Q309" s="49">
        <v>1</v>
      </c>
      <c r="R309" s="82">
        <f t="shared" si="14"/>
        <v>0</v>
      </c>
      <c r="S309" s="82">
        <f>IF(AND(R309=0,B309="N"),S308,S308*(D309*F309*G309+I309*K309*L309+N309*P309*Q309)/T308)</f>
        <v>335634750991886</v>
      </c>
      <c r="T309" s="81">
        <f>E309*F309*G309+J309*K309*L309+O309*P309*Q309</f>
        <v>308787080891500</v>
      </c>
      <c r="U309" s="80">
        <f t="shared" si="12"/>
        <v>920.0092659623466</v>
      </c>
      <c r="V309" s="52">
        <f t="shared" si="13"/>
        <v>6.0556499767576068E-3</v>
      </c>
      <c r="W309" s="48">
        <f>(E309-D309)/D309</f>
        <v>7.5107296137339056E-3</v>
      </c>
      <c r="X309" s="48">
        <f>(J309-I309)/I309</f>
        <v>-5.1679586563307496E-3</v>
      </c>
      <c r="Y309" s="48">
        <f>(O309-N309)/N309</f>
        <v>-2.3613595706618962E-2</v>
      </c>
      <c r="Z309" s="48" t="e">
        <f>(#REF!-#REF!)/#REF!</f>
        <v>#REF!</v>
      </c>
    </row>
    <row r="310" spans="1:26" x14ac:dyDescent="0.3">
      <c r="A310" s="48">
        <v>20190405</v>
      </c>
      <c r="B310" s="48" t="s">
        <v>88</v>
      </c>
      <c r="C310" s="79">
        <f>E310*F310*G310/T310</f>
        <v>0.90805736108810398</v>
      </c>
      <c r="D310" s="49">
        <v>46950</v>
      </c>
      <c r="E310" s="49">
        <v>46850</v>
      </c>
      <c r="F310" s="49">
        <v>5969782550</v>
      </c>
      <c r="G310" s="49">
        <v>1</v>
      </c>
      <c r="H310" s="48">
        <f>J310*K310*L310/T310</f>
        <v>7.8208987877333144E-2</v>
      </c>
      <c r="I310" s="48">
        <v>192500</v>
      </c>
      <c r="J310" s="48">
        <v>192000</v>
      </c>
      <c r="K310" s="51">
        <v>125461438</v>
      </c>
      <c r="L310" s="48">
        <v>1</v>
      </c>
      <c r="M310" s="49">
        <f>O310*P310*Q310/T310</f>
        <v>1.3733651034562904E-2</v>
      </c>
      <c r="N310" s="49">
        <v>272900</v>
      </c>
      <c r="O310" s="49">
        <v>265100</v>
      </c>
      <c r="P310" s="49">
        <v>15956260</v>
      </c>
      <c r="Q310" s="49">
        <v>1</v>
      </c>
      <c r="R310" s="82">
        <f t="shared" si="14"/>
        <v>0</v>
      </c>
      <c r="S310" s="82">
        <f>IF(AND(R310=0,B310="N"),S309,S309*(D310*F310*G310+I310*K310*L310+N310*P310*Q310)/T309)</f>
        <v>335634750991886</v>
      </c>
      <c r="T310" s="81">
        <f>E310*F310*G310+J310*K310*L310+O310*P310*Q310</f>
        <v>308002913089500</v>
      </c>
      <c r="U310" s="80">
        <f t="shared" si="12"/>
        <v>917.67289346312657</v>
      </c>
      <c r="V310" s="52">
        <f t="shared" si="13"/>
        <v>-2.5395097480634008E-3</v>
      </c>
      <c r="W310" s="48">
        <f>(E310-D310)/D310</f>
        <v>-2.1299254526091589E-3</v>
      </c>
      <c r="X310" s="48">
        <f>(J310-I310)/I310</f>
        <v>-2.5974025974025974E-3</v>
      </c>
      <c r="Y310" s="48">
        <f>(O310-N310)/N310</f>
        <v>-2.8581898131183583E-2</v>
      </c>
      <c r="Z310" s="48" t="e">
        <f>(#REF!-#REF!)/#REF!</f>
        <v>#REF!</v>
      </c>
    </row>
    <row r="311" spans="1:26" x14ac:dyDescent="0.3">
      <c r="A311" s="48">
        <v>20190408</v>
      </c>
      <c r="B311" s="48" t="s">
        <v>88</v>
      </c>
      <c r="C311" s="79">
        <f>E311*F311*G311/T311</f>
        <v>0.90611524236089436</v>
      </c>
      <c r="D311" s="49">
        <v>46850</v>
      </c>
      <c r="E311" s="49">
        <v>46650</v>
      </c>
      <c r="F311" s="49">
        <v>5969782550</v>
      </c>
      <c r="G311" s="49">
        <v>1</v>
      </c>
      <c r="H311" s="48">
        <f>J311*K311*L311/T311</f>
        <v>7.9805036112645694E-2</v>
      </c>
      <c r="I311" s="48">
        <v>192000</v>
      </c>
      <c r="J311" s="48">
        <v>195500</v>
      </c>
      <c r="K311" s="51">
        <v>125461438</v>
      </c>
      <c r="L311" s="48">
        <v>1</v>
      </c>
      <c r="M311" s="49">
        <f>O311*P311*Q311/T311</f>
        <v>1.407972152645999E-2</v>
      </c>
      <c r="N311" s="49">
        <v>265100</v>
      </c>
      <c r="O311" s="49">
        <v>271200</v>
      </c>
      <c r="P311" s="49">
        <v>15956260</v>
      </c>
      <c r="Q311" s="49">
        <v>1</v>
      </c>
      <c r="R311" s="82">
        <f t="shared" si="14"/>
        <v>0</v>
      </c>
      <c r="S311" s="82">
        <f>IF(AND(R311=0,B311="N"),S310,S310*(D311*F311*G311+I311*K311*L311+N311*P311*Q311)/T310)</f>
        <v>335634750991886</v>
      </c>
      <c r="T311" s="81">
        <f>E311*F311*G311+J311*K311*L311+O311*P311*Q311</f>
        <v>307345404798500</v>
      </c>
      <c r="U311" s="80">
        <f t="shared" si="12"/>
        <v>915.71389401787576</v>
      </c>
      <c r="V311" s="52">
        <f t="shared" si="13"/>
        <v>-2.1347469879576717E-3</v>
      </c>
      <c r="W311" s="48">
        <f>(E311-D311)/D311</f>
        <v>-4.2689434364994666E-3</v>
      </c>
      <c r="X311" s="48">
        <f>(J311-I311)/I311</f>
        <v>1.8229166666666668E-2</v>
      </c>
      <c r="Y311" s="48">
        <f>(O311-N311)/N311</f>
        <v>2.3010184835910975E-2</v>
      </c>
      <c r="Z311" s="48" t="e">
        <f>(#REF!-#REF!)/#REF!</f>
        <v>#REF!</v>
      </c>
    </row>
    <row r="312" spans="1:26" x14ac:dyDescent="0.3">
      <c r="A312" s="48">
        <v>20190409</v>
      </c>
      <c r="B312" s="48" t="s">
        <v>88</v>
      </c>
      <c r="C312" s="79">
        <f>E312*F312*G312/T312</f>
        <v>0.90281247066389758</v>
      </c>
      <c r="D312" s="49">
        <v>46650</v>
      </c>
      <c r="E312" s="49">
        <v>46650</v>
      </c>
      <c r="F312" s="49">
        <v>5969782550</v>
      </c>
      <c r="G312" s="49">
        <v>1</v>
      </c>
      <c r="H312" s="48">
        <f>J312*K312*L312/T312</f>
        <v>8.317464625224659E-2</v>
      </c>
      <c r="I312" s="48">
        <v>195500</v>
      </c>
      <c r="J312" s="48">
        <v>204500</v>
      </c>
      <c r="K312" s="51">
        <v>125461438</v>
      </c>
      <c r="L312" s="48">
        <v>1</v>
      </c>
      <c r="M312" s="49">
        <f>O312*P312*Q312/T312</f>
        <v>1.4012883083855798E-2</v>
      </c>
      <c r="N312" s="49">
        <v>271200</v>
      </c>
      <c r="O312" s="49">
        <v>270900</v>
      </c>
      <c r="P312" s="49">
        <v>15956260</v>
      </c>
      <c r="Q312" s="49">
        <v>1</v>
      </c>
      <c r="R312" s="82">
        <f t="shared" si="14"/>
        <v>0</v>
      </c>
      <c r="S312" s="82">
        <f>IF(AND(R312=0,B312="N"),S311,S311*(D312*F312*G312+I312*K312*L312+N312*P312*Q312)/T311)</f>
        <v>335634750991886</v>
      </c>
      <c r="T312" s="81">
        <f>E312*F312*G312+J312*K312*L312+O312*P312*Q312</f>
        <v>308469770862500</v>
      </c>
      <c r="U312" s="80">
        <f t="shared" si="12"/>
        <v>919.0638631753518</v>
      </c>
      <c r="V312" s="52">
        <f t="shared" si="13"/>
        <v>3.6583142173123389E-3</v>
      </c>
      <c r="W312" s="48">
        <f>(E312-D312)/D312</f>
        <v>0</v>
      </c>
      <c r="X312" s="48">
        <f>(J312-I312)/I312</f>
        <v>4.6035805626598467E-2</v>
      </c>
      <c r="Y312" s="48">
        <f>(O312-N312)/N312</f>
        <v>-1.1061946902654867E-3</v>
      </c>
      <c r="Z312" s="48" t="e">
        <f>(#REF!-#REF!)/#REF!</f>
        <v>#REF!</v>
      </c>
    </row>
    <row r="313" spans="1:26" x14ac:dyDescent="0.3">
      <c r="A313" s="48">
        <v>20190410</v>
      </c>
      <c r="B313" s="48" t="s">
        <v>88</v>
      </c>
      <c r="C313" s="79">
        <f>E313*F313*G313/T313</f>
        <v>0.90220880198306663</v>
      </c>
      <c r="D313" s="49">
        <v>46650</v>
      </c>
      <c r="E313" s="49">
        <v>46700</v>
      </c>
      <c r="F313" s="49">
        <v>5969782550</v>
      </c>
      <c r="G313" s="49">
        <v>1</v>
      </c>
      <c r="H313" s="48">
        <f>J313*K313*L313/T313</f>
        <v>8.3436053557739323E-2</v>
      </c>
      <c r="I313" s="48">
        <v>204500</v>
      </c>
      <c r="J313" s="48">
        <v>205500</v>
      </c>
      <c r="K313" s="51">
        <v>125461438</v>
      </c>
      <c r="L313" s="48">
        <v>1</v>
      </c>
      <c r="M313" s="49">
        <f>O313*P313*Q313/T313</f>
        <v>1.4355144459193996E-2</v>
      </c>
      <c r="N313" s="49">
        <v>270900</v>
      </c>
      <c r="O313" s="49">
        <v>278000</v>
      </c>
      <c r="P313" s="49">
        <v>15956260</v>
      </c>
      <c r="Q313" s="49">
        <v>1</v>
      </c>
      <c r="R313" s="82">
        <f t="shared" si="14"/>
        <v>0</v>
      </c>
      <c r="S313" s="82">
        <f>IF(AND(R313=0,B313="N"),S312,S312*(D313*F313*G313+I313*K313*L313+N313*P313*Q313)/T312)</f>
        <v>335634750991886</v>
      </c>
      <c r="T313" s="81">
        <f>E313*F313*G313+J313*K313*L313+O313*P313*Q313</f>
        <v>309007010874000</v>
      </c>
      <c r="U313" s="80">
        <f t="shared" si="12"/>
        <v>920.6645317888142</v>
      </c>
      <c r="V313" s="52">
        <f t="shared" si="13"/>
        <v>1.7416293661379715E-3</v>
      </c>
      <c r="W313" s="48">
        <f>(E313-D313)/D313</f>
        <v>1.0718113612004287E-3</v>
      </c>
      <c r="X313" s="48">
        <f>(J313-I313)/I313</f>
        <v>4.8899755501222494E-3</v>
      </c>
      <c r="Y313" s="48">
        <f>(O313-N313)/N313</f>
        <v>2.6208933185677373E-2</v>
      </c>
      <c r="Z313" s="48" t="e">
        <f>(#REF!-#REF!)/#REF!</f>
        <v>#REF!</v>
      </c>
    </row>
    <row r="314" spans="1:26" x14ac:dyDescent="0.3">
      <c r="A314" s="48">
        <v>20190411</v>
      </c>
      <c r="B314" s="48" t="s">
        <v>88</v>
      </c>
      <c r="C314" s="79">
        <f>E314*F314*G314/T314</f>
        <v>0.89948571860840021</v>
      </c>
      <c r="D314" s="49">
        <v>46700</v>
      </c>
      <c r="E314" s="49">
        <v>46250</v>
      </c>
      <c r="F314" s="49">
        <v>5969782550</v>
      </c>
      <c r="G314" s="49">
        <v>1</v>
      </c>
      <c r="H314" s="48">
        <f>J314*K314*L314/T314</f>
        <v>8.6037222973145672E-2</v>
      </c>
      <c r="I314" s="48">
        <v>205500</v>
      </c>
      <c r="J314" s="48">
        <v>210500</v>
      </c>
      <c r="K314" s="51">
        <v>125461438</v>
      </c>
      <c r="L314" s="48">
        <v>1</v>
      </c>
      <c r="M314" s="49">
        <f>O314*P314*Q314/T314</f>
        <v>1.447705841845414E-2</v>
      </c>
      <c r="N314" s="49">
        <v>278000</v>
      </c>
      <c r="O314" s="49">
        <v>278500</v>
      </c>
      <c r="P314" s="49">
        <v>15956260</v>
      </c>
      <c r="Q314" s="49">
        <v>1</v>
      </c>
      <c r="R314" s="82">
        <f t="shared" si="14"/>
        <v>0</v>
      </c>
      <c r="S314" s="82">
        <f>IF(AND(R314=0,B314="N"),S313,S313*(D314*F314*G314+I314*K314*L314+N314*P314*Q314)/T313)</f>
        <v>335634750991886</v>
      </c>
      <c r="T314" s="81">
        <f>E314*F314*G314+J314*K314*L314+O314*P314*Q314</f>
        <v>306955894046500</v>
      </c>
      <c r="U314" s="80">
        <f t="shared" si="12"/>
        <v>914.55337428370365</v>
      </c>
      <c r="V314" s="52">
        <f t="shared" si="13"/>
        <v>-6.6377679318620226E-3</v>
      </c>
      <c r="W314" s="48">
        <f>(E314-D314)/D314</f>
        <v>-9.6359743040685224E-3</v>
      </c>
      <c r="X314" s="48">
        <f>(J314-I314)/I314</f>
        <v>2.4330900243309004E-2</v>
      </c>
      <c r="Y314" s="48">
        <f>(O314-N314)/N314</f>
        <v>1.7985611510791368E-3</v>
      </c>
      <c r="Z314" s="48" t="e">
        <f>(#REF!-#REF!)/#REF!</f>
        <v>#REF!</v>
      </c>
    </row>
    <row r="315" spans="1:26" x14ac:dyDescent="0.3">
      <c r="A315" s="48">
        <v>20190412</v>
      </c>
      <c r="B315" s="48" t="s">
        <v>88</v>
      </c>
      <c r="C315" s="79">
        <f>E315*F315*G315/T315</f>
        <v>0.90139514589092584</v>
      </c>
      <c r="D315" s="49">
        <v>46250</v>
      </c>
      <c r="E315" s="49">
        <v>46850</v>
      </c>
      <c r="F315" s="49">
        <v>5969782550</v>
      </c>
      <c r="G315" s="49">
        <v>1</v>
      </c>
      <c r="H315" s="48">
        <f>J315*K315*L315/T315</f>
        <v>8.450913465363874E-2</v>
      </c>
      <c r="I315" s="48">
        <v>210500</v>
      </c>
      <c r="J315" s="48">
        <v>209000</v>
      </c>
      <c r="K315" s="51">
        <v>125461438</v>
      </c>
      <c r="L315" s="48">
        <v>1</v>
      </c>
      <c r="M315" s="49">
        <f>O315*P315*Q315/T315</f>
        <v>1.4095719455435383E-2</v>
      </c>
      <c r="N315" s="49">
        <v>278500</v>
      </c>
      <c r="O315" s="49">
        <v>274100</v>
      </c>
      <c r="P315" s="49">
        <v>15956260</v>
      </c>
      <c r="Q315" s="49">
        <v>1</v>
      </c>
      <c r="R315" s="82">
        <f t="shared" si="14"/>
        <v>0</v>
      </c>
      <c r="S315" s="82">
        <f>IF(AND(R315=0,B315="N"),S314,S314*(D315*F315*G315+I315*K315*L315+N315*P315*Q315)/T314)</f>
        <v>335634750991886</v>
      </c>
      <c r="T315" s="81">
        <f>E315*F315*G315+J315*K315*L315+O315*P315*Q315</f>
        <v>310279363875500</v>
      </c>
      <c r="U315" s="80">
        <f t="shared" si="12"/>
        <v>924.45541755895545</v>
      </c>
      <c r="V315" s="52">
        <f t="shared" si="13"/>
        <v>1.0827190138582427E-2</v>
      </c>
      <c r="W315" s="48">
        <f>(E315-D315)/D315</f>
        <v>1.2972972972972972E-2</v>
      </c>
      <c r="X315" s="48">
        <f>(J315-I315)/I315</f>
        <v>-7.1258907363420431E-3</v>
      </c>
      <c r="Y315" s="48">
        <f>(O315-N315)/N315</f>
        <v>-1.5798922800718134E-2</v>
      </c>
      <c r="Z315" s="48" t="e">
        <f>(#REF!-#REF!)/#REF!</f>
        <v>#REF!</v>
      </c>
    </row>
    <row r="316" spans="1:26" x14ac:dyDescent="0.3">
      <c r="A316" s="48">
        <v>20190415</v>
      </c>
      <c r="B316" s="48" t="s">
        <v>88</v>
      </c>
      <c r="C316" s="79">
        <f>E316*F316*G316/T316</f>
        <v>0.90403991419807617</v>
      </c>
      <c r="D316" s="49">
        <v>46850</v>
      </c>
      <c r="E316" s="49">
        <v>47050</v>
      </c>
      <c r="F316" s="49">
        <v>5969782550</v>
      </c>
      <c r="G316" s="49">
        <v>1</v>
      </c>
      <c r="H316" s="48">
        <f>J316*K316*L316/T316</f>
        <v>8.2175837702641252E-2</v>
      </c>
      <c r="I316" s="48">
        <v>209000</v>
      </c>
      <c r="J316" s="48">
        <v>203500</v>
      </c>
      <c r="K316" s="51">
        <v>125461438</v>
      </c>
      <c r="L316" s="48">
        <v>1</v>
      </c>
      <c r="M316" s="49">
        <f>O316*P316*Q316/T316</f>
        <v>1.378424809928255E-2</v>
      </c>
      <c r="N316" s="49">
        <v>274100</v>
      </c>
      <c r="O316" s="49">
        <v>268400</v>
      </c>
      <c r="P316" s="49">
        <v>15956260</v>
      </c>
      <c r="Q316" s="49">
        <v>1</v>
      </c>
      <c r="R316" s="82">
        <f t="shared" si="14"/>
        <v>0</v>
      </c>
      <c r="S316" s="82">
        <f>IF(AND(R316=0,B316="N"),S315,S315*(D316*F316*G316+I316*K316*L316+N316*P316*Q316)/T315)</f>
        <v>335634750991886</v>
      </c>
      <c r="T316" s="81">
        <f>E316*F316*G316+J316*K316*L316+O316*P316*Q316</f>
        <v>310692331794500</v>
      </c>
      <c r="U316" s="80">
        <f t="shared" si="12"/>
        <v>925.68582626299917</v>
      </c>
      <c r="V316" s="52">
        <f t="shared" si="13"/>
        <v>1.3309551555148501E-3</v>
      </c>
      <c r="W316" s="48">
        <f>(E316-D316)/D316</f>
        <v>4.2689434364994666E-3</v>
      </c>
      <c r="X316" s="48">
        <f>(J316-I316)/I316</f>
        <v>-2.6315789473684209E-2</v>
      </c>
      <c r="Y316" s="48">
        <f>(O316-N316)/N316</f>
        <v>-2.0795330171470266E-2</v>
      </c>
      <c r="Z316" s="48" t="e">
        <f>(#REF!-#REF!)/#REF!</f>
        <v>#REF!</v>
      </c>
    </row>
    <row r="317" spans="1:26" x14ac:dyDescent="0.3">
      <c r="A317" s="48">
        <v>20190416</v>
      </c>
      <c r="B317" s="48" t="s">
        <v>88</v>
      </c>
      <c r="C317" s="79">
        <f>E317*F317*G317/T317</f>
        <v>0.90269008948390306</v>
      </c>
      <c r="D317" s="49">
        <v>47050</v>
      </c>
      <c r="E317" s="49">
        <v>47250</v>
      </c>
      <c r="F317" s="49">
        <v>5969782550</v>
      </c>
      <c r="G317" s="49">
        <v>1</v>
      </c>
      <c r="H317" s="48">
        <f>J317*K317*L317/T317</f>
        <v>8.3512588564320492E-2</v>
      </c>
      <c r="I317" s="48">
        <v>203500</v>
      </c>
      <c r="J317" s="48">
        <v>208000</v>
      </c>
      <c r="K317" s="51">
        <v>125461438</v>
      </c>
      <c r="L317" s="48">
        <v>1</v>
      </c>
      <c r="M317" s="49">
        <f>O317*P317*Q317/T317</f>
        <v>1.3797321951776449E-2</v>
      </c>
      <c r="N317" s="49">
        <v>268400</v>
      </c>
      <c r="O317" s="49">
        <v>270200</v>
      </c>
      <c r="P317" s="49">
        <v>15956260</v>
      </c>
      <c r="Q317" s="49">
        <v>1</v>
      </c>
      <c r="R317" s="82">
        <f t="shared" si="14"/>
        <v>0</v>
      </c>
      <c r="S317" s="82">
        <f>IF(AND(R317=0,B317="N"),S316,S316*(D317*F317*G317+I317*K317*L317+N317*P317*Q317)/T316)</f>
        <v>335634750991886</v>
      </c>
      <c r="T317" s="81">
        <f>E317*F317*G317+J317*K317*L317+O317*P317*Q317</f>
        <v>312479586043500</v>
      </c>
      <c r="U317" s="80">
        <f t="shared" si="12"/>
        <v>931.01082387936106</v>
      </c>
      <c r="V317" s="52">
        <f t="shared" si="13"/>
        <v>5.7524890900176578E-3</v>
      </c>
      <c r="W317" s="48">
        <f>(E317-D317)/D317</f>
        <v>4.2507970244420826E-3</v>
      </c>
      <c r="X317" s="48">
        <f>(J317-I317)/I317</f>
        <v>2.2113022113022112E-2</v>
      </c>
      <c r="Y317" s="48">
        <f>(O317-N317)/N317</f>
        <v>6.7064083457526085E-3</v>
      </c>
      <c r="Z317" s="48" t="e">
        <f>(#REF!-#REF!)/#REF!</f>
        <v>#REF!</v>
      </c>
    </row>
    <row r="318" spans="1:26" x14ac:dyDescent="0.3">
      <c r="A318" s="48">
        <v>20190417</v>
      </c>
      <c r="B318" s="48" t="s">
        <v>88</v>
      </c>
      <c r="C318" s="79">
        <f>E318*F318*G318/T318</f>
        <v>0.9023061475132812</v>
      </c>
      <c r="D318" s="49">
        <v>47250</v>
      </c>
      <c r="E318" s="49">
        <v>47050</v>
      </c>
      <c r="F318" s="49">
        <v>5969782550</v>
      </c>
      <c r="G318" s="49">
        <v>1</v>
      </c>
      <c r="H318" s="48">
        <f>J318*K318*L318/T318</f>
        <v>8.4033431173700768E-2</v>
      </c>
      <c r="I318" s="48">
        <v>208000</v>
      </c>
      <c r="J318" s="48">
        <v>208500</v>
      </c>
      <c r="K318" s="51">
        <v>125461438</v>
      </c>
      <c r="L318" s="48">
        <v>1</v>
      </c>
      <c r="M318" s="49">
        <f>O318*P318*Q318/T318</f>
        <v>1.3660421313018029E-2</v>
      </c>
      <c r="N318" s="49">
        <v>270200</v>
      </c>
      <c r="O318" s="49">
        <v>266500</v>
      </c>
      <c r="P318" s="49">
        <v>15956260</v>
      </c>
      <c r="Q318" s="49">
        <v>1</v>
      </c>
      <c r="R318" s="82">
        <f t="shared" si="14"/>
        <v>0</v>
      </c>
      <c r="S318" s="82">
        <f>IF(AND(R318=0,B318="N"),S317,S317*(D318*F318*G318+I318*K318*L318+N318*P318*Q318)/T317)</f>
        <v>335634750991886</v>
      </c>
      <c r="T318" s="81">
        <f>E318*F318*G318+J318*K318*L318+O318*P318*Q318</f>
        <v>311289322090500</v>
      </c>
      <c r="U318" s="80">
        <f t="shared" si="12"/>
        <v>927.46451662278992</v>
      </c>
      <c r="V318" s="52">
        <f t="shared" si="13"/>
        <v>-3.8090934773392766E-3</v>
      </c>
      <c r="W318" s="48">
        <f>(E318-D318)/D318</f>
        <v>-4.2328042328042331E-3</v>
      </c>
      <c r="X318" s="48">
        <f>(J318-I318)/I318</f>
        <v>2.403846153846154E-3</v>
      </c>
      <c r="Y318" s="48">
        <f>(O318-N318)/N318</f>
        <v>-1.3693560325684678E-2</v>
      </c>
      <c r="Z318" s="48" t="e">
        <f>(#REF!-#REF!)/#REF!</f>
        <v>#REF!</v>
      </c>
    </row>
    <row r="319" spans="1:26" x14ac:dyDescent="0.3">
      <c r="A319" s="48">
        <v>20190418</v>
      </c>
      <c r="B319" s="48" t="s">
        <v>88</v>
      </c>
      <c r="C319" s="79">
        <f>E319*F319*G319/T319</f>
        <v>0.90180904651238458</v>
      </c>
      <c r="D319" s="49">
        <v>47050</v>
      </c>
      <c r="E319" s="49">
        <v>45600</v>
      </c>
      <c r="F319" s="49">
        <v>5969782550</v>
      </c>
      <c r="G319" s="49">
        <v>1</v>
      </c>
      <c r="H319" s="48">
        <f>J319*K319*L319/T319</f>
        <v>8.4579654606226629E-2</v>
      </c>
      <c r="I319" s="48">
        <v>208500</v>
      </c>
      <c r="J319" s="48">
        <v>203500</v>
      </c>
      <c r="K319" s="51">
        <v>125461438</v>
      </c>
      <c r="L319" s="48">
        <v>1</v>
      </c>
      <c r="M319" s="49">
        <f>O319*P319*Q319/T319</f>
        <v>1.3611298881388841E-2</v>
      </c>
      <c r="N319" s="49">
        <v>266500</v>
      </c>
      <c r="O319" s="49">
        <v>257500</v>
      </c>
      <c r="P319" s="49">
        <v>15956260</v>
      </c>
      <c r="Q319" s="49">
        <v>1</v>
      </c>
      <c r="R319" s="82">
        <f t="shared" si="14"/>
        <v>0</v>
      </c>
      <c r="S319" s="82">
        <f>IF(AND(R319=0,B319="N"),S318,S318*(D319*F319*G319+I319*K319*L319+N319*P319*Q319)/T318)</f>
        <v>335634750991886</v>
      </c>
      <c r="T319" s="81">
        <f>E319*F319*G319+J319*K319*L319+O319*P319*Q319</f>
        <v>301862223863000</v>
      </c>
      <c r="U319" s="80">
        <f t="shared" si="12"/>
        <v>899.37714426447326</v>
      </c>
      <c r="V319" s="52">
        <f t="shared" si="13"/>
        <v>-3.0284039825687586E-2</v>
      </c>
      <c r="W319" s="48">
        <f>(E319-D319)/D319</f>
        <v>-3.0818278427205102E-2</v>
      </c>
      <c r="X319" s="48">
        <f>(J319-I319)/I319</f>
        <v>-2.3980815347721823E-2</v>
      </c>
      <c r="Y319" s="48">
        <f>(O319-N319)/N319</f>
        <v>-3.3771106941838651E-2</v>
      </c>
      <c r="Z319" s="48" t="e">
        <f>(#REF!-#REF!)/#REF!</f>
        <v>#REF!</v>
      </c>
    </row>
    <row r="320" spans="1:26" x14ac:dyDescent="0.3">
      <c r="A320" s="48">
        <v>20190419</v>
      </c>
      <c r="B320" s="48" t="s">
        <v>88</v>
      </c>
      <c r="C320" s="79">
        <f>E320*F320*G320/T320</f>
        <v>0.89560289436791318</v>
      </c>
      <c r="D320" s="49">
        <v>45600</v>
      </c>
      <c r="E320" s="49">
        <v>45300</v>
      </c>
      <c r="F320" s="49">
        <v>5969782550</v>
      </c>
      <c r="G320" s="49">
        <v>1</v>
      </c>
      <c r="H320" s="48">
        <f>J320*K320*L320/T320</f>
        <v>9.057858434903375E-2</v>
      </c>
      <c r="I320" s="48">
        <v>203500</v>
      </c>
      <c r="J320" s="48">
        <v>218000</v>
      </c>
      <c r="K320" s="51">
        <v>125461438</v>
      </c>
      <c r="L320" s="48">
        <v>1</v>
      </c>
      <c r="M320" s="49">
        <f>O320*P320*Q320/T320</f>
        <v>1.3818521283053088E-2</v>
      </c>
      <c r="N320" s="49">
        <v>257500</v>
      </c>
      <c r="O320" s="49">
        <v>261500</v>
      </c>
      <c r="P320" s="49">
        <v>15956260</v>
      </c>
      <c r="Q320" s="49">
        <v>1</v>
      </c>
      <c r="R320" s="82">
        <f t="shared" si="14"/>
        <v>0</v>
      </c>
      <c r="S320" s="82">
        <f>IF(AND(R320=0,B320="N"),S319,S319*(D320*F320*G320+I320*K320*L320+N320*P320*Q320)/T319)</f>
        <v>335634750991886</v>
      </c>
      <c r="T320" s="81">
        <f>E320*F320*G320+J320*K320*L320+O320*P320*Q320</f>
        <v>301954304989000</v>
      </c>
      <c r="U320" s="80">
        <f t="shared" si="12"/>
        <v>899.65149346618102</v>
      </c>
      <c r="V320" s="52">
        <f t="shared" si="13"/>
        <v>3.0504355537312652E-4</v>
      </c>
      <c r="W320" s="48">
        <f>(E320-D320)/D320</f>
        <v>-6.5789473684210523E-3</v>
      </c>
      <c r="X320" s="48">
        <f>(J320-I320)/I320</f>
        <v>7.125307125307126E-2</v>
      </c>
      <c r="Y320" s="48">
        <f>(O320-N320)/N320</f>
        <v>1.5533980582524271E-2</v>
      </c>
      <c r="Z320" s="48" t="e">
        <f>(#REF!-#REF!)/#REF!</f>
        <v>#REF!</v>
      </c>
    </row>
    <row r="321" spans="1:26" x14ac:dyDescent="0.3">
      <c r="A321" s="48">
        <v>20190422</v>
      </c>
      <c r="B321" s="48" t="s">
        <v>88</v>
      </c>
      <c r="C321" s="79">
        <f>E321*F321*G321/T321</f>
        <v>0.89488128772746378</v>
      </c>
      <c r="D321" s="49">
        <v>45300</v>
      </c>
      <c r="E321" s="49">
        <v>45350</v>
      </c>
      <c r="F321" s="49">
        <v>5969782550</v>
      </c>
      <c r="G321" s="49">
        <v>1</v>
      </c>
      <c r="H321" s="48">
        <f>J321*K321*L321/T321</f>
        <v>9.1442581514900076E-2</v>
      </c>
      <c r="I321" s="48">
        <v>218000</v>
      </c>
      <c r="J321" s="48">
        <v>220500</v>
      </c>
      <c r="K321" s="51">
        <v>125461438</v>
      </c>
      <c r="L321" s="48">
        <v>1</v>
      </c>
      <c r="M321" s="49">
        <f>O321*P321*Q321/T321</f>
        <v>1.367613075763616E-2</v>
      </c>
      <c r="N321" s="49">
        <v>261500</v>
      </c>
      <c r="O321" s="49">
        <v>259300</v>
      </c>
      <c r="P321" s="49">
        <v>15956260</v>
      </c>
      <c r="Q321" s="49">
        <v>1</v>
      </c>
      <c r="R321" s="82">
        <f t="shared" si="14"/>
        <v>0</v>
      </c>
      <c r="S321" s="82">
        <f>IF(AND(R321=0,B321="N"),S320,S320*(D321*F321*G321+I321*K321*L321+N321*P321*Q321)/T320)</f>
        <v>335634750991886</v>
      </c>
      <c r="T321" s="81">
        <f>E321*F321*G321+J321*K321*L321+O321*P321*Q321</f>
        <v>302531343939500</v>
      </c>
      <c r="U321" s="80">
        <f t="shared" si="12"/>
        <v>901.37074020328043</v>
      </c>
      <c r="V321" s="52">
        <f t="shared" si="13"/>
        <v>1.9110141533534167E-3</v>
      </c>
      <c r="W321" s="48">
        <f>(E321-D321)/D321</f>
        <v>1.1037527593818985E-3</v>
      </c>
      <c r="X321" s="48">
        <f>(J321-I321)/I321</f>
        <v>1.1467889908256881E-2</v>
      </c>
      <c r="Y321" s="48">
        <f>(O321-N321)/N321</f>
        <v>-8.4130019120458883E-3</v>
      </c>
      <c r="Z321" s="48" t="e">
        <f>(#REF!-#REF!)/#REF!</f>
        <v>#REF!</v>
      </c>
    </row>
    <row r="322" spans="1:26" x14ac:dyDescent="0.3">
      <c r="A322" s="48">
        <v>20190423</v>
      </c>
      <c r="B322" s="48" t="s">
        <v>88</v>
      </c>
      <c r="C322" s="79">
        <f>E322*F322*G322/T322</f>
        <v>0.89419729198201992</v>
      </c>
      <c r="D322" s="49">
        <v>45350</v>
      </c>
      <c r="E322" s="49">
        <v>45200</v>
      </c>
      <c r="F322" s="49">
        <v>5969782550</v>
      </c>
      <c r="G322" s="49">
        <v>1</v>
      </c>
      <c r="H322" s="48">
        <f>J322*K322*L322/T322</f>
        <v>9.2091679807770666E-2</v>
      </c>
      <c r="I322" s="48">
        <v>220500</v>
      </c>
      <c r="J322" s="48">
        <v>221500</v>
      </c>
      <c r="K322" s="51">
        <v>125461438</v>
      </c>
      <c r="L322" s="48">
        <v>1</v>
      </c>
      <c r="M322" s="49">
        <f>O322*P322*Q322/T322</f>
        <v>1.3711028210209471E-2</v>
      </c>
      <c r="N322" s="49">
        <v>259300</v>
      </c>
      <c r="O322" s="49">
        <v>259300</v>
      </c>
      <c r="P322" s="49">
        <v>15956260</v>
      </c>
      <c r="Q322" s="49">
        <v>1</v>
      </c>
      <c r="R322" s="82">
        <f t="shared" si="14"/>
        <v>0</v>
      </c>
      <c r="S322" s="82">
        <f>IF(AND(R322=0,B322="N"),S321,S321*(D322*F322*G322+I322*K322*L322+N322*P322*Q322)/T321)</f>
        <v>335634750991886</v>
      </c>
      <c r="T322" s="81">
        <f>E322*F322*G322+J322*K322*L322+O322*P322*Q322</f>
        <v>301761337995000</v>
      </c>
      <c r="U322" s="80">
        <f t="shared" si="12"/>
        <v>899.07656195676566</v>
      </c>
      <c r="V322" s="52">
        <f t="shared" si="13"/>
        <v>-2.5452104713287941E-3</v>
      </c>
      <c r="W322" s="48">
        <f>(E322-D322)/D322</f>
        <v>-3.3076074972436605E-3</v>
      </c>
      <c r="X322" s="48">
        <f>(J322-I322)/I322</f>
        <v>4.5351473922902496E-3</v>
      </c>
      <c r="Y322" s="48">
        <f>(O322-N322)/N322</f>
        <v>0</v>
      </c>
      <c r="Z322" s="48" t="e">
        <f>(#REF!-#REF!)/#REF!</f>
        <v>#REF!</v>
      </c>
    </row>
    <row r="323" spans="1:26" s="73" customFormat="1" x14ac:dyDescent="0.3">
      <c r="A323" s="48">
        <v>20190424</v>
      </c>
      <c r="B323" s="48" t="s">
        <v>88</v>
      </c>
      <c r="C323" s="79">
        <f>E323*F323*G323/T323</f>
        <v>0.892955019843367</v>
      </c>
      <c r="D323" s="49">
        <v>45200</v>
      </c>
      <c r="E323" s="49">
        <v>44750</v>
      </c>
      <c r="F323" s="49">
        <v>5969782550</v>
      </c>
      <c r="G323" s="49">
        <v>1</v>
      </c>
      <c r="H323" s="48">
        <f>J323*K323*L323/T323</f>
        <v>9.3236649252638526E-2</v>
      </c>
      <c r="I323" s="48">
        <v>221500</v>
      </c>
      <c r="J323" s="48">
        <v>218000</v>
      </c>
      <c r="K323" s="51">
        <v>127953489</v>
      </c>
      <c r="L323" s="48">
        <v>1</v>
      </c>
      <c r="M323" s="49">
        <f>O323*P323*Q323/T323</f>
        <v>1.3808330903994501E-2</v>
      </c>
      <c r="N323" s="49">
        <v>259300</v>
      </c>
      <c r="O323" s="49">
        <v>258900</v>
      </c>
      <c r="P323" s="49">
        <v>15956260</v>
      </c>
      <c r="Q323" s="49">
        <v>1</v>
      </c>
      <c r="R323" s="82">
        <f t="shared" si="14"/>
        <v>1</v>
      </c>
      <c r="S323" s="82">
        <f>IF(AND(R323=0,B323="N"),S322,S322*(D323*F323*G323+I323*K323*L323+N323*P323*Q323)/T322)</f>
        <v>336248702372510</v>
      </c>
      <c r="T323" s="81">
        <f>E323*F323*G323+J323*K323*L323+O323*P323*Q323</f>
        <v>299172705428500</v>
      </c>
      <c r="U323" s="80">
        <f t="shared" ref="U323:U380" si="15">T323/S323*1000</f>
        <v>889.73638654243575</v>
      </c>
      <c r="V323" s="52">
        <f t="shared" si="13"/>
        <v>-1.0388631858005272E-2</v>
      </c>
      <c r="W323" s="48">
        <f>(E323-D323)/D323</f>
        <v>-9.9557522123893804E-3</v>
      </c>
      <c r="X323" s="48">
        <f>(J323-I323)/I323</f>
        <v>-1.580135440180587E-2</v>
      </c>
      <c r="Y323" s="48">
        <f>(O323-N323)/N323</f>
        <v>-1.5426147319706903E-3</v>
      </c>
      <c r="Z323" s="48" t="e">
        <f>(#REF!-#REF!)/#REF!</f>
        <v>#REF!</v>
      </c>
    </row>
    <row r="324" spans="1:26" x14ac:dyDescent="0.3">
      <c r="A324" s="48">
        <v>20190425</v>
      </c>
      <c r="B324" s="48" t="s">
        <v>88</v>
      </c>
      <c r="C324" s="79">
        <f>E324*F324*G324/T324</f>
        <v>0.89546025770578186</v>
      </c>
      <c r="D324" s="49">
        <v>44750</v>
      </c>
      <c r="E324" s="49">
        <v>44650</v>
      </c>
      <c r="F324" s="49">
        <v>5969782550</v>
      </c>
      <c r="G324" s="49">
        <v>1</v>
      </c>
      <c r="H324" s="48">
        <f>J324*K324*L324/T324</f>
        <v>9.091359777097173E-2</v>
      </c>
      <c r="I324" s="48">
        <v>218000</v>
      </c>
      <c r="J324" s="48">
        <v>211500</v>
      </c>
      <c r="K324" s="51">
        <v>127953489</v>
      </c>
      <c r="L324" s="48">
        <v>1</v>
      </c>
      <c r="M324" s="49">
        <f>O324*P324*Q324/T324</f>
        <v>1.3626144523246401E-2</v>
      </c>
      <c r="N324" s="49">
        <v>258900</v>
      </c>
      <c r="O324" s="49">
        <v>254200</v>
      </c>
      <c r="P324" s="49">
        <v>15956260</v>
      </c>
      <c r="Q324" s="49">
        <v>1</v>
      </c>
      <c r="R324" s="82">
        <f t="shared" si="14"/>
        <v>0</v>
      </c>
      <c r="S324" s="82">
        <f>IF(AND(R324=0,B324="N"),S323,S323*(D324*F324*G324+I324*K324*L324+N324*P324*Q324)/T323)</f>
        <v>336248702372510</v>
      </c>
      <c r="T324" s="81">
        <f>E324*F324*G324+J324*K324*L324+O324*P324*Q324</f>
        <v>297669035073000</v>
      </c>
      <c r="U324" s="80">
        <f t="shared" si="15"/>
        <v>885.26448718671963</v>
      </c>
      <c r="V324" s="52">
        <f t="shared" ref="V324:V380" si="16">(U324-U323)/U323</f>
        <v>-5.0260947212625124E-3</v>
      </c>
      <c r="W324" s="48">
        <f>(E324-D324)/D324</f>
        <v>-2.2346368715083797E-3</v>
      </c>
      <c r="X324" s="48">
        <f>(J324-I324)/I324</f>
        <v>-2.9816513761467892E-2</v>
      </c>
      <c r="Y324" s="48">
        <f>(O324-N324)/N324</f>
        <v>-1.8153727307840865E-2</v>
      </c>
      <c r="Z324" s="48" t="e">
        <f>(#REF!-#REF!)/#REF!</f>
        <v>#REF!</v>
      </c>
    </row>
    <row r="325" spans="1:26" x14ac:dyDescent="0.3">
      <c r="A325" s="48">
        <v>20190426</v>
      </c>
      <c r="B325" s="48" t="s">
        <v>88</v>
      </c>
      <c r="C325" s="79">
        <f>E325*F325*G325/T325</f>
        <v>0.89568615660719775</v>
      </c>
      <c r="D325" s="49">
        <v>44650</v>
      </c>
      <c r="E325" s="49">
        <v>44850</v>
      </c>
      <c r="F325" s="49">
        <v>5969782550</v>
      </c>
      <c r="G325" s="49">
        <v>1</v>
      </c>
      <c r="H325" s="48">
        <f>J325*K325*L325/T325</f>
        <v>9.074503989978247E-2</v>
      </c>
      <c r="I325" s="48">
        <v>211500</v>
      </c>
      <c r="J325" s="48">
        <v>212000</v>
      </c>
      <c r="K325" s="51">
        <v>127953489</v>
      </c>
      <c r="L325" s="48">
        <v>1</v>
      </c>
      <c r="M325" s="49">
        <f>O325*P325*Q325/T325</f>
        <v>1.3568803493019796E-2</v>
      </c>
      <c r="N325" s="49">
        <v>254200</v>
      </c>
      <c r="O325" s="49">
        <v>254200</v>
      </c>
      <c r="P325" s="49">
        <v>15956260</v>
      </c>
      <c r="Q325" s="49">
        <v>1</v>
      </c>
      <c r="R325" s="82">
        <f t="shared" ref="R325:R380" si="17">IF(T324&lt;&gt;(D325*F325*G325+I325*K325*L325+N325*P325*Q325),1,0)</f>
        <v>0</v>
      </c>
      <c r="S325" s="82">
        <f>IF(AND(R325=0,B325="N"),S324,S324*(D325*F325*G325+I325*K325*L325+N325*P325*Q325)/T324)</f>
        <v>336248702372510</v>
      </c>
      <c r="T325" s="81">
        <f>E325*F325*G325+J325*K325*L325+O325*P325*Q325</f>
        <v>298926968327500</v>
      </c>
      <c r="U325" s="80">
        <f t="shared" si="15"/>
        <v>889.00556706487009</v>
      </c>
      <c r="V325" s="52">
        <f t="shared" si="16"/>
        <v>4.2259459543432373E-3</v>
      </c>
      <c r="W325" s="48">
        <f>(E325-D325)/D325</f>
        <v>4.4792833146696529E-3</v>
      </c>
      <c r="X325" s="48">
        <f>(J325-I325)/I325</f>
        <v>2.3640661938534278E-3</v>
      </c>
      <c r="Y325" s="48">
        <f>(O325-N325)/N325</f>
        <v>0</v>
      </c>
      <c r="Z325" s="48" t="e">
        <f>(#REF!-#REF!)/#REF!</f>
        <v>#REF!</v>
      </c>
    </row>
    <row r="326" spans="1:26" x14ac:dyDescent="0.3">
      <c r="A326" s="48">
        <v>20190429</v>
      </c>
      <c r="B326" s="48" t="s">
        <v>88</v>
      </c>
      <c r="C326" s="79">
        <f>E326*F326*G326/T326</f>
        <v>0.8966335426561135</v>
      </c>
      <c r="D326" s="49">
        <v>44850</v>
      </c>
      <c r="E326" s="49">
        <v>46150</v>
      </c>
      <c r="F326" s="49">
        <v>5969782550</v>
      </c>
      <c r="G326" s="49">
        <v>1</v>
      </c>
      <c r="H326" s="48">
        <f>J326*K326*L326/T326</f>
        <v>8.9947821173750303E-2</v>
      </c>
      <c r="I326" s="48">
        <v>212000</v>
      </c>
      <c r="J326" s="48">
        <v>216000</v>
      </c>
      <c r="K326" s="51">
        <v>127953489</v>
      </c>
      <c r="L326" s="48">
        <v>1</v>
      </c>
      <c r="M326" s="49">
        <f>O326*P326*Q326/T326</f>
        <v>1.3418636170136224E-2</v>
      </c>
      <c r="N326" s="49">
        <v>254200</v>
      </c>
      <c r="O326" s="49">
        <v>258400</v>
      </c>
      <c r="P326" s="49">
        <v>15956260</v>
      </c>
      <c r="Q326" s="49">
        <v>1</v>
      </c>
      <c r="R326" s="82">
        <f t="shared" si="17"/>
        <v>0</v>
      </c>
      <c r="S326" s="82">
        <f>IF(AND(R326=0,B326="N"),S325,S325*(D326*F326*G326+I326*K326*L326+N326*P326*Q326)/T325)</f>
        <v>336248702372510</v>
      </c>
      <c r="T326" s="81">
        <f>E326*F326*G326+J326*K326*L326+O326*P326*Q326</f>
        <v>307266515890500</v>
      </c>
      <c r="U326" s="80">
        <f t="shared" si="15"/>
        <v>913.80729121772981</v>
      </c>
      <c r="V326" s="52">
        <f t="shared" si="16"/>
        <v>2.7898277661797765E-2</v>
      </c>
      <c r="W326" s="48">
        <f>(E326-D326)/D326</f>
        <v>2.8985507246376812E-2</v>
      </c>
      <c r="X326" s="48">
        <f>(J326-I326)/I326</f>
        <v>1.8867924528301886E-2</v>
      </c>
      <c r="Y326" s="48">
        <f>(O326-N326)/N326</f>
        <v>1.6522423288749016E-2</v>
      </c>
      <c r="Z326" s="48" t="e">
        <f>(#REF!-#REF!)/#REF!</f>
        <v>#REF!</v>
      </c>
    </row>
    <row r="327" spans="1:26" x14ac:dyDescent="0.3">
      <c r="A327" s="48">
        <v>20190430</v>
      </c>
      <c r="B327" s="48" t="s">
        <v>88</v>
      </c>
      <c r="C327" s="79">
        <f>E327*F327*G327/T327</f>
        <v>0.89744209550147347</v>
      </c>
      <c r="D327" s="49">
        <v>46150</v>
      </c>
      <c r="E327" s="49">
        <v>45850</v>
      </c>
      <c r="F327" s="49">
        <v>5969782550</v>
      </c>
      <c r="G327" s="49">
        <v>1</v>
      </c>
      <c r="H327" s="48">
        <f>J327*K327*L327/T327</f>
        <v>8.8939887969605072E-2</v>
      </c>
      <c r="I327" s="48">
        <v>216000</v>
      </c>
      <c r="J327" s="48">
        <v>212000</v>
      </c>
      <c r="K327" s="51">
        <v>127953489</v>
      </c>
      <c r="L327" s="48">
        <v>1</v>
      </c>
      <c r="M327" s="49">
        <f>O327*P327*Q327/T327</f>
        <v>1.3618016528921447E-2</v>
      </c>
      <c r="N327" s="49">
        <v>258400</v>
      </c>
      <c r="O327" s="49">
        <v>260300</v>
      </c>
      <c r="P327" s="49">
        <v>15956260</v>
      </c>
      <c r="Q327" s="49">
        <v>1</v>
      </c>
      <c r="R327" s="82">
        <f t="shared" si="17"/>
        <v>0</v>
      </c>
      <c r="S327" s="82">
        <f>IF(AND(R327=0,B327="N"),S326,S326*(D327*F327*G327+I327*K327*L327+N327*P327*Q327)/T326)</f>
        <v>336248702372510</v>
      </c>
      <c r="T327" s="81">
        <f>E327*F327*G327+J327*K327*L327+O327*P327*Q327</f>
        <v>304994084063500</v>
      </c>
      <c r="U327" s="80">
        <f t="shared" si="15"/>
        <v>907.04910356981884</v>
      </c>
      <c r="V327" s="52">
        <f t="shared" si="16"/>
        <v>-7.3956376939224066E-3</v>
      </c>
      <c r="W327" s="48">
        <f>(E327-D327)/D327</f>
        <v>-6.5005417118093175E-3</v>
      </c>
      <c r="X327" s="48">
        <f>(J327-I327)/I327</f>
        <v>-1.8518518518518517E-2</v>
      </c>
      <c r="Y327" s="48">
        <f>(O327-N327)/N327</f>
        <v>7.3529411764705881E-3</v>
      </c>
      <c r="Z327" s="48" t="e">
        <f>(#REF!-#REF!)/#REF!</f>
        <v>#REF!</v>
      </c>
    </row>
    <row r="328" spans="1:26" x14ac:dyDescent="0.3">
      <c r="A328" s="48">
        <v>20190502</v>
      </c>
      <c r="B328" s="48" t="s">
        <v>88</v>
      </c>
      <c r="C328" s="79">
        <f>E328*F328*G328/T328</f>
        <v>0.89992209977911819</v>
      </c>
      <c r="D328" s="49">
        <v>45850</v>
      </c>
      <c r="E328" s="49">
        <v>45900</v>
      </c>
      <c r="F328" s="49">
        <v>5969782550</v>
      </c>
      <c r="G328" s="49">
        <v>1</v>
      </c>
      <c r="H328" s="48">
        <f>J328*K328*L328/T328</f>
        <v>8.6987369394076267E-2</v>
      </c>
      <c r="I328" s="48">
        <v>212000</v>
      </c>
      <c r="J328" s="48">
        <v>207000</v>
      </c>
      <c r="K328" s="51">
        <v>127953489</v>
      </c>
      <c r="L328" s="48">
        <v>1</v>
      </c>
      <c r="M328" s="49">
        <f>O328*P328*Q328/T328</f>
        <v>1.3090530826805532E-2</v>
      </c>
      <c r="N328" s="49">
        <v>260300</v>
      </c>
      <c r="O328" s="49">
        <v>249800</v>
      </c>
      <c r="P328" s="49">
        <v>15956260</v>
      </c>
      <c r="Q328" s="49">
        <v>1</v>
      </c>
      <c r="R328" s="82">
        <f t="shared" si="17"/>
        <v>0</v>
      </c>
      <c r="S328" s="82">
        <f>IF(AND(R328=0,B328="N"),S327,S327*(D328*F328*G328+I328*K328*L328+N328*P328*Q328)/T327)</f>
        <v>336248702372510</v>
      </c>
      <c r="T328" s="81">
        <f>E328*F328*G328+J328*K328*L328+O328*P328*Q328</f>
        <v>304485265016000</v>
      </c>
      <c r="U328" s="80">
        <f t="shared" si="15"/>
        <v>905.53588123197812</v>
      </c>
      <c r="V328" s="52">
        <f t="shared" si="16"/>
        <v>-1.6682915311698316E-3</v>
      </c>
      <c r="W328" s="48">
        <f>(E328-D328)/D328</f>
        <v>1.0905125408942203E-3</v>
      </c>
      <c r="X328" s="48">
        <f>(J328-I328)/I328</f>
        <v>-2.358490566037736E-2</v>
      </c>
      <c r="Y328" s="48">
        <f>(O328-N328)/N328</f>
        <v>-4.0338071456012294E-2</v>
      </c>
      <c r="Z328" s="48" t="e">
        <f>(#REF!-#REF!)/#REF!</f>
        <v>#REF!</v>
      </c>
    </row>
    <row r="329" spans="1:26" x14ac:dyDescent="0.3">
      <c r="A329" s="48">
        <v>20190503</v>
      </c>
      <c r="B329" s="48" t="s">
        <v>88</v>
      </c>
      <c r="C329" s="79">
        <f>E329*F329*G329/T329</f>
        <v>0.89977321296114554</v>
      </c>
      <c r="D329" s="49">
        <v>45900</v>
      </c>
      <c r="E329" s="49">
        <v>45300</v>
      </c>
      <c r="F329" s="49">
        <v>5969782550</v>
      </c>
      <c r="G329" s="49">
        <v>1</v>
      </c>
      <c r="H329" s="48">
        <f>J329*K329*L329/T329</f>
        <v>8.7060626973742325E-2</v>
      </c>
      <c r="I329" s="48">
        <v>207000</v>
      </c>
      <c r="J329" s="48">
        <v>204500</v>
      </c>
      <c r="K329" s="51">
        <v>127953489</v>
      </c>
      <c r="L329" s="48">
        <v>1</v>
      </c>
      <c r="M329" s="49">
        <f>O329*P329*Q329/T329</f>
        <v>1.3166160065112146E-2</v>
      </c>
      <c r="N329" s="49">
        <v>249800</v>
      </c>
      <c r="O329" s="49">
        <v>248000</v>
      </c>
      <c r="P329" s="49">
        <v>15956260</v>
      </c>
      <c r="Q329" s="49">
        <v>1</v>
      </c>
      <c r="R329" s="82">
        <f t="shared" si="17"/>
        <v>0</v>
      </c>
      <c r="S329" s="82">
        <f>IF(AND(R329=0,B329="N"),S328,S328*(D329*F329*G329+I329*K329*L329+N329*P329*Q329)/T328)</f>
        <v>336248702372510</v>
      </c>
      <c r="T329" s="81">
        <f>E329*F329*G329+J329*K329*L329+O329*P329*Q329</f>
        <v>300554790495500</v>
      </c>
      <c r="U329" s="80">
        <f t="shared" si="15"/>
        <v>893.846692566662</v>
      </c>
      <c r="V329" s="52">
        <f t="shared" si="16"/>
        <v>-1.2908586956723379E-2</v>
      </c>
      <c r="W329" s="48">
        <f>(E329-D329)/D329</f>
        <v>-1.3071895424836602E-2</v>
      </c>
      <c r="X329" s="48">
        <f>(J329-I329)/I329</f>
        <v>-1.2077294685990338E-2</v>
      </c>
      <c r="Y329" s="48">
        <f>(O329-N329)/N329</f>
        <v>-7.2057646116893519E-3</v>
      </c>
      <c r="Z329" s="48" t="e">
        <f>(#REF!-#REF!)/#REF!</f>
        <v>#REF!</v>
      </c>
    </row>
    <row r="330" spans="1:26" x14ac:dyDescent="0.3">
      <c r="A330" s="48">
        <v>20190507</v>
      </c>
      <c r="B330" s="48" t="s">
        <v>88</v>
      </c>
      <c r="C330" s="79">
        <f>E330*F330*G330/T330</f>
        <v>0.89889245247289273</v>
      </c>
      <c r="D330" s="49">
        <v>45300</v>
      </c>
      <c r="E330" s="49">
        <v>44850</v>
      </c>
      <c r="F330" s="49">
        <v>5969782550</v>
      </c>
      <c r="G330" s="49">
        <v>1</v>
      </c>
      <c r="H330" s="48">
        <f>J330*K330*L330/T330</f>
        <v>8.8277643833310493E-2</v>
      </c>
      <c r="I330" s="48">
        <v>204500</v>
      </c>
      <c r="J330" s="48">
        <v>205500</v>
      </c>
      <c r="K330" s="51">
        <v>127953489</v>
      </c>
      <c r="L330" s="48">
        <v>1</v>
      </c>
      <c r="M330" s="49">
        <f>O330*P330*Q330/T330</f>
        <v>1.2829903693796807E-2</v>
      </c>
      <c r="N330" s="49">
        <v>248000</v>
      </c>
      <c r="O330" s="49">
        <v>239500</v>
      </c>
      <c r="P330" s="49">
        <v>15956260</v>
      </c>
      <c r="Q330" s="49">
        <v>1</v>
      </c>
      <c r="R330" s="82">
        <f t="shared" si="17"/>
        <v>0</v>
      </c>
      <c r="S330" s="82">
        <f>IF(AND(R330=0,B330="N"),S329,S329*(D330*F330*G330+I330*K330*L330+N330*P330*Q330)/T329)</f>
        <v>336248702372510</v>
      </c>
      <c r="T330" s="81">
        <f>E330*F330*G330+J330*K330*L330+O330*P330*Q330</f>
        <v>297860713627000</v>
      </c>
      <c r="U330" s="80">
        <f t="shared" si="15"/>
        <v>885.834537130846</v>
      </c>
      <c r="V330" s="52">
        <f t="shared" si="16"/>
        <v>-8.9636796806947527E-3</v>
      </c>
      <c r="W330" s="48">
        <f>(E330-D330)/D330</f>
        <v>-9.9337748344370865E-3</v>
      </c>
      <c r="X330" s="48">
        <f>(J330-I330)/I330</f>
        <v>4.8899755501222494E-3</v>
      </c>
      <c r="Y330" s="48">
        <f>(O330-N330)/N330</f>
        <v>-3.4274193548387094E-2</v>
      </c>
      <c r="Z330" s="48" t="e">
        <f>(#REF!-#REF!)/#REF!</f>
        <v>#REF!</v>
      </c>
    </row>
    <row r="331" spans="1:26" x14ac:dyDescent="0.3">
      <c r="A331" s="48">
        <v>20190508</v>
      </c>
      <c r="B331" s="48" t="s">
        <v>88</v>
      </c>
      <c r="C331" s="79">
        <f>E331*F331*G331/T331</f>
        <v>0.89806109629968955</v>
      </c>
      <c r="D331" s="49">
        <v>44850</v>
      </c>
      <c r="E331" s="49">
        <v>44250</v>
      </c>
      <c r="F331" s="49">
        <v>5969782550</v>
      </c>
      <c r="G331" s="49">
        <v>1</v>
      </c>
      <c r="H331" s="48">
        <f>J331*K331*L331/T331</f>
        <v>8.939187668225336E-2</v>
      </c>
      <c r="I331" s="48">
        <v>205500</v>
      </c>
      <c r="J331" s="48">
        <v>205500</v>
      </c>
      <c r="K331" s="51">
        <v>127953489</v>
      </c>
      <c r="L331" s="48">
        <v>1</v>
      </c>
      <c r="M331" s="49">
        <f>O331*P331*Q331/T331</f>
        <v>1.2547027018057136E-2</v>
      </c>
      <c r="N331" s="49">
        <v>239500</v>
      </c>
      <c r="O331" s="49">
        <v>231300</v>
      </c>
      <c r="P331" s="49">
        <v>15956260</v>
      </c>
      <c r="Q331" s="49">
        <v>1</v>
      </c>
      <c r="R331" s="82">
        <f t="shared" si="17"/>
        <v>0</v>
      </c>
      <c r="S331" s="82">
        <f>IF(AND(R331=0,B331="N"),S330,S330*(D331*F331*G331+I331*K331*L331+N331*P331*Q331)/T330)</f>
        <v>336248702372510</v>
      </c>
      <c r="T331" s="81">
        <f>E331*F331*G331+J331*K331*L331+O331*P331*Q331</f>
        <v>294148002765000</v>
      </c>
      <c r="U331" s="80">
        <f t="shared" si="15"/>
        <v>874.79297522799311</v>
      </c>
      <c r="V331" s="52">
        <f t="shared" si="16"/>
        <v>-1.2464587279037135E-2</v>
      </c>
      <c r="W331" s="48">
        <f>(E331-D331)/D331</f>
        <v>-1.3377926421404682E-2</v>
      </c>
      <c r="X331" s="48">
        <f>(J331-I331)/I331</f>
        <v>0</v>
      </c>
      <c r="Y331" s="48">
        <f>(O331-N331)/N331</f>
        <v>-3.4237995824634652E-2</v>
      </c>
      <c r="Z331" s="48" t="e">
        <f>(#REF!-#REF!)/#REF!</f>
        <v>#REF!</v>
      </c>
    </row>
    <row r="332" spans="1:26" x14ac:dyDescent="0.3">
      <c r="A332" s="48">
        <v>20190509</v>
      </c>
      <c r="B332" s="48" t="s">
        <v>88</v>
      </c>
      <c r="C332" s="79">
        <f>E332*F332*G332/T332</f>
        <v>0.89254335733925749</v>
      </c>
      <c r="D332" s="49">
        <v>44250</v>
      </c>
      <c r="E332" s="49">
        <v>42450</v>
      </c>
      <c r="F332" s="49">
        <v>5969782550</v>
      </c>
      <c r="G332" s="49">
        <v>1</v>
      </c>
      <c r="H332" s="48">
        <f>J332*K332*L332/T332</f>
        <v>9.4637779693683061E-2</v>
      </c>
      <c r="I332" s="48">
        <v>205500</v>
      </c>
      <c r="J332" s="48">
        <v>210000</v>
      </c>
      <c r="K332" s="51">
        <v>127953489</v>
      </c>
      <c r="L332" s="48">
        <v>1</v>
      </c>
      <c r="M332" s="49">
        <f>O332*P332*Q332/T332</f>
        <v>1.2818862967059424E-2</v>
      </c>
      <c r="N332" s="49">
        <v>231300</v>
      </c>
      <c r="O332" s="49">
        <v>228100</v>
      </c>
      <c r="P332" s="49">
        <v>15956260</v>
      </c>
      <c r="Q332" s="49">
        <v>1</v>
      </c>
      <c r="R332" s="82">
        <f t="shared" si="17"/>
        <v>0</v>
      </c>
      <c r="S332" s="82">
        <f>IF(AND(R332=0,B332="N"),S331,S331*(D332*F332*G332+I332*K332*L332+N332*P332*Q332)/T331)</f>
        <v>336248702372510</v>
      </c>
      <c r="T332" s="81">
        <f>E332*F332*G332+J332*K332*L332+O332*P332*Q332</f>
        <v>283927124843500</v>
      </c>
      <c r="U332" s="80">
        <f t="shared" si="15"/>
        <v>844.39619495974728</v>
      </c>
      <c r="V332" s="52">
        <f t="shared" si="16"/>
        <v>-3.4747398674896388E-2</v>
      </c>
      <c r="W332" s="48">
        <f>(E332-D332)/D332</f>
        <v>-4.0677966101694912E-2</v>
      </c>
      <c r="X332" s="48">
        <f>(J332-I332)/I332</f>
        <v>2.1897810218978103E-2</v>
      </c>
      <c r="Y332" s="48">
        <f>(O332-N332)/N332</f>
        <v>-1.3834846519671422E-2</v>
      </c>
      <c r="Z332" s="48" t="e">
        <f>(#REF!-#REF!)/#REF!</f>
        <v>#REF!</v>
      </c>
    </row>
    <row r="333" spans="1:26" x14ac:dyDescent="0.3">
      <c r="A333" s="48">
        <v>20190510</v>
      </c>
      <c r="B333" s="48" t="s">
        <v>88</v>
      </c>
      <c r="C333" s="79">
        <f>E333*F333*G333/T333</f>
        <v>0.89708453087971685</v>
      </c>
      <c r="D333" s="49">
        <v>42450</v>
      </c>
      <c r="E333" s="49">
        <v>42900</v>
      </c>
      <c r="F333" s="49">
        <v>5969782550</v>
      </c>
      <c r="G333" s="49">
        <v>1</v>
      </c>
      <c r="H333" s="48">
        <f>J333*K333*L333/T333</f>
        <v>9.0311851635291096E-2</v>
      </c>
      <c r="I333" s="48">
        <v>210000</v>
      </c>
      <c r="J333" s="48">
        <v>201500</v>
      </c>
      <c r="K333" s="51">
        <v>127953489</v>
      </c>
      <c r="L333" s="48">
        <v>1</v>
      </c>
      <c r="M333" s="49">
        <f>O333*P333*Q333/T333</f>
        <v>1.260361748499203E-2</v>
      </c>
      <c r="N333" s="49">
        <v>228100</v>
      </c>
      <c r="O333" s="49">
        <v>225500</v>
      </c>
      <c r="P333" s="49">
        <v>15956260</v>
      </c>
      <c r="Q333" s="49">
        <v>1</v>
      </c>
      <c r="R333" s="82">
        <f t="shared" si="17"/>
        <v>0</v>
      </c>
      <c r="S333" s="82">
        <f>IF(AND(R333=0,B333="N"),S332,S332*(D333*F333*G333+I333*K333*L333+N333*P333*Q333)/T332)</f>
        <v>336248702372510</v>
      </c>
      <c r="T333" s="81">
        <f>E333*F333*G333+J333*K333*L333+O333*P333*Q333</f>
        <v>285484436058500</v>
      </c>
      <c r="U333" s="80">
        <f t="shared" si="15"/>
        <v>849.02762165080037</v>
      </c>
      <c r="V333" s="52">
        <f t="shared" si="16"/>
        <v>5.4848976330049374E-3</v>
      </c>
      <c r="W333" s="48">
        <f>(E333-D333)/D333</f>
        <v>1.0600706713780919E-2</v>
      </c>
      <c r="X333" s="48">
        <f>(J333-I333)/I333</f>
        <v>-4.0476190476190478E-2</v>
      </c>
      <c r="Y333" s="48">
        <f>(O333-N333)/N333</f>
        <v>-1.1398509425690487E-2</v>
      </c>
      <c r="Z333" s="48" t="e">
        <f>(#REF!-#REF!)/#REF!</f>
        <v>#REF!</v>
      </c>
    </row>
    <row r="334" spans="1:26" x14ac:dyDescent="0.3">
      <c r="A334" s="48">
        <v>20190513</v>
      </c>
      <c r="B334" s="48" t="s">
        <v>88</v>
      </c>
      <c r="C334" s="79">
        <f>E334*F334*G334/T334</f>
        <v>0.89947147076427914</v>
      </c>
      <c r="D334" s="49">
        <v>42900</v>
      </c>
      <c r="E334" s="49">
        <v>42650</v>
      </c>
      <c r="F334" s="49">
        <v>5969782550</v>
      </c>
      <c r="G334" s="49">
        <v>1</v>
      </c>
      <c r="H334" s="48">
        <f>J334*K334*L334/T334</f>
        <v>8.7918765954958802E-2</v>
      </c>
      <c r="I334" s="48">
        <v>201500</v>
      </c>
      <c r="J334" s="48">
        <v>194500</v>
      </c>
      <c r="K334" s="51">
        <v>127953489</v>
      </c>
      <c r="L334" s="48">
        <v>1</v>
      </c>
      <c r="M334" s="49">
        <f>O334*P334*Q334/T334</f>
        <v>1.2609763280762095E-2</v>
      </c>
      <c r="N334" s="49">
        <v>225500</v>
      </c>
      <c r="O334" s="49">
        <v>223700</v>
      </c>
      <c r="P334" s="49">
        <v>15956260</v>
      </c>
      <c r="Q334" s="49">
        <v>1</v>
      </c>
      <c r="R334" s="82">
        <f t="shared" si="17"/>
        <v>0</v>
      </c>
      <c r="S334" s="82">
        <f>IF(AND(R334=0,B334="N"),S333,S333*(D334*F334*G334+I334*K334*L334+N334*P334*Q334)/T333)</f>
        <v>336248702372510</v>
      </c>
      <c r="T334" s="81">
        <f>E334*F334*G334+J334*K334*L334+O334*P334*Q334</f>
        <v>283067594730000</v>
      </c>
      <c r="U334" s="80">
        <f t="shared" si="15"/>
        <v>841.83996170907506</v>
      </c>
      <c r="V334" s="52">
        <f t="shared" si="16"/>
        <v>-8.4657551279074331E-3</v>
      </c>
      <c r="W334" s="48">
        <f>(E334-D334)/D334</f>
        <v>-5.8275058275058279E-3</v>
      </c>
      <c r="X334" s="48">
        <f>(J334-I334)/I334</f>
        <v>-3.4739454094292806E-2</v>
      </c>
      <c r="Y334" s="48">
        <f>(O334-N334)/N334</f>
        <v>-7.9822616407982262E-3</v>
      </c>
      <c r="Z334" s="48" t="e">
        <f>(#REF!-#REF!)/#REF!</f>
        <v>#REF!</v>
      </c>
    </row>
    <row r="335" spans="1:26" x14ac:dyDescent="0.3">
      <c r="A335" s="48">
        <v>20190514</v>
      </c>
      <c r="B335" s="48" t="s">
        <v>88</v>
      </c>
      <c r="C335" s="79">
        <f>E335*F335*G335/T335</f>
        <v>0.89897389873640987</v>
      </c>
      <c r="D335" s="49">
        <v>42650</v>
      </c>
      <c r="E335" s="49">
        <v>42650</v>
      </c>
      <c r="F335" s="49">
        <v>5969782550</v>
      </c>
      <c r="G335" s="49">
        <v>1</v>
      </c>
      <c r="H335" s="48">
        <f>J335*K335*L335/T335</f>
        <v>8.8321905268955725E-2</v>
      </c>
      <c r="I335" s="48">
        <v>194500</v>
      </c>
      <c r="J335" s="48">
        <v>195500</v>
      </c>
      <c r="K335" s="51">
        <v>127953489</v>
      </c>
      <c r="L335" s="48">
        <v>1</v>
      </c>
      <c r="M335" s="49">
        <f>O335*P335*Q335/T335</f>
        <v>1.2704195994634402E-2</v>
      </c>
      <c r="N335" s="49">
        <v>223700</v>
      </c>
      <c r="O335" s="49">
        <v>225500</v>
      </c>
      <c r="P335" s="49">
        <v>15956260</v>
      </c>
      <c r="Q335" s="49">
        <v>1</v>
      </c>
      <c r="R335" s="82">
        <f t="shared" si="17"/>
        <v>0</v>
      </c>
      <c r="S335" s="82">
        <f>IF(AND(R335=0,B335="N"),S334,S334*(D335*F335*G335+I335*K335*L335+N335*P335*Q335)/T334)</f>
        <v>336248702372510</v>
      </c>
      <c r="T335" s="81">
        <f>E335*F335*G335+J335*K335*L335+O335*P335*Q335</f>
        <v>283224269487000</v>
      </c>
      <c r="U335" s="80">
        <f t="shared" si="15"/>
        <v>842.30591073993992</v>
      </c>
      <c r="V335" s="52">
        <f t="shared" si="16"/>
        <v>5.5348884830664117E-4</v>
      </c>
      <c r="W335" s="48">
        <f>(E335-D335)/D335</f>
        <v>0</v>
      </c>
      <c r="X335" s="48">
        <f>(J335-I335)/I335</f>
        <v>5.1413881748071976E-3</v>
      </c>
      <c r="Y335" s="48">
        <f>(O335-N335)/N335</f>
        <v>8.0464908359409917E-3</v>
      </c>
      <c r="Z335" s="48" t="e">
        <f>(#REF!-#REF!)/#REF!</f>
        <v>#REF!</v>
      </c>
    </row>
    <row r="336" spans="1:26" x14ac:dyDescent="0.3">
      <c r="A336" s="48">
        <v>20190515</v>
      </c>
      <c r="B336" s="48" t="s">
        <v>88</v>
      </c>
      <c r="C336" s="79">
        <f>E336*F336*G336/T336</f>
        <v>0.89785267428456506</v>
      </c>
      <c r="D336" s="49">
        <v>42650</v>
      </c>
      <c r="E336" s="49">
        <v>42550</v>
      </c>
      <c r="F336" s="49">
        <v>5969782550</v>
      </c>
      <c r="G336" s="49">
        <v>1</v>
      </c>
      <c r="H336" s="48">
        <f>J336*K336*L336/T336</f>
        <v>8.8645196672229018E-2</v>
      </c>
      <c r="I336" s="48">
        <v>195500</v>
      </c>
      <c r="J336" s="48">
        <v>196000</v>
      </c>
      <c r="K336" s="51">
        <v>127953489</v>
      </c>
      <c r="L336" s="48">
        <v>1</v>
      </c>
      <c r="M336" s="49">
        <f>O336*P336*Q336/T336</f>
        <v>1.350212904320596E-2</v>
      </c>
      <c r="N336" s="49">
        <v>225500</v>
      </c>
      <c r="O336" s="49">
        <v>239400</v>
      </c>
      <c r="P336" s="49">
        <v>15956260</v>
      </c>
      <c r="Q336" s="49">
        <v>1</v>
      </c>
      <c r="R336" s="82">
        <f t="shared" si="17"/>
        <v>0</v>
      </c>
      <c r="S336" s="82">
        <f>IF(AND(R336=0,B336="N"),S335,S335*(D336*F336*G336+I336*K336*L336+N336*P336*Q336)/T335)</f>
        <v>336248702372510</v>
      </c>
      <c r="T336" s="81">
        <f>E336*F336*G336+J336*K336*L336+O336*P336*Q336</f>
        <v>282913059990500</v>
      </c>
      <c r="U336" s="80">
        <f t="shared" si="15"/>
        <v>841.38037706708349</v>
      </c>
      <c r="V336" s="52">
        <f t="shared" si="16"/>
        <v>-1.0988094242902543E-3</v>
      </c>
      <c r="W336" s="48">
        <f>(E336-D336)/D336</f>
        <v>-2.3446658851113715E-3</v>
      </c>
      <c r="X336" s="48">
        <f>(J336-I336)/I336</f>
        <v>2.5575447570332483E-3</v>
      </c>
      <c r="Y336" s="48">
        <f>(O336-N336)/N336</f>
        <v>6.1640798226164077E-2</v>
      </c>
      <c r="Z336" s="48" t="e">
        <f>(#REF!-#REF!)/#REF!</f>
        <v>#REF!</v>
      </c>
    </row>
    <row r="337" spans="1:26" x14ac:dyDescent="0.3">
      <c r="A337" s="48">
        <v>20190516</v>
      </c>
      <c r="B337" s="48" t="s">
        <v>88</v>
      </c>
      <c r="C337" s="79">
        <f>E337*F337*G337/T337</f>
        <v>0.89622346295325783</v>
      </c>
      <c r="D337" s="49">
        <v>42550</v>
      </c>
      <c r="E337" s="49">
        <v>41550</v>
      </c>
      <c r="F337" s="49">
        <v>5969782550</v>
      </c>
      <c r="G337" s="49">
        <v>1</v>
      </c>
      <c r="H337" s="48">
        <f>J337*K337*L337/T337</f>
        <v>9.0845089365294243E-2</v>
      </c>
      <c r="I337" s="48">
        <v>196000</v>
      </c>
      <c r="J337" s="48">
        <v>196500</v>
      </c>
      <c r="K337" s="51">
        <v>127953489</v>
      </c>
      <c r="L337" s="48">
        <v>1</v>
      </c>
      <c r="M337" s="49">
        <f>O337*P337*Q337/T337</f>
        <v>1.2931447681447879E-2</v>
      </c>
      <c r="N337" s="49">
        <v>239400</v>
      </c>
      <c r="O337" s="49">
        <v>224300</v>
      </c>
      <c r="P337" s="49">
        <v>15956260</v>
      </c>
      <c r="Q337" s="49">
        <v>1</v>
      </c>
      <c r="R337" s="82">
        <f t="shared" si="17"/>
        <v>0</v>
      </c>
      <c r="S337" s="82">
        <f>IF(AND(R337=0,B337="N"),S336,S336*(D337*F337*G337+I337*K337*L337+N337*P337*Q337)/T336)</f>
        <v>336248702372510</v>
      </c>
      <c r="T337" s="81">
        <f>E337*F337*G337+J337*K337*L337+O337*P337*Q337</f>
        <v>276766314659000</v>
      </c>
      <c r="U337" s="80">
        <f t="shared" si="15"/>
        <v>823.1000230073364</v>
      </c>
      <c r="V337" s="52">
        <f t="shared" si="16"/>
        <v>-2.1726622771343271E-2</v>
      </c>
      <c r="W337" s="48">
        <f>(E337-D337)/D337</f>
        <v>-2.3501762632197415E-2</v>
      </c>
      <c r="X337" s="48">
        <f>(J337-I337)/I337</f>
        <v>2.5510204081632651E-3</v>
      </c>
      <c r="Y337" s="48">
        <f>(O337-N337)/N337</f>
        <v>-6.3074352548036755E-2</v>
      </c>
      <c r="Z337" s="48" t="e">
        <f>(#REF!-#REF!)/#REF!</f>
        <v>#REF!</v>
      </c>
    </row>
    <row r="338" spans="1:26" s="73" customFormat="1" x14ac:dyDescent="0.3">
      <c r="A338" s="48">
        <v>20190517</v>
      </c>
      <c r="B338" s="48" t="s">
        <v>88</v>
      </c>
      <c r="C338" s="79">
        <f>E338*F338*G338/T338</f>
        <v>0.89570552028625616</v>
      </c>
      <c r="D338" s="49">
        <v>41550</v>
      </c>
      <c r="E338" s="49">
        <v>41200</v>
      </c>
      <c r="F338" s="49">
        <v>5969782550</v>
      </c>
      <c r="G338" s="49">
        <v>1</v>
      </c>
      <c r="H338" s="48">
        <f>J338*K338*L338/T338</f>
        <v>9.1365309821413471E-2</v>
      </c>
      <c r="I338" s="48">
        <v>196500</v>
      </c>
      <c r="J338" s="48">
        <v>195500</v>
      </c>
      <c r="K338" s="51">
        <v>128329070</v>
      </c>
      <c r="L338" s="48">
        <v>1</v>
      </c>
      <c r="M338" s="49">
        <f>O338*P338*Q338/T338</f>
        <v>1.2929169892330315E-2</v>
      </c>
      <c r="N338" s="49">
        <v>224300</v>
      </c>
      <c r="O338" s="49">
        <v>222500</v>
      </c>
      <c r="P338" s="49">
        <v>15956260</v>
      </c>
      <c r="Q338" s="49">
        <v>1</v>
      </c>
      <c r="R338" s="82">
        <f t="shared" si="17"/>
        <v>1</v>
      </c>
      <c r="S338" s="82">
        <f>IF(AND(R338=0,B338="N"),S337,S337*(D338*F338*G338+I338*K338*L338+N338*P338*Q338)/T337)</f>
        <v>336338365432207.56</v>
      </c>
      <c r="T338" s="81">
        <f>E338*F338*G338+J338*K338*L338+O338*P338*Q338</f>
        <v>274593642095000</v>
      </c>
      <c r="U338" s="80">
        <f t="shared" si="15"/>
        <v>816.42081402797078</v>
      </c>
      <c r="V338" s="52">
        <f t="shared" si="16"/>
        <v>-8.1146990556044407E-3</v>
      </c>
      <c r="W338" s="48">
        <f>(E338-D338)/D338</f>
        <v>-8.4235860409145602E-3</v>
      </c>
      <c r="X338" s="48">
        <f>(J338-I338)/I338</f>
        <v>-5.0890585241730284E-3</v>
      </c>
      <c r="Y338" s="48">
        <f>(O338-N338)/N338</f>
        <v>-8.024966562639322E-3</v>
      </c>
      <c r="Z338" s="48" t="e">
        <f>(#REF!-#REF!)/#REF!</f>
        <v>#REF!</v>
      </c>
    </row>
    <row r="339" spans="1:26" x14ac:dyDescent="0.3">
      <c r="A339" s="48">
        <v>20190520</v>
      </c>
      <c r="B339" s="48" t="s">
        <v>88</v>
      </c>
      <c r="C339" s="79">
        <f>E339*F339*G339/T339</f>
        <v>0.90113855719392699</v>
      </c>
      <c r="D339" s="49">
        <v>41200</v>
      </c>
      <c r="E339" s="49">
        <v>42000</v>
      </c>
      <c r="F339" s="49">
        <v>5969782550</v>
      </c>
      <c r="G339" s="49">
        <v>1</v>
      </c>
      <c r="H339" s="48">
        <f>J339*K339*L339/T339</f>
        <v>8.6709496811442369E-2</v>
      </c>
      <c r="I339" s="48">
        <v>195500</v>
      </c>
      <c r="J339" s="48">
        <v>188000</v>
      </c>
      <c r="K339" s="51">
        <v>128329070</v>
      </c>
      <c r="L339" s="48">
        <v>1</v>
      </c>
      <c r="M339" s="49">
        <f>O339*P339*Q339/T339</f>
        <v>1.2151945994630618E-2</v>
      </c>
      <c r="N339" s="49">
        <v>222500</v>
      </c>
      <c r="O339" s="49">
        <v>211900</v>
      </c>
      <c r="P339" s="49">
        <v>15956260</v>
      </c>
      <c r="Q339" s="49">
        <v>1</v>
      </c>
      <c r="R339" s="82">
        <f t="shared" si="17"/>
        <v>0</v>
      </c>
      <c r="S339" s="82">
        <f>IF(AND(R339=0,B339="N"),S338,S338*(D339*F339*G339+I339*K339*L339+N339*P339*Q339)/T338)</f>
        <v>336338365432207.56</v>
      </c>
      <c r="T339" s="81">
        <f>E339*F339*G339+J339*K339*L339+O339*P339*Q339</f>
        <v>278237863754000</v>
      </c>
      <c r="U339" s="80">
        <f t="shared" si="15"/>
        <v>827.2558005580297</v>
      </c>
      <c r="V339" s="52">
        <f t="shared" si="16"/>
        <v>1.3271325698572548E-2</v>
      </c>
      <c r="W339" s="48">
        <f>(E339-D339)/D339</f>
        <v>1.9417475728155338E-2</v>
      </c>
      <c r="X339" s="48">
        <f>(J339-I339)/I339</f>
        <v>-3.8363171355498722E-2</v>
      </c>
      <c r="Y339" s="48">
        <f>(O339-N339)/N339</f>
        <v>-4.7640449438202247E-2</v>
      </c>
      <c r="Z339" s="48" t="e">
        <f>(#REF!-#REF!)/#REF!</f>
        <v>#REF!</v>
      </c>
    </row>
    <row r="340" spans="1:26" x14ac:dyDescent="0.3">
      <c r="A340" s="48">
        <v>20190521</v>
      </c>
      <c r="B340" s="48" t="s">
        <v>88</v>
      </c>
      <c r="C340" s="79">
        <f>E340*F340*G340/T340</f>
        <v>0.90625791215360341</v>
      </c>
      <c r="D340" s="49">
        <v>42000</v>
      </c>
      <c r="E340" s="49">
        <v>43150</v>
      </c>
      <c r="F340" s="49">
        <v>5969782550</v>
      </c>
      <c r="G340" s="49">
        <v>1</v>
      </c>
      <c r="H340" s="48">
        <f>J340*K340*L340/T340</f>
        <v>8.1717697401539016E-2</v>
      </c>
      <c r="I340" s="48">
        <v>188000</v>
      </c>
      <c r="J340" s="48">
        <v>181000</v>
      </c>
      <c r="K340" s="51">
        <v>128329070</v>
      </c>
      <c r="L340" s="48">
        <v>1</v>
      </c>
      <c r="M340" s="49">
        <f>O340*P340*Q340/T340</f>
        <v>1.2024390444857581E-2</v>
      </c>
      <c r="N340" s="49">
        <v>211900</v>
      </c>
      <c r="O340" s="49">
        <v>214200</v>
      </c>
      <c r="P340" s="49">
        <v>15956260</v>
      </c>
      <c r="Q340" s="49">
        <v>1</v>
      </c>
      <c r="R340" s="82">
        <f t="shared" si="17"/>
        <v>0</v>
      </c>
      <c r="S340" s="82">
        <f>IF(AND(R340=0,B340="N"),S339,S339*(D340*F340*G340+I340*K340*L340+N340*P340*Q340)/T339)</f>
        <v>336338365432207.56</v>
      </c>
      <c r="T340" s="81">
        <f>E340*F340*G340+J340*K340*L340+O340*P340*Q340</f>
        <v>284241509594500</v>
      </c>
      <c r="U340" s="80">
        <f t="shared" si="15"/>
        <v>845.10581844934302</v>
      </c>
      <c r="V340" s="52">
        <f t="shared" si="16"/>
        <v>2.1577386195748029E-2</v>
      </c>
      <c r="W340" s="48">
        <f>(E340-D340)/D340</f>
        <v>2.7380952380952381E-2</v>
      </c>
      <c r="X340" s="48">
        <f>(J340-I340)/I340</f>
        <v>-3.7234042553191488E-2</v>
      </c>
      <c r="Y340" s="48">
        <f>(O340-N340)/N340</f>
        <v>1.0854176498348278E-2</v>
      </c>
      <c r="Z340" s="48" t="e">
        <f>(#REF!-#REF!)/#REF!</f>
        <v>#REF!</v>
      </c>
    </row>
    <row r="341" spans="1:26" x14ac:dyDescent="0.3">
      <c r="A341" s="48">
        <v>20190522</v>
      </c>
      <c r="B341" s="48" t="s">
        <v>88</v>
      </c>
      <c r="C341" s="79">
        <f>E341*F341*G341/T341</f>
        <v>0.90550641327201631</v>
      </c>
      <c r="D341" s="49">
        <v>43150</v>
      </c>
      <c r="E341" s="49">
        <v>43500</v>
      </c>
      <c r="F341" s="49">
        <v>5969782550</v>
      </c>
      <c r="G341" s="49">
        <v>1</v>
      </c>
      <c r="H341" s="48">
        <f>J341*K341*L341/T341</f>
        <v>8.2559143516881511E-2</v>
      </c>
      <c r="I341" s="48">
        <v>181000</v>
      </c>
      <c r="J341" s="48">
        <v>184500</v>
      </c>
      <c r="K341" s="51">
        <v>128329070</v>
      </c>
      <c r="L341" s="48">
        <v>1</v>
      </c>
      <c r="M341" s="49">
        <f>O341*P341*Q341/T341</f>
        <v>1.1934443211102192E-2</v>
      </c>
      <c r="N341" s="49">
        <v>214200</v>
      </c>
      <c r="O341" s="49">
        <v>214500</v>
      </c>
      <c r="P341" s="49">
        <v>15956260</v>
      </c>
      <c r="Q341" s="49">
        <v>1</v>
      </c>
      <c r="R341" s="82">
        <f t="shared" si="17"/>
        <v>0</v>
      </c>
      <c r="S341" s="82">
        <f>IF(AND(R341=0,B341="N"),S340,S340*(D341*F341*G341+I341*K341*L341+N341*P341*Q341)/T340)</f>
        <v>336338365432207.56</v>
      </c>
      <c r="T341" s="81">
        <f>E341*F341*G341+J341*K341*L341+O341*P341*Q341</f>
        <v>286784872110000</v>
      </c>
      <c r="U341" s="80">
        <f t="shared" si="15"/>
        <v>852.66773459361548</v>
      </c>
      <c r="V341" s="52">
        <f t="shared" si="16"/>
        <v>8.947892653428385E-3</v>
      </c>
      <c r="W341" s="48">
        <f>(E341-D341)/D341</f>
        <v>8.1112398609501733E-3</v>
      </c>
      <c r="X341" s="48">
        <f>(J341-I341)/I341</f>
        <v>1.9337016574585635E-2</v>
      </c>
      <c r="Y341" s="48">
        <f>(O341-N341)/N341</f>
        <v>1.4005602240896359E-3</v>
      </c>
      <c r="Z341" s="48" t="e">
        <f>(#REF!-#REF!)/#REF!</f>
        <v>#REF!</v>
      </c>
    </row>
    <row r="342" spans="1:26" x14ac:dyDescent="0.3">
      <c r="A342" s="48">
        <v>20190523</v>
      </c>
      <c r="B342" s="48" t="s">
        <v>88</v>
      </c>
      <c r="C342" s="79">
        <f>E342*F342*G342/T342</f>
        <v>0.90835590398642263</v>
      </c>
      <c r="D342" s="49">
        <v>43500</v>
      </c>
      <c r="E342" s="49">
        <v>43850</v>
      </c>
      <c r="F342" s="49">
        <v>5969782550</v>
      </c>
      <c r="G342" s="49">
        <v>1</v>
      </c>
      <c r="H342" s="48">
        <f>J342*K342*L342/T342</f>
        <v>8.0376702786029153E-2</v>
      </c>
      <c r="I342" s="48">
        <v>184500</v>
      </c>
      <c r="J342" s="48">
        <v>180500</v>
      </c>
      <c r="K342" s="51">
        <v>128329070</v>
      </c>
      <c r="L342" s="48">
        <v>1</v>
      </c>
      <c r="M342" s="49">
        <f>O342*P342*Q342/T342</f>
        <v>1.1267393227548238E-2</v>
      </c>
      <c r="N342" s="49">
        <v>214500</v>
      </c>
      <c r="O342" s="49">
        <v>203500</v>
      </c>
      <c r="P342" s="49">
        <v>15956260</v>
      </c>
      <c r="Q342" s="49">
        <v>1</v>
      </c>
      <c r="R342" s="82">
        <f t="shared" si="17"/>
        <v>0</v>
      </c>
      <c r="S342" s="82">
        <f>IF(AND(R342=0,B342="N"),S341,S341*(D342*F342*G342+I342*K342*L342+N342*P342*Q342)/T341)</f>
        <v>336338365432207.56</v>
      </c>
      <c r="T342" s="81">
        <f>E342*F342*G342+J342*K342*L342+O342*P342*Q342</f>
        <v>288185460862500</v>
      </c>
      <c r="U342" s="80">
        <f t="shared" si="15"/>
        <v>856.83195995845062</v>
      </c>
      <c r="V342" s="52">
        <f t="shared" si="16"/>
        <v>4.8837609257254607E-3</v>
      </c>
      <c r="W342" s="48">
        <f>(E342-D342)/D342</f>
        <v>8.0459770114942528E-3</v>
      </c>
      <c r="X342" s="48">
        <f>(J342-I342)/I342</f>
        <v>-2.1680216802168022E-2</v>
      </c>
      <c r="Y342" s="48">
        <f>(O342-N342)/N342</f>
        <v>-5.128205128205128E-2</v>
      </c>
      <c r="Z342" s="48" t="e">
        <f>(#REF!-#REF!)/#REF!</f>
        <v>#REF!</v>
      </c>
    </row>
    <row r="343" spans="1:26" x14ac:dyDescent="0.3">
      <c r="A343" s="48">
        <v>20190524</v>
      </c>
      <c r="B343" s="48" t="s">
        <v>88</v>
      </c>
      <c r="C343" s="79">
        <f>E343*F343*G343/T343</f>
        <v>0.9055020452199205</v>
      </c>
      <c r="D343" s="49">
        <v>43850</v>
      </c>
      <c r="E343" s="49">
        <v>42700</v>
      </c>
      <c r="F343" s="49">
        <v>5969782550</v>
      </c>
      <c r="G343" s="49">
        <v>1</v>
      </c>
      <c r="H343" s="48">
        <f>J343*K343*L343/T343</f>
        <v>8.2510015780079174E-2</v>
      </c>
      <c r="I343" s="48">
        <v>180500</v>
      </c>
      <c r="J343" s="48">
        <v>181000</v>
      </c>
      <c r="K343" s="51">
        <v>128329070</v>
      </c>
      <c r="L343" s="48">
        <v>1</v>
      </c>
      <c r="M343" s="49">
        <f>O343*P343*Q343/T343</f>
        <v>1.1987939000000348E-2</v>
      </c>
      <c r="N343" s="49">
        <v>203500</v>
      </c>
      <c r="O343" s="49">
        <v>211500</v>
      </c>
      <c r="P343" s="49">
        <v>15956260</v>
      </c>
      <c r="Q343" s="49">
        <v>1</v>
      </c>
      <c r="R343" s="82">
        <f t="shared" si="17"/>
        <v>0</v>
      </c>
      <c r="S343" s="82">
        <f>IF(AND(R343=0,B343="N"),S342,S342*(D343*F343*G343+I343*K343*L343+N343*P343*Q343)/T342)</f>
        <v>336338365432207.56</v>
      </c>
      <c r="T343" s="81">
        <f>E343*F343*G343+J343*K343*L343+O343*P343*Q343</f>
        <v>281512025545000</v>
      </c>
      <c r="U343" s="80">
        <f t="shared" si="15"/>
        <v>836.99052643978439</v>
      </c>
      <c r="V343" s="52">
        <f t="shared" si="16"/>
        <v>-2.3156738363994248E-2</v>
      </c>
      <c r="W343" s="48">
        <f>(E343-D343)/D343</f>
        <v>-2.6225769669327253E-2</v>
      </c>
      <c r="X343" s="48">
        <f>(J343-I343)/I343</f>
        <v>2.7700831024930748E-3</v>
      </c>
      <c r="Y343" s="48">
        <f>(O343-N343)/N343</f>
        <v>3.9312039312039311E-2</v>
      </c>
      <c r="Z343" s="48" t="e">
        <f>(#REF!-#REF!)/#REF!</f>
        <v>#REF!</v>
      </c>
    </row>
    <row r="344" spans="1:26" x14ac:dyDescent="0.3">
      <c r="A344" s="48">
        <v>20190527</v>
      </c>
      <c r="B344" s="48" t="s">
        <v>88</v>
      </c>
      <c r="C344" s="79">
        <f>E344*F344*G344/T344</f>
        <v>0.90830320956318478</v>
      </c>
      <c r="D344" s="49">
        <v>42700</v>
      </c>
      <c r="E344" s="49">
        <v>42650</v>
      </c>
      <c r="F344" s="49">
        <v>5969782550</v>
      </c>
      <c r="G344" s="49">
        <v>1</v>
      </c>
      <c r="H344" s="48">
        <f>J344*K344*L344/T344</f>
        <v>7.9657669498736025E-2</v>
      </c>
      <c r="I344" s="48">
        <v>181000</v>
      </c>
      <c r="J344" s="48">
        <v>174000</v>
      </c>
      <c r="K344" s="51">
        <v>128329070</v>
      </c>
      <c r="L344" s="48">
        <v>1</v>
      </c>
      <c r="M344" s="49">
        <f>O344*P344*Q344/T344</f>
        <v>1.2039120938079153E-2</v>
      </c>
      <c r="N344" s="49">
        <v>211500</v>
      </c>
      <c r="O344" s="49">
        <v>211500</v>
      </c>
      <c r="P344" s="49">
        <v>15956260</v>
      </c>
      <c r="Q344" s="49">
        <v>1</v>
      </c>
      <c r="R344" s="82">
        <f t="shared" si="17"/>
        <v>0</v>
      </c>
      <c r="S344" s="82">
        <f>IF(AND(R344=0,B344="N"),S343,S343*(D344*F344*G344+I344*K344*L344+N344*P344*Q344)/T343)</f>
        <v>336338365432207.56</v>
      </c>
      <c r="T344" s="81">
        <f>E344*F344*G344+J344*K344*L344+O344*P344*Q344</f>
        <v>280315232927500</v>
      </c>
      <c r="U344" s="80">
        <f t="shared" si="15"/>
        <v>833.43222699939179</v>
      </c>
      <c r="V344" s="52">
        <f t="shared" si="16"/>
        <v>-4.2513019299371931E-3</v>
      </c>
      <c r="W344" s="48">
        <f>(E344-D344)/D344</f>
        <v>-1.17096018735363E-3</v>
      </c>
      <c r="X344" s="48">
        <f>(J344-I344)/I344</f>
        <v>-3.8674033149171269E-2</v>
      </c>
      <c r="Y344" s="48">
        <f>(O344-N344)/N344</f>
        <v>0</v>
      </c>
      <c r="Z344" s="48" t="e">
        <f>(#REF!-#REF!)/#REF!</f>
        <v>#REF!</v>
      </c>
    </row>
    <row r="345" spans="1:26" x14ac:dyDescent="0.3">
      <c r="A345" s="48">
        <v>20190528</v>
      </c>
      <c r="B345" s="48" t="s">
        <v>88</v>
      </c>
      <c r="C345" s="79">
        <f>E345*F345*G345/T345</f>
        <v>0.90279227261752859</v>
      </c>
      <c r="D345" s="49">
        <v>42650</v>
      </c>
      <c r="E345" s="49">
        <v>42550</v>
      </c>
      <c r="F345" s="49">
        <v>5969782550</v>
      </c>
      <c r="G345" s="49">
        <v>1</v>
      </c>
      <c r="H345" s="48">
        <f>J345*K345*L345/T345</f>
        <v>8.4833570805716255E-2</v>
      </c>
      <c r="I345" s="48">
        <v>174000</v>
      </c>
      <c r="J345" s="48">
        <v>186000</v>
      </c>
      <c r="K345" s="51">
        <v>128329070</v>
      </c>
      <c r="L345" s="48">
        <v>1</v>
      </c>
      <c r="M345" s="49">
        <f>O345*P345*Q345/T345</f>
        <v>1.2374156576755184E-2</v>
      </c>
      <c r="N345" s="49">
        <v>211500</v>
      </c>
      <c r="O345" s="49">
        <v>218200</v>
      </c>
      <c r="P345" s="49">
        <v>15956260</v>
      </c>
      <c r="Q345" s="49">
        <v>1</v>
      </c>
      <c r="R345" s="82">
        <f t="shared" si="17"/>
        <v>0</v>
      </c>
      <c r="S345" s="82">
        <f>IF(AND(R345=0,B345="N"),S344,S344*(D345*F345*G345+I345*K345*L345+N345*P345*Q345)/T344)</f>
        <v>336338365432207.56</v>
      </c>
      <c r="T345" s="81">
        <f>E345*F345*G345+J345*K345*L345+O345*P345*Q345</f>
        <v>281365110454500</v>
      </c>
      <c r="U345" s="80">
        <f t="shared" si="15"/>
        <v>836.55371902915431</v>
      </c>
      <c r="V345" s="52">
        <f t="shared" si="16"/>
        <v>3.7453459665230814E-3</v>
      </c>
      <c r="W345" s="48">
        <f>(E345-D345)/D345</f>
        <v>-2.3446658851113715E-3</v>
      </c>
      <c r="X345" s="48">
        <f>(J345-I345)/I345</f>
        <v>6.8965517241379309E-2</v>
      </c>
      <c r="Y345" s="48">
        <f>(O345-N345)/N345</f>
        <v>3.1678486997635931E-2</v>
      </c>
      <c r="Z345" s="48" t="e">
        <f>(#REF!-#REF!)/#REF!</f>
        <v>#REF!</v>
      </c>
    </row>
    <row r="346" spans="1:26" x14ac:dyDescent="0.3">
      <c r="A346" s="48">
        <v>20190529</v>
      </c>
      <c r="B346" s="48" t="s">
        <v>88</v>
      </c>
      <c r="C346" s="79">
        <f>E346*F346*G346/T346</f>
        <v>0.90300640258396525</v>
      </c>
      <c r="D346" s="49">
        <v>42550</v>
      </c>
      <c r="E346" s="49">
        <v>41800</v>
      </c>
      <c r="F346" s="49">
        <v>5969782550</v>
      </c>
      <c r="G346" s="49">
        <v>1</v>
      </c>
      <c r="H346" s="48">
        <f>J346*K346*L346/T346</f>
        <v>8.6143992593774407E-2</v>
      </c>
      <c r="I346" s="48">
        <v>186000</v>
      </c>
      <c r="J346" s="48">
        <v>185500</v>
      </c>
      <c r="K346" s="51">
        <v>128329070</v>
      </c>
      <c r="L346" s="48">
        <v>1</v>
      </c>
      <c r="M346" s="49">
        <f>O346*P346*Q346/T346</f>
        <v>1.0849604822260382E-2</v>
      </c>
      <c r="N346" s="49">
        <v>218200</v>
      </c>
      <c r="O346" s="49">
        <v>187900</v>
      </c>
      <c r="P346" s="49">
        <v>15956260</v>
      </c>
      <c r="Q346" s="49">
        <v>1</v>
      </c>
      <c r="R346" s="82">
        <f t="shared" si="17"/>
        <v>0</v>
      </c>
      <c r="S346" s="82">
        <f>IF(AND(R346=0,B346="N"),S345,S345*(D346*F346*G346+I346*K346*L346+N346*P346*Q346)/T345)</f>
        <v>336338365432207.56</v>
      </c>
      <c r="T346" s="81">
        <f>E346*F346*G346+J346*K346*L346+O346*P346*Q346</f>
        <v>276340134329000</v>
      </c>
      <c r="U346" s="80">
        <f t="shared" si="15"/>
        <v>821.61347836097275</v>
      </c>
      <c r="V346" s="52">
        <f t="shared" si="16"/>
        <v>-1.7859272307724789E-2</v>
      </c>
      <c r="W346" s="48">
        <f>(E346-D346)/D346</f>
        <v>-1.7626321974148061E-2</v>
      </c>
      <c r="X346" s="48">
        <f>(J346-I346)/I346</f>
        <v>-2.6881720430107529E-3</v>
      </c>
      <c r="Y346" s="48">
        <f>(O346-N346)/N346</f>
        <v>-0.13886342804766269</v>
      </c>
      <c r="Z346" s="48" t="e">
        <f>(#REF!-#REF!)/#REF!</f>
        <v>#REF!</v>
      </c>
    </row>
    <row r="347" spans="1:26" x14ac:dyDescent="0.3">
      <c r="A347" s="48">
        <v>20190530</v>
      </c>
      <c r="B347" s="48" t="s">
        <v>88</v>
      </c>
      <c r="C347" s="79">
        <f>E347*F347*G347/T347</f>
        <v>0.90456204868821199</v>
      </c>
      <c r="D347" s="49">
        <v>41800</v>
      </c>
      <c r="E347" s="49">
        <v>42550</v>
      </c>
      <c r="F347" s="49">
        <v>5969782550</v>
      </c>
      <c r="G347" s="49">
        <v>1</v>
      </c>
      <c r="H347" s="48">
        <f>J347*K347*L347/T347</f>
        <v>8.49998730971252E-2</v>
      </c>
      <c r="I347" s="48">
        <v>185500</v>
      </c>
      <c r="J347" s="48">
        <v>186000</v>
      </c>
      <c r="K347" s="51">
        <v>128329070</v>
      </c>
      <c r="L347" s="48">
        <v>1</v>
      </c>
      <c r="M347" s="49">
        <f>O347*P347*Q347/T347</f>
        <v>1.043807821466286E-2</v>
      </c>
      <c r="N347" s="49">
        <v>187900</v>
      </c>
      <c r="O347" s="49">
        <v>183700</v>
      </c>
      <c r="P347" s="49">
        <v>15956260</v>
      </c>
      <c r="Q347" s="49">
        <v>1</v>
      </c>
      <c r="R347" s="82">
        <f t="shared" si="17"/>
        <v>0</v>
      </c>
      <c r="S347" s="82">
        <f>IF(AND(R347=0,B347="N"),S346,S346*(D347*F347*G347+I347*K347*L347+N347*P347*Q347)/T346)</f>
        <v>336338365432207.56</v>
      </c>
      <c r="T347" s="81">
        <f>E347*F347*G347+J347*K347*L347+O347*P347*Q347</f>
        <v>280814619484500</v>
      </c>
      <c r="U347" s="80">
        <f t="shared" si="15"/>
        <v>834.91700128720834</v>
      </c>
      <c r="V347" s="52">
        <f t="shared" si="16"/>
        <v>1.619194825378794E-2</v>
      </c>
      <c r="W347" s="48">
        <f>(E347-D347)/D347</f>
        <v>1.7942583732057416E-2</v>
      </c>
      <c r="X347" s="48">
        <f>(J347-I347)/I347</f>
        <v>2.6954177897574125E-3</v>
      </c>
      <c r="Y347" s="48">
        <f>(O347-N347)/N347</f>
        <v>-2.2352315061202766E-2</v>
      </c>
      <c r="Z347" s="48" t="e">
        <f>(#REF!-#REF!)/#REF!</f>
        <v>#REF!</v>
      </c>
    </row>
    <row r="348" spans="1:26" x14ac:dyDescent="0.3">
      <c r="A348" s="48">
        <v>20190531</v>
      </c>
      <c r="B348" s="48" t="s">
        <v>88</v>
      </c>
      <c r="C348" s="79">
        <f>E348*F348*G348/T348</f>
        <v>0.90223982456804952</v>
      </c>
      <c r="D348" s="49">
        <v>42550</v>
      </c>
      <c r="E348" s="49">
        <v>42500</v>
      </c>
      <c r="F348" s="49">
        <v>5969782550</v>
      </c>
      <c r="G348" s="49">
        <v>1</v>
      </c>
      <c r="H348" s="48">
        <f>J348*K348*L348/T348</f>
        <v>8.6706807987083426E-2</v>
      </c>
      <c r="I348" s="48">
        <v>186000</v>
      </c>
      <c r="J348" s="48">
        <v>190000</v>
      </c>
      <c r="K348" s="51">
        <v>128329070</v>
      </c>
      <c r="L348" s="48">
        <v>1</v>
      </c>
      <c r="M348" s="49">
        <f>O348*P348*Q348/T348</f>
        <v>1.1053367444867105E-2</v>
      </c>
      <c r="N348" s="49">
        <v>183700</v>
      </c>
      <c r="O348" s="49">
        <v>194800</v>
      </c>
      <c r="P348" s="49">
        <v>15956260</v>
      </c>
      <c r="Q348" s="49">
        <v>1</v>
      </c>
      <c r="R348" s="82">
        <f t="shared" si="17"/>
        <v>0</v>
      </c>
      <c r="S348" s="82">
        <f>IF(AND(R348=0,B348="N"),S347,S347*(D348*F348*G348+I348*K348*L348+N348*P348*Q348)/T347)</f>
        <v>336338365432207.56</v>
      </c>
      <c r="T348" s="81">
        <f>E348*F348*G348+J348*K348*L348+O348*P348*Q348</f>
        <v>281206561123000</v>
      </c>
      <c r="U348" s="80">
        <f t="shared" si="15"/>
        <v>836.08232073566421</v>
      </c>
      <c r="V348" s="52">
        <f t="shared" si="16"/>
        <v>1.3957308890096608E-3</v>
      </c>
      <c r="W348" s="48">
        <f>(E348-D348)/D348</f>
        <v>-1.1750881316098707E-3</v>
      </c>
      <c r="X348" s="48">
        <f>(J348-I348)/I348</f>
        <v>2.1505376344086023E-2</v>
      </c>
      <c r="Y348" s="48">
        <f>(O348-N348)/N348</f>
        <v>6.0424605334784977E-2</v>
      </c>
      <c r="Z348" s="48" t="e">
        <f>(#REF!-#REF!)/#REF!</f>
        <v>#REF!</v>
      </c>
    </row>
    <row r="349" spans="1:26" x14ac:dyDescent="0.3">
      <c r="A349" s="48">
        <v>20190603</v>
      </c>
      <c r="B349" s="48" t="s">
        <v>88</v>
      </c>
      <c r="C349" s="79">
        <f>E349*F349*G349/T349</f>
        <v>0.90389069390186672</v>
      </c>
      <c r="D349" s="49">
        <v>42500</v>
      </c>
      <c r="E349" s="49">
        <v>43800</v>
      </c>
      <c r="F349" s="49">
        <v>5969782550</v>
      </c>
      <c r="G349" s="49">
        <v>1</v>
      </c>
      <c r="H349" s="48">
        <f>J349*K349*L349/T349</f>
        <v>8.561811230639077E-2</v>
      </c>
      <c r="I349" s="48">
        <v>190000</v>
      </c>
      <c r="J349" s="48">
        <v>193000</v>
      </c>
      <c r="K349" s="51">
        <v>128329070</v>
      </c>
      <c r="L349" s="48">
        <v>1</v>
      </c>
      <c r="M349" s="49">
        <f>O349*P349*Q349/T349</f>
        <v>1.0491193791742473E-2</v>
      </c>
      <c r="N349" s="49">
        <v>194800</v>
      </c>
      <c r="O349" s="49">
        <v>190200</v>
      </c>
      <c r="P349" s="49">
        <v>15956260</v>
      </c>
      <c r="Q349" s="49">
        <v>1</v>
      </c>
      <c r="R349" s="82">
        <f t="shared" si="17"/>
        <v>0</v>
      </c>
      <c r="S349" s="82">
        <f>IF(AND(R349=0,B349="N"),S348,S348*(D349*F349*G349+I349*K349*L349+N349*P349*Q349)/T348)</f>
        <v>336338365432207.56</v>
      </c>
      <c r="T349" s="81">
        <f>E349*F349*G349+J349*K349*L349+O349*P349*Q349</f>
        <v>289278866852000</v>
      </c>
      <c r="U349" s="80">
        <f t="shared" si="15"/>
        <v>860.08287065397872</v>
      </c>
      <c r="V349" s="52">
        <f t="shared" si="16"/>
        <v>2.8705965098265149E-2</v>
      </c>
      <c r="W349" s="48">
        <f>(E349-D349)/D349</f>
        <v>3.0588235294117649E-2</v>
      </c>
      <c r="X349" s="48">
        <f>(J349-I349)/I349</f>
        <v>1.5789473684210527E-2</v>
      </c>
      <c r="Y349" s="48">
        <f>(O349-N349)/N349</f>
        <v>-2.3613963039014373E-2</v>
      </c>
      <c r="Z349" s="48" t="e">
        <f>(#REF!-#REF!)/#REF!</f>
        <v>#REF!</v>
      </c>
    </row>
    <row r="350" spans="1:26" x14ac:dyDescent="0.3">
      <c r="A350" s="48">
        <v>20190604</v>
      </c>
      <c r="B350" s="48" t="s">
        <v>88</v>
      </c>
      <c r="C350" s="79">
        <f>E350*F350*G350/T350</f>
        <v>0.90233886042541001</v>
      </c>
      <c r="D350" s="49">
        <v>43800</v>
      </c>
      <c r="E350" s="49">
        <v>43450</v>
      </c>
      <c r="F350" s="49">
        <v>5969782550</v>
      </c>
      <c r="G350" s="49">
        <v>1</v>
      </c>
      <c r="H350" s="48">
        <f>J350*K350*L350/T350</f>
        <v>8.7275667074543178E-2</v>
      </c>
      <c r="I350" s="48">
        <v>193000</v>
      </c>
      <c r="J350" s="48">
        <v>195500</v>
      </c>
      <c r="K350" s="51">
        <v>128329070</v>
      </c>
      <c r="L350" s="48">
        <v>1</v>
      </c>
      <c r="M350" s="49">
        <f>O350*P350*Q350/T350</f>
        <v>1.0385472500046778E-2</v>
      </c>
      <c r="N350" s="49">
        <v>190200</v>
      </c>
      <c r="O350" s="49">
        <v>187100</v>
      </c>
      <c r="P350" s="49">
        <v>15956260</v>
      </c>
      <c r="Q350" s="49">
        <v>1</v>
      </c>
      <c r="R350" s="82">
        <f t="shared" si="17"/>
        <v>0</v>
      </c>
      <c r="S350" s="82">
        <f>IF(AND(R350=0,B350="N"),S349,S349*(D350*F350*G350+I350*K350*L350+N350*P350*Q350)/T349)</f>
        <v>336338365432207.56</v>
      </c>
      <c r="T350" s="81">
        <f>E350*F350*G350+J350*K350*L350+O350*P350*Q350</f>
        <v>287460801228500</v>
      </c>
      <c r="U350" s="80">
        <f t="shared" si="15"/>
        <v>854.67740458065782</v>
      </c>
      <c r="V350" s="52">
        <f t="shared" si="16"/>
        <v>-6.284820053689427E-3</v>
      </c>
      <c r="W350" s="48">
        <f>(E350-D350)/D350</f>
        <v>-7.9908675799086754E-3</v>
      </c>
      <c r="X350" s="48">
        <f>(J350-I350)/I350</f>
        <v>1.2953367875647668E-2</v>
      </c>
      <c r="Y350" s="48">
        <f>(O350-N350)/N350</f>
        <v>-1.6298633017875919E-2</v>
      </c>
      <c r="Z350" s="48" t="e">
        <f>(#REF!-#REF!)/#REF!</f>
        <v>#REF!</v>
      </c>
    </row>
    <row r="351" spans="1:26" x14ac:dyDescent="0.3">
      <c r="A351" s="48">
        <v>20190605</v>
      </c>
      <c r="B351" s="48" t="s">
        <v>88</v>
      </c>
      <c r="C351" s="79">
        <f>E351*F351*G351/T351</f>
        <v>0.90300365896223833</v>
      </c>
      <c r="D351" s="49">
        <v>43450</v>
      </c>
      <c r="E351" s="49">
        <v>43900</v>
      </c>
      <c r="F351" s="49">
        <v>5969782550</v>
      </c>
      <c r="G351" s="49">
        <v>1</v>
      </c>
      <c r="H351" s="48">
        <f>J351*K351*L351/T351</f>
        <v>8.6665769200592033E-2</v>
      </c>
      <c r="I351" s="48">
        <v>195500</v>
      </c>
      <c r="J351" s="48">
        <v>196000</v>
      </c>
      <c r="K351" s="51">
        <v>128329070</v>
      </c>
      <c r="L351" s="48">
        <v>1</v>
      </c>
      <c r="M351" s="49">
        <f>O351*P351*Q351/T351</f>
        <v>1.0330571837169641E-2</v>
      </c>
      <c r="N351" s="49">
        <v>187100</v>
      </c>
      <c r="O351" s="49">
        <v>187900</v>
      </c>
      <c r="P351" s="49">
        <v>15956260</v>
      </c>
      <c r="Q351" s="49">
        <v>1</v>
      </c>
      <c r="R351" s="82">
        <f t="shared" si="17"/>
        <v>0</v>
      </c>
      <c r="S351" s="82">
        <f>IF(AND(R351=0,B351="N"),S350,S350*(D351*F351*G351+I351*K351*L351+N351*P351*Q351)/T350)</f>
        <v>336338365432207.56</v>
      </c>
      <c r="T351" s="81">
        <f>E351*F351*G351+J351*K351*L351+O351*P351*Q351</f>
        <v>290224132919000</v>
      </c>
      <c r="U351" s="80">
        <f t="shared" si="15"/>
        <v>862.89333227284669</v>
      </c>
      <c r="V351" s="52">
        <f t="shared" si="16"/>
        <v>9.6128991455202498E-3</v>
      </c>
      <c r="W351" s="48">
        <f>(E351-D351)/D351</f>
        <v>1.0356731875719217E-2</v>
      </c>
      <c r="X351" s="48">
        <f>(J351-I351)/I351</f>
        <v>2.5575447570332483E-3</v>
      </c>
      <c r="Y351" s="48">
        <f>(O351-N351)/N351</f>
        <v>4.27578834847675E-3</v>
      </c>
      <c r="Z351" s="48" t="e">
        <f>(#REF!-#REF!)/#REF!</f>
        <v>#REF!</v>
      </c>
    </row>
    <row r="352" spans="1:26" x14ac:dyDescent="0.3">
      <c r="A352" s="48">
        <v>20190607</v>
      </c>
      <c r="B352" s="48" t="s">
        <v>88</v>
      </c>
      <c r="C352" s="79">
        <f>E352*F352*G352/T352</f>
        <v>0.90326186904223371</v>
      </c>
      <c r="D352" s="49">
        <v>43900</v>
      </c>
      <c r="E352" s="49">
        <v>44200</v>
      </c>
      <c r="F352" s="49">
        <v>5969782550</v>
      </c>
      <c r="G352" s="49">
        <v>1</v>
      </c>
      <c r="H352" s="48">
        <f>J352*K352*L352/T352</f>
        <v>8.632180185743582E-2</v>
      </c>
      <c r="I352" s="48">
        <v>196000</v>
      </c>
      <c r="J352" s="48">
        <v>196500</v>
      </c>
      <c r="K352" s="51">
        <v>128329070</v>
      </c>
      <c r="L352" s="48">
        <v>1</v>
      </c>
      <c r="M352" s="49">
        <f>O352*P352*Q352/T352</f>
        <v>1.0416329100330511E-2</v>
      </c>
      <c r="N352" s="49">
        <v>187900</v>
      </c>
      <c r="O352" s="49">
        <v>190700</v>
      </c>
      <c r="P352" s="49">
        <v>15956260</v>
      </c>
      <c r="Q352" s="49">
        <v>1</v>
      </c>
      <c r="R352" s="82">
        <f t="shared" si="17"/>
        <v>0</v>
      </c>
      <c r="S352" s="82">
        <f>IF(AND(R352=0,B352="N"),S351,S351*(D352*F352*G352+I352*K352*L352+N352*P352*Q352)/T351)</f>
        <v>336338365432207.56</v>
      </c>
      <c r="T352" s="81">
        <f>E352*F352*G352+J352*K352*L352+O352*P352*Q352</f>
        <v>292123909747000</v>
      </c>
      <c r="U352" s="80">
        <f t="shared" si="15"/>
        <v>868.54174180102734</v>
      </c>
      <c r="V352" s="52">
        <f t="shared" si="16"/>
        <v>6.5458954391301571E-3</v>
      </c>
      <c r="W352" s="48">
        <f>(E352-D352)/D352</f>
        <v>6.8337129840546698E-3</v>
      </c>
      <c r="X352" s="48">
        <f>(J352-I352)/I352</f>
        <v>2.5510204081632651E-3</v>
      </c>
      <c r="Y352" s="48">
        <f>(O352-N352)/N352</f>
        <v>1.4901543374135177E-2</v>
      </c>
      <c r="Z352" s="48" t="e">
        <f>(#REF!-#REF!)/#REF!</f>
        <v>#REF!</v>
      </c>
    </row>
    <row r="353" spans="1:26" s="47" customFormat="1" x14ac:dyDescent="0.3">
      <c r="A353" s="48">
        <v>20190610</v>
      </c>
      <c r="B353" s="48" t="s">
        <v>88</v>
      </c>
      <c r="C353" s="79">
        <f>E353*F353*G353/T353</f>
        <v>0.90363471454335009</v>
      </c>
      <c r="D353" s="49">
        <v>44200</v>
      </c>
      <c r="E353" s="49">
        <v>44800</v>
      </c>
      <c r="F353" s="49">
        <v>5969782550</v>
      </c>
      <c r="G353" s="49">
        <v>1</v>
      </c>
      <c r="H353" s="48">
        <f>J353*K353*L353/T353</f>
        <v>8.6068045053562844E-2</v>
      </c>
      <c r="I353" s="48">
        <v>196500</v>
      </c>
      <c r="J353" s="48">
        <v>198500</v>
      </c>
      <c r="K353" s="51">
        <v>128329070</v>
      </c>
      <c r="L353" s="48">
        <v>1</v>
      </c>
      <c r="M353" s="49">
        <f>O353*P353*Q353/T353</f>
        <v>1.0297240403087046E-2</v>
      </c>
      <c r="N353" s="49">
        <v>190700</v>
      </c>
      <c r="O353" s="49">
        <v>191000</v>
      </c>
      <c r="P353" s="49">
        <v>15956260</v>
      </c>
      <c r="Q353" s="49">
        <v>1</v>
      </c>
      <c r="R353" s="82">
        <f t="shared" si="17"/>
        <v>0</v>
      </c>
      <c r="S353" s="82">
        <f>IF(AND(R353=0,B353="N"),S352,S352*(D353*F353*G353+I353*K353*L353+N353*P353*Q353)/T352)</f>
        <v>336338365432207.56</v>
      </c>
      <c r="T353" s="81">
        <f>E353*F353*G353+J353*K353*L353+O353*P353*Q353</f>
        <v>295967224295000</v>
      </c>
      <c r="U353" s="80">
        <f t="shared" si="15"/>
        <v>879.96867058169494</v>
      </c>
      <c r="V353" s="52">
        <f t="shared" si="16"/>
        <v>1.3156453202781552E-2</v>
      </c>
      <c r="W353" s="48">
        <f>(E353-D353)/D353</f>
        <v>1.3574660633484163E-2</v>
      </c>
      <c r="X353" s="48">
        <f>(J353-I353)/I353</f>
        <v>1.0178117048346057E-2</v>
      </c>
      <c r="Y353" s="48">
        <f>(O353-N353)/N353</f>
        <v>1.5731515469323545E-3</v>
      </c>
      <c r="Z353" s="48" t="e">
        <f>(#REF!-#REF!)/#REF!</f>
        <v>#REF!</v>
      </c>
    </row>
    <row r="354" spans="1:26" x14ac:dyDescent="0.3">
      <c r="A354" s="48">
        <v>20190611</v>
      </c>
      <c r="B354" s="48" t="s">
        <v>88</v>
      </c>
      <c r="C354" s="79">
        <f>E354*F354*G354/T354</f>
        <v>0.90205332137133143</v>
      </c>
      <c r="D354" s="49">
        <v>44800</v>
      </c>
      <c r="E354" s="49">
        <v>44850</v>
      </c>
      <c r="F354" s="49">
        <v>5969782550</v>
      </c>
      <c r="G354" s="49">
        <v>1</v>
      </c>
      <c r="H354" s="48">
        <f>J354*K354*L354/T354</f>
        <v>8.7334867712445696E-2</v>
      </c>
      <c r="I354" s="48">
        <v>198500</v>
      </c>
      <c r="J354" s="48">
        <v>202000</v>
      </c>
      <c r="K354" s="51">
        <v>128329070</v>
      </c>
      <c r="L354" s="48">
        <v>1</v>
      </c>
      <c r="M354" s="49">
        <f>O354*P354*Q354/T354</f>
        <v>1.061181091622289E-2</v>
      </c>
      <c r="N354" s="49">
        <v>191000</v>
      </c>
      <c r="O354" s="49">
        <v>197400</v>
      </c>
      <c r="P354" s="49">
        <v>15956260</v>
      </c>
      <c r="Q354" s="49">
        <v>1</v>
      </c>
      <c r="R354" s="82">
        <f t="shared" si="17"/>
        <v>0</v>
      </c>
      <c r="S354" s="82">
        <f>IF(AND(R354=0,B354="N"),S353,S353*(D354*F354*G354+I354*K354*L354+N354*P354*Q354)/T353)</f>
        <v>336338365432207.56</v>
      </c>
      <c r="T354" s="81">
        <f>E354*F354*G354+J354*K354*L354+O354*P354*Q354</f>
        <v>296816985231500</v>
      </c>
      <c r="U354" s="80">
        <f t="shared" si="15"/>
        <v>882.495176695287</v>
      </c>
      <c r="V354" s="52">
        <f t="shared" si="16"/>
        <v>2.8711318914592045E-3</v>
      </c>
      <c r="W354" s="48">
        <f>(E354-D354)/D354</f>
        <v>1.1160714285714285E-3</v>
      </c>
      <c r="X354" s="48">
        <f>(J354-I354)/I354</f>
        <v>1.7632241813602016E-2</v>
      </c>
      <c r="Y354" s="48">
        <f>(O354-N354)/N354</f>
        <v>3.3507853403141365E-2</v>
      </c>
      <c r="Z354" s="48" t="e">
        <f>(#REF!-#REF!)/#REF!</f>
        <v>#REF!</v>
      </c>
    </row>
    <row r="355" spans="1:26" x14ac:dyDescent="0.3">
      <c r="A355" s="48">
        <v>20190612</v>
      </c>
      <c r="B355" s="48" t="s">
        <v>88</v>
      </c>
      <c r="C355" s="79">
        <f>E355*F355*G355/T355</f>
        <v>0.90103816023206895</v>
      </c>
      <c r="D355" s="49">
        <v>44850</v>
      </c>
      <c r="E355" s="49">
        <v>44600</v>
      </c>
      <c r="F355" s="49">
        <v>5969782550</v>
      </c>
      <c r="G355" s="49">
        <v>1</v>
      </c>
      <c r="H355" s="48">
        <f>J355*K355*L355/T355</f>
        <v>8.859414634427186E-2</v>
      </c>
      <c r="I355" s="48">
        <v>202000</v>
      </c>
      <c r="J355" s="48">
        <v>204000</v>
      </c>
      <c r="K355" s="51">
        <v>128329070</v>
      </c>
      <c r="L355" s="48">
        <v>1</v>
      </c>
      <c r="M355" s="49">
        <f>O355*P355*Q355/T355</f>
        <v>1.0367693423659155E-2</v>
      </c>
      <c r="N355" s="49">
        <v>197400</v>
      </c>
      <c r="O355" s="49">
        <v>192000</v>
      </c>
      <c r="P355" s="49">
        <v>15956260</v>
      </c>
      <c r="Q355" s="49">
        <v>1</v>
      </c>
      <c r="R355" s="82">
        <f t="shared" si="17"/>
        <v>0</v>
      </c>
      <c r="S355" s="82">
        <f>IF(AND(R355=0,B355="N"),S354,S354*(D355*F355*G355+I355*K355*L355+N355*P355*Q355)/T354)</f>
        <v>336338365432207.56</v>
      </c>
      <c r="T355" s="81">
        <f>E355*F355*G355+J355*K355*L355+O355*P355*Q355</f>
        <v>295495033930000</v>
      </c>
      <c r="U355" s="80">
        <f t="shared" si="15"/>
        <v>878.56475591262881</v>
      </c>
      <c r="V355" s="52">
        <f t="shared" si="16"/>
        <v>-4.453758939937308E-3</v>
      </c>
      <c r="W355" s="48">
        <f>(E355-D355)/D355</f>
        <v>-5.5741360089186179E-3</v>
      </c>
      <c r="X355" s="48">
        <f>(J355-I355)/I355</f>
        <v>9.9009900990099011E-3</v>
      </c>
      <c r="Y355" s="48">
        <f>(O355-N355)/N355</f>
        <v>-2.7355623100303952E-2</v>
      </c>
      <c r="Z355" s="48" t="e">
        <f>(#REF!-#REF!)/#REF!</f>
        <v>#REF!</v>
      </c>
    </row>
    <row r="356" spans="1:26" x14ac:dyDescent="0.3">
      <c r="A356" s="48">
        <v>20190613</v>
      </c>
      <c r="B356" s="48" t="s">
        <v>88</v>
      </c>
      <c r="C356" s="79">
        <f>E356*F356*G356/T356</f>
        <v>0.89817764598626737</v>
      </c>
      <c r="D356" s="49">
        <v>44600</v>
      </c>
      <c r="E356" s="49">
        <v>43750</v>
      </c>
      <c r="F356" s="49">
        <v>5969782550</v>
      </c>
      <c r="G356" s="49">
        <v>1</v>
      </c>
      <c r="H356" s="48">
        <f>J356*K356*L356/T356</f>
        <v>9.1352632083949739E-2</v>
      </c>
      <c r="I356" s="48">
        <v>204000</v>
      </c>
      <c r="J356" s="48">
        <v>207000</v>
      </c>
      <c r="K356" s="51">
        <v>128329070</v>
      </c>
      <c r="L356" s="48">
        <v>1</v>
      </c>
      <c r="M356" s="49">
        <f>O356*P356*Q356/T356</f>
        <v>1.046972192978292E-2</v>
      </c>
      <c r="N356" s="49">
        <v>192000</v>
      </c>
      <c r="O356" s="49">
        <v>190800</v>
      </c>
      <c r="P356" s="49">
        <v>15956260</v>
      </c>
      <c r="Q356" s="49">
        <v>1</v>
      </c>
      <c r="R356" s="82">
        <f t="shared" si="17"/>
        <v>0</v>
      </c>
      <c r="S356" s="82">
        <f>IF(AND(R356=0,B356="N"),S355,S355*(D356*F356*G356+I356*K356*L356+N356*P356*Q356)/T355)</f>
        <v>336338365432207.56</v>
      </c>
      <c r="T356" s="81">
        <f>E356*F356*G356+J356*K356*L356+O356*P356*Q356</f>
        <v>290786558460500</v>
      </c>
      <c r="U356" s="80">
        <f t="shared" si="15"/>
        <v>864.56553383919868</v>
      </c>
      <c r="V356" s="52">
        <f t="shared" si="16"/>
        <v>-1.5934194923273616E-2</v>
      </c>
      <c r="W356" s="48">
        <f>(E356-D356)/D356</f>
        <v>-1.905829596412556E-2</v>
      </c>
      <c r="X356" s="48">
        <f>(J356-I356)/I356</f>
        <v>1.4705882352941176E-2</v>
      </c>
      <c r="Y356" s="48">
        <f>(O356-N356)/N356</f>
        <v>-6.2500000000000003E-3</v>
      </c>
      <c r="Z356" s="48" t="e">
        <f>(#REF!-#REF!)/#REF!</f>
        <v>#REF!</v>
      </c>
    </row>
    <row r="357" spans="1:26" x14ac:dyDescent="0.3">
      <c r="A357" s="48">
        <v>20190614</v>
      </c>
      <c r="B357" s="48" t="s">
        <v>88</v>
      </c>
      <c r="C357" s="79">
        <f>E357*F357*G357/T357</f>
        <v>0.90107627290611059</v>
      </c>
      <c r="D357" s="49">
        <v>43750</v>
      </c>
      <c r="E357" s="49">
        <v>44000</v>
      </c>
      <c r="F357" s="49">
        <v>5969782550</v>
      </c>
      <c r="G357" s="49">
        <v>1</v>
      </c>
      <c r="H357" s="48">
        <f>J357*K357*L357/T357</f>
        <v>8.8485369691802651E-2</v>
      </c>
      <c r="I357" s="48">
        <v>207000</v>
      </c>
      <c r="J357" s="48">
        <v>201000</v>
      </c>
      <c r="K357" s="51">
        <v>128329070</v>
      </c>
      <c r="L357" s="48">
        <v>1</v>
      </c>
      <c r="M357" s="49">
        <f>O357*P357*Q357/T357</f>
        <v>1.0438357402086719E-2</v>
      </c>
      <c r="N357" s="49">
        <v>190800</v>
      </c>
      <c r="O357" s="49">
        <v>190700</v>
      </c>
      <c r="P357" s="49">
        <v>15956260</v>
      </c>
      <c r="Q357" s="49">
        <v>1</v>
      </c>
      <c r="R357" s="82">
        <f t="shared" si="17"/>
        <v>0</v>
      </c>
      <c r="S357" s="82">
        <f>IF(AND(R357=0,B357="N"),S356,S356*(D357*F357*G357+I357*K357*L357+N357*P357*Q357)/T356)</f>
        <v>336338365432207.56</v>
      </c>
      <c r="T357" s="81">
        <f>E357*F357*G357+J357*K357*L357+O357*P357*Q357</f>
        <v>291507434052000</v>
      </c>
      <c r="U357" s="80">
        <f t="shared" si="15"/>
        <v>866.70883851564736</v>
      </c>
      <c r="V357" s="52">
        <f t="shared" si="16"/>
        <v>2.4790540364604844E-3</v>
      </c>
      <c r="W357" s="48">
        <f>(E357-D357)/D357</f>
        <v>5.7142857142857143E-3</v>
      </c>
      <c r="X357" s="48">
        <f>(J357-I357)/I357</f>
        <v>-2.8985507246376812E-2</v>
      </c>
      <c r="Y357" s="48">
        <f>(O357-N357)/N357</f>
        <v>-5.2410901467505244E-4</v>
      </c>
      <c r="Z357" s="48" t="e">
        <f>(#REF!-#REF!)/#REF!</f>
        <v>#REF!</v>
      </c>
    </row>
    <row r="358" spans="1:26" x14ac:dyDescent="0.3">
      <c r="A358" s="48">
        <v>20190617</v>
      </c>
      <c r="B358" s="48" t="s">
        <v>88</v>
      </c>
      <c r="C358" s="79">
        <f>E358*F358*G358/T358</f>
        <v>0.89930616127268082</v>
      </c>
      <c r="D358" s="49">
        <v>44000</v>
      </c>
      <c r="E358" s="49">
        <v>43900</v>
      </c>
      <c r="F358" s="49">
        <v>5969782550</v>
      </c>
      <c r="G358" s="49">
        <v>1</v>
      </c>
      <c r="H358" s="48">
        <f>J358*K358*L358/T358</f>
        <v>9.0274157587325404E-2</v>
      </c>
      <c r="I358" s="48">
        <v>201000</v>
      </c>
      <c r="J358" s="48">
        <v>205000</v>
      </c>
      <c r="K358" s="51">
        <v>128329070</v>
      </c>
      <c r="L358" s="48">
        <v>1</v>
      </c>
      <c r="M358" s="49">
        <f>O358*P358*Q358/T358</f>
        <v>1.0419681139993753E-2</v>
      </c>
      <c r="N358" s="49">
        <v>190700</v>
      </c>
      <c r="O358" s="49">
        <v>190300</v>
      </c>
      <c r="P358" s="49">
        <v>15956260</v>
      </c>
      <c r="Q358" s="49">
        <v>1</v>
      </c>
      <c r="R358" s="82">
        <f t="shared" si="17"/>
        <v>0</v>
      </c>
      <c r="S358" s="82">
        <f>IF(AND(R358=0,B358="N"),S357,S357*(D358*F358*G358+I358*K358*L358+N358*P358*Q358)/T357)</f>
        <v>336338365432207.56</v>
      </c>
      <c r="T358" s="81">
        <f>E358*F358*G358+J358*K358*L358+O358*P358*Q358</f>
        <v>291417389573000</v>
      </c>
      <c r="U358" s="80">
        <f t="shared" si="15"/>
        <v>866.44111859947225</v>
      </c>
      <c r="V358" s="52">
        <f t="shared" si="16"/>
        <v>-3.0889256492828201E-4</v>
      </c>
      <c r="W358" s="48">
        <f>(E358-D358)/D358</f>
        <v>-2.2727272727272726E-3</v>
      </c>
      <c r="X358" s="48">
        <f>(J358-I358)/I358</f>
        <v>1.9900497512437811E-2</v>
      </c>
      <c r="Y358" s="48">
        <f>(O358-N358)/N358</f>
        <v>-2.097535395909806E-3</v>
      </c>
      <c r="Z358" s="48" t="e">
        <f>(#REF!-#REF!)/#REF!</f>
        <v>#REF!</v>
      </c>
    </row>
    <row r="359" spans="1:26" x14ac:dyDescent="0.3">
      <c r="A359" s="48">
        <v>20190618</v>
      </c>
      <c r="B359" s="48" t="s">
        <v>88</v>
      </c>
      <c r="C359" s="79">
        <f>E359*F359*G359/T359</f>
        <v>0.89929267863201878</v>
      </c>
      <c r="D359" s="49">
        <v>43900</v>
      </c>
      <c r="E359" s="49">
        <v>44350</v>
      </c>
      <c r="F359" s="49">
        <v>5969782550</v>
      </c>
      <c r="G359" s="49">
        <v>1</v>
      </c>
      <c r="H359" s="48">
        <f>J359*K359*L359/T359</f>
        <v>9.0664506774010126E-2</v>
      </c>
      <c r="I359" s="48">
        <v>205000</v>
      </c>
      <c r="J359" s="48">
        <v>208000</v>
      </c>
      <c r="K359" s="51">
        <v>128329070</v>
      </c>
      <c r="L359" s="48">
        <v>1</v>
      </c>
      <c r="M359" s="49">
        <f>O359*P359*Q359/T359</f>
        <v>1.004281459397114E-2</v>
      </c>
      <c r="N359" s="49">
        <v>190300</v>
      </c>
      <c r="O359" s="49">
        <v>185300</v>
      </c>
      <c r="P359" s="49">
        <v>15956260</v>
      </c>
      <c r="Q359" s="49">
        <v>1</v>
      </c>
      <c r="R359" s="82">
        <f t="shared" si="17"/>
        <v>0</v>
      </c>
      <c r="S359" s="82">
        <f>IF(AND(R359=0,B359="N"),S358,S358*(D359*F359*G359+I359*K359*L359+N359*P359*Q359)/T358)</f>
        <v>336338365432207.56</v>
      </c>
      <c r="T359" s="81">
        <f>E359*F359*G359+J359*K359*L359+O359*P359*Q359</f>
        <v>294408997630500</v>
      </c>
      <c r="U359" s="80">
        <f t="shared" si="15"/>
        <v>875.33575675249904</v>
      </c>
      <c r="V359" s="52">
        <f t="shared" si="16"/>
        <v>1.0265715652327546E-2</v>
      </c>
      <c r="W359" s="48">
        <f>(E359-D359)/D359</f>
        <v>1.0250569476082005E-2</v>
      </c>
      <c r="X359" s="48">
        <f>(J359-I359)/I359</f>
        <v>1.4634146341463415E-2</v>
      </c>
      <c r="Y359" s="48">
        <f>(O359-N359)/N359</f>
        <v>-2.6274303730951128E-2</v>
      </c>
      <c r="Z359" s="48" t="e">
        <f>(#REF!-#REF!)/#REF!</f>
        <v>#REF!</v>
      </c>
    </row>
    <row r="360" spans="1:26" x14ac:dyDescent="0.3">
      <c r="A360" s="48">
        <v>20190619</v>
      </c>
      <c r="B360" s="48" t="s">
        <v>88</v>
      </c>
      <c r="C360" s="79">
        <f>E360*F360*G360/T360</f>
        <v>0.89965261983927325</v>
      </c>
      <c r="D360" s="49">
        <v>44350</v>
      </c>
      <c r="E360" s="49">
        <v>45350</v>
      </c>
      <c r="F360" s="49">
        <v>5969782550</v>
      </c>
      <c r="G360" s="49">
        <v>1</v>
      </c>
      <c r="H360" s="48">
        <f>J360*K360*L360/T360</f>
        <v>9.0193338801602532E-2</v>
      </c>
      <c r="I360" s="48">
        <v>208000</v>
      </c>
      <c r="J360" s="48">
        <v>211500</v>
      </c>
      <c r="K360" s="51">
        <v>128329070</v>
      </c>
      <c r="L360" s="48">
        <v>1</v>
      </c>
      <c r="M360" s="49">
        <f>O360*P360*Q360/T360</f>
        <v>1.0154041359124255E-2</v>
      </c>
      <c r="N360" s="49">
        <v>185300</v>
      </c>
      <c r="O360" s="49">
        <v>191500</v>
      </c>
      <c r="P360" s="49">
        <v>15956260</v>
      </c>
      <c r="Q360" s="49">
        <v>1</v>
      </c>
      <c r="R360" s="82">
        <f t="shared" si="17"/>
        <v>0</v>
      </c>
      <c r="S360" s="82">
        <f>IF(AND(R360=0,B360="N"),S359,S359*(D360*F360*G360+I360*K360*L360+N360*P360*Q360)/T359)</f>
        <v>336338365432207.56</v>
      </c>
      <c r="T360" s="81">
        <f>E360*F360*G360+J360*K360*L360+O360*P360*Q360</f>
        <v>300926860737500</v>
      </c>
      <c r="U360" s="80">
        <f t="shared" si="15"/>
        <v>894.71464354296165</v>
      </c>
      <c r="V360" s="52">
        <f t="shared" si="16"/>
        <v>2.2138804042871964E-2</v>
      </c>
      <c r="W360" s="48">
        <f>(E360-D360)/D360</f>
        <v>2.2547914317925591E-2</v>
      </c>
      <c r="X360" s="48">
        <f>(J360-I360)/I360</f>
        <v>1.6826923076923076E-2</v>
      </c>
      <c r="Y360" s="48">
        <f>(O360-N360)/N360</f>
        <v>3.3459255261737722E-2</v>
      </c>
      <c r="Z360" s="48" t="e">
        <f>(#REF!-#REF!)/#REF!</f>
        <v>#REF!</v>
      </c>
    </row>
    <row r="361" spans="1:26" x14ac:dyDescent="0.3">
      <c r="A361" s="48">
        <v>20190620</v>
      </c>
      <c r="B361" s="48" t="s">
        <v>88</v>
      </c>
      <c r="C361" s="79">
        <f>E361*F361*G361/T361</f>
        <v>0.89881437586827573</v>
      </c>
      <c r="D361" s="49">
        <v>45350</v>
      </c>
      <c r="E361" s="49">
        <v>45500</v>
      </c>
      <c r="F361" s="49">
        <v>5969782550</v>
      </c>
      <c r="G361" s="49">
        <v>1</v>
      </c>
      <c r="H361" s="48">
        <f>J361*K361*L361/T361</f>
        <v>9.0873848644531019E-2</v>
      </c>
      <c r="I361" s="48">
        <v>211500</v>
      </c>
      <c r="J361" s="48">
        <v>214000</v>
      </c>
      <c r="K361" s="51">
        <v>128329070</v>
      </c>
      <c r="L361" s="48">
        <v>1</v>
      </c>
      <c r="M361" s="49">
        <f>O361*P361*Q361/T361</f>
        <v>1.031177548719322E-2</v>
      </c>
      <c r="N361" s="49">
        <v>191500</v>
      </c>
      <c r="O361" s="49">
        <v>195300</v>
      </c>
      <c r="P361" s="49">
        <v>15956260</v>
      </c>
      <c r="Q361" s="49">
        <v>1</v>
      </c>
      <c r="R361" s="82">
        <f t="shared" si="17"/>
        <v>0</v>
      </c>
      <c r="S361" s="82">
        <f>IF(AND(R361=0,B361="N"),S360,S360*(D361*F361*G361+I361*K361*L361+N361*P361*Q361)/T360)</f>
        <v>336338365432207.56</v>
      </c>
      <c r="T361" s="81">
        <f>E361*F361*G361+J361*K361*L361+O361*P361*Q361</f>
        <v>302203784583000</v>
      </c>
      <c r="U361" s="80">
        <f t="shared" si="15"/>
        <v>898.51118885785354</v>
      </c>
      <c r="V361" s="52">
        <f t="shared" si="16"/>
        <v>4.2433029818960237E-3</v>
      </c>
      <c r="W361" s="48">
        <f>(E361-D361)/D361</f>
        <v>3.3076074972436605E-3</v>
      </c>
      <c r="X361" s="48">
        <f>(J361-I361)/I361</f>
        <v>1.1820330969267139E-2</v>
      </c>
      <c r="Y361" s="48">
        <f>(O361-N361)/N361</f>
        <v>1.9843342036553524E-2</v>
      </c>
      <c r="Z361" s="48" t="e">
        <f>(#REF!-#REF!)/#REF!</f>
        <v>#REF!</v>
      </c>
    </row>
    <row r="362" spans="1:26" x14ac:dyDescent="0.3">
      <c r="A362" s="48">
        <v>20190621</v>
      </c>
      <c r="B362" s="48" t="s">
        <v>88</v>
      </c>
      <c r="C362" s="79">
        <f>E362*F362*G362/T362</f>
        <v>0.89994920661175437</v>
      </c>
      <c r="D362" s="49">
        <v>45500</v>
      </c>
      <c r="E362" s="49">
        <v>45700</v>
      </c>
      <c r="F362" s="49">
        <v>5969782550</v>
      </c>
      <c r="G362" s="49">
        <v>1</v>
      </c>
      <c r="H362" s="48">
        <f>J362*K362*L362/T362</f>
        <v>8.9955405892295268E-2</v>
      </c>
      <c r="I362" s="48">
        <v>214000</v>
      </c>
      <c r="J362" s="48">
        <v>212500</v>
      </c>
      <c r="K362" s="51">
        <v>128329070</v>
      </c>
      <c r="L362" s="48">
        <v>1</v>
      </c>
      <c r="M362" s="49">
        <f>O362*P362*Q362/T362</f>
        <v>1.00953874959504E-2</v>
      </c>
      <c r="N362" s="49">
        <v>195300</v>
      </c>
      <c r="O362" s="49">
        <v>191800</v>
      </c>
      <c r="P362" s="49">
        <v>15956260</v>
      </c>
      <c r="Q362" s="49">
        <v>1</v>
      </c>
      <c r="R362" s="82">
        <f t="shared" si="17"/>
        <v>0</v>
      </c>
      <c r="S362" s="82">
        <f>IF(AND(R362=0,B362="N"),S361,S361*(D362*F362*G362+I362*K362*L362+N362*P362*Q362)/T361)</f>
        <v>336338365432207.56</v>
      </c>
      <c r="T362" s="81">
        <f>E362*F362*G362+J362*K362*L362+O362*P362*Q362</f>
        <v>303149400578000</v>
      </c>
      <c r="U362" s="80">
        <f t="shared" si="15"/>
        <v>901.32269088137332</v>
      </c>
      <c r="V362" s="52">
        <f t="shared" si="16"/>
        <v>3.129067348725654E-3</v>
      </c>
      <c r="W362" s="48">
        <f>(E362-D362)/D362</f>
        <v>4.3956043956043956E-3</v>
      </c>
      <c r="X362" s="48">
        <f>(J362-I362)/I362</f>
        <v>-7.0093457943925233E-3</v>
      </c>
      <c r="Y362" s="48">
        <f>(O362-N362)/N362</f>
        <v>-1.7921146953405017E-2</v>
      </c>
      <c r="Z362" s="48" t="e">
        <f>(#REF!-#REF!)/#REF!</f>
        <v>#REF!</v>
      </c>
    </row>
    <row r="363" spans="1:26" x14ac:dyDescent="0.3">
      <c r="A363" s="48">
        <v>20190624</v>
      </c>
      <c r="B363" s="48" t="s">
        <v>88</v>
      </c>
      <c r="C363" s="79">
        <f>E363*F363*G363/T363</f>
        <v>0.90098526596844142</v>
      </c>
      <c r="D363" s="49">
        <v>45700</v>
      </c>
      <c r="E363" s="49">
        <v>45500</v>
      </c>
      <c r="F363" s="49">
        <v>5969782550</v>
      </c>
      <c r="G363" s="49">
        <v>1</v>
      </c>
      <c r="H363" s="48">
        <f>J363*K363*L363/T363</f>
        <v>8.8752150773661997E-2</v>
      </c>
      <c r="I363" s="48">
        <v>212500</v>
      </c>
      <c r="J363" s="48">
        <v>208500</v>
      </c>
      <c r="K363" s="51">
        <v>128329070</v>
      </c>
      <c r="L363" s="48">
        <v>1</v>
      </c>
      <c r="M363" s="49">
        <f>O363*P363*Q363/T363</f>
        <v>1.0262583257896604E-2</v>
      </c>
      <c r="N363" s="49">
        <v>191800</v>
      </c>
      <c r="O363" s="49">
        <v>193900</v>
      </c>
      <c r="P363" s="49">
        <v>15956260</v>
      </c>
      <c r="Q363" s="49">
        <v>1</v>
      </c>
      <c r="R363" s="82">
        <f t="shared" si="17"/>
        <v>0</v>
      </c>
      <c r="S363" s="82">
        <f>IF(AND(R363=0,B363="N"),S362,S362*(D363*F363*G363+I363*K363*L363+N363*P363*Q363)/T362)</f>
        <v>336338365432207.56</v>
      </c>
      <c r="T363" s="81">
        <f>E363*F363*G363+J363*K363*L363+O363*P363*Q363</f>
        <v>301475635934000</v>
      </c>
      <c r="U363" s="80">
        <f t="shared" si="15"/>
        <v>896.34625995340241</v>
      </c>
      <c r="V363" s="52">
        <f t="shared" si="16"/>
        <v>-5.5212533516765501E-3</v>
      </c>
      <c r="W363" s="48">
        <f>(E363-D363)/D363</f>
        <v>-4.3763676148796497E-3</v>
      </c>
      <c r="X363" s="48">
        <f>(J363-I363)/I363</f>
        <v>-1.8823529411764704E-2</v>
      </c>
      <c r="Y363" s="48">
        <f>(O363-N363)/N363</f>
        <v>1.0948905109489052E-2</v>
      </c>
      <c r="Z363" s="48" t="e">
        <f>(#REF!-#REF!)/#REF!</f>
        <v>#REF!</v>
      </c>
    </row>
    <row r="364" spans="1:26" x14ac:dyDescent="0.3">
      <c r="A364" s="48">
        <v>20190625</v>
      </c>
      <c r="B364" s="48" t="s">
        <v>88</v>
      </c>
      <c r="C364" s="79">
        <f>E364*F364*G364/T364</f>
        <v>0.90132002838155378</v>
      </c>
      <c r="D364" s="49">
        <v>45500</v>
      </c>
      <c r="E364" s="49">
        <v>45600</v>
      </c>
      <c r="F364" s="49">
        <v>5969782550</v>
      </c>
      <c r="G364" s="49">
        <v>1</v>
      </c>
      <c r="H364" s="48">
        <f>J364*K364*L364/T364</f>
        <v>8.8377975485216226E-2</v>
      </c>
      <c r="I364" s="48">
        <v>208500</v>
      </c>
      <c r="J364" s="48">
        <v>208000</v>
      </c>
      <c r="K364" s="51">
        <v>128329070</v>
      </c>
      <c r="L364" s="48">
        <v>1</v>
      </c>
      <c r="M364" s="49">
        <f>O364*P364*Q364/T364</f>
        <v>1.0301996133230006E-2</v>
      </c>
      <c r="N364" s="49">
        <v>193900</v>
      </c>
      <c r="O364" s="49">
        <v>195000</v>
      </c>
      <c r="P364" s="49">
        <v>15956260</v>
      </c>
      <c r="Q364" s="49">
        <v>1</v>
      </c>
      <c r="R364" s="82">
        <f t="shared" si="17"/>
        <v>0</v>
      </c>
      <c r="S364" s="82">
        <f>IF(AND(R364=0,B364="N"),S363,S363*(D364*F364*G364+I364*K364*L364+N364*P364*Q364)/T363)</f>
        <v>336338365432207.56</v>
      </c>
      <c r="T364" s="81">
        <f>E364*F364*G364+J364*K364*L364+O364*P364*Q364</f>
        <v>302026001540000</v>
      </c>
      <c r="U364" s="80">
        <f t="shared" si="15"/>
        <v>897.98260496356147</v>
      </c>
      <c r="V364" s="52">
        <f t="shared" si="16"/>
        <v>1.8255724191275466E-3</v>
      </c>
      <c r="W364" s="48">
        <f>(E364-D364)/D364</f>
        <v>2.1978021978021978E-3</v>
      </c>
      <c r="X364" s="48">
        <f>(J364-I364)/I364</f>
        <v>-2.3980815347721821E-3</v>
      </c>
      <c r="Y364" s="48">
        <f>(O364-N364)/N364</f>
        <v>5.6730273336771534E-3</v>
      </c>
      <c r="Z364" s="48" t="e">
        <f>(#REF!-#REF!)/#REF!</f>
        <v>#REF!</v>
      </c>
    </row>
    <row r="365" spans="1:26" x14ac:dyDescent="0.3">
      <c r="A365" s="48">
        <v>20190626</v>
      </c>
      <c r="B365" s="48" t="s">
        <v>88</v>
      </c>
      <c r="C365" s="79">
        <f>E365*F365*G365/T365</f>
        <v>0.90016171088984875</v>
      </c>
      <c r="D365" s="49">
        <v>45600</v>
      </c>
      <c r="E365" s="49">
        <v>45700</v>
      </c>
      <c r="F365" s="49">
        <v>5969782550</v>
      </c>
      <c r="G365" s="49">
        <v>1</v>
      </c>
      <c r="H365" s="48">
        <f>J365*K365*L365/T365</f>
        <v>8.9129807959024754E-2</v>
      </c>
      <c r="I365" s="48">
        <v>208000</v>
      </c>
      <c r="J365" s="48">
        <v>210500</v>
      </c>
      <c r="K365" s="51">
        <v>128329070</v>
      </c>
      <c r="L365" s="48">
        <v>1</v>
      </c>
      <c r="M365" s="49">
        <f>O365*P365*Q365/T365</f>
        <v>1.0708481151126548E-2</v>
      </c>
      <c r="N365" s="49">
        <v>195000</v>
      </c>
      <c r="O365" s="49">
        <v>203400</v>
      </c>
      <c r="P365" s="49">
        <v>15956260</v>
      </c>
      <c r="Q365" s="49">
        <v>1</v>
      </c>
      <c r="R365" s="82">
        <f t="shared" si="17"/>
        <v>0</v>
      </c>
      <c r="S365" s="82">
        <f>IF(AND(R365=0,B365="N"),S364,S364*(D365*F365*G365+I365*K365*L365+N365*P365*Q365)/T364)</f>
        <v>336338365432207.56</v>
      </c>
      <c r="T365" s="81">
        <f>E365*F365*G365+J365*K365*L365+O365*P365*Q365</f>
        <v>303077835054000</v>
      </c>
      <c r="U365" s="80">
        <f t="shared" si="15"/>
        <v>901.10991252673023</v>
      </c>
      <c r="V365" s="52">
        <f t="shared" si="16"/>
        <v>3.4825925868526781E-3</v>
      </c>
      <c r="W365" s="48">
        <f>(E365-D365)/D365</f>
        <v>2.1929824561403508E-3</v>
      </c>
      <c r="X365" s="48">
        <f>(J365-I365)/I365</f>
        <v>1.201923076923077E-2</v>
      </c>
      <c r="Y365" s="48">
        <f>(O365-N365)/N365</f>
        <v>4.3076923076923075E-2</v>
      </c>
      <c r="Z365" s="48" t="e">
        <f>(#REF!-#REF!)/#REF!</f>
        <v>#REF!</v>
      </c>
    </row>
    <row r="366" spans="1:26" x14ac:dyDescent="0.3">
      <c r="A366" s="48">
        <v>20190627</v>
      </c>
      <c r="B366" s="48" t="s">
        <v>88</v>
      </c>
      <c r="C366" s="79">
        <f>E366*F366*G366/T366</f>
        <v>0.90463994040166762</v>
      </c>
      <c r="D366" s="49">
        <v>45700</v>
      </c>
      <c r="E366" s="49">
        <v>46500</v>
      </c>
      <c r="F366" s="49">
        <v>5969782550</v>
      </c>
      <c r="G366" s="49">
        <v>1</v>
      </c>
      <c r="H366" s="48">
        <f>J366*K366*L366/T366</f>
        <v>8.5313843413468163E-2</v>
      </c>
      <c r="I366" s="48">
        <v>210500</v>
      </c>
      <c r="J366" s="48">
        <v>204000</v>
      </c>
      <c r="K366" s="51">
        <v>128329070</v>
      </c>
      <c r="L366" s="48">
        <v>1</v>
      </c>
      <c r="M366" s="49">
        <f>O366*P366*Q366/T366</f>
        <v>1.0046216184864256E-2</v>
      </c>
      <c r="N366" s="49">
        <v>203400</v>
      </c>
      <c r="O366" s="49">
        <v>193200</v>
      </c>
      <c r="P366" s="49">
        <v>15956260</v>
      </c>
      <c r="Q366" s="49">
        <v>1</v>
      </c>
      <c r="R366" s="82">
        <f t="shared" si="17"/>
        <v>0</v>
      </c>
      <c r="S366" s="82">
        <f>IF(AND(R366=0,B366="N"),S365,S365*(D366*F366*G366+I366*K366*L366+N366*P366*Q366)/T365)</f>
        <v>336338365432207.56</v>
      </c>
      <c r="T366" s="81">
        <f>E366*F366*G366+J366*K366*L366+O366*P366*Q366</f>
        <v>306856768287000</v>
      </c>
      <c r="U366" s="80">
        <f t="shared" si="15"/>
        <v>912.34542301672127</v>
      </c>
      <c r="V366" s="52">
        <f t="shared" si="16"/>
        <v>1.2468523910125954E-2</v>
      </c>
      <c r="W366" s="48">
        <f>(E366-D366)/D366</f>
        <v>1.7505470459518599E-2</v>
      </c>
      <c r="X366" s="48">
        <f>(J366-I366)/I366</f>
        <v>-3.0878859857482184E-2</v>
      </c>
      <c r="Y366" s="48">
        <f>(O366-N366)/N366</f>
        <v>-5.0147492625368731E-2</v>
      </c>
      <c r="Z366" s="48" t="e">
        <f>(#REF!-#REF!)/#REF!</f>
        <v>#REF!</v>
      </c>
    </row>
    <row r="367" spans="1:26" s="73" customFormat="1" x14ac:dyDescent="0.3">
      <c r="A367" s="48">
        <v>20190628</v>
      </c>
      <c r="B367" s="48" t="s">
        <v>88</v>
      </c>
      <c r="C367" s="79">
        <f>E367*F367*G367/T367</f>
        <v>0.90614359768482367</v>
      </c>
      <c r="D367" s="49">
        <v>46500</v>
      </c>
      <c r="E367" s="49">
        <v>47000</v>
      </c>
      <c r="F367" s="49">
        <v>5969782550</v>
      </c>
      <c r="G367" s="49">
        <v>1</v>
      </c>
      <c r="H367" s="48">
        <f>J367*K367*L367/T367</f>
        <v>8.5168211895811446E-2</v>
      </c>
      <c r="I367" s="48">
        <v>204000</v>
      </c>
      <c r="J367" s="48">
        <v>205500</v>
      </c>
      <c r="K367" s="51">
        <v>128329070</v>
      </c>
      <c r="L367" s="48">
        <v>1</v>
      </c>
      <c r="M367" s="49">
        <f>O367*P367*Q367/T367</f>
        <v>8.6881904193648312E-3</v>
      </c>
      <c r="N367" s="49">
        <v>189600</v>
      </c>
      <c r="O367" s="49">
        <v>168600</v>
      </c>
      <c r="P367" s="49">
        <v>15956260</v>
      </c>
      <c r="Q367" s="49">
        <v>1</v>
      </c>
      <c r="R367" s="82">
        <f t="shared" si="17"/>
        <v>1</v>
      </c>
      <c r="S367" s="82">
        <f>IF(AND(R367=0,B367="N"),S366,S366*(D367*F367*G367+I367*K367*L367+N367*P367*Q367)/T366)</f>
        <v>336275404042200.19</v>
      </c>
      <c r="T367" s="81">
        <f>E367*F367*G367+J367*K367*L367+O367*P367*Q367</f>
        <v>309641629171000</v>
      </c>
      <c r="U367" s="80">
        <f t="shared" si="15"/>
        <v>920.7977314098838</v>
      </c>
      <c r="V367" s="52">
        <f t="shared" si="16"/>
        <v>9.2643730980909549E-3</v>
      </c>
      <c r="W367" s="48">
        <f>(E367-D367)/D367</f>
        <v>1.0752688172043012E-2</v>
      </c>
      <c r="X367" s="48">
        <f>(J367-I367)/I367</f>
        <v>7.3529411764705881E-3</v>
      </c>
      <c r="Y367" s="48">
        <f>(O367-N367)/N367</f>
        <v>-0.11075949367088607</v>
      </c>
      <c r="Z367" s="48" t="e">
        <f>(#REF!-#REF!)/#REF!</f>
        <v>#REF!</v>
      </c>
    </row>
    <row r="368" spans="1:26" s="107" customFormat="1" x14ac:dyDescent="0.3">
      <c r="A368" s="99">
        <v>20190701</v>
      </c>
      <c r="B368" s="99" t="s">
        <v>89</v>
      </c>
      <c r="C368" s="100">
        <f>E368*F368*G368/T368</f>
        <v>0.90388829550279182</v>
      </c>
      <c r="D368" s="99">
        <v>47000</v>
      </c>
      <c r="E368" s="99">
        <v>46600</v>
      </c>
      <c r="F368" s="99">
        <v>5969782550</v>
      </c>
      <c r="G368" s="49">
        <v>1</v>
      </c>
      <c r="H368" s="101">
        <f>J368*K368*L368/T368</f>
        <v>8.6727877054225661E-2</v>
      </c>
      <c r="I368" s="99">
        <v>205500</v>
      </c>
      <c r="J368" s="99">
        <v>208000</v>
      </c>
      <c r="K368" s="102">
        <v>128329070</v>
      </c>
      <c r="L368" s="48">
        <v>1</v>
      </c>
      <c r="M368" s="101">
        <f>O368*P368*Q368/T368</f>
        <v>9.3838274429825005E-3</v>
      </c>
      <c r="N368" s="99">
        <v>168600</v>
      </c>
      <c r="O368" s="99">
        <v>181000</v>
      </c>
      <c r="P368" s="99">
        <v>15956260</v>
      </c>
      <c r="Q368" s="49">
        <v>1</v>
      </c>
      <c r="R368" s="82">
        <f t="shared" si="17"/>
        <v>0</v>
      </c>
      <c r="S368" s="103">
        <f>IF(AND(R368=0,B368="N"),S367,S367*(D368*F368*G368+I368*K368*L368+N368*P368*Q368)/T367)</f>
        <v>336275404042200.19</v>
      </c>
      <c r="T368" s="104">
        <f>E368*F368*G368+J368*K368*L368+O368*P368*Q368</f>
        <v>307772396450000</v>
      </c>
      <c r="U368" s="105">
        <f t="shared" si="15"/>
        <v>915.23909495140094</v>
      </c>
      <c r="V368" s="106">
        <f t="shared" si="16"/>
        <v>-6.0367616783457093E-3</v>
      </c>
      <c r="W368" s="99">
        <f>(E368-D368)/D368</f>
        <v>-8.5106382978723406E-3</v>
      </c>
      <c r="X368" s="99">
        <f>(J368-I368)/I368</f>
        <v>1.2165450121654502E-2</v>
      </c>
      <c r="Y368" s="99">
        <f>(O368-N368)/N368</f>
        <v>7.354685646500593E-2</v>
      </c>
      <c r="Z368" s="99" t="e">
        <f>(#REF!-#REF!)/#REF!</f>
        <v>#REF!</v>
      </c>
    </row>
    <row r="369" spans="1:26" x14ac:dyDescent="0.3">
      <c r="A369" s="48">
        <v>20190702</v>
      </c>
      <c r="B369" s="48" t="s">
        <v>88</v>
      </c>
      <c r="C369" s="79">
        <f>E369*F369*G369/T369</f>
        <v>0.90449797798840315</v>
      </c>
      <c r="D369" s="49">
        <v>46600</v>
      </c>
      <c r="E369" s="49">
        <v>46250</v>
      </c>
      <c r="F369" s="49">
        <v>5969782550</v>
      </c>
      <c r="G369" s="49">
        <v>1</v>
      </c>
      <c r="H369" s="48">
        <f>J369*K369*L369/T369</f>
        <v>8.6181938612812217E-2</v>
      </c>
      <c r="I369" s="48">
        <v>208000</v>
      </c>
      <c r="J369" s="48">
        <v>205000</v>
      </c>
      <c r="K369" s="51">
        <v>128329070</v>
      </c>
      <c r="L369" s="48">
        <v>1</v>
      </c>
      <c r="M369" s="49">
        <f>O369*P369*Q369/T369</f>
        <v>9.3200833987845989E-3</v>
      </c>
      <c r="N369" s="49">
        <v>181000</v>
      </c>
      <c r="O369" s="49">
        <v>178300</v>
      </c>
      <c r="P369" s="49">
        <v>15956260</v>
      </c>
      <c r="Q369" s="49">
        <v>1</v>
      </c>
      <c r="R369" s="82">
        <f t="shared" si="17"/>
        <v>0</v>
      </c>
      <c r="S369" s="82">
        <f>IF(AND(R369=0,B369="N"),S368,S368*(D369*F369*G369+I369*K369*L369+N369*P369*Q369)/T368)</f>
        <v>336275404042200.19</v>
      </c>
      <c r="T369" s="81">
        <f>E369*F369*G369+J369*K369*L369+O369*P369*Q369</f>
        <v>305254903445500</v>
      </c>
      <c r="U369" s="80">
        <f t="shared" si="15"/>
        <v>907.75269251387965</v>
      </c>
      <c r="V369" s="52">
        <f t="shared" si="16"/>
        <v>-8.1797231770555194E-3</v>
      </c>
      <c r="W369" s="48">
        <f>(E369-D369)/D369</f>
        <v>-7.5107296137339056E-3</v>
      </c>
      <c r="X369" s="48">
        <f>(J369-I369)/I369</f>
        <v>-1.4423076923076924E-2</v>
      </c>
      <c r="Y369" s="48">
        <f>(O369-N369)/N369</f>
        <v>-1.4917127071823204E-2</v>
      </c>
      <c r="Z369" s="48" t="e">
        <f>(#REF!-#REF!)/#REF!</f>
        <v>#REF!</v>
      </c>
    </row>
    <row r="370" spans="1:26" x14ac:dyDescent="0.3">
      <c r="A370" s="48">
        <v>20190703</v>
      </c>
      <c r="B370" s="48" t="s">
        <v>88</v>
      </c>
      <c r="C370" s="79">
        <f>E370*F370*G370/T370</f>
        <v>0.90218139458744795</v>
      </c>
      <c r="D370" s="49">
        <v>46250</v>
      </c>
      <c r="E370" s="49">
        <v>45400</v>
      </c>
      <c r="F370" s="49">
        <v>5969782550</v>
      </c>
      <c r="G370" s="49">
        <v>1</v>
      </c>
      <c r="H370" s="48">
        <f>J370*K370*L370/T370</f>
        <v>8.7997790709065438E-2</v>
      </c>
      <c r="I370" s="48">
        <v>205000</v>
      </c>
      <c r="J370" s="48">
        <v>206000</v>
      </c>
      <c r="K370" s="51">
        <v>128329070</v>
      </c>
      <c r="L370" s="48">
        <v>1</v>
      </c>
      <c r="M370" s="49">
        <f>O370*P370*Q370/T370</f>
        <v>9.8208147034866099E-3</v>
      </c>
      <c r="N370" s="49">
        <v>178300</v>
      </c>
      <c r="O370" s="49">
        <v>184900</v>
      </c>
      <c r="P370" s="49">
        <v>15956260</v>
      </c>
      <c r="Q370" s="49">
        <v>1</v>
      </c>
      <c r="R370" s="82">
        <f t="shared" si="17"/>
        <v>0</v>
      </c>
      <c r="S370" s="82">
        <f>IF(AND(R370=0,B370="N"),S369,S369*(D370*F370*G370+I370*K370*L370+N370*P370*Q370)/T369)</f>
        <v>336275404042200.19</v>
      </c>
      <c r="T370" s="81">
        <f>E370*F370*G370+J370*K370*L370+O370*P370*Q370</f>
        <v>300414228664000</v>
      </c>
      <c r="U370" s="80">
        <f t="shared" si="15"/>
        <v>893.35772123940444</v>
      </c>
      <c r="V370" s="52">
        <f t="shared" si="16"/>
        <v>-1.5857811707074732E-2</v>
      </c>
      <c r="W370" s="48">
        <f>(E370-D370)/D370</f>
        <v>-1.8378378378378378E-2</v>
      </c>
      <c r="X370" s="48">
        <f>(J370-I370)/I370</f>
        <v>4.8780487804878049E-3</v>
      </c>
      <c r="Y370" s="48">
        <f>(O370-N370)/N370</f>
        <v>3.7016264722378012E-2</v>
      </c>
      <c r="Z370" s="48" t="e">
        <f>(#REF!-#REF!)/#REF!</f>
        <v>#REF!</v>
      </c>
    </row>
    <row r="371" spans="1:26" x14ac:dyDescent="0.3">
      <c r="A371" s="48">
        <v>20190704</v>
      </c>
      <c r="B371" s="48" t="s">
        <v>88</v>
      </c>
      <c r="C371" s="79">
        <f>E371*F371*G371/T371</f>
        <v>0.90439759271749409</v>
      </c>
      <c r="D371" s="49">
        <v>45400</v>
      </c>
      <c r="E371" s="49">
        <v>46000</v>
      </c>
      <c r="F371" s="49">
        <v>5969782550</v>
      </c>
      <c r="G371" s="49">
        <v>1</v>
      </c>
      <c r="H371" s="48">
        <f>J371*K371*L371/T371</f>
        <v>8.6006745515079697E-2</v>
      </c>
      <c r="I371" s="48">
        <v>206000</v>
      </c>
      <c r="J371" s="48">
        <v>203500</v>
      </c>
      <c r="K371" s="51">
        <v>128329070</v>
      </c>
      <c r="L371" s="48">
        <v>1</v>
      </c>
      <c r="M371" s="49">
        <f>O371*P371*Q371/T371</f>
        <v>9.5956617674261679E-3</v>
      </c>
      <c r="N371" s="49">
        <v>184900</v>
      </c>
      <c r="O371" s="49">
        <v>182600</v>
      </c>
      <c r="P371" s="49">
        <v>15956260</v>
      </c>
      <c r="Q371" s="49">
        <v>1</v>
      </c>
      <c r="R371" s="82">
        <f t="shared" si="17"/>
        <v>0</v>
      </c>
      <c r="S371" s="82">
        <f>IF(AND(R371=0,B371="N"),S370,S370*(D371*F371*G371+I371*K371*L371+N371*P371*Q371)/T370)</f>
        <v>336275404042200.19</v>
      </c>
      <c r="T371" s="81">
        <f>E371*F371*G371+J371*K371*L371+O371*P371*Q371</f>
        <v>303638576121000</v>
      </c>
      <c r="U371" s="80">
        <f t="shared" si="15"/>
        <v>902.94613424327486</v>
      </c>
      <c r="V371" s="52">
        <f t="shared" si="16"/>
        <v>1.0733005128749411E-2</v>
      </c>
      <c r="W371" s="48">
        <f>(E371-D371)/D371</f>
        <v>1.3215859030837005E-2</v>
      </c>
      <c r="X371" s="48">
        <f>(J371-I371)/I371</f>
        <v>-1.2135922330097087E-2</v>
      </c>
      <c r="Y371" s="48">
        <f>(O371-N371)/N371</f>
        <v>-1.2439156300703082E-2</v>
      </c>
      <c r="Z371" s="48" t="e">
        <f>(#REF!-#REF!)/#REF!</f>
        <v>#REF!</v>
      </c>
    </row>
    <row r="372" spans="1:26" x14ac:dyDescent="0.3">
      <c r="A372" s="48">
        <v>20190705</v>
      </c>
      <c r="B372" s="48" t="s">
        <v>88</v>
      </c>
      <c r="C372" s="79">
        <f>E372*F372*G372/T372</f>
        <v>0.90182203007507411</v>
      </c>
      <c r="D372" s="49">
        <v>46000</v>
      </c>
      <c r="E372" s="49">
        <v>45650</v>
      </c>
      <c r="F372" s="49">
        <v>5969782550</v>
      </c>
      <c r="G372" s="49">
        <v>1</v>
      </c>
      <c r="H372" s="48">
        <f>J372*K372*L372/T372</f>
        <v>8.8330345277877476E-2</v>
      </c>
      <c r="I372" s="48">
        <v>203500</v>
      </c>
      <c r="J372" s="48">
        <v>208000</v>
      </c>
      <c r="K372" s="51">
        <v>128329070</v>
      </c>
      <c r="L372" s="48">
        <v>1</v>
      </c>
      <c r="M372" s="49">
        <f>O372*P372*Q372/T372</f>
        <v>9.8476246470484141E-3</v>
      </c>
      <c r="N372" s="49">
        <v>182600</v>
      </c>
      <c r="O372" s="49">
        <v>186500</v>
      </c>
      <c r="P372" s="49">
        <v>15956260</v>
      </c>
      <c r="Q372" s="49">
        <v>1</v>
      </c>
      <c r="R372" s="82">
        <f t="shared" si="17"/>
        <v>0</v>
      </c>
      <c r="S372" s="82">
        <f>IF(AND(R372=0,B372="N"),S371,S371*(D372*F372*G372+I372*K372*L372+N372*P372*Q372)/T371)</f>
        <v>336275404042200.19</v>
      </c>
      <c r="T372" s="81">
        <f>E372*F372*G372+J372*K372*L372+O372*P372*Q372</f>
        <v>302188862457500</v>
      </c>
      <c r="U372" s="80">
        <f t="shared" si="15"/>
        <v>898.63504385107342</v>
      </c>
      <c r="V372" s="52">
        <f t="shared" si="16"/>
        <v>-4.7744712876083119E-3</v>
      </c>
      <c r="W372" s="48">
        <f>(E372-D372)/D372</f>
        <v>-7.6086956521739134E-3</v>
      </c>
      <c r="X372" s="48">
        <f>(J372-I372)/I372</f>
        <v>2.2113022113022112E-2</v>
      </c>
      <c r="Y372" s="48">
        <f>(O372-N372)/N372</f>
        <v>2.135815991237678E-2</v>
      </c>
      <c r="Z372" s="48" t="e">
        <f>(#REF!-#REF!)/#REF!</f>
        <v>#REF!</v>
      </c>
    </row>
    <row r="373" spans="1:26" x14ac:dyDescent="0.3">
      <c r="A373" s="48">
        <v>20190708</v>
      </c>
      <c r="B373" s="48" t="s">
        <v>88</v>
      </c>
      <c r="C373" s="79">
        <f>E373*F373*G373/T373</f>
        <v>0.90052022950296806</v>
      </c>
      <c r="D373" s="49">
        <v>45650</v>
      </c>
      <c r="E373" s="49">
        <v>44400</v>
      </c>
      <c r="F373" s="49">
        <v>5969782550</v>
      </c>
      <c r="G373" s="49">
        <v>1</v>
      </c>
      <c r="H373" s="48">
        <f>J373*K373*L373/T373</f>
        <v>8.9814045414458518E-2</v>
      </c>
      <c r="I373" s="48">
        <v>208000</v>
      </c>
      <c r="J373" s="48">
        <v>206000</v>
      </c>
      <c r="K373" s="51">
        <v>128329070</v>
      </c>
      <c r="L373" s="48">
        <v>1</v>
      </c>
      <c r="M373" s="49">
        <f>O373*P373*Q373/T373</f>
        <v>9.665725082573462E-3</v>
      </c>
      <c r="N373" s="49">
        <v>186500</v>
      </c>
      <c r="O373" s="49">
        <v>178300</v>
      </c>
      <c r="P373" s="49">
        <v>15956260</v>
      </c>
      <c r="Q373" s="49">
        <v>1</v>
      </c>
      <c r="R373" s="82">
        <f t="shared" si="17"/>
        <v>0</v>
      </c>
      <c r="S373" s="82">
        <f>IF(AND(R373=0,B373="N"),S372,S372*(D373*F373*G373+I373*K373*L373+N373*P373*Q373)/T372)</f>
        <v>336275404042200.19</v>
      </c>
      <c r="T373" s="81">
        <f>E373*F373*G373+J373*K373*L373+O373*P373*Q373</f>
        <v>294339134798000</v>
      </c>
      <c r="U373" s="80">
        <f t="shared" si="15"/>
        <v>875.29189247829299</v>
      </c>
      <c r="V373" s="52">
        <f t="shared" si="16"/>
        <v>-2.5976230876490251E-2</v>
      </c>
      <c r="W373" s="48">
        <f>(E373-D373)/D373</f>
        <v>-2.7382256297918947E-2</v>
      </c>
      <c r="X373" s="48">
        <f>(J373-I373)/I373</f>
        <v>-9.6153846153846159E-3</v>
      </c>
      <c r="Y373" s="48">
        <f>(O373-N373)/N373</f>
        <v>-4.3967828418230562E-2</v>
      </c>
      <c r="Z373" s="48" t="e">
        <f>(#REF!-#REF!)/#REF!</f>
        <v>#REF!</v>
      </c>
    </row>
    <row r="374" spans="1:26" x14ac:dyDescent="0.3">
      <c r="A374" s="48">
        <v>20190709</v>
      </c>
      <c r="B374" s="48" t="s">
        <v>88</v>
      </c>
      <c r="C374" s="79">
        <f>E374*F374*G374/T374</f>
        <v>0.90748497145958151</v>
      </c>
      <c r="D374" s="49">
        <v>44400</v>
      </c>
      <c r="E374" s="49">
        <v>45100</v>
      </c>
      <c r="F374" s="49">
        <v>5969782550</v>
      </c>
      <c r="G374" s="49">
        <v>1</v>
      </c>
      <c r="H374" s="48">
        <f>J374*K374*L374/T374</f>
        <v>8.326455556481277E-2</v>
      </c>
      <c r="I374" s="48">
        <v>206000</v>
      </c>
      <c r="J374" s="48">
        <v>192500</v>
      </c>
      <c r="K374" s="51">
        <v>128329070</v>
      </c>
      <c r="L374" s="48">
        <v>1</v>
      </c>
      <c r="M374" s="49">
        <f>O374*P374*Q374/T374</f>
        <v>9.2504729756056909E-3</v>
      </c>
      <c r="N374" s="49">
        <v>178300</v>
      </c>
      <c r="O374" s="49">
        <v>172000</v>
      </c>
      <c r="P374" s="49">
        <v>15956260</v>
      </c>
      <c r="Q374" s="49">
        <v>1</v>
      </c>
      <c r="R374" s="82">
        <f t="shared" si="17"/>
        <v>0</v>
      </c>
      <c r="S374" s="82">
        <f>IF(AND(R374=0,B374="N"),S373,S373*(D374*F374*G374+I374*K374*L374+N374*P374*Q374)/T373)</f>
        <v>336275404042200.19</v>
      </c>
      <c r="T374" s="81">
        <f>E374*F374*G374+J374*K374*L374+O374*P374*Q374</f>
        <v>296685015700000</v>
      </c>
      <c r="U374" s="80">
        <f t="shared" si="15"/>
        <v>882.26796290688014</v>
      </c>
      <c r="V374" s="52">
        <f t="shared" si="16"/>
        <v>7.9699931971666856E-3</v>
      </c>
      <c r="W374" s="48">
        <f>(E374-D374)/D374</f>
        <v>1.5765765765765764E-2</v>
      </c>
      <c r="X374" s="48">
        <f>(J374-I374)/I374</f>
        <v>-6.553398058252427E-2</v>
      </c>
      <c r="Y374" s="48">
        <f>(O374-N374)/N374</f>
        <v>-3.5333707234997194E-2</v>
      </c>
      <c r="Z374" s="48" t="e">
        <f>(#REF!-#REF!)/#REF!</f>
        <v>#REF!</v>
      </c>
    </row>
    <row r="375" spans="1:26" x14ac:dyDescent="0.3">
      <c r="A375" s="48">
        <v>20190710</v>
      </c>
      <c r="B375" s="48" t="s">
        <v>88</v>
      </c>
      <c r="C375" s="79">
        <f>E375*F375*G375/T375</f>
        <v>0.90959741903372771</v>
      </c>
      <c r="D375" s="49">
        <v>45100</v>
      </c>
      <c r="E375" s="49">
        <v>45550</v>
      </c>
      <c r="F375" s="49">
        <v>5969782550</v>
      </c>
      <c r="G375" s="49">
        <v>1</v>
      </c>
      <c r="H375" s="48">
        <f>J375*K375*L375/T375</f>
        <v>8.1131438630686642E-2</v>
      </c>
      <c r="I375" s="48">
        <v>192500</v>
      </c>
      <c r="J375" s="48">
        <v>189000</v>
      </c>
      <c r="K375" s="51">
        <v>128329070</v>
      </c>
      <c r="L375" s="48">
        <v>1</v>
      </c>
      <c r="M375" s="49">
        <f>O375*P375*Q375/T375</f>
        <v>9.2711423355856058E-3</v>
      </c>
      <c r="N375" s="49">
        <v>172000</v>
      </c>
      <c r="O375" s="49">
        <v>173700</v>
      </c>
      <c r="P375" s="49">
        <v>15956260</v>
      </c>
      <c r="Q375" s="49">
        <v>1</v>
      </c>
      <c r="R375" s="82">
        <f t="shared" si="17"/>
        <v>0</v>
      </c>
      <c r="S375" s="82">
        <f>IF(AND(R375=0,B375="N"),S374,S374*(D375*F375*G375+I375*K375*L375+N375*P375*Q375)/T374)</f>
        <v>336275404042200.19</v>
      </c>
      <c r="T375" s="81">
        <f>E375*F375*G375+J375*K375*L375+O375*P375*Q375</f>
        <v>298949391744500</v>
      </c>
      <c r="U375" s="80">
        <f t="shared" si="15"/>
        <v>889.00165801892535</v>
      </c>
      <c r="V375" s="52">
        <f t="shared" si="16"/>
        <v>7.6322561796975576E-3</v>
      </c>
      <c r="W375" s="48">
        <f>(E375-D375)/D375</f>
        <v>9.9778270509977823E-3</v>
      </c>
      <c r="X375" s="48">
        <f>(J375-I375)/I375</f>
        <v>-1.8181818181818181E-2</v>
      </c>
      <c r="Y375" s="48">
        <f>(O375-N375)/N375</f>
        <v>9.883720930232558E-3</v>
      </c>
      <c r="Z375" s="48" t="e">
        <f>(#REF!-#REF!)/#REF!</f>
        <v>#REF!</v>
      </c>
    </row>
    <row r="376" spans="1:26" x14ac:dyDescent="0.3">
      <c r="A376" s="48">
        <v>20190711</v>
      </c>
      <c r="B376" s="48" t="s">
        <v>88</v>
      </c>
      <c r="C376" s="79">
        <f>E376*F376*G376/T376</f>
        <v>0.90983984840141396</v>
      </c>
      <c r="D376" s="49">
        <v>45550</v>
      </c>
      <c r="E376" s="49">
        <v>46200</v>
      </c>
      <c r="F376" s="49">
        <v>5969782550</v>
      </c>
      <c r="G376" s="49">
        <v>1</v>
      </c>
      <c r="H376" s="48">
        <f>J376*K376*L376/T376</f>
        <v>8.1069648735748803E-2</v>
      </c>
      <c r="I376" s="48">
        <v>189000</v>
      </c>
      <c r="J376" s="48">
        <v>191500</v>
      </c>
      <c r="K376" s="51">
        <v>128329070</v>
      </c>
      <c r="L376" s="48">
        <v>1</v>
      </c>
      <c r="M376" s="49">
        <f>O376*P376*Q376/T376</f>
        <v>9.0905028628372134E-3</v>
      </c>
      <c r="N376" s="49">
        <v>173700</v>
      </c>
      <c r="O376" s="49">
        <v>172700</v>
      </c>
      <c r="P376" s="49">
        <v>15956260</v>
      </c>
      <c r="Q376" s="49">
        <v>1</v>
      </c>
      <c r="R376" s="82">
        <f t="shared" si="17"/>
        <v>0</v>
      </c>
      <c r="S376" s="82">
        <f>IF(AND(R376=0,B376="N"),S375,S375*(D376*F376*G376+I376*K376*L376+N376*P376*Q376)/T375)</f>
        <v>336275404042200.19</v>
      </c>
      <c r="T376" s="81">
        <f>E376*F376*G376+J376*K376*L376+O376*P376*Q376</f>
        <v>303134616817000</v>
      </c>
      <c r="U376" s="80">
        <f t="shared" si="15"/>
        <v>901.44748373853338</v>
      </c>
      <c r="V376" s="52">
        <f t="shared" si="16"/>
        <v>1.3999777848944206E-2</v>
      </c>
      <c r="W376" s="48">
        <f>(E376-D376)/D376</f>
        <v>1.4270032930845226E-2</v>
      </c>
      <c r="X376" s="48">
        <f>(J376-I376)/I376</f>
        <v>1.3227513227513227E-2</v>
      </c>
      <c r="Y376" s="48">
        <f>(O376-N376)/N376</f>
        <v>-5.7570523891767415E-3</v>
      </c>
      <c r="Z376" s="48" t="e">
        <f>(#REF!-#REF!)/#REF!</f>
        <v>#REF!</v>
      </c>
    </row>
    <row r="377" spans="1:26" x14ac:dyDescent="0.3">
      <c r="A377" s="48">
        <v>20190712</v>
      </c>
      <c r="B377" s="48" t="s">
        <v>88</v>
      </c>
      <c r="C377" s="79">
        <f>E377*F377*G377/T377</f>
        <v>0.91131100244614904</v>
      </c>
      <c r="D377" s="49">
        <v>46200</v>
      </c>
      <c r="E377" s="49">
        <v>46300</v>
      </c>
      <c r="F377" s="49">
        <v>5969782550</v>
      </c>
      <c r="G377" s="49">
        <v>1</v>
      </c>
      <c r="H377" s="48">
        <f>J377*K377*L377/T377</f>
        <v>7.9756027036002972E-2</v>
      </c>
      <c r="I377" s="48">
        <v>191500</v>
      </c>
      <c r="J377" s="48">
        <v>188500</v>
      </c>
      <c r="K377" s="51">
        <v>128329070</v>
      </c>
      <c r="L377" s="48">
        <v>1</v>
      </c>
      <c r="M377" s="49">
        <f>O377*P377*Q377/T377</f>
        <v>8.9329705178480181E-3</v>
      </c>
      <c r="N377" s="49">
        <v>172700</v>
      </c>
      <c r="O377" s="49">
        <v>169800</v>
      </c>
      <c r="P377" s="49">
        <v>15956260</v>
      </c>
      <c r="Q377" s="49">
        <v>1</v>
      </c>
      <c r="R377" s="82">
        <f t="shared" si="17"/>
        <v>0</v>
      </c>
      <c r="S377" s="82">
        <f>IF(AND(R377=0,B377="N"),S376,S376*(D377*F377*G377+I377*K377*L377+N377*P377*Q377)/T376)</f>
        <v>336275404042200.19</v>
      </c>
      <c r="T377" s="81">
        <f>E377*F377*G377+J377*K377*L377+O377*P377*Q377</f>
        <v>303300334708000</v>
      </c>
      <c r="U377" s="80">
        <f t="shared" si="15"/>
        <v>901.94028781818952</v>
      </c>
      <c r="V377" s="52">
        <f t="shared" si="16"/>
        <v>5.4668085334528247E-4</v>
      </c>
      <c r="W377" s="48">
        <f>(E377-D377)/D377</f>
        <v>2.1645021645021645E-3</v>
      </c>
      <c r="X377" s="48">
        <f>(J377-I377)/I377</f>
        <v>-1.5665796344647518E-2</v>
      </c>
      <c r="Y377" s="48">
        <f>(O377-N377)/N377</f>
        <v>-1.679212507237985E-2</v>
      </c>
      <c r="Z377" s="48" t="e">
        <f>(#REF!-#REF!)/#REF!</f>
        <v>#REF!</v>
      </c>
    </row>
    <row r="378" spans="1:26" x14ac:dyDescent="0.3">
      <c r="A378" s="48">
        <v>20190715</v>
      </c>
      <c r="B378" s="48" t="s">
        <v>88</v>
      </c>
      <c r="C378" s="79">
        <f>E378*F378*G378/T378</f>
        <v>0.91341251280889424</v>
      </c>
      <c r="D378" s="49">
        <v>46300</v>
      </c>
      <c r="E378" s="49">
        <v>46450</v>
      </c>
      <c r="F378" s="49">
        <v>5969782550</v>
      </c>
      <c r="G378" s="49">
        <v>1</v>
      </c>
      <c r="H378" s="48">
        <f>J378*K378*L378/T378</f>
        <v>7.7568222883573401E-2</v>
      </c>
      <c r="I378" s="48">
        <v>188500</v>
      </c>
      <c r="J378" s="48">
        <v>183500</v>
      </c>
      <c r="K378" s="51">
        <v>128329070</v>
      </c>
      <c r="L378" s="48">
        <v>1</v>
      </c>
      <c r="M378" s="49">
        <f>O378*P378*Q378/T378</f>
        <v>9.0192643075323112E-3</v>
      </c>
      <c r="N378" s="49">
        <v>169800</v>
      </c>
      <c r="O378" s="49">
        <v>171600</v>
      </c>
      <c r="P378" s="49">
        <v>15956260</v>
      </c>
      <c r="Q378" s="49">
        <v>1</v>
      </c>
      <c r="R378" s="82">
        <f t="shared" si="17"/>
        <v>0</v>
      </c>
      <c r="S378" s="82">
        <f>IF(AND(R378=0,B378="N"),S377,S377*(D378*F378*G378+I378*K378*L378+N378*P378*Q378)/T377)</f>
        <v>336275404042200.19</v>
      </c>
      <c r="T378" s="81">
        <f>E378*F378*G378+J378*K378*L378+O378*P378*Q378</f>
        <v>303582878008500</v>
      </c>
      <c r="U378" s="80">
        <f t="shared" si="15"/>
        <v>902.78050181274182</v>
      </c>
      <c r="V378" s="52">
        <f t="shared" si="16"/>
        <v>9.3156277183802691E-4</v>
      </c>
      <c r="W378" s="48">
        <f>(E378-D378)/D378</f>
        <v>3.2397408207343412E-3</v>
      </c>
      <c r="X378" s="48">
        <f>(J378-I378)/I378</f>
        <v>-2.6525198938992044E-2</v>
      </c>
      <c r="Y378" s="48">
        <f>(O378-N378)/N378</f>
        <v>1.0600706713780919E-2</v>
      </c>
      <c r="Z378" s="48" t="e">
        <f>(#REF!-#REF!)/#REF!</f>
        <v>#REF!</v>
      </c>
    </row>
    <row r="379" spans="1:26" x14ac:dyDescent="0.3">
      <c r="A379" s="48">
        <v>20190716</v>
      </c>
      <c r="B379" s="48" t="s">
        <v>88</v>
      </c>
      <c r="C379" s="79">
        <f>E379*F379*G379/T379</f>
        <v>0.91196654916727993</v>
      </c>
      <c r="D379" s="49">
        <v>46450</v>
      </c>
      <c r="E379" s="49">
        <v>46850</v>
      </c>
      <c r="F379" s="49">
        <v>5969782550</v>
      </c>
      <c r="G379" s="49">
        <v>1</v>
      </c>
      <c r="H379" s="48">
        <f>J379*K379*L379/T379</f>
        <v>7.8876422172468694E-2</v>
      </c>
      <c r="I379" s="48">
        <v>183500</v>
      </c>
      <c r="J379" s="48">
        <v>188500</v>
      </c>
      <c r="K379" s="51">
        <v>128329070</v>
      </c>
      <c r="L379" s="48">
        <v>1</v>
      </c>
      <c r="M379" s="49">
        <f>O379*P379*Q379/T379</f>
        <v>9.1570286602513755E-3</v>
      </c>
      <c r="N379" s="49">
        <v>171600</v>
      </c>
      <c r="O379" s="49">
        <v>176000</v>
      </c>
      <c r="P379" s="49">
        <v>15956260</v>
      </c>
      <c r="Q379" s="49">
        <v>1</v>
      </c>
      <c r="R379" s="82">
        <f t="shared" si="17"/>
        <v>0</v>
      </c>
      <c r="S379" s="82">
        <f>IF(AND(R379=0,B379="N"),S378,S378*(D379*F379*G379+I379*K379*L379+N379*P379*Q379)/T378)</f>
        <v>336275404042200.19</v>
      </c>
      <c r="T379" s="81">
        <f>E379*F379*G379+J379*K379*L379+O379*P379*Q379</f>
        <v>306682643922500</v>
      </c>
      <c r="U379" s="80">
        <f t="shared" si="15"/>
        <v>911.99844007625813</v>
      </c>
      <c r="V379" s="52">
        <f t="shared" si="16"/>
        <v>1.0210608497865339E-2</v>
      </c>
      <c r="W379" s="48">
        <f>(E379-D379)/D379</f>
        <v>8.6114101184068884E-3</v>
      </c>
      <c r="X379" s="48">
        <f>(J379-I379)/I379</f>
        <v>2.7247956403269755E-2</v>
      </c>
      <c r="Y379" s="48">
        <f>(O379-N379)/N379</f>
        <v>2.564102564102564E-2</v>
      </c>
      <c r="Z379" s="48" t="e">
        <f>(#REF!-#REF!)/#REF!</f>
        <v>#REF!</v>
      </c>
    </row>
    <row r="380" spans="1:26" x14ac:dyDescent="0.3">
      <c r="A380" s="48">
        <v>20190717</v>
      </c>
      <c r="B380" s="48" t="s">
        <v>88</v>
      </c>
      <c r="C380" s="79">
        <f>E380*F380*G380/T380</f>
        <v>0.91200891712208887</v>
      </c>
      <c r="D380" s="49">
        <v>46850</v>
      </c>
      <c r="E380" s="49">
        <v>46050</v>
      </c>
      <c r="F380" s="49">
        <v>5969782550</v>
      </c>
      <c r="G380" s="49">
        <v>1</v>
      </c>
      <c r="H380" s="48">
        <f>J380*K380*L380/T380</f>
        <v>7.8547497908249844E-2</v>
      </c>
      <c r="I380" s="48">
        <v>188500</v>
      </c>
      <c r="J380" s="48">
        <v>184500</v>
      </c>
      <c r="K380" s="51">
        <v>128329070</v>
      </c>
      <c r="L380" s="48">
        <v>1</v>
      </c>
      <c r="M380" s="49">
        <f>O380*P380*Q380/T380</f>
        <v>9.4435849696612433E-3</v>
      </c>
      <c r="N380" s="49">
        <v>176000</v>
      </c>
      <c r="O380" s="49">
        <v>178400</v>
      </c>
      <c r="P380" s="49">
        <v>15956260</v>
      </c>
      <c r="Q380" s="49">
        <v>1</v>
      </c>
      <c r="R380" s="82">
        <f t="shared" si="17"/>
        <v>0</v>
      </c>
      <c r="S380" s="82">
        <f>IF(AND(R380=0,B380="N"),S379,S379*(D380*F380*G380+I380*K380*L380+N380*P380*Q380)/T379)</f>
        <v>336275404042200.19</v>
      </c>
      <c r="T380" s="81">
        <f>E380*F380*G380+J380*K380*L380+O380*P380*Q380</f>
        <v>301431796626500</v>
      </c>
      <c r="U380" s="80">
        <f t="shared" si="15"/>
        <v>896.38371704602116</v>
      </c>
      <c r="V380" s="52">
        <f t="shared" si="16"/>
        <v>-1.7121436116635601E-2</v>
      </c>
      <c r="W380" s="48">
        <f>(E380-D380)/D380</f>
        <v>-1.7075773745997867E-2</v>
      </c>
      <c r="X380" s="48">
        <f>(J380-I380)/I380</f>
        <v>-2.1220159151193633E-2</v>
      </c>
      <c r="Y380" s="48">
        <f>(O380-N380)/N380</f>
        <v>1.3636363636363636E-2</v>
      </c>
      <c r="Z380" s="48" t="e">
        <f>(#REF!-#REF!)/#REF!</f>
        <v>#REF!</v>
      </c>
    </row>
  </sheetData>
  <mergeCells count="5">
    <mergeCell ref="C1:G1"/>
    <mergeCell ref="H1:L1"/>
    <mergeCell ref="M1:Q1"/>
    <mergeCell ref="R1:V1"/>
    <mergeCell ref="W1:Z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60" sqref="E760:E1137"/>
    </sheetView>
  </sheetViews>
  <sheetFormatPr defaultColWidth="8.875" defaultRowHeight="16.5" x14ac:dyDescent="0.3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13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 x14ac:dyDescent="0.3">
      <c r="A1" s="3" t="s">
        <v>12</v>
      </c>
      <c r="B1" s="3" t="s">
        <v>13</v>
      </c>
      <c r="C1" s="40" t="s">
        <v>14</v>
      </c>
      <c r="D1" s="40" t="s">
        <v>15</v>
      </c>
      <c r="E1" s="3" t="s">
        <v>16</v>
      </c>
      <c r="F1" s="40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 x14ac:dyDescent="0.3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 x14ac:dyDescent="0.3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 x14ac:dyDescent="0.3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 x14ac:dyDescent="0.3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 x14ac:dyDescent="0.3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 x14ac:dyDescent="0.3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 x14ac:dyDescent="0.3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 x14ac:dyDescent="0.3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 x14ac:dyDescent="0.3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 x14ac:dyDescent="0.3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 x14ac:dyDescent="0.3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 x14ac:dyDescent="0.3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 x14ac:dyDescent="0.3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 x14ac:dyDescent="0.3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 x14ac:dyDescent="0.3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 x14ac:dyDescent="0.3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 x14ac:dyDescent="0.3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 x14ac:dyDescent="0.3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 x14ac:dyDescent="0.3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 x14ac:dyDescent="0.3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 x14ac:dyDescent="0.3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 x14ac:dyDescent="0.3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 x14ac:dyDescent="0.3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 x14ac:dyDescent="0.3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 x14ac:dyDescent="0.3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 x14ac:dyDescent="0.3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 x14ac:dyDescent="0.3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 x14ac:dyDescent="0.3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 x14ac:dyDescent="0.3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 x14ac:dyDescent="0.3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 x14ac:dyDescent="0.3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 x14ac:dyDescent="0.3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 x14ac:dyDescent="0.3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 x14ac:dyDescent="0.3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 x14ac:dyDescent="0.3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 x14ac:dyDescent="0.3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 x14ac:dyDescent="0.3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 x14ac:dyDescent="0.3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 x14ac:dyDescent="0.3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 x14ac:dyDescent="0.3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 x14ac:dyDescent="0.3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 x14ac:dyDescent="0.3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 x14ac:dyDescent="0.3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 x14ac:dyDescent="0.3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 x14ac:dyDescent="0.3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 x14ac:dyDescent="0.3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 x14ac:dyDescent="0.3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 x14ac:dyDescent="0.3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 x14ac:dyDescent="0.3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 x14ac:dyDescent="0.3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 x14ac:dyDescent="0.3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 x14ac:dyDescent="0.3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 x14ac:dyDescent="0.3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 x14ac:dyDescent="0.3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 x14ac:dyDescent="0.3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 x14ac:dyDescent="0.3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 x14ac:dyDescent="0.3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 x14ac:dyDescent="0.3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 x14ac:dyDescent="0.3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 x14ac:dyDescent="0.3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 x14ac:dyDescent="0.3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 x14ac:dyDescent="0.3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 x14ac:dyDescent="0.3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 x14ac:dyDescent="0.3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 x14ac:dyDescent="0.3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 x14ac:dyDescent="0.3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 x14ac:dyDescent="0.3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 x14ac:dyDescent="0.3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 x14ac:dyDescent="0.3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 x14ac:dyDescent="0.3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 x14ac:dyDescent="0.3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 x14ac:dyDescent="0.3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 x14ac:dyDescent="0.3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 x14ac:dyDescent="0.3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 x14ac:dyDescent="0.3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 x14ac:dyDescent="0.3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 x14ac:dyDescent="0.3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 x14ac:dyDescent="0.3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 x14ac:dyDescent="0.3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 x14ac:dyDescent="0.3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 x14ac:dyDescent="0.3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 x14ac:dyDescent="0.3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 x14ac:dyDescent="0.3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 x14ac:dyDescent="0.3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 x14ac:dyDescent="0.3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 x14ac:dyDescent="0.3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 x14ac:dyDescent="0.3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 x14ac:dyDescent="0.3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 x14ac:dyDescent="0.3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 x14ac:dyDescent="0.3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 x14ac:dyDescent="0.3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 x14ac:dyDescent="0.3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 x14ac:dyDescent="0.3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 x14ac:dyDescent="0.3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 x14ac:dyDescent="0.3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 x14ac:dyDescent="0.3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 x14ac:dyDescent="0.3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 x14ac:dyDescent="0.3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 x14ac:dyDescent="0.3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 x14ac:dyDescent="0.3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 x14ac:dyDescent="0.3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 x14ac:dyDescent="0.3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 x14ac:dyDescent="0.3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 x14ac:dyDescent="0.3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 x14ac:dyDescent="0.3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 x14ac:dyDescent="0.3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 x14ac:dyDescent="0.3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 x14ac:dyDescent="0.3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 x14ac:dyDescent="0.3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 x14ac:dyDescent="0.3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 x14ac:dyDescent="0.3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 x14ac:dyDescent="0.3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 x14ac:dyDescent="0.3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 x14ac:dyDescent="0.3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 x14ac:dyDescent="0.3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 x14ac:dyDescent="0.3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 x14ac:dyDescent="0.3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 x14ac:dyDescent="0.3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 x14ac:dyDescent="0.3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 x14ac:dyDescent="0.3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 x14ac:dyDescent="0.3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 x14ac:dyDescent="0.3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 x14ac:dyDescent="0.3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 x14ac:dyDescent="0.3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 x14ac:dyDescent="0.3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 x14ac:dyDescent="0.3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 x14ac:dyDescent="0.3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 x14ac:dyDescent="0.3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 x14ac:dyDescent="0.3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 x14ac:dyDescent="0.3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 x14ac:dyDescent="0.3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 x14ac:dyDescent="0.3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 x14ac:dyDescent="0.3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 x14ac:dyDescent="0.3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 x14ac:dyDescent="0.3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 x14ac:dyDescent="0.3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 x14ac:dyDescent="0.3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 x14ac:dyDescent="0.3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 x14ac:dyDescent="0.3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 x14ac:dyDescent="0.3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 x14ac:dyDescent="0.3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 x14ac:dyDescent="0.3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 x14ac:dyDescent="0.3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 x14ac:dyDescent="0.3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 x14ac:dyDescent="0.3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 x14ac:dyDescent="0.3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 x14ac:dyDescent="0.3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 x14ac:dyDescent="0.3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 x14ac:dyDescent="0.3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 x14ac:dyDescent="0.3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 x14ac:dyDescent="0.3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 x14ac:dyDescent="0.3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 x14ac:dyDescent="0.3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 x14ac:dyDescent="0.3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 x14ac:dyDescent="0.3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 x14ac:dyDescent="0.3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 x14ac:dyDescent="0.3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 x14ac:dyDescent="0.3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 x14ac:dyDescent="0.3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 x14ac:dyDescent="0.3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 x14ac:dyDescent="0.3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 x14ac:dyDescent="0.3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 x14ac:dyDescent="0.3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 x14ac:dyDescent="0.3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 x14ac:dyDescent="0.3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 x14ac:dyDescent="0.3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 x14ac:dyDescent="0.3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 x14ac:dyDescent="0.3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 x14ac:dyDescent="0.3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 x14ac:dyDescent="0.3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 x14ac:dyDescent="0.3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 x14ac:dyDescent="0.3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 x14ac:dyDescent="0.3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 x14ac:dyDescent="0.3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 x14ac:dyDescent="0.3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 x14ac:dyDescent="0.3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 x14ac:dyDescent="0.3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 x14ac:dyDescent="0.3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 x14ac:dyDescent="0.3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 x14ac:dyDescent="0.3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 x14ac:dyDescent="0.3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 x14ac:dyDescent="0.3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 x14ac:dyDescent="0.3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 x14ac:dyDescent="0.3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 x14ac:dyDescent="0.3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 x14ac:dyDescent="0.3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 x14ac:dyDescent="0.3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 x14ac:dyDescent="0.3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 x14ac:dyDescent="0.3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 x14ac:dyDescent="0.3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 x14ac:dyDescent="0.3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 x14ac:dyDescent="0.3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 x14ac:dyDescent="0.3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 x14ac:dyDescent="0.3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 x14ac:dyDescent="0.3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 x14ac:dyDescent="0.3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 x14ac:dyDescent="0.3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 x14ac:dyDescent="0.3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 x14ac:dyDescent="0.3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 x14ac:dyDescent="0.3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 x14ac:dyDescent="0.3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 x14ac:dyDescent="0.3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 x14ac:dyDescent="0.3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 x14ac:dyDescent="0.3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 x14ac:dyDescent="0.3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 x14ac:dyDescent="0.3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 x14ac:dyDescent="0.3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 x14ac:dyDescent="0.3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 x14ac:dyDescent="0.3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 x14ac:dyDescent="0.3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 x14ac:dyDescent="0.3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 x14ac:dyDescent="0.3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 x14ac:dyDescent="0.3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 x14ac:dyDescent="0.3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 x14ac:dyDescent="0.3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 x14ac:dyDescent="0.3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 x14ac:dyDescent="0.3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 x14ac:dyDescent="0.3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 x14ac:dyDescent="0.3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 x14ac:dyDescent="0.3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 x14ac:dyDescent="0.3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 x14ac:dyDescent="0.3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 x14ac:dyDescent="0.3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 x14ac:dyDescent="0.3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 x14ac:dyDescent="0.3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 x14ac:dyDescent="0.3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 x14ac:dyDescent="0.3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 x14ac:dyDescent="0.3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 x14ac:dyDescent="0.3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 x14ac:dyDescent="0.3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 x14ac:dyDescent="0.3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 x14ac:dyDescent="0.3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 x14ac:dyDescent="0.3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 x14ac:dyDescent="0.3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 x14ac:dyDescent="0.3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 x14ac:dyDescent="0.3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 x14ac:dyDescent="0.3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 x14ac:dyDescent="0.3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 x14ac:dyDescent="0.3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 x14ac:dyDescent="0.3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 x14ac:dyDescent="0.3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 x14ac:dyDescent="0.3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 x14ac:dyDescent="0.3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 x14ac:dyDescent="0.3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 x14ac:dyDescent="0.3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 x14ac:dyDescent="0.3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 x14ac:dyDescent="0.3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 x14ac:dyDescent="0.3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 x14ac:dyDescent="0.3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 x14ac:dyDescent="0.3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 x14ac:dyDescent="0.3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 x14ac:dyDescent="0.3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 x14ac:dyDescent="0.3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 x14ac:dyDescent="0.3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 x14ac:dyDescent="0.3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 x14ac:dyDescent="0.3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 x14ac:dyDescent="0.3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 x14ac:dyDescent="0.3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 x14ac:dyDescent="0.3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 x14ac:dyDescent="0.3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 x14ac:dyDescent="0.3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 x14ac:dyDescent="0.3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 x14ac:dyDescent="0.3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 x14ac:dyDescent="0.3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 x14ac:dyDescent="0.3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 x14ac:dyDescent="0.3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 x14ac:dyDescent="0.3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 x14ac:dyDescent="0.3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 x14ac:dyDescent="0.3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 x14ac:dyDescent="0.3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 x14ac:dyDescent="0.3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 x14ac:dyDescent="0.3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 x14ac:dyDescent="0.3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 x14ac:dyDescent="0.3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 x14ac:dyDescent="0.3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 x14ac:dyDescent="0.3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 x14ac:dyDescent="0.3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 x14ac:dyDescent="0.3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 x14ac:dyDescent="0.3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 x14ac:dyDescent="0.3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 x14ac:dyDescent="0.3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 x14ac:dyDescent="0.3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 x14ac:dyDescent="0.3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 x14ac:dyDescent="0.3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 x14ac:dyDescent="0.3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 x14ac:dyDescent="0.3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 x14ac:dyDescent="0.3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 x14ac:dyDescent="0.3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 x14ac:dyDescent="0.3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 x14ac:dyDescent="0.3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 x14ac:dyDescent="0.3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 x14ac:dyDescent="0.3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 x14ac:dyDescent="0.3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 x14ac:dyDescent="0.3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 x14ac:dyDescent="0.3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 x14ac:dyDescent="0.3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 x14ac:dyDescent="0.3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 x14ac:dyDescent="0.3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 x14ac:dyDescent="0.3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 x14ac:dyDescent="0.3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 x14ac:dyDescent="0.3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 x14ac:dyDescent="0.3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 x14ac:dyDescent="0.3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 x14ac:dyDescent="0.3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 x14ac:dyDescent="0.3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 x14ac:dyDescent="0.3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 x14ac:dyDescent="0.3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 x14ac:dyDescent="0.3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 x14ac:dyDescent="0.3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 x14ac:dyDescent="0.3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 x14ac:dyDescent="0.3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 x14ac:dyDescent="0.3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 x14ac:dyDescent="0.3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 x14ac:dyDescent="0.3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 x14ac:dyDescent="0.3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 x14ac:dyDescent="0.3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 x14ac:dyDescent="0.3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 x14ac:dyDescent="0.3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 x14ac:dyDescent="0.3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 x14ac:dyDescent="0.3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 x14ac:dyDescent="0.3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 x14ac:dyDescent="0.3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 x14ac:dyDescent="0.3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 x14ac:dyDescent="0.3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 x14ac:dyDescent="0.3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 x14ac:dyDescent="0.3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 x14ac:dyDescent="0.3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 x14ac:dyDescent="0.3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 x14ac:dyDescent="0.3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 x14ac:dyDescent="0.3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 x14ac:dyDescent="0.3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 x14ac:dyDescent="0.3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 x14ac:dyDescent="0.3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 x14ac:dyDescent="0.3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 x14ac:dyDescent="0.3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 x14ac:dyDescent="0.3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 x14ac:dyDescent="0.3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 x14ac:dyDescent="0.3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 x14ac:dyDescent="0.3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 x14ac:dyDescent="0.3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 x14ac:dyDescent="0.3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 x14ac:dyDescent="0.3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 x14ac:dyDescent="0.3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 x14ac:dyDescent="0.3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 x14ac:dyDescent="0.3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 x14ac:dyDescent="0.3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 x14ac:dyDescent="0.3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 x14ac:dyDescent="0.3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 x14ac:dyDescent="0.3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 x14ac:dyDescent="0.3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 x14ac:dyDescent="0.3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 x14ac:dyDescent="0.3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 x14ac:dyDescent="0.3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 x14ac:dyDescent="0.3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 x14ac:dyDescent="0.3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 x14ac:dyDescent="0.3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 x14ac:dyDescent="0.3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 x14ac:dyDescent="0.3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 x14ac:dyDescent="0.3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 x14ac:dyDescent="0.3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 x14ac:dyDescent="0.3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 x14ac:dyDescent="0.3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 x14ac:dyDescent="0.3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 x14ac:dyDescent="0.3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 x14ac:dyDescent="0.3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 x14ac:dyDescent="0.3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 x14ac:dyDescent="0.3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 x14ac:dyDescent="0.3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 x14ac:dyDescent="0.3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 x14ac:dyDescent="0.3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 x14ac:dyDescent="0.3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 x14ac:dyDescent="0.3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 x14ac:dyDescent="0.3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 x14ac:dyDescent="0.3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 x14ac:dyDescent="0.3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 x14ac:dyDescent="0.3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 x14ac:dyDescent="0.3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 x14ac:dyDescent="0.3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 x14ac:dyDescent="0.3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 x14ac:dyDescent="0.3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 x14ac:dyDescent="0.3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 x14ac:dyDescent="0.3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 x14ac:dyDescent="0.3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 x14ac:dyDescent="0.3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 x14ac:dyDescent="0.3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 x14ac:dyDescent="0.3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 x14ac:dyDescent="0.3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 x14ac:dyDescent="0.3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 x14ac:dyDescent="0.3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 x14ac:dyDescent="0.3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 x14ac:dyDescent="0.3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 x14ac:dyDescent="0.3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 x14ac:dyDescent="0.3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 x14ac:dyDescent="0.3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 x14ac:dyDescent="0.3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 x14ac:dyDescent="0.3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 x14ac:dyDescent="0.3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 x14ac:dyDescent="0.3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 x14ac:dyDescent="0.3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 x14ac:dyDescent="0.3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 x14ac:dyDescent="0.3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 x14ac:dyDescent="0.3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 x14ac:dyDescent="0.3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 x14ac:dyDescent="0.3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 x14ac:dyDescent="0.3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 x14ac:dyDescent="0.3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 x14ac:dyDescent="0.3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 x14ac:dyDescent="0.3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 x14ac:dyDescent="0.3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 x14ac:dyDescent="0.3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 x14ac:dyDescent="0.3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 x14ac:dyDescent="0.3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 x14ac:dyDescent="0.3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 x14ac:dyDescent="0.3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 x14ac:dyDescent="0.3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 x14ac:dyDescent="0.3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 x14ac:dyDescent="0.3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 x14ac:dyDescent="0.3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 x14ac:dyDescent="0.3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 x14ac:dyDescent="0.3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 x14ac:dyDescent="0.3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 x14ac:dyDescent="0.3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 x14ac:dyDescent="0.3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 x14ac:dyDescent="0.3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 x14ac:dyDescent="0.3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 x14ac:dyDescent="0.3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 x14ac:dyDescent="0.3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 x14ac:dyDescent="0.3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 x14ac:dyDescent="0.3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 x14ac:dyDescent="0.3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 x14ac:dyDescent="0.3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 x14ac:dyDescent="0.3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 x14ac:dyDescent="0.3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 x14ac:dyDescent="0.3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 x14ac:dyDescent="0.3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 x14ac:dyDescent="0.3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 x14ac:dyDescent="0.3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 x14ac:dyDescent="0.3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 x14ac:dyDescent="0.3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 x14ac:dyDescent="0.3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 x14ac:dyDescent="0.3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 x14ac:dyDescent="0.3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 x14ac:dyDescent="0.3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 x14ac:dyDescent="0.3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 x14ac:dyDescent="0.3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 x14ac:dyDescent="0.3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 x14ac:dyDescent="0.3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 x14ac:dyDescent="0.3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 x14ac:dyDescent="0.3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 x14ac:dyDescent="0.3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 x14ac:dyDescent="0.3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 x14ac:dyDescent="0.3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 x14ac:dyDescent="0.3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 x14ac:dyDescent="0.3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 x14ac:dyDescent="0.3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 x14ac:dyDescent="0.3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 x14ac:dyDescent="0.3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 x14ac:dyDescent="0.3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 x14ac:dyDescent="0.3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 x14ac:dyDescent="0.3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 x14ac:dyDescent="0.3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 x14ac:dyDescent="0.3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 x14ac:dyDescent="0.3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 x14ac:dyDescent="0.3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 x14ac:dyDescent="0.3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 x14ac:dyDescent="0.3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 x14ac:dyDescent="0.3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 x14ac:dyDescent="0.3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 x14ac:dyDescent="0.3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 x14ac:dyDescent="0.3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 x14ac:dyDescent="0.3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 x14ac:dyDescent="0.3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 x14ac:dyDescent="0.3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 x14ac:dyDescent="0.3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 x14ac:dyDescent="0.3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 x14ac:dyDescent="0.3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 x14ac:dyDescent="0.3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 x14ac:dyDescent="0.3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 x14ac:dyDescent="0.3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 x14ac:dyDescent="0.3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 x14ac:dyDescent="0.3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 x14ac:dyDescent="0.3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 x14ac:dyDescent="0.3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 x14ac:dyDescent="0.3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 x14ac:dyDescent="0.3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 x14ac:dyDescent="0.3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 x14ac:dyDescent="0.3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 x14ac:dyDescent="0.3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 x14ac:dyDescent="0.3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 x14ac:dyDescent="0.3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 x14ac:dyDescent="0.3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 x14ac:dyDescent="0.3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 x14ac:dyDescent="0.3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 x14ac:dyDescent="0.3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 x14ac:dyDescent="0.3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 x14ac:dyDescent="0.3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 x14ac:dyDescent="0.3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 x14ac:dyDescent="0.3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 x14ac:dyDescent="0.3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 x14ac:dyDescent="0.3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 x14ac:dyDescent="0.3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 x14ac:dyDescent="0.3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 x14ac:dyDescent="0.3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 x14ac:dyDescent="0.3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 x14ac:dyDescent="0.3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 x14ac:dyDescent="0.3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 x14ac:dyDescent="0.3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 x14ac:dyDescent="0.3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 x14ac:dyDescent="0.3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 x14ac:dyDescent="0.3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 x14ac:dyDescent="0.3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 x14ac:dyDescent="0.3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 x14ac:dyDescent="0.3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 x14ac:dyDescent="0.3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 x14ac:dyDescent="0.3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 x14ac:dyDescent="0.3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 x14ac:dyDescent="0.3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 x14ac:dyDescent="0.3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 x14ac:dyDescent="0.3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 x14ac:dyDescent="0.3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 x14ac:dyDescent="0.3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 x14ac:dyDescent="0.3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 x14ac:dyDescent="0.3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 x14ac:dyDescent="0.3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 x14ac:dyDescent="0.3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 x14ac:dyDescent="0.3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 x14ac:dyDescent="0.3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 x14ac:dyDescent="0.3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 x14ac:dyDescent="0.3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 x14ac:dyDescent="0.3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 x14ac:dyDescent="0.3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 x14ac:dyDescent="0.3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 x14ac:dyDescent="0.3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 x14ac:dyDescent="0.3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 x14ac:dyDescent="0.3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 x14ac:dyDescent="0.3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 x14ac:dyDescent="0.3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 x14ac:dyDescent="0.3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 x14ac:dyDescent="0.3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 x14ac:dyDescent="0.3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 x14ac:dyDescent="0.3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 x14ac:dyDescent="0.3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 x14ac:dyDescent="0.3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 x14ac:dyDescent="0.3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 x14ac:dyDescent="0.3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 x14ac:dyDescent="0.3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 x14ac:dyDescent="0.3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 x14ac:dyDescent="0.3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 x14ac:dyDescent="0.3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 x14ac:dyDescent="0.3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 x14ac:dyDescent="0.3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 x14ac:dyDescent="0.3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 x14ac:dyDescent="0.3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 x14ac:dyDescent="0.3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 x14ac:dyDescent="0.3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 x14ac:dyDescent="0.3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 x14ac:dyDescent="0.3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 x14ac:dyDescent="0.3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 x14ac:dyDescent="0.3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 x14ac:dyDescent="0.3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 x14ac:dyDescent="0.3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 x14ac:dyDescent="0.3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 x14ac:dyDescent="0.3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 x14ac:dyDescent="0.3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 x14ac:dyDescent="0.3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 x14ac:dyDescent="0.3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 x14ac:dyDescent="0.3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 x14ac:dyDescent="0.3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 x14ac:dyDescent="0.3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 x14ac:dyDescent="0.3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 x14ac:dyDescent="0.3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 x14ac:dyDescent="0.3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 x14ac:dyDescent="0.3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 x14ac:dyDescent="0.3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 x14ac:dyDescent="0.3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 x14ac:dyDescent="0.3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 x14ac:dyDescent="0.3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 x14ac:dyDescent="0.3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 x14ac:dyDescent="0.3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 x14ac:dyDescent="0.3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 x14ac:dyDescent="0.3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 x14ac:dyDescent="0.3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 x14ac:dyDescent="0.3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 x14ac:dyDescent="0.3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 x14ac:dyDescent="0.3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 x14ac:dyDescent="0.3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 x14ac:dyDescent="0.3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 x14ac:dyDescent="0.3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 x14ac:dyDescent="0.3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 x14ac:dyDescent="0.3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 x14ac:dyDescent="0.3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 x14ac:dyDescent="0.3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 x14ac:dyDescent="0.3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 x14ac:dyDescent="0.3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 x14ac:dyDescent="0.3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 x14ac:dyDescent="0.3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 x14ac:dyDescent="0.3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 x14ac:dyDescent="0.3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 x14ac:dyDescent="0.3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 x14ac:dyDescent="0.3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 x14ac:dyDescent="0.3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 x14ac:dyDescent="0.3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 x14ac:dyDescent="0.3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 x14ac:dyDescent="0.3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 x14ac:dyDescent="0.3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 x14ac:dyDescent="0.3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 x14ac:dyDescent="0.3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 x14ac:dyDescent="0.3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 x14ac:dyDescent="0.3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 x14ac:dyDescent="0.3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 x14ac:dyDescent="0.3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 x14ac:dyDescent="0.3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 x14ac:dyDescent="0.3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 x14ac:dyDescent="0.3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 x14ac:dyDescent="0.3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 x14ac:dyDescent="0.3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 x14ac:dyDescent="0.3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 x14ac:dyDescent="0.3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 x14ac:dyDescent="0.3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 x14ac:dyDescent="0.3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 x14ac:dyDescent="0.3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 x14ac:dyDescent="0.3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 x14ac:dyDescent="0.3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 x14ac:dyDescent="0.3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 x14ac:dyDescent="0.3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 x14ac:dyDescent="0.3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 x14ac:dyDescent="0.3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 x14ac:dyDescent="0.3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 x14ac:dyDescent="0.3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 x14ac:dyDescent="0.3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 x14ac:dyDescent="0.3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 x14ac:dyDescent="0.3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 x14ac:dyDescent="0.3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 x14ac:dyDescent="0.3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 x14ac:dyDescent="0.3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 x14ac:dyDescent="0.3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 x14ac:dyDescent="0.3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 x14ac:dyDescent="0.3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 x14ac:dyDescent="0.3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 x14ac:dyDescent="0.3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 x14ac:dyDescent="0.3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 x14ac:dyDescent="0.3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 x14ac:dyDescent="0.3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 x14ac:dyDescent="0.3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 x14ac:dyDescent="0.3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 x14ac:dyDescent="0.3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 x14ac:dyDescent="0.3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 x14ac:dyDescent="0.3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 x14ac:dyDescent="0.3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 x14ac:dyDescent="0.3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 x14ac:dyDescent="0.3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 x14ac:dyDescent="0.3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 x14ac:dyDescent="0.3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 x14ac:dyDescent="0.3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 x14ac:dyDescent="0.3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 x14ac:dyDescent="0.3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 x14ac:dyDescent="0.3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 x14ac:dyDescent="0.3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 x14ac:dyDescent="0.3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 x14ac:dyDescent="0.3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 x14ac:dyDescent="0.3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 x14ac:dyDescent="0.3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 x14ac:dyDescent="0.3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 x14ac:dyDescent="0.3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 x14ac:dyDescent="0.3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 x14ac:dyDescent="0.3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 x14ac:dyDescent="0.3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 x14ac:dyDescent="0.3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 x14ac:dyDescent="0.3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 x14ac:dyDescent="0.3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 x14ac:dyDescent="0.3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 x14ac:dyDescent="0.3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 x14ac:dyDescent="0.3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 x14ac:dyDescent="0.3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 x14ac:dyDescent="0.3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 x14ac:dyDescent="0.3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 x14ac:dyDescent="0.3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 x14ac:dyDescent="0.3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 x14ac:dyDescent="0.3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 x14ac:dyDescent="0.3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 x14ac:dyDescent="0.3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 x14ac:dyDescent="0.3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 x14ac:dyDescent="0.3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 x14ac:dyDescent="0.3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 x14ac:dyDescent="0.3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 x14ac:dyDescent="0.3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 x14ac:dyDescent="0.3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 x14ac:dyDescent="0.3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 x14ac:dyDescent="0.3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 x14ac:dyDescent="0.3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 x14ac:dyDescent="0.3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 x14ac:dyDescent="0.3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 x14ac:dyDescent="0.3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 x14ac:dyDescent="0.3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 x14ac:dyDescent="0.3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 x14ac:dyDescent="0.3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 x14ac:dyDescent="0.3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 x14ac:dyDescent="0.3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 x14ac:dyDescent="0.3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 x14ac:dyDescent="0.3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 x14ac:dyDescent="0.3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 x14ac:dyDescent="0.3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 x14ac:dyDescent="0.3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 x14ac:dyDescent="0.3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 x14ac:dyDescent="0.3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 x14ac:dyDescent="0.3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 x14ac:dyDescent="0.3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 x14ac:dyDescent="0.3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 x14ac:dyDescent="0.3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 x14ac:dyDescent="0.3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 x14ac:dyDescent="0.3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 x14ac:dyDescent="0.3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 x14ac:dyDescent="0.3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 x14ac:dyDescent="0.3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 x14ac:dyDescent="0.3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 x14ac:dyDescent="0.3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 x14ac:dyDescent="0.3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 x14ac:dyDescent="0.3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 x14ac:dyDescent="0.3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 x14ac:dyDescent="0.3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 x14ac:dyDescent="0.3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 x14ac:dyDescent="0.3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 x14ac:dyDescent="0.3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 x14ac:dyDescent="0.3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 x14ac:dyDescent="0.3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 x14ac:dyDescent="0.3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 x14ac:dyDescent="0.3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 x14ac:dyDescent="0.3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 x14ac:dyDescent="0.3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 x14ac:dyDescent="0.3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 x14ac:dyDescent="0.3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 x14ac:dyDescent="0.3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 x14ac:dyDescent="0.3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 x14ac:dyDescent="0.3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 x14ac:dyDescent="0.3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 x14ac:dyDescent="0.3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 x14ac:dyDescent="0.3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 x14ac:dyDescent="0.3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 x14ac:dyDescent="0.3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 x14ac:dyDescent="0.3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 x14ac:dyDescent="0.3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 x14ac:dyDescent="0.3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 x14ac:dyDescent="0.3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 x14ac:dyDescent="0.3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 x14ac:dyDescent="0.3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 x14ac:dyDescent="0.3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 x14ac:dyDescent="0.3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 x14ac:dyDescent="0.3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 x14ac:dyDescent="0.3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 x14ac:dyDescent="0.3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 x14ac:dyDescent="0.3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 x14ac:dyDescent="0.3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 x14ac:dyDescent="0.3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 x14ac:dyDescent="0.3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 x14ac:dyDescent="0.3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 x14ac:dyDescent="0.3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 x14ac:dyDescent="0.3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 x14ac:dyDescent="0.3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 x14ac:dyDescent="0.3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 x14ac:dyDescent="0.3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 x14ac:dyDescent="0.3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 x14ac:dyDescent="0.3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 x14ac:dyDescent="0.3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 x14ac:dyDescent="0.3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 x14ac:dyDescent="0.3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 x14ac:dyDescent="0.3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 x14ac:dyDescent="0.3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 x14ac:dyDescent="0.3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 x14ac:dyDescent="0.3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 x14ac:dyDescent="0.3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 x14ac:dyDescent="0.3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 x14ac:dyDescent="0.3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 x14ac:dyDescent="0.3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 x14ac:dyDescent="0.3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 x14ac:dyDescent="0.3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 x14ac:dyDescent="0.3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 x14ac:dyDescent="0.3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 x14ac:dyDescent="0.3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 x14ac:dyDescent="0.3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 x14ac:dyDescent="0.3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 x14ac:dyDescent="0.3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 x14ac:dyDescent="0.3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 x14ac:dyDescent="0.3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 x14ac:dyDescent="0.3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 x14ac:dyDescent="0.3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 x14ac:dyDescent="0.3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 x14ac:dyDescent="0.3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 x14ac:dyDescent="0.3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 x14ac:dyDescent="0.3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 x14ac:dyDescent="0.3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 x14ac:dyDescent="0.3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 x14ac:dyDescent="0.3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 x14ac:dyDescent="0.3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 x14ac:dyDescent="0.3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 x14ac:dyDescent="0.3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 x14ac:dyDescent="0.3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 x14ac:dyDescent="0.3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 x14ac:dyDescent="0.3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 x14ac:dyDescent="0.3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 x14ac:dyDescent="0.3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 x14ac:dyDescent="0.3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 x14ac:dyDescent="0.3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 x14ac:dyDescent="0.3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 x14ac:dyDescent="0.3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 x14ac:dyDescent="0.3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 x14ac:dyDescent="0.3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 x14ac:dyDescent="0.3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 x14ac:dyDescent="0.3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 x14ac:dyDescent="0.3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 x14ac:dyDescent="0.3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 x14ac:dyDescent="0.3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 x14ac:dyDescent="0.3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 x14ac:dyDescent="0.3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 x14ac:dyDescent="0.3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 x14ac:dyDescent="0.3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 x14ac:dyDescent="0.3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 x14ac:dyDescent="0.3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 x14ac:dyDescent="0.3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 x14ac:dyDescent="0.3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 x14ac:dyDescent="0.3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 x14ac:dyDescent="0.3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 x14ac:dyDescent="0.3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 x14ac:dyDescent="0.3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 x14ac:dyDescent="0.3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 x14ac:dyDescent="0.3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 x14ac:dyDescent="0.3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 x14ac:dyDescent="0.3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 x14ac:dyDescent="0.3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 x14ac:dyDescent="0.3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 x14ac:dyDescent="0.3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 x14ac:dyDescent="0.3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 x14ac:dyDescent="0.3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 x14ac:dyDescent="0.3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 x14ac:dyDescent="0.3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 x14ac:dyDescent="0.3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 x14ac:dyDescent="0.3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 x14ac:dyDescent="0.3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 x14ac:dyDescent="0.3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 x14ac:dyDescent="0.3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 x14ac:dyDescent="0.3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 x14ac:dyDescent="0.3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 x14ac:dyDescent="0.3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 x14ac:dyDescent="0.3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 x14ac:dyDescent="0.3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 x14ac:dyDescent="0.3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 x14ac:dyDescent="0.3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 x14ac:dyDescent="0.3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 x14ac:dyDescent="0.3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 x14ac:dyDescent="0.3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 x14ac:dyDescent="0.3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 x14ac:dyDescent="0.3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 x14ac:dyDescent="0.3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 x14ac:dyDescent="0.3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 x14ac:dyDescent="0.3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 x14ac:dyDescent="0.3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 x14ac:dyDescent="0.3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 x14ac:dyDescent="0.3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 x14ac:dyDescent="0.3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 x14ac:dyDescent="0.3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 x14ac:dyDescent="0.3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 x14ac:dyDescent="0.3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 x14ac:dyDescent="0.3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 x14ac:dyDescent="0.3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 x14ac:dyDescent="0.3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 x14ac:dyDescent="0.3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 x14ac:dyDescent="0.3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 x14ac:dyDescent="0.3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 x14ac:dyDescent="0.3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 x14ac:dyDescent="0.3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 x14ac:dyDescent="0.3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 x14ac:dyDescent="0.3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 x14ac:dyDescent="0.3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 x14ac:dyDescent="0.3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 x14ac:dyDescent="0.3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 x14ac:dyDescent="0.3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 x14ac:dyDescent="0.3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 x14ac:dyDescent="0.3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 x14ac:dyDescent="0.3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 x14ac:dyDescent="0.3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 x14ac:dyDescent="0.3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 x14ac:dyDescent="0.3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 x14ac:dyDescent="0.3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 x14ac:dyDescent="0.3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 x14ac:dyDescent="0.3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 x14ac:dyDescent="0.3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 x14ac:dyDescent="0.3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 x14ac:dyDescent="0.3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 x14ac:dyDescent="0.3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 x14ac:dyDescent="0.3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 x14ac:dyDescent="0.3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 x14ac:dyDescent="0.3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 x14ac:dyDescent="0.3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 x14ac:dyDescent="0.3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 x14ac:dyDescent="0.3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 x14ac:dyDescent="0.3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 x14ac:dyDescent="0.3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 x14ac:dyDescent="0.3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 x14ac:dyDescent="0.3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 x14ac:dyDescent="0.3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 x14ac:dyDescent="0.3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 x14ac:dyDescent="0.3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 x14ac:dyDescent="0.3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 x14ac:dyDescent="0.3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 x14ac:dyDescent="0.3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 x14ac:dyDescent="0.3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 x14ac:dyDescent="0.3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 x14ac:dyDescent="0.3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 x14ac:dyDescent="0.3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 x14ac:dyDescent="0.3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 x14ac:dyDescent="0.3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 x14ac:dyDescent="0.3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 x14ac:dyDescent="0.3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 x14ac:dyDescent="0.3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 x14ac:dyDescent="0.3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 x14ac:dyDescent="0.3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 x14ac:dyDescent="0.3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 x14ac:dyDescent="0.3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 x14ac:dyDescent="0.3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 x14ac:dyDescent="0.3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 x14ac:dyDescent="0.3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 x14ac:dyDescent="0.3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 x14ac:dyDescent="0.3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 x14ac:dyDescent="0.3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 x14ac:dyDescent="0.3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 x14ac:dyDescent="0.3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 x14ac:dyDescent="0.3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 x14ac:dyDescent="0.3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 x14ac:dyDescent="0.3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 x14ac:dyDescent="0.3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 x14ac:dyDescent="0.3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 x14ac:dyDescent="0.3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 x14ac:dyDescent="0.3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 x14ac:dyDescent="0.3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 x14ac:dyDescent="0.3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 x14ac:dyDescent="0.3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 x14ac:dyDescent="0.3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 x14ac:dyDescent="0.3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 x14ac:dyDescent="0.3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 x14ac:dyDescent="0.3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 x14ac:dyDescent="0.3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 x14ac:dyDescent="0.3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 x14ac:dyDescent="0.3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 x14ac:dyDescent="0.3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 x14ac:dyDescent="0.3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 x14ac:dyDescent="0.3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 x14ac:dyDescent="0.3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 x14ac:dyDescent="0.3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 x14ac:dyDescent="0.3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 x14ac:dyDescent="0.3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 x14ac:dyDescent="0.3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 x14ac:dyDescent="0.3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 x14ac:dyDescent="0.3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 x14ac:dyDescent="0.3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 x14ac:dyDescent="0.3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 x14ac:dyDescent="0.3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 x14ac:dyDescent="0.3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 x14ac:dyDescent="0.3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 x14ac:dyDescent="0.3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 x14ac:dyDescent="0.3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 x14ac:dyDescent="0.3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 x14ac:dyDescent="0.3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 x14ac:dyDescent="0.3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 x14ac:dyDescent="0.3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 x14ac:dyDescent="0.3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 x14ac:dyDescent="0.3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 x14ac:dyDescent="0.3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 x14ac:dyDescent="0.3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 x14ac:dyDescent="0.3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 x14ac:dyDescent="0.3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 x14ac:dyDescent="0.3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 x14ac:dyDescent="0.3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 x14ac:dyDescent="0.3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 x14ac:dyDescent="0.3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 x14ac:dyDescent="0.3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 x14ac:dyDescent="0.3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 x14ac:dyDescent="0.3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 x14ac:dyDescent="0.3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 x14ac:dyDescent="0.3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 x14ac:dyDescent="0.3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 x14ac:dyDescent="0.3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 x14ac:dyDescent="0.3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 x14ac:dyDescent="0.3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 x14ac:dyDescent="0.3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 x14ac:dyDescent="0.3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 x14ac:dyDescent="0.3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 x14ac:dyDescent="0.3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 x14ac:dyDescent="0.3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 x14ac:dyDescent="0.3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 x14ac:dyDescent="0.3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 x14ac:dyDescent="0.3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 x14ac:dyDescent="0.3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 x14ac:dyDescent="0.3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 x14ac:dyDescent="0.3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 x14ac:dyDescent="0.3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 x14ac:dyDescent="0.3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 x14ac:dyDescent="0.3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 x14ac:dyDescent="0.3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 x14ac:dyDescent="0.3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 x14ac:dyDescent="0.3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 x14ac:dyDescent="0.3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 x14ac:dyDescent="0.3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 x14ac:dyDescent="0.3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 x14ac:dyDescent="0.3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 x14ac:dyDescent="0.3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 x14ac:dyDescent="0.3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 x14ac:dyDescent="0.3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 x14ac:dyDescent="0.3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 x14ac:dyDescent="0.3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 x14ac:dyDescent="0.3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 x14ac:dyDescent="0.3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 x14ac:dyDescent="0.3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 x14ac:dyDescent="0.3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 x14ac:dyDescent="0.3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 x14ac:dyDescent="0.3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 x14ac:dyDescent="0.3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 x14ac:dyDescent="0.3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 x14ac:dyDescent="0.3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 x14ac:dyDescent="0.3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 x14ac:dyDescent="0.3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 x14ac:dyDescent="0.3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 x14ac:dyDescent="0.3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 x14ac:dyDescent="0.3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 x14ac:dyDescent="0.3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 x14ac:dyDescent="0.3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 x14ac:dyDescent="0.3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 x14ac:dyDescent="0.3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 x14ac:dyDescent="0.3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 x14ac:dyDescent="0.3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 x14ac:dyDescent="0.3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 x14ac:dyDescent="0.3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 x14ac:dyDescent="0.3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 x14ac:dyDescent="0.3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 x14ac:dyDescent="0.3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 x14ac:dyDescent="0.3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 x14ac:dyDescent="0.3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 x14ac:dyDescent="0.3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 x14ac:dyDescent="0.3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 x14ac:dyDescent="0.3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 x14ac:dyDescent="0.3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 x14ac:dyDescent="0.3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 x14ac:dyDescent="0.3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 x14ac:dyDescent="0.3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 x14ac:dyDescent="0.3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 x14ac:dyDescent="0.3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 x14ac:dyDescent="0.3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 x14ac:dyDescent="0.3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 x14ac:dyDescent="0.3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 x14ac:dyDescent="0.3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 x14ac:dyDescent="0.3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 x14ac:dyDescent="0.3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 x14ac:dyDescent="0.3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 x14ac:dyDescent="0.3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 x14ac:dyDescent="0.3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 x14ac:dyDescent="0.3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 x14ac:dyDescent="0.3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 x14ac:dyDescent="0.3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 x14ac:dyDescent="0.3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 x14ac:dyDescent="0.3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 x14ac:dyDescent="0.3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 x14ac:dyDescent="0.3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 x14ac:dyDescent="0.3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 x14ac:dyDescent="0.3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 x14ac:dyDescent="0.3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 x14ac:dyDescent="0.3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 x14ac:dyDescent="0.3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 x14ac:dyDescent="0.3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 x14ac:dyDescent="0.3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 x14ac:dyDescent="0.3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 x14ac:dyDescent="0.3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 x14ac:dyDescent="0.3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 x14ac:dyDescent="0.3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 x14ac:dyDescent="0.3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 x14ac:dyDescent="0.3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 x14ac:dyDescent="0.3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 x14ac:dyDescent="0.3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 x14ac:dyDescent="0.3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 x14ac:dyDescent="0.3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 x14ac:dyDescent="0.3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 x14ac:dyDescent="0.3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 x14ac:dyDescent="0.3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 x14ac:dyDescent="0.3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 x14ac:dyDescent="0.3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 x14ac:dyDescent="0.3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 x14ac:dyDescent="0.3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 x14ac:dyDescent="0.3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 x14ac:dyDescent="0.3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 x14ac:dyDescent="0.3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 x14ac:dyDescent="0.3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 x14ac:dyDescent="0.3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 x14ac:dyDescent="0.3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 x14ac:dyDescent="0.3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 x14ac:dyDescent="0.3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 x14ac:dyDescent="0.3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 x14ac:dyDescent="0.3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 x14ac:dyDescent="0.3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 x14ac:dyDescent="0.3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 x14ac:dyDescent="0.3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 x14ac:dyDescent="0.3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 x14ac:dyDescent="0.3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 x14ac:dyDescent="0.3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 x14ac:dyDescent="0.3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 x14ac:dyDescent="0.3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 x14ac:dyDescent="0.3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 x14ac:dyDescent="0.3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 x14ac:dyDescent="0.3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 x14ac:dyDescent="0.3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 x14ac:dyDescent="0.3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 x14ac:dyDescent="0.3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 x14ac:dyDescent="0.3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 x14ac:dyDescent="0.3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 x14ac:dyDescent="0.3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 x14ac:dyDescent="0.3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 x14ac:dyDescent="0.3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 x14ac:dyDescent="0.3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 x14ac:dyDescent="0.3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 x14ac:dyDescent="0.3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 x14ac:dyDescent="0.3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 x14ac:dyDescent="0.3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 x14ac:dyDescent="0.3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 x14ac:dyDescent="0.3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 x14ac:dyDescent="0.3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 x14ac:dyDescent="0.3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 x14ac:dyDescent="0.3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 x14ac:dyDescent="0.3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 x14ac:dyDescent="0.3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 x14ac:dyDescent="0.3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 x14ac:dyDescent="0.3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 x14ac:dyDescent="0.3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 x14ac:dyDescent="0.3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 x14ac:dyDescent="0.3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 x14ac:dyDescent="0.3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 x14ac:dyDescent="0.3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 x14ac:dyDescent="0.3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 x14ac:dyDescent="0.3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 x14ac:dyDescent="0.3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 x14ac:dyDescent="0.3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60" sqref="E760:E1137"/>
    </sheetView>
  </sheetViews>
  <sheetFormatPr defaultColWidth="8.875" defaultRowHeight="16.5" x14ac:dyDescent="0.3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 x14ac:dyDescent="0.3">
      <c r="A1" s="3" t="s">
        <v>0</v>
      </c>
      <c r="B1" s="3" t="s">
        <v>1</v>
      </c>
      <c r="C1" s="40" t="s">
        <v>11</v>
      </c>
      <c r="D1" s="40" t="s">
        <v>2</v>
      </c>
      <c r="E1" s="3" t="s">
        <v>3</v>
      </c>
      <c r="F1" s="40" t="s">
        <v>6</v>
      </c>
      <c r="G1" s="4" t="s">
        <v>7</v>
      </c>
      <c r="H1" s="3" t="s">
        <v>8</v>
      </c>
      <c r="I1" s="3" t="s">
        <v>31</v>
      </c>
    </row>
    <row r="2" spans="1:9" x14ac:dyDescent="0.3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 x14ac:dyDescent="0.3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 x14ac:dyDescent="0.3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 x14ac:dyDescent="0.3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 x14ac:dyDescent="0.3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 x14ac:dyDescent="0.3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 x14ac:dyDescent="0.3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 x14ac:dyDescent="0.3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 x14ac:dyDescent="0.3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 x14ac:dyDescent="0.3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 x14ac:dyDescent="0.3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 x14ac:dyDescent="0.3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 x14ac:dyDescent="0.3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 x14ac:dyDescent="0.3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 x14ac:dyDescent="0.3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 x14ac:dyDescent="0.3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 x14ac:dyDescent="0.3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 x14ac:dyDescent="0.3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 x14ac:dyDescent="0.3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 x14ac:dyDescent="0.3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 x14ac:dyDescent="0.3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 x14ac:dyDescent="0.3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 x14ac:dyDescent="0.3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 x14ac:dyDescent="0.3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 x14ac:dyDescent="0.3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 x14ac:dyDescent="0.3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 x14ac:dyDescent="0.3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 x14ac:dyDescent="0.3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 x14ac:dyDescent="0.3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 x14ac:dyDescent="0.3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 x14ac:dyDescent="0.3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 x14ac:dyDescent="0.3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 x14ac:dyDescent="0.3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 x14ac:dyDescent="0.3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 x14ac:dyDescent="0.3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 x14ac:dyDescent="0.3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 x14ac:dyDescent="0.3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 x14ac:dyDescent="0.3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 x14ac:dyDescent="0.3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 x14ac:dyDescent="0.3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 x14ac:dyDescent="0.3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 x14ac:dyDescent="0.3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 x14ac:dyDescent="0.3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 x14ac:dyDescent="0.3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 x14ac:dyDescent="0.3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 x14ac:dyDescent="0.3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 x14ac:dyDescent="0.3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 x14ac:dyDescent="0.3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 x14ac:dyDescent="0.3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 x14ac:dyDescent="0.3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 x14ac:dyDescent="0.3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 x14ac:dyDescent="0.3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 x14ac:dyDescent="0.3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 x14ac:dyDescent="0.3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 x14ac:dyDescent="0.3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 x14ac:dyDescent="0.3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 x14ac:dyDescent="0.3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 x14ac:dyDescent="0.3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 x14ac:dyDescent="0.3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 x14ac:dyDescent="0.3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 x14ac:dyDescent="0.3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 x14ac:dyDescent="0.3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 x14ac:dyDescent="0.3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 x14ac:dyDescent="0.3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 x14ac:dyDescent="0.3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 x14ac:dyDescent="0.3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 x14ac:dyDescent="0.3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 x14ac:dyDescent="0.3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 x14ac:dyDescent="0.3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 x14ac:dyDescent="0.3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 x14ac:dyDescent="0.3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 x14ac:dyDescent="0.3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 x14ac:dyDescent="0.3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 x14ac:dyDescent="0.3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 x14ac:dyDescent="0.3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 x14ac:dyDescent="0.3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 x14ac:dyDescent="0.3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 x14ac:dyDescent="0.3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 x14ac:dyDescent="0.3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 x14ac:dyDescent="0.3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 x14ac:dyDescent="0.3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 x14ac:dyDescent="0.3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 x14ac:dyDescent="0.3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 x14ac:dyDescent="0.3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 x14ac:dyDescent="0.3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 x14ac:dyDescent="0.3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 x14ac:dyDescent="0.3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 x14ac:dyDescent="0.3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 x14ac:dyDescent="0.3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 x14ac:dyDescent="0.3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 x14ac:dyDescent="0.3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 x14ac:dyDescent="0.3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 x14ac:dyDescent="0.3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 x14ac:dyDescent="0.3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 x14ac:dyDescent="0.3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 x14ac:dyDescent="0.3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 x14ac:dyDescent="0.3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 x14ac:dyDescent="0.3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 x14ac:dyDescent="0.3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 x14ac:dyDescent="0.3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 x14ac:dyDescent="0.3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 x14ac:dyDescent="0.3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 x14ac:dyDescent="0.3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 x14ac:dyDescent="0.3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 x14ac:dyDescent="0.3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 x14ac:dyDescent="0.3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 x14ac:dyDescent="0.3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 x14ac:dyDescent="0.3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 x14ac:dyDescent="0.3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 x14ac:dyDescent="0.3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 x14ac:dyDescent="0.3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 x14ac:dyDescent="0.3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 x14ac:dyDescent="0.3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 x14ac:dyDescent="0.3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 x14ac:dyDescent="0.3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 x14ac:dyDescent="0.3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 x14ac:dyDescent="0.3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 x14ac:dyDescent="0.3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 x14ac:dyDescent="0.3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 x14ac:dyDescent="0.3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 x14ac:dyDescent="0.3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 x14ac:dyDescent="0.3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 x14ac:dyDescent="0.3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 x14ac:dyDescent="0.3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 x14ac:dyDescent="0.3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 x14ac:dyDescent="0.3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 x14ac:dyDescent="0.3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 x14ac:dyDescent="0.3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 x14ac:dyDescent="0.3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 x14ac:dyDescent="0.3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 x14ac:dyDescent="0.3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 x14ac:dyDescent="0.3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 x14ac:dyDescent="0.3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 x14ac:dyDescent="0.3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 x14ac:dyDescent="0.3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 x14ac:dyDescent="0.3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 x14ac:dyDescent="0.3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 x14ac:dyDescent="0.3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 x14ac:dyDescent="0.3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 x14ac:dyDescent="0.3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 x14ac:dyDescent="0.3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 x14ac:dyDescent="0.3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 x14ac:dyDescent="0.3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 x14ac:dyDescent="0.3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 x14ac:dyDescent="0.3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 x14ac:dyDescent="0.3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 x14ac:dyDescent="0.3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 x14ac:dyDescent="0.3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 x14ac:dyDescent="0.3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 x14ac:dyDescent="0.3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 x14ac:dyDescent="0.3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 x14ac:dyDescent="0.3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 x14ac:dyDescent="0.3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 x14ac:dyDescent="0.3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 x14ac:dyDescent="0.3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 x14ac:dyDescent="0.3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 x14ac:dyDescent="0.3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 x14ac:dyDescent="0.3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 x14ac:dyDescent="0.3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 x14ac:dyDescent="0.3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 x14ac:dyDescent="0.3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 x14ac:dyDescent="0.3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 x14ac:dyDescent="0.3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 x14ac:dyDescent="0.3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 x14ac:dyDescent="0.3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 x14ac:dyDescent="0.3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 x14ac:dyDescent="0.3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 x14ac:dyDescent="0.3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 x14ac:dyDescent="0.3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 x14ac:dyDescent="0.3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 x14ac:dyDescent="0.3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 x14ac:dyDescent="0.3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 x14ac:dyDescent="0.3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 x14ac:dyDescent="0.3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 x14ac:dyDescent="0.3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 x14ac:dyDescent="0.3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 x14ac:dyDescent="0.3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 x14ac:dyDescent="0.3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 x14ac:dyDescent="0.3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 x14ac:dyDescent="0.3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 x14ac:dyDescent="0.3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 x14ac:dyDescent="0.3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 x14ac:dyDescent="0.3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 x14ac:dyDescent="0.3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 x14ac:dyDescent="0.3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 x14ac:dyDescent="0.3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 x14ac:dyDescent="0.3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 x14ac:dyDescent="0.3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 x14ac:dyDescent="0.3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 x14ac:dyDescent="0.3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 x14ac:dyDescent="0.3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 x14ac:dyDescent="0.3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 x14ac:dyDescent="0.3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 x14ac:dyDescent="0.3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 x14ac:dyDescent="0.3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 x14ac:dyDescent="0.3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 x14ac:dyDescent="0.3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 x14ac:dyDescent="0.3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 x14ac:dyDescent="0.3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 x14ac:dyDescent="0.3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 x14ac:dyDescent="0.3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 x14ac:dyDescent="0.3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 x14ac:dyDescent="0.3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 x14ac:dyDescent="0.3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 x14ac:dyDescent="0.3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 x14ac:dyDescent="0.3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 x14ac:dyDescent="0.3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 x14ac:dyDescent="0.3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 x14ac:dyDescent="0.3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 x14ac:dyDescent="0.3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 x14ac:dyDescent="0.3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 x14ac:dyDescent="0.3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 x14ac:dyDescent="0.3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 x14ac:dyDescent="0.3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 x14ac:dyDescent="0.3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 x14ac:dyDescent="0.3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 x14ac:dyDescent="0.3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 x14ac:dyDescent="0.3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 x14ac:dyDescent="0.3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 x14ac:dyDescent="0.3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 x14ac:dyDescent="0.3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 x14ac:dyDescent="0.3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 x14ac:dyDescent="0.3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 x14ac:dyDescent="0.3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 x14ac:dyDescent="0.3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 x14ac:dyDescent="0.3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 x14ac:dyDescent="0.3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 x14ac:dyDescent="0.3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 x14ac:dyDescent="0.3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 x14ac:dyDescent="0.3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 x14ac:dyDescent="0.3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 x14ac:dyDescent="0.3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 x14ac:dyDescent="0.3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 x14ac:dyDescent="0.3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 x14ac:dyDescent="0.3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 x14ac:dyDescent="0.3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 x14ac:dyDescent="0.3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 x14ac:dyDescent="0.3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 x14ac:dyDescent="0.3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 x14ac:dyDescent="0.3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 x14ac:dyDescent="0.3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 x14ac:dyDescent="0.3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 x14ac:dyDescent="0.3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 x14ac:dyDescent="0.3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 x14ac:dyDescent="0.3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 x14ac:dyDescent="0.3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 x14ac:dyDescent="0.3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 x14ac:dyDescent="0.3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 x14ac:dyDescent="0.3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 x14ac:dyDescent="0.3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 x14ac:dyDescent="0.3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 x14ac:dyDescent="0.3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 x14ac:dyDescent="0.3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 x14ac:dyDescent="0.3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 x14ac:dyDescent="0.3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 x14ac:dyDescent="0.3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 x14ac:dyDescent="0.3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 x14ac:dyDescent="0.3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 x14ac:dyDescent="0.3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 x14ac:dyDescent="0.3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 x14ac:dyDescent="0.3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 x14ac:dyDescent="0.3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 x14ac:dyDescent="0.3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 x14ac:dyDescent="0.3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 x14ac:dyDescent="0.3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 x14ac:dyDescent="0.3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 x14ac:dyDescent="0.3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 x14ac:dyDescent="0.3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 x14ac:dyDescent="0.3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 x14ac:dyDescent="0.3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 x14ac:dyDescent="0.3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 x14ac:dyDescent="0.3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 x14ac:dyDescent="0.3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 x14ac:dyDescent="0.3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 x14ac:dyDescent="0.3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 x14ac:dyDescent="0.3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 x14ac:dyDescent="0.3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 x14ac:dyDescent="0.3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 x14ac:dyDescent="0.3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 x14ac:dyDescent="0.3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 x14ac:dyDescent="0.3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 x14ac:dyDescent="0.3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 x14ac:dyDescent="0.3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 x14ac:dyDescent="0.3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 x14ac:dyDescent="0.3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 x14ac:dyDescent="0.3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 x14ac:dyDescent="0.3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 x14ac:dyDescent="0.3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 x14ac:dyDescent="0.3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 x14ac:dyDescent="0.3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 x14ac:dyDescent="0.3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 x14ac:dyDescent="0.3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 x14ac:dyDescent="0.3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 x14ac:dyDescent="0.3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 x14ac:dyDescent="0.3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 x14ac:dyDescent="0.3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 x14ac:dyDescent="0.3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 x14ac:dyDescent="0.3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 x14ac:dyDescent="0.3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 x14ac:dyDescent="0.3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 x14ac:dyDescent="0.3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 x14ac:dyDescent="0.3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 x14ac:dyDescent="0.3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 x14ac:dyDescent="0.3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 x14ac:dyDescent="0.3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 x14ac:dyDescent="0.3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 x14ac:dyDescent="0.3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 x14ac:dyDescent="0.3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 x14ac:dyDescent="0.3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 x14ac:dyDescent="0.3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 x14ac:dyDescent="0.3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 x14ac:dyDescent="0.3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 x14ac:dyDescent="0.3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 x14ac:dyDescent="0.3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 x14ac:dyDescent="0.3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 x14ac:dyDescent="0.3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 x14ac:dyDescent="0.3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 x14ac:dyDescent="0.3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 x14ac:dyDescent="0.3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 x14ac:dyDescent="0.3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 x14ac:dyDescent="0.3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 x14ac:dyDescent="0.3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 x14ac:dyDescent="0.3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 x14ac:dyDescent="0.3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 x14ac:dyDescent="0.3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 x14ac:dyDescent="0.3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 x14ac:dyDescent="0.3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 x14ac:dyDescent="0.3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 x14ac:dyDescent="0.3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 x14ac:dyDescent="0.3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 x14ac:dyDescent="0.3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 x14ac:dyDescent="0.3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 x14ac:dyDescent="0.3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 x14ac:dyDescent="0.3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 x14ac:dyDescent="0.3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 x14ac:dyDescent="0.3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 x14ac:dyDescent="0.3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 x14ac:dyDescent="0.3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 x14ac:dyDescent="0.3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 x14ac:dyDescent="0.3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 x14ac:dyDescent="0.3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 x14ac:dyDescent="0.3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 x14ac:dyDescent="0.3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 x14ac:dyDescent="0.3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 x14ac:dyDescent="0.3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 x14ac:dyDescent="0.3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 x14ac:dyDescent="0.3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 x14ac:dyDescent="0.3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 x14ac:dyDescent="0.3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 x14ac:dyDescent="0.3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 x14ac:dyDescent="0.3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 x14ac:dyDescent="0.3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 x14ac:dyDescent="0.3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 x14ac:dyDescent="0.3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 x14ac:dyDescent="0.3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 x14ac:dyDescent="0.3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 x14ac:dyDescent="0.3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 x14ac:dyDescent="0.3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 x14ac:dyDescent="0.3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 x14ac:dyDescent="0.3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 x14ac:dyDescent="0.3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 x14ac:dyDescent="0.3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 x14ac:dyDescent="0.3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 x14ac:dyDescent="0.3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 x14ac:dyDescent="0.3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 x14ac:dyDescent="0.3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 x14ac:dyDescent="0.3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 x14ac:dyDescent="0.3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 x14ac:dyDescent="0.3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 x14ac:dyDescent="0.3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 x14ac:dyDescent="0.3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 x14ac:dyDescent="0.3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 x14ac:dyDescent="0.3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 x14ac:dyDescent="0.3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 x14ac:dyDescent="0.3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 x14ac:dyDescent="0.3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 x14ac:dyDescent="0.3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 x14ac:dyDescent="0.3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 x14ac:dyDescent="0.3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 x14ac:dyDescent="0.3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 x14ac:dyDescent="0.3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 x14ac:dyDescent="0.3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 x14ac:dyDescent="0.3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 x14ac:dyDescent="0.3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 x14ac:dyDescent="0.3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 x14ac:dyDescent="0.3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 x14ac:dyDescent="0.3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 x14ac:dyDescent="0.3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 x14ac:dyDescent="0.3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 x14ac:dyDescent="0.3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 x14ac:dyDescent="0.3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 x14ac:dyDescent="0.3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 x14ac:dyDescent="0.3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 x14ac:dyDescent="0.3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 x14ac:dyDescent="0.3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 x14ac:dyDescent="0.3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 x14ac:dyDescent="0.3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 x14ac:dyDescent="0.3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 x14ac:dyDescent="0.3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 x14ac:dyDescent="0.3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 x14ac:dyDescent="0.3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 x14ac:dyDescent="0.3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 x14ac:dyDescent="0.3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 x14ac:dyDescent="0.3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 x14ac:dyDescent="0.3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 x14ac:dyDescent="0.3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 x14ac:dyDescent="0.3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 x14ac:dyDescent="0.3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 x14ac:dyDescent="0.3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 x14ac:dyDescent="0.3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 x14ac:dyDescent="0.3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 x14ac:dyDescent="0.3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 x14ac:dyDescent="0.3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 x14ac:dyDescent="0.3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 x14ac:dyDescent="0.3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 x14ac:dyDescent="0.3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 x14ac:dyDescent="0.3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 x14ac:dyDescent="0.3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 x14ac:dyDescent="0.3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 x14ac:dyDescent="0.3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 x14ac:dyDescent="0.3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 x14ac:dyDescent="0.3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 x14ac:dyDescent="0.3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 x14ac:dyDescent="0.3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 x14ac:dyDescent="0.3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 x14ac:dyDescent="0.3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 x14ac:dyDescent="0.3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 x14ac:dyDescent="0.3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 x14ac:dyDescent="0.3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 x14ac:dyDescent="0.3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 x14ac:dyDescent="0.3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 x14ac:dyDescent="0.3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 x14ac:dyDescent="0.3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 x14ac:dyDescent="0.3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 x14ac:dyDescent="0.3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 x14ac:dyDescent="0.3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 x14ac:dyDescent="0.3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 x14ac:dyDescent="0.3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 x14ac:dyDescent="0.3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 x14ac:dyDescent="0.3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 x14ac:dyDescent="0.3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 x14ac:dyDescent="0.3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 x14ac:dyDescent="0.3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 x14ac:dyDescent="0.3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 x14ac:dyDescent="0.3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 x14ac:dyDescent="0.3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 x14ac:dyDescent="0.3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 x14ac:dyDescent="0.3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 x14ac:dyDescent="0.3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 x14ac:dyDescent="0.3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 x14ac:dyDescent="0.3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 x14ac:dyDescent="0.3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 x14ac:dyDescent="0.3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 x14ac:dyDescent="0.3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 x14ac:dyDescent="0.3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 x14ac:dyDescent="0.3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 x14ac:dyDescent="0.3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 x14ac:dyDescent="0.3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 x14ac:dyDescent="0.3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 x14ac:dyDescent="0.3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 x14ac:dyDescent="0.3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 x14ac:dyDescent="0.3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 x14ac:dyDescent="0.3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 x14ac:dyDescent="0.3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 x14ac:dyDescent="0.3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 x14ac:dyDescent="0.3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 x14ac:dyDescent="0.3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 x14ac:dyDescent="0.3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 x14ac:dyDescent="0.3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 x14ac:dyDescent="0.3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 x14ac:dyDescent="0.3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 x14ac:dyDescent="0.3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 x14ac:dyDescent="0.3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 x14ac:dyDescent="0.3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 x14ac:dyDescent="0.3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 x14ac:dyDescent="0.3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 x14ac:dyDescent="0.3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 x14ac:dyDescent="0.3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 x14ac:dyDescent="0.3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 x14ac:dyDescent="0.3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 x14ac:dyDescent="0.3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 x14ac:dyDescent="0.3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 x14ac:dyDescent="0.3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 x14ac:dyDescent="0.3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 x14ac:dyDescent="0.3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 x14ac:dyDescent="0.3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 x14ac:dyDescent="0.3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 x14ac:dyDescent="0.3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 x14ac:dyDescent="0.3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 x14ac:dyDescent="0.3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 x14ac:dyDescent="0.3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 x14ac:dyDescent="0.3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 x14ac:dyDescent="0.3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 x14ac:dyDescent="0.3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 x14ac:dyDescent="0.3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 x14ac:dyDescent="0.3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 x14ac:dyDescent="0.3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 x14ac:dyDescent="0.3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 x14ac:dyDescent="0.3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 x14ac:dyDescent="0.3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 x14ac:dyDescent="0.3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 x14ac:dyDescent="0.3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 x14ac:dyDescent="0.3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 x14ac:dyDescent="0.3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 x14ac:dyDescent="0.3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 x14ac:dyDescent="0.3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 x14ac:dyDescent="0.3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 x14ac:dyDescent="0.3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 x14ac:dyDescent="0.3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 x14ac:dyDescent="0.3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 x14ac:dyDescent="0.3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 x14ac:dyDescent="0.3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 x14ac:dyDescent="0.3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 x14ac:dyDescent="0.3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 x14ac:dyDescent="0.3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 x14ac:dyDescent="0.3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 x14ac:dyDescent="0.3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 x14ac:dyDescent="0.3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 x14ac:dyDescent="0.3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 x14ac:dyDescent="0.3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 x14ac:dyDescent="0.3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 x14ac:dyDescent="0.3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 x14ac:dyDescent="0.3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 x14ac:dyDescent="0.3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 x14ac:dyDescent="0.3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 x14ac:dyDescent="0.3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 x14ac:dyDescent="0.3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 x14ac:dyDescent="0.3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 x14ac:dyDescent="0.3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 x14ac:dyDescent="0.3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 x14ac:dyDescent="0.3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 x14ac:dyDescent="0.3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 x14ac:dyDescent="0.3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 x14ac:dyDescent="0.3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 x14ac:dyDescent="0.3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 x14ac:dyDescent="0.3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 x14ac:dyDescent="0.3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 x14ac:dyDescent="0.3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 x14ac:dyDescent="0.3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 x14ac:dyDescent="0.3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 x14ac:dyDescent="0.3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 x14ac:dyDescent="0.3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 x14ac:dyDescent="0.3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 x14ac:dyDescent="0.3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 x14ac:dyDescent="0.3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 x14ac:dyDescent="0.3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 x14ac:dyDescent="0.3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 x14ac:dyDescent="0.3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 x14ac:dyDescent="0.3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 x14ac:dyDescent="0.3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 x14ac:dyDescent="0.3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 x14ac:dyDescent="0.3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 x14ac:dyDescent="0.3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 x14ac:dyDescent="0.3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 x14ac:dyDescent="0.3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 x14ac:dyDescent="0.3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 x14ac:dyDescent="0.3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 x14ac:dyDescent="0.3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 x14ac:dyDescent="0.3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 x14ac:dyDescent="0.3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 x14ac:dyDescent="0.3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 x14ac:dyDescent="0.3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 x14ac:dyDescent="0.3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 x14ac:dyDescent="0.3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 x14ac:dyDescent="0.3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 x14ac:dyDescent="0.3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 x14ac:dyDescent="0.3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 x14ac:dyDescent="0.3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 x14ac:dyDescent="0.3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 x14ac:dyDescent="0.3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 x14ac:dyDescent="0.3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 x14ac:dyDescent="0.3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 x14ac:dyDescent="0.3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 x14ac:dyDescent="0.3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 x14ac:dyDescent="0.3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 x14ac:dyDescent="0.3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 x14ac:dyDescent="0.3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 x14ac:dyDescent="0.3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 x14ac:dyDescent="0.3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 x14ac:dyDescent="0.3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 x14ac:dyDescent="0.3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 x14ac:dyDescent="0.3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 x14ac:dyDescent="0.3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 x14ac:dyDescent="0.3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 x14ac:dyDescent="0.3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 x14ac:dyDescent="0.3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 x14ac:dyDescent="0.3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 x14ac:dyDescent="0.3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 x14ac:dyDescent="0.3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 x14ac:dyDescent="0.3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 x14ac:dyDescent="0.3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 x14ac:dyDescent="0.3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 x14ac:dyDescent="0.3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 x14ac:dyDescent="0.3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 x14ac:dyDescent="0.3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 x14ac:dyDescent="0.3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 x14ac:dyDescent="0.3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 x14ac:dyDescent="0.3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 x14ac:dyDescent="0.3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 x14ac:dyDescent="0.3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 x14ac:dyDescent="0.3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 x14ac:dyDescent="0.3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 x14ac:dyDescent="0.3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 x14ac:dyDescent="0.3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 x14ac:dyDescent="0.3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 x14ac:dyDescent="0.3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 x14ac:dyDescent="0.3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 x14ac:dyDescent="0.3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 x14ac:dyDescent="0.3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 x14ac:dyDescent="0.3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 x14ac:dyDescent="0.3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 x14ac:dyDescent="0.3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 x14ac:dyDescent="0.3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 x14ac:dyDescent="0.3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 x14ac:dyDescent="0.3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 x14ac:dyDescent="0.3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 x14ac:dyDescent="0.3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 x14ac:dyDescent="0.3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 x14ac:dyDescent="0.3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 x14ac:dyDescent="0.3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 x14ac:dyDescent="0.3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 x14ac:dyDescent="0.3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 x14ac:dyDescent="0.3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 x14ac:dyDescent="0.3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 x14ac:dyDescent="0.3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 x14ac:dyDescent="0.3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 x14ac:dyDescent="0.3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 x14ac:dyDescent="0.3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 x14ac:dyDescent="0.3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 x14ac:dyDescent="0.3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 x14ac:dyDescent="0.3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 x14ac:dyDescent="0.3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 x14ac:dyDescent="0.3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 x14ac:dyDescent="0.3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 x14ac:dyDescent="0.3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 x14ac:dyDescent="0.3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 x14ac:dyDescent="0.3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 x14ac:dyDescent="0.3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 x14ac:dyDescent="0.3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 x14ac:dyDescent="0.3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 x14ac:dyDescent="0.3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 x14ac:dyDescent="0.3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 x14ac:dyDescent="0.3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 x14ac:dyDescent="0.3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 x14ac:dyDescent="0.3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 x14ac:dyDescent="0.3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 x14ac:dyDescent="0.3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 x14ac:dyDescent="0.3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 x14ac:dyDescent="0.3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 x14ac:dyDescent="0.3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 x14ac:dyDescent="0.3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 x14ac:dyDescent="0.3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 x14ac:dyDescent="0.3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 x14ac:dyDescent="0.3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 x14ac:dyDescent="0.3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 x14ac:dyDescent="0.3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 x14ac:dyDescent="0.3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 x14ac:dyDescent="0.3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 x14ac:dyDescent="0.3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 x14ac:dyDescent="0.3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 x14ac:dyDescent="0.3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 x14ac:dyDescent="0.3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 x14ac:dyDescent="0.3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 x14ac:dyDescent="0.3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 x14ac:dyDescent="0.3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 x14ac:dyDescent="0.3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 x14ac:dyDescent="0.3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 x14ac:dyDescent="0.3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 x14ac:dyDescent="0.3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 x14ac:dyDescent="0.3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 x14ac:dyDescent="0.3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 x14ac:dyDescent="0.3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 x14ac:dyDescent="0.3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 x14ac:dyDescent="0.3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 x14ac:dyDescent="0.3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 x14ac:dyDescent="0.3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 x14ac:dyDescent="0.3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 x14ac:dyDescent="0.3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 x14ac:dyDescent="0.3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 x14ac:dyDescent="0.3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 x14ac:dyDescent="0.3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 x14ac:dyDescent="0.3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 x14ac:dyDescent="0.3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 x14ac:dyDescent="0.3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 x14ac:dyDescent="0.3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 x14ac:dyDescent="0.3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 x14ac:dyDescent="0.3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 x14ac:dyDescent="0.3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 x14ac:dyDescent="0.3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 x14ac:dyDescent="0.3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 x14ac:dyDescent="0.3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 x14ac:dyDescent="0.3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 x14ac:dyDescent="0.3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 x14ac:dyDescent="0.3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 x14ac:dyDescent="0.3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 x14ac:dyDescent="0.3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 x14ac:dyDescent="0.3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 x14ac:dyDescent="0.3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 x14ac:dyDescent="0.3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 x14ac:dyDescent="0.3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 x14ac:dyDescent="0.3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 x14ac:dyDescent="0.3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 x14ac:dyDescent="0.3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 x14ac:dyDescent="0.3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 x14ac:dyDescent="0.3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 x14ac:dyDescent="0.3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 x14ac:dyDescent="0.3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 x14ac:dyDescent="0.3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 x14ac:dyDescent="0.3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 x14ac:dyDescent="0.3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 x14ac:dyDescent="0.3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 x14ac:dyDescent="0.3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 x14ac:dyDescent="0.3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 x14ac:dyDescent="0.3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 x14ac:dyDescent="0.3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 x14ac:dyDescent="0.3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 x14ac:dyDescent="0.3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 x14ac:dyDescent="0.3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 x14ac:dyDescent="0.3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 x14ac:dyDescent="0.3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 x14ac:dyDescent="0.3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 x14ac:dyDescent="0.3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 x14ac:dyDescent="0.3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 x14ac:dyDescent="0.3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 x14ac:dyDescent="0.3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 x14ac:dyDescent="0.3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 x14ac:dyDescent="0.3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 x14ac:dyDescent="0.3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 x14ac:dyDescent="0.3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 x14ac:dyDescent="0.3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 x14ac:dyDescent="0.3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 x14ac:dyDescent="0.3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 x14ac:dyDescent="0.3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 x14ac:dyDescent="0.3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 x14ac:dyDescent="0.3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 x14ac:dyDescent="0.3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 x14ac:dyDescent="0.3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 x14ac:dyDescent="0.3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 x14ac:dyDescent="0.3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 x14ac:dyDescent="0.3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 x14ac:dyDescent="0.3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 x14ac:dyDescent="0.3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 x14ac:dyDescent="0.3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 x14ac:dyDescent="0.3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 x14ac:dyDescent="0.3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 x14ac:dyDescent="0.3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 x14ac:dyDescent="0.3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 x14ac:dyDescent="0.3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 x14ac:dyDescent="0.3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 x14ac:dyDescent="0.3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 x14ac:dyDescent="0.3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 x14ac:dyDescent="0.3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 x14ac:dyDescent="0.3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 x14ac:dyDescent="0.3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 x14ac:dyDescent="0.3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 x14ac:dyDescent="0.3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 x14ac:dyDescent="0.3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 x14ac:dyDescent="0.3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 x14ac:dyDescent="0.3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 x14ac:dyDescent="0.3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 x14ac:dyDescent="0.3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 x14ac:dyDescent="0.3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 x14ac:dyDescent="0.3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 x14ac:dyDescent="0.3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 x14ac:dyDescent="0.3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 x14ac:dyDescent="0.3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 x14ac:dyDescent="0.3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 x14ac:dyDescent="0.3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 x14ac:dyDescent="0.3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 x14ac:dyDescent="0.3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 x14ac:dyDescent="0.3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 x14ac:dyDescent="0.3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 x14ac:dyDescent="0.3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 x14ac:dyDescent="0.3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 x14ac:dyDescent="0.3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 x14ac:dyDescent="0.3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 x14ac:dyDescent="0.3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 x14ac:dyDescent="0.3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 x14ac:dyDescent="0.3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 x14ac:dyDescent="0.3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 x14ac:dyDescent="0.3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 x14ac:dyDescent="0.3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 x14ac:dyDescent="0.3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 x14ac:dyDescent="0.3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 x14ac:dyDescent="0.3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 x14ac:dyDescent="0.3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 x14ac:dyDescent="0.3">
      <c r="A788" s="11">
        <v>20180209</v>
      </c>
      <c r="B788" s="12" t="s">
        <v>9</v>
      </c>
      <c r="C788" s="41">
        <v>271500</v>
      </c>
      <c r="D788" s="41">
        <v>288000</v>
      </c>
      <c r="E788" s="13">
        <v>282947</v>
      </c>
      <c r="F788" s="42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 x14ac:dyDescent="0.3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 x14ac:dyDescent="0.3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 x14ac:dyDescent="0.3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 x14ac:dyDescent="0.3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 x14ac:dyDescent="0.3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 x14ac:dyDescent="0.3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 x14ac:dyDescent="0.3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 x14ac:dyDescent="0.3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 x14ac:dyDescent="0.3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 x14ac:dyDescent="0.3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 x14ac:dyDescent="0.3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 x14ac:dyDescent="0.3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 x14ac:dyDescent="0.3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 x14ac:dyDescent="0.3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 x14ac:dyDescent="0.3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 x14ac:dyDescent="0.3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 x14ac:dyDescent="0.3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 x14ac:dyDescent="0.3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 x14ac:dyDescent="0.3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 x14ac:dyDescent="0.3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 x14ac:dyDescent="0.3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 x14ac:dyDescent="0.3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 x14ac:dyDescent="0.3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 x14ac:dyDescent="0.3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 x14ac:dyDescent="0.3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 x14ac:dyDescent="0.3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 x14ac:dyDescent="0.3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 x14ac:dyDescent="0.3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 x14ac:dyDescent="0.3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 x14ac:dyDescent="0.3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 x14ac:dyDescent="0.3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 x14ac:dyDescent="0.3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 x14ac:dyDescent="0.3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 x14ac:dyDescent="0.3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 x14ac:dyDescent="0.3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 x14ac:dyDescent="0.3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 x14ac:dyDescent="0.3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 x14ac:dyDescent="0.3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 x14ac:dyDescent="0.3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 x14ac:dyDescent="0.3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 x14ac:dyDescent="0.3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 x14ac:dyDescent="0.3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 x14ac:dyDescent="0.3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 x14ac:dyDescent="0.3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 x14ac:dyDescent="0.3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 x14ac:dyDescent="0.3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 x14ac:dyDescent="0.3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 x14ac:dyDescent="0.3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 x14ac:dyDescent="0.3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 x14ac:dyDescent="0.3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 x14ac:dyDescent="0.3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 x14ac:dyDescent="0.3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 x14ac:dyDescent="0.3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 x14ac:dyDescent="0.3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 x14ac:dyDescent="0.3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 x14ac:dyDescent="0.3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 x14ac:dyDescent="0.3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 x14ac:dyDescent="0.3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 x14ac:dyDescent="0.3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 x14ac:dyDescent="0.3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 x14ac:dyDescent="0.3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 x14ac:dyDescent="0.3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 x14ac:dyDescent="0.3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 x14ac:dyDescent="0.3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 x14ac:dyDescent="0.3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 x14ac:dyDescent="0.3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 x14ac:dyDescent="0.3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 x14ac:dyDescent="0.3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 x14ac:dyDescent="0.3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 x14ac:dyDescent="0.3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 x14ac:dyDescent="0.3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 x14ac:dyDescent="0.3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 x14ac:dyDescent="0.3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 x14ac:dyDescent="0.3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 x14ac:dyDescent="0.3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 x14ac:dyDescent="0.3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 x14ac:dyDescent="0.3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 x14ac:dyDescent="0.3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 x14ac:dyDescent="0.3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 x14ac:dyDescent="0.3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 x14ac:dyDescent="0.3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 x14ac:dyDescent="0.3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 x14ac:dyDescent="0.3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 x14ac:dyDescent="0.3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 x14ac:dyDescent="0.3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 x14ac:dyDescent="0.3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 x14ac:dyDescent="0.3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 x14ac:dyDescent="0.3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 x14ac:dyDescent="0.3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 x14ac:dyDescent="0.3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 x14ac:dyDescent="0.3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 x14ac:dyDescent="0.3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 x14ac:dyDescent="0.3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 x14ac:dyDescent="0.3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 x14ac:dyDescent="0.3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 x14ac:dyDescent="0.3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 x14ac:dyDescent="0.3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 x14ac:dyDescent="0.3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 x14ac:dyDescent="0.3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 x14ac:dyDescent="0.3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 x14ac:dyDescent="0.3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 x14ac:dyDescent="0.3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 x14ac:dyDescent="0.3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 x14ac:dyDescent="0.3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 x14ac:dyDescent="0.3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 x14ac:dyDescent="0.3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 x14ac:dyDescent="0.3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 x14ac:dyDescent="0.3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 x14ac:dyDescent="0.3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 x14ac:dyDescent="0.3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 x14ac:dyDescent="0.3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 x14ac:dyDescent="0.3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 x14ac:dyDescent="0.3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 x14ac:dyDescent="0.3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 x14ac:dyDescent="0.3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 x14ac:dyDescent="0.3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 x14ac:dyDescent="0.3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 x14ac:dyDescent="0.3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 x14ac:dyDescent="0.3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 x14ac:dyDescent="0.3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 x14ac:dyDescent="0.3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 x14ac:dyDescent="0.3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 x14ac:dyDescent="0.3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 x14ac:dyDescent="0.3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 x14ac:dyDescent="0.3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 x14ac:dyDescent="0.3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 x14ac:dyDescent="0.3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 x14ac:dyDescent="0.3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 x14ac:dyDescent="0.3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 x14ac:dyDescent="0.3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 x14ac:dyDescent="0.3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 x14ac:dyDescent="0.3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 x14ac:dyDescent="0.3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 x14ac:dyDescent="0.3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 x14ac:dyDescent="0.3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 x14ac:dyDescent="0.3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 x14ac:dyDescent="0.3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 x14ac:dyDescent="0.3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 x14ac:dyDescent="0.3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 x14ac:dyDescent="0.3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 x14ac:dyDescent="0.3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 x14ac:dyDescent="0.3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 x14ac:dyDescent="0.3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 x14ac:dyDescent="0.3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 x14ac:dyDescent="0.3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 x14ac:dyDescent="0.3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 x14ac:dyDescent="0.3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 x14ac:dyDescent="0.3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 x14ac:dyDescent="0.3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 x14ac:dyDescent="0.3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 x14ac:dyDescent="0.3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 x14ac:dyDescent="0.3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 x14ac:dyDescent="0.3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 x14ac:dyDescent="0.3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 x14ac:dyDescent="0.3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 x14ac:dyDescent="0.3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 x14ac:dyDescent="0.3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 x14ac:dyDescent="0.3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 x14ac:dyDescent="0.3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 x14ac:dyDescent="0.3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 x14ac:dyDescent="0.3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 x14ac:dyDescent="0.3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 x14ac:dyDescent="0.3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 x14ac:dyDescent="0.3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 x14ac:dyDescent="0.3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 x14ac:dyDescent="0.3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 x14ac:dyDescent="0.3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 x14ac:dyDescent="0.3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 x14ac:dyDescent="0.3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 x14ac:dyDescent="0.3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 x14ac:dyDescent="0.3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 x14ac:dyDescent="0.3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 x14ac:dyDescent="0.3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 x14ac:dyDescent="0.3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 x14ac:dyDescent="0.3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 x14ac:dyDescent="0.3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 x14ac:dyDescent="0.3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 x14ac:dyDescent="0.3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 x14ac:dyDescent="0.3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 x14ac:dyDescent="0.3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 x14ac:dyDescent="0.3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 x14ac:dyDescent="0.3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 x14ac:dyDescent="0.3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 x14ac:dyDescent="0.3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 x14ac:dyDescent="0.3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 x14ac:dyDescent="0.3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 x14ac:dyDescent="0.3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 x14ac:dyDescent="0.3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 x14ac:dyDescent="0.3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 x14ac:dyDescent="0.3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 x14ac:dyDescent="0.3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 x14ac:dyDescent="0.3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 x14ac:dyDescent="0.3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 x14ac:dyDescent="0.3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 x14ac:dyDescent="0.3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 x14ac:dyDescent="0.3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 x14ac:dyDescent="0.3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 x14ac:dyDescent="0.3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 x14ac:dyDescent="0.3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 x14ac:dyDescent="0.3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 x14ac:dyDescent="0.3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 x14ac:dyDescent="0.3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 x14ac:dyDescent="0.3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 x14ac:dyDescent="0.3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 x14ac:dyDescent="0.3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 x14ac:dyDescent="0.3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 x14ac:dyDescent="0.3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 x14ac:dyDescent="0.3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 x14ac:dyDescent="0.3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 x14ac:dyDescent="0.3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 x14ac:dyDescent="0.3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 x14ac:dyDescent="0.3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 x14ac:dyDescent="0.3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 x14ac:dyDescent="0.3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 x14ac:dyDescent="0.3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 x14ac:dyDescent="0.3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 x14ac:dyDescent="0.3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 x14ac:dyDescent="0.3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 x14ac:dyDescent="0.3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 x14ac:dyDescent="0.3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 x14ac:dyDescent="0.3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 x14ac:dyDescent="0.3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 x14ac:dyDescent="0.3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 x14ac:dyDescent="0.3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 x14ac:dyDescent="0.3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 x14ac:dyDescent="0.3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 x14ac:dyDescent="0.3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 x14ac:dyDescent="0.3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 x14ac:dyDescent="0.3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 x14ac:dyDescent="0.3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 x14ac:dyDescent="0.3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 x14ac:dyDescent="0.3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 x14ac:dyDescent="0.3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 x14ac:dyDescent="0.3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 x14ac:dyDescent="0.3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 x14ac:dyDescent="0.3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 x14ac:dyDescent="0.3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 x14ac:dyDescent="0.3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 x14ac:dyDescent="0.3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 x14ac:dyDescent="0.3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 x14ac:dyDescent="0.3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 x14ac:dyDescent="0.3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 x14ac:dyDescent="0.3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 x14ac:dyDescent="0.3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 x14ac:dyDescent="0.3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 x14ac:dyDescent="0.3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 x14ac:dyDescent="0.3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 x14ac:dyDescent="0.3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 x14ac:dyDescent="0.3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 x14ac:dyDescent="0.3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 x14ac:dyDescent="0.3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 x14ac:dyDescent="0.3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 x14ac:dyDescent="0.3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 x14ac:dyDescent="0.3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 x14ac:dyDescent="0.3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 x14ac:dyDescent="0.3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 x14ac:dyDescent="0.3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 x14ac:dyDescent="0.3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 x14ac:dyDescent="0.3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 x14ac:dyDescent="0.3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 x14ac:dyDescent="0.3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 x14ac:dyDescent="0.3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 x14ac:dyDescent="0.3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 x14ac:dyDescent="0.3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 x14ac:dyDescent="0.3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 x14ac:dyDescent="0.3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 x14ac:dyDescent="0.3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 x14ac:dyDescent="0.3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 x14ac:dyDescent="0.3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 x14ac:dyDescent="0.3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 x14ac:dyDescent="0.3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 x14ac:dyDescent="0.3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 x14ac:dyDescent="0.3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 x14ac:dyDescent="0.3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 x14ac:dyDescent="0.3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 x14ac:dyDescent="0.3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 x14ac:dyDescent="0.3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 x14ac:dyDescent="0.3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 x14ac:dyDescent="0.3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 x14ac:dyDescent="0.3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 x14ac:dyDescent="0.3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 x14ac:dyDescent="0.3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 x14ac:dyDescent="0.3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 x14ac:dyDescent="0.3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 x14ac:dyDescent="0.3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 x14ac:dyDescent="0.3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 x14ac:dyDescent="0.3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 x14ac:dyDescent="0.3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 x14ac:dyDescent="0.3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 x14ac:dyDescent="0.3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 x14ac:dyDescent="0.3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 x14ac:dyDescent="0.3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 x14ac:dyDescent="0.3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 x14ac:dyDescent="0.3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 x14ac:dyDescent="0.3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 x14ac:dyDescent="0.3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 x14ac:dyDescent="0.3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 x14ac:dyDescent="0.3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 x14ac:dyDescent="0.3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 x14ac:dyDescent="0.3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 x14ac:dyDescent="0.3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 x14ac:dyDescent="0.3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 x14ac:dyDescent="0.3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 x14ac:dyDescent="0.3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 x14ac:dyDescent="0.3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 x14ac:dyDescent="0.3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 x14ac:dyDescent="0.3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 x14ac:dyDescent="0.3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 x14ac:dyDescent="0.3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 x14ac:dyDescent="0.3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 x14ac:dyDescent="0.3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 x14ac:dyDescent="0.3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 x14ac:dyDescent="0.3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 x14ac:dyDescent="0.3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 x14ac:dyDescent="0.3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 x14ac:dyDescent="0.3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 x14ac:dyDescent="0.3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 x14ac:dyDescent="0.3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 x14ac:dyDescent="0.3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 x14ac:dyDescent="0.3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 x14ac:dyDescent="0.3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 x14ac:dyDescent="0.3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 x14ac:dyDescent="0.3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 x14ac:dyDescent="0.3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 x14ac:dyDescent="0.3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 x14ac:dyDescent="0.3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 x14ac:dyDescent="0.3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 x14ac:dyDescent="0.3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 x14ac:dyDescent="0.3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 x14ac:dyDescent="0.3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 x14ac:dyDescent="0.3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 x14ac:dyDescent="0.3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 x14ac:dyDescent="0.3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 x14ac:dyDescent="0.3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 x14ac:dyDescent="0.3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 x14ac:dyDescent="0.3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 x14ac:dyDescent="0.3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 x14ac:dyDescent="0.3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 x14ac:dyDescent="0.3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 x14ac:dyDescent="0.3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 x14ac:dyDescent="0.3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 x14ac:dyDescent="0.3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 x14ac:dyDescent="0.3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 x14ac:dyDescent="0.3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 x14ac:dyDescent="0.3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 x14ac:dyDescent="0.3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 x14ac:dyDescent="0.3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 x14ac:dyDescent="0.3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 x14ac:dyDescent="0.3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60" sqref="E760:E1137"/>
    </sheetView>
  </sheetViews>
  <sheetFormatPr defaultColWidth="8.875" defaultRowHeight="16.5" x14ac:dyDescent="0.3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 x14ac:dyDescent="0.3">
      <c r="A1" s="3" t="s">
        <v>0</v>
      </c>
      <c r="B1" s="3" t="s">
        <v>1</v>
      </c>
      <c r="C1" s="40" t="s">
        <v>11</v>
      </c>
      <c r="D1" s="40" t="s">
        <v>2</v>
      </c>
      <c r="E1" s="3" t="s">
        <v>3</v>
      </c>
      <c r="F1" s="40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 x14ac:dyDescent="0.3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 x14ac:dyDescent="0.3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 x14ac:dyDescent="0.3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 x14ac:dyDescent="0.3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 x14ac:dyDescent="0.3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 x14ac:dyDescent="0.3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 x14ac:dyDescent="0.3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 x14ac:dyDescent="0.3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 x14ac:dyDescent="0.3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 x14ac:dyDescent="0.3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 x14ac:dyDescent="0.3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 x14ac:dyDescent="0.3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 x14ac:dyDescent="0.3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 x14ac:dyDescent="0.3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 x14ac:dyDescent="0.3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 x14ac:dyDescent="0.3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 x14ac:dyDescent="0.3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 x14ac:dyDescent="0.3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 x14ac:dyDescent="0.3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 x14ac:dyDescent="0.3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 x14ac:dyDescent="0.3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 x14ac:dyDescent="0.3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 x14ac:dyDescent="0.3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 x14ac:dyDescent="0.3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 x14ac:dyDescent="0.3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 x14ac:dyDescent="0.3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 x14ac:dyDescent="0.3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 x14ac:dyDescent="0.3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 x14ac:dyDescent="0.3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 x14ac:dyDescent="0.3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 x14ac:dyDescent="0.3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 x14ac:dyDescent="0.3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 x14ac:dyDescent="0.3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 x14ac:dyDescent="0.3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 x14ac:dyDescent="0.3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 x14ac:dyDescent="0.3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 x14ac:dyDescent="0.3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 x14ac:dyDescent="0.3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 x14ac:dyDescent="0.3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 x14ac:dyDescent="0.3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 x14ac:dyDescent="0.3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 x14ac:dyDescent="0.3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 x14ac:dyDescent="0.3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 x14ac:dyDescent="0.3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 x14ac:dyDescent="0.3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 x14ac:dyDescent="0.3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 x14ac:dyDescent="0.3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 x14ac:dyDescent="0.3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 x14ac:dyDescent="0.3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 x14ac:dyDescent="0.3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 x14ac:dyDescent="0.3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 x14ac:dyDescent="0.3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 x14ac:dyDescent="0.3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 x14ac:dyDescent="0.3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 x14ac:dyDescent="0.3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 x14ac:dyDescent="0.3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 x14ac:dyDescent="0.3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 x14ac:dyDescent="0.3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 x14ac:dyDescent="0.3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 x14ac:dyDescent="0.3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 x14ac:dyDescent="0.3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 x14ac:dyDescent="0.3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 x14ac:dyDescent="0.3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 x14ac:dyDescent="0.3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 x14ac:dyDescent="0.3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 x14ac:dyDescent="0.3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 x14ac:dyDescent="0.3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 x14ac:dyDescent="0.3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 x14ac:dyDescent="0.3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 x14ac:dyDescent="0.3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 x14ac:dyDescent="0.3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 x14ac:dyDescent="0.3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 x14ac:dyDescent="0.3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 x14ac:dyDescent="0.3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 x14ac:dyDescent="0.3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 x14ac:dyDescent="0.3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 x14ac:dyDescent="0.3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 x14ac:dyDescent="0.3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 x14ac:dyDescent="0.3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 x14ac:dyDescent="0.3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 x14ac:dyDescent="0.3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 x14ac:dyDescent="0.3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 x14ac:dyDescent="0.3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 x14ac:dyDescent="0.3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 x14ac:dyDescent="0.3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 x14ac:dyDescent="0.3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 x14ac:dyDescent="0.3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 x14ac:dyDescent="0.3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 x14ac:dyDescent="0.3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 x14ac:dyDescent="0.3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 x14ac:dyDescent="0.3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 x14ac:dyDescent="0.3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 x14ac:dyDescent="0.3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 x14ac:dyDescent="0.3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 x14ac:dyDescent="0.3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 x14ac:dyDescent="0.3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 x14ac:dyDescent="0.3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 x14ac:dyDescent="0.3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 x14ac:dyDescent="0.3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 x14ac:dyDescent="0.3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 x14ac:dyDescent="0.3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 x14ac:dyDescent="0.3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 x14ac:dyDescent="0.3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 x14ac:dyDescent="0.3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 x14ac:dyDescent="0.3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 x14ac:dyDescent="0.3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 x14ac:dyDescent="0.3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 x14ac:dyDescent="0.3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 x14ac:dyDescent="0.3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 x14ac:dyDescent="0.3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 x14ac:dyDescent="0.3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 x14ac:dyDescent="0.3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 x14ac:dyDescent="0.3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 x14ac:dyDescent="0.3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 x14ac:dyDescent="0.3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 x14ac:dyDescent="0.3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 x14ac:dyDescent="0.3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 x14ac:dyDescent="0.3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 x14ac:dyDescent="0.3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 x14ac:dyDescent="0.3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 x14ac:dyDescent="0.3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 x14ac:dyDescent="0.3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 x14ac:dyDescent="0.3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 x14ac:dyDescent="0.3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 x14ac:dyDescent="0.3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 x14ac:dyDescent="0.3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 x14ac:dyDescent="0.3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 x14ac:dyDescent="0.3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 x14ac:dyDescent="0.3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 x14ac:dyDescent="0.3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 x14ac:dyDescent="0.3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 x14ac:dyDescent="0.3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 x14ac:dyDescent="0.3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 x14ac:dyDescent="0.3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 x14ac:dyDescent="0.3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 x14ac:dyDescent="0.3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 x14ac:dyDescent="0.3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 x14ac:dyDescent="0.3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 x14ac:dyDescent="0.3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 x14ac:dyDescent="0.3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 x14ac:dyDescent="0.3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 x14ac:dyDescent="0.3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 x14ac:dyDescent="0.3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 x14ac:dyDescent="0.3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 x14ac:dyDescent="0.3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 x14ac:dyDescent="0.3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 x14ac:dyDescent="0.3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 x14ac:dyDescent="0.3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 x14ac:dyDescent="0.3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 x14ac:dyDescent="0.3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 x14ac:dyDescent="0.3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 x14ac:dyDescent="0.3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 x14ac:dyDescent="0.3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 x14ac:dyDescent="0.3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 x14ac:dyDescent="0.3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 x14ac:dyDescent="0.3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 x14ac:dyDescent="0.3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 x14ac:dyDescent="0.3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 x14ac:dyDescent="0.3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 x14ac:dyDescent="0.3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 x14ac:dyDescent="0.3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 x14ac:dyDescent="0.3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 x14ac:dyDescent="0.3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 x14ac:dyDescent="0.3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 x14ac:dyDescent="0.3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 x14ac:dyDescent="0.3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 x14ac:dyDescent="0.3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 x14ac:dyDescent="0.3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 x14ac:dyDescent="0.3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 x14ac:dyDescent="0.3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 x14ac:dyDescent="0.3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 x14ac:dyDescent="0.3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 x14ac:dyDescent="0.3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 x14ac:dyDescent="0.3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 x14ac:dyDescent="0.3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 x14ac:dyDescent="0.3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 x14ac:dyDescent="0.3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 x14ac:dyDescent="0.3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 x14ac:dyDescent="0.3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 x14ac:dyDescent="0.3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 x14ac:dyDescent="0.3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 x14ac:dyDescent="0.3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 x14ac:dyDescent="0.3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 x14ac:dyDescent="0.3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 x14ac:dyDescent="0.3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 x14ac:dyDescent="0.3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 x14ac:dyDescent="0.3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 x14ac:dyDescent="0.3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 x14ac:dyDescent="0.3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 x14ac:dyDescent="0.3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 x14ac:dyDescent="0.3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 x14ac:dyDescent="0.3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 x14ac:dyDescent="0.3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 x14ac:dyDescent="0.3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 x14ac:dyDescent="0.3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 x14ac:dyDescent="0.3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 x14ac:dyDescent="0.3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 x14ac:dyDescent="0.3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 x14ac:dyDescent="0.3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 x14ac:dyDescent="0.3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 x14ac:dyDescent="0.3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 x14ac:dyDescent="0.3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 x14ac:dyDescent="0.3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 x14ac:dyDescent="0.3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 x14ac:dyDescent="0.3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 x14ac:dyDescent="0.3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 x14ac:dyDescent="0.3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 x14ac:dyDescent="0.3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 x14ac:dyDescent="0.3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 x14ac:dyDescent="0.3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 x14ac:dyDescent="0.3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 x14ac:dyDescent="0.3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 x14ac:dyDescent="0.3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 x14ac:dyDescent="0.3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 x14ac:dyDescent="0.3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 x14ac:dyDescent="0.3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 x14ac:dyDescent="0.3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 x14ac:dyDescent="0.3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 x14ac:dyDescent="0.3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 x14ac:dyDescent="0.3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 x14ac:dyDescent="0.3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 x14ac:dyDescent="0.3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 x14ac:dyDescent="0.3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 x14ac:dyDescent="0.3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 x14ac:dyDescent="0.3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 x14ac:dyDescent="0.3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 x14ac:dyDescent="0.3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 x14ac:dyDescent="0.3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 x14ac:dyDescent="0.3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 x14ac:dyDescent="0.3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 x14ac:dyDescent="0.3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 x14ac:dyDescent="0.3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 x14ac:dyDescent="0.3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 x14ac:dyDescent="0.3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 x14ac:dyDescent="0.3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 x14ac:dyDescent="0.3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 x14ac:dyDescent="0.3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 x14ac:dyDescent="0.3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 x14ac:dyDescent="0.3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 x14ac:dyDescent="0.3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 x14ac:dyDescent="0.3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 x14ac:dyDescent="0.3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 x14ac:dyDescent="0.3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 x14ac:dyDescent="0.3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 x14ac:dyDescent="0.3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 x14ac:dyDescent="0.3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 x14ac:dyDescent="0.3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 x14ac:dyDescent="0.3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 x14ac:dyDescent="0.3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 x14ac:dyDescent="0.3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 x14ac:dyDescent="0.3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 x14ac:dyDescent="0.3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 x14ac:dyDescent="0.3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 x14ac:dyDescent="0.3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 x14ac:dyDescent="0.3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 x14ac:dyDescent="0.3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 x14ac:dyDescent="0.3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 x14ac:dyDescent="0.3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 x14ac:dyDescent="0.3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 x14ac:dyDescent="0.3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 x14ac:dyDescent="0.3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 x14ac:dyDescent="0.3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 x14ac:dyDescent="0.3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 x14ac:dyDescent="0.3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 x14ac:dyDescent="0.3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 x14ac:dyDescent="0.3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 x14ac:dyDescent="0.3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 x14ac:dyDescent="0.3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 x14ac:dyDescent="0.3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 x14ac:dyDescent="0.3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 x14ac:dyDescent="0.3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 x14ac:dyDescent="0.3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 x14ac:dyDescent="0.3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 x14ac:dyDescent="0.3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 x14ac:dyDescent="0.3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 x14ac:dyDescent="0.3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 x14ac:dyDescent="0.3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 x14ac:dyDescent="0.3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 x14ac:dyDescent="0.3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 x14ac:dyDescent="0.3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 x14ac:dyDescent="0.3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 x14ac:dyDescent="0.3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 x14ac:dyDescent="0.3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 x14ac:dyDescent="0.3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 x14ac:dyDescent="0.3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 x14ac:dyDescent="0.3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 x14ac:dyDescent="0.3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 x14ac:dyDescent="0.3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 x14ac:dyDescent="0.3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 x14ac:dyDescent="0.3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 x14ac:dyDescent="0.3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 x14ac:dyDescent="0.3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 x14ac:dyDescent="0.3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 x14ac:dyDescent="0.3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 x14ac:dyDescent="0.3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 x14ac:dyDescent="0.3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 x14ac:dyDescent="0.3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 x14ac:dyDescent="0.3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 x14ac:dyDescent="0.3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 x14ac:dyDescent="0.3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 x14ac:dyDescent="0.3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 x14ac:dyDescent="0.3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 x14ac:dyDescent="0.3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 x14ac:dyDescent="0.3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 x14ac:dyDescent="0.3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 x14ac:dyDescent="0.3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 x14ac:dyDescent="0.3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 x14ac:dyDescent="0.3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 x14ac:dyDescent="0.3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 x14ac:dyDescent="0.3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 x14ac:dyDescent="0.3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 x14ac:dyDescent="0.3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 x14ac:dyDescent="0.3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 x14ac:dyDescent="0.3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 x14ac:dyDescent="0.3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 x14ac:dyDescent="0.3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 x14ac:dyDescent="0.3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 x14ac:dyDescent="0.3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 x14ac:dyDescent="0.3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 x14ac:dyDescent="0.3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 x14ac:dyDescent="0.3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 x14ac:dyDescent="0.3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 x14ac:dyDescent="0.3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 x14ac:dyDescent="0.3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 x14ac:dyDescent="0.3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 x14ac:dyDescent="0.3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 x14ac:dyDescent="0.3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 x14ac:dyDescent="0.3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 x14ac:dyDescent="0.3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 x14ac:dyDescent="0.3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 x14ac:dyDescent="0.3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 x14ac:dyDescent="0.3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 x14ac:dyDescent="0.3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 x14ac:dyDescent="0.3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 x14ac:dyDescent="0.3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 x14ac:dyDescent="0.3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 x14ac:dyDescent="0.3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 x14ac:dyDescent="0.3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 x14ac:dyDescent="0.3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 x14ac:dyDescent="0.3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 x14ac:dyDescent="0.3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 x14ac:dyDescent="0.3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 x14ac:dyDescent="0.3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 x14ac:dyDescent="0.3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 x14ac:dyDescent="0.3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 x14ac:dyDescent="0.3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 x14ac:dyDescent="0.3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 x14ac:dyDescent="0.3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 x14ac:dyDescent="0.3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 x14ac:dyDescent="0.3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 x14ac:dyDescent="0.3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 x14ac:dyDescent="0.3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 x14ac:dyDescent="0.3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 x14ac:dyDescent="0.3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 x14ac:dyDescent="0.3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 x14ac:dyDescent="0.3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 x14ac:dyDescent="0.3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 x14ac:dyDescent="0.3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 x14ac:dyDescent="0.3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 x14ac:dyDescent="0.3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 x14ac:dyDescent="0.3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 x14ac:dyDescent="0.3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 x14ac:dyDescent="0.3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 x14ac:dyDescent="0.3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 x14ac:dyDescent="0.3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 x14ac:dyDescent="0.3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 x14ac:dyDescent="0.3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 x14ac:dyDescent="0.3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 x14ac:dyDescent="0.3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 x14ac:dyDescent="0.3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 x14ac:dyDescent="0.3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 x14ac:dyDescent="0.3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 x14ac:dyDescent="0.3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 x14ac:dyDescent="0.3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 x14ac:dyDescent="0.3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 x14ac:dyDescent="0.3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 x14ac:dyDescent="0.3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 x14ac:dyDescent="0.3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 x14ac:dyDescent="0.3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 x14ac:dyDescent="0.3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 x14ac:dyDescent="0.3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 x14ac:dyDescent="0.3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 x14ac:dyDescent="0.3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 x14ac:dyDescent="0.3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 x14ac:dyDescent="0.3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 x14ac:dyDescent="0.3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 x14ac:dyDescent="0.3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 x14ac:dyDescent="0.3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 x14ac:dyDescent="0.3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 x14ac:dyDescent="0.3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 x14ac:dyDescent="0.3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 x14ac:dyDescent="0.3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 x14ac:dyDescent="0.3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 x14ac:dyDescent="0.3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 x14ac:dyDescent="0.3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 x14ac:dyDescent="0.3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 x14ac:dyDescent="0.3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 x14ac:dyDescent="0.3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 x14ac:dyDescent="0.3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 x14ac:dyDescent="0.3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 x14ac:dyDescent="0.3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 x14ac:dyDescent="0.3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 x14ac:dyDescent="0.3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 x14ac:dyDescent="0.3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 x14ac:dyDescent="0.3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 x14ac:dyDescent="0.3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 x14ac:dyDescent="0.3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 x14ac:dyDescent="0.3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 x14ac:dyDescent="0.3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 x14ac:dyDescent="0.3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 x14ac:dyDescent="0.3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 x14ac:dyDescent="0.3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 x14ac:dyDescent="0.3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 x14ac:dyDescent="0.3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 x14ac:dyDescent="0.3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 x14ac:dyDescent="0.3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 x14ac:dyDescent="0.3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 x14ac:dyDescent="0.3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 x14ac:dyDescent="0.3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 x14ac:dyDescent="0.3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 x14ac:dyDescent="0.3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 x14ac:dyDescent="0.3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 x14ac:dyDescent="0.3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 x14ac:dyDescent="0.3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 x14ac:dyDescent="0.3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 x14ac:dyDescent="0.3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 x14ac:dyDescent="0.3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 x14ac:dyDescent="0.3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 x14ac:dyDescent="0.3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 x14ac:dyDescent="0.3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 x14ac:dyDescent="0.3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 x14ac:dyDescent="0.3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 x14ac:dyDescent="0.3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 x14ac:dyDescent="0.3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 x14ac:dyDescent="0.3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 x14ac:dyDescent="0.3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 x14ac:dyDescent="0.3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 x14ac:dyDescent="0.3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 x14ac:dyDescent="0.3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 x14ac:dyDescent="0.3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 x14ac:dyDescent="0.3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 x14ac:dyDescent="0.3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 x14ac:dyDescent="0.3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 x14ac:dyDescent="0.3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 x14ac:dyDescent="0.3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 x14ac:dyDescent="0.3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 x14ac:dyDescent="0.3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 x14ac:dyDescent="0.3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 x14ac:dyDescent="0.3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 x14ac:dyDescent="0.3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 x14ac:dyDescent="0.3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 x14ac:dyDescent="0.3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 x14ac:dyDescent="0.3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 x14ac:dyDescent="0.3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 x14ac:dyDescent="0.3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 x14ac:dyDescent="0.3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 x14ac:dyDescent="0.3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 x14ac:dyDescent="0.3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 x14ac:dyDescent="0.3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 x14ac:dyDescent="0.3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 x14ac:dyDescent="0.3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 x14ac:dyDescent="0.3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 x14ac:dyDescent="0.3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 x14ac:dyDescent="0.3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 x14ac:dyDescent="0.3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 x14ac:dyDescent="0.3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 x14ac:dyDescent="0.3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 x14ac:dyDescent="0.3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 x14ac:dyDescent="0.3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 x14ac:dyDescent="0.3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 x14ac:dyDescent="0.3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 x14ac:dyDescent="0.3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 x14ac:dyDescent="0.3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 x14ac:dyDescent="0.3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 x14ac:dyDescent="0.3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 x14ac:dyDescent="0.3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 x14ac:dyDescent="0.3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 x14ac:dyDescent="0.3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 x14ac:dyDescent="0.3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 x14ac:dyDescent="0.3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 x14ac:dyDescent="0.3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 x14ac:dyDescent="0.3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 x14ac:dyDescent="0.3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 x14ac:dyDescent="0.3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 x14ac:dyDescent="0.3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 x14ac:dyDescent="0.3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 x14ac:dyDescent="0.3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 x14ac:dyDescent="0.3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 x14ac:dyDescent="0.3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 x14ac:dyDescent="0.3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 x14ac:dyDescent="0.3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 x14ac:dyDescent="0.3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 x14ac:dyDescent="0.3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 x14ac:dyDescent="0.3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 x14ac:dyDescent="0.3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 x14ac:dyDescent="0.3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 x14ac:dyDescent="0.3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 x14ac:dyDescent="0.3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 x14ac:dyDescent="0.3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 x14ac:dyDescent="0.3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 x14ac:dyDescent="0.3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 x14ac:dyDescent="0.3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 x14ac:dyDescent="0.3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 x14ac:dyDescent="0.3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 x14ac:dyDescent="0.3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 x14ac:dyDescent="0.3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 x14ac:dyDescent="0.3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 x14ac:dyDescent="0.3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 x14ac:dyDescent="0.3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 x14ac:dyDescent="0.3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 x14ac:dyDescent="0.3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 x14ac:dyDescent="0.3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 x14ac:dyDescent="0.3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 x14ac:dyDescent="0.3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 x14ac:dyDescent="0.3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 x14ac:dyDescent="0.3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 x14ac:dyDescent="0.3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 x14ac:dyDescent="0.3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 x14ac:dyDescent="0.3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 x14ac:dyDescent="0.3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 x14ac:dyDescent="0.3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 x14ac:dyDescent="0.3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 x14ac:dyDescent="0.3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 x14ac:dyDescent="0.3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 x14ac:dyDescent="0.3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 x14ac:dyDescent="0.3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 x14ac:dyDescent="0.3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 x14ac:dyDescent="0.3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 x14ac:dyDescent="0.3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 x14ac:dyDescent="0.3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 x14ac:dyDescent="0.3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 x14ac:dyDescent="0.3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 x14ac:dyDescent="0.3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 x14ac:dyDescent="0.3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 x14ac:dyDescent="0.3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 x14ac:dyDescent="0.3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 x14ac:dyDescent="0.3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 x14ac:dyDescent="0.3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 x14ac:dyDescent="0.3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 x14ac:dyDescent="0.3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 x14ac:dyDescent="0.3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 x14ac:dyDescent="0.3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 x14ac:dyDescent="0.3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 x14ac:dyDescent="0.3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 x14ac:dyDescent="0.3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 x14ac:dyDescent="0.3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 x14ac:dyDescent="0.3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 x14ac:dyDescent="0.3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 x14ac:dyDescent="0.3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 x14ac:dyDescent="0.3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 x14ac:dyDescent="0.3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 x14ac:dyDescent="0.3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 x14ac:dyDescent="0.3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 x14ac:dyDescent="0.3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 x14ac:dyDescent="0.3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 x14ac:dyDescent="0.3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 x14ac:dyDescent="0.3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 x14ac:dyDescent="0.3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 x14ac:dyDescent="0.3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 x14ac:dyDescent="0.3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 x14ac:dyDescent="0.3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 x14ac:dyDescent="0.3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 x14ac:dyDescent="0.3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 x14ac:dyDescent="0.3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 x14ac:dyDescent="0.3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 x14ac:dyDescent="0.3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 x14ac:dyDescent="0.3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 x14ac:dyDescent="0.3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 x14ac:dyDescent="0.3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 x14ac:dyDescent="0.3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 x14ac:dyDescent="0.3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 x14ac:dyDescent="0.3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 x14ac:dyDescent="0.3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 x14ac:dyDescent="0.3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 x14ac:dyDescent="0.3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 x14ac:dyDescent="0.3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 x14ac:dyDescent="0.3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 x14ac:dyDescent="0.3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 x14ac:dyDescent="0.3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 x14ac:dyDescent="0.3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 x14ac:dyDescent="0.3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 x14ac:dyDescent="0.3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 x14ac:dyDescent="0.3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 x14ac:dyDescent="0.3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 x14ac:dyDescent="0.3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 x14ac:dyDescent="0.3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 x14ac:dyDescent="0.3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 x14ac:dyDescent="0.3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 x14ac:dyDescent="0.3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 x14ac:dyDescent="0.3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 x14ac:dyDescent="0.3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 x14ac:dyDescent="0.3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 x14ac:dyDescent="0.3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 x14ac:dyDescent="0.3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 x14ac:dyDescent="0.3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 x14ac:dyDescent="0.3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 x14ac:dyDescent="0.3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 x14ac:dyDescent="0.3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 x14ac:dyDescent="0.3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 x14ac:dyDescent="0.3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 x14ac:dyDescent="0.3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 x14ac:dyDescent="0.3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 x14ac:dyDescent="0.3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 x14ac:dyDescent="0.3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 x14ac:dyDescent="0.3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 x14ac:dyDescent="0.3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 x14ac:dyDescent="0.3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 x14ac:dyDescent="0.3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 x14ac:dyDescent="0.3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 x14ac:dyDescent="0.3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 x14ac:dyDescent="0.3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 x14ac:dyDescent="0.3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 x14ac:dyDescent="0.3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 x14ac:dyDescent="0.3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 x14ac:dyDescent="0.3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 x14ac:dyDescent="0.3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 x14ac:dyDescent="0.3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 x14ac:dyDescent="0.3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 x14ac:dyDescent="0.3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 x14ac:dyDescent="0.3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 x14ac:dyDescent="0.3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 x14ac:dyDescent="0.3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 x14ac:dyDescent="0.3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 x14ac:dyDescent="0.3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 x14ac:dyDescent="0.3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 x14ac:dyDescent="0.3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 x14ac:dyDescent="0.3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 x14ac:dyDescent="0.3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 x14ac:dyDescent="0.3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 x14ac:dyDescent="0.3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 x14ac:dyDescent="0.3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 x14ac:dyDescent="0.3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 x14ac:dyDescent="0.3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 x14ac:dyDescent="0.3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 x14ac:dyDescent="0.3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 x14ac:dyDescent="0.3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 x14ac:dyDescent="0.3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 x14ac:dyDescent="0.3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 x14ac:dyDescent="0.3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 x14ac:dyDescent="0.3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 x14ac:dyDescent="0.3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 x14ac:dyDescent="0.3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 x14ac:dyDescent="0.3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 x14ac:dyDescent="0.3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 x14ac:dyDescent="0.3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 x14ac:dyDescent="0.3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 x14ac:dyDescent="0.3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 x14ac:dyDescent="0.3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 x14ac:dyDescent="0.3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 x14ac:dyDescent="0.3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 x14ac:dyDescent="0.3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 x14ac:dyDescent="0.3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 x14ac:dyDescent="0.3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 x14ac:dyDescent="0.3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 x14ac:dyDescent="0.3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 x14ac:dyDescent="0.3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 x14ac:dyDescent="0.3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 x14ac:dyDescent="0.3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 x14ac:dyDescent="0.3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 x14ac:dyDescent="0.3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 x14ac:dyDescent="0.3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 x14ac:dyDescent="0.3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 x14ac:dyDescent="0.3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 x14ac:dyDescent="0.3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 x14ac:dyDescent="0.3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 x14ac:dyDescent="0.3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 x14ac:dyDescent="0.3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 x14ac:dyDescent="0.3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 x14ac:dyDescent="0.3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 x14ac:dyDescent="0.3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 x14ac:dyDescent="0.3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 x14ac:dyDescent="0.3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 x14ac:dyDescent="0.3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 x14ac:dyDescent="0.3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 x14ac:dyDescent="0.3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 x14ac:dyDescent="0.3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 x14ac:dyDescent="0.3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 x14ac:dyDescent="0.3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 x14ac:dyDescent="0.3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 x14ac:dyDescent="0.3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 x14ac:dyDescent="0.3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 x14ac:dyDescent="0.3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 x14ac:dyDescent="0.3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 x14ac:dyDescent="0.3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 x14ac:dyDescent="0.3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 x14ac:dyDescent="0.3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 x14ac:dyDescent="0.3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 x14ac:dyDescent="0.3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 x14ac:dyDescent="0.3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 x14ac:dyDescent="0.3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 x14ac:dyDescent="0.3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 x14ac:dyDescent="0.3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 x14ac:dyDescent="0.3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 x14ac:dyDescent="0.3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 x14ac:dyDescent="0.3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 x14ac:dyDescent="0.3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 x14ac:dyDescent="0.3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 x14ac:dyDescent="0.3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 x14ac:dyDescent="0.3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 x14ac:dyDescent="0.3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 x14ac:dyDescent="0.3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 x14ac:dyDescent="0.3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 x14ac:dyDescent="0.3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 x14ac:dyDescent="0.3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 x14ac:dyDescent="0.3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 x14ac:dyDescent="0.3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 x14ac:dyDescent="0.3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 x14ac:dyDescent="0.3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 x14ac:dyDescent="0.3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 x14ac:dyDescent="0.3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 x14ac:dyDescent="0.3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 x14ac:dyDescent="0.3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 x14ac:dyDescent="0.3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 x14ac:dyDescent="0.3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 x14ac:dyDescent="0.3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 x14ac:dyDescent="0.3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 x14ac:dyDescent="0.3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 x14ac:dyDescent="0.3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 x14ac:dyDescent="0.3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 x14ac:dyDescent="0.3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 x14ac:dyDescent="0.3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 x14ac:dyDescent="0.3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 x14ac:dyDescent="0.3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 x14ac:dyDescent="0.3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 x14ac:dyDescent="0.3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 x14ac:dyDescent="0.3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 x14ac:dyDescent="0.3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 x14ac:dyDescent="0.3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 x14ac:dyDescent="0.3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 x14ac:dyDescent="0.3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 x14ac:dyDescent="0.3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 x14ac:dyDescent="0.3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 x14ac:dyDescent="0.3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 x14ac:dyDescent="0.3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 x14ac:dyDescent="0.3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 x14ac:dyDescent="0.3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 x14ac:dyDescent="0.3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 x14ac:dyDescent="0.3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 x14ac:dyDescent="0.3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 x14ac:dyDescent="0.3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 x14ac:dyDescent="0.3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 x14ac:dyDescent="0.3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 x14ac:dyDescent="0.3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 x14ac:dyDescent="0.3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 x14ac:dyDescent="0.3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 x14ac:dyDescent="0.3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 x14ac:dyDescent="0.3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 x14ac:dyDescent="0.3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 x14ac:dyDescent="0.3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 x14ac:dyDescent="0.3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 x14ac:dyDescent="0.3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 x14ac:dyDescent="0.3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 x14ac:dyDescent="0.3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 x14ac:dyDescent="0.3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 x14ac:dyDescent="0.3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 x14ac:dyDescent="0.3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 x14ac:dyDescent="0.3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 x14ac:dyDescent="0.3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 x14ac:dyDescent="0.3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 x14ac:dyDescent="0.3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 x14ac:dyDescent="0.3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 x14ac:dyDescent="0.3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 x14ac:dyDescent="0.3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 x14ac:dyDescent="0.3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 x14ac:dyDescent="0.3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 x14ac:dyDescent="0.3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 x14ac:dyDescent="0.3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 x14ac:dyDescent="0.3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 x14ac:dyDescent="0.3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 x14ac:dyDescent="0.3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 x14ac:dyDescent="0.3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 x14ac:dyDescent="0.3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 x14ac:dyDescent="0.3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 x14ac:dyDescent="0.3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 x14ac:dyDescent="0.3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 x14ac:dyDescent="0.3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 x14ac:dyDescent="0.3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 x14ac:dyDescent="0.3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 x14ac:dyDescent="0.3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 x14ac:dyDescent="0.3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 x14ac:dyDescent="0.3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 x14ac:dyDescent="0.3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 x14ac:dyDescent="0.3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 x14ac:dyDescent="0.3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 x14ac:dyDescent="0.3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 x14ac:dyDescent="0.3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 x14ac:dyDescent="0.3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 x14ac:dyDescent="0.3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 x14ac:dyDescent="0.3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 x14ac:dyDescent="0.3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 x14ac:dyDescent="0.3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 x14ac:dyDescent="0.3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 x14ac:dyDescent="0.3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 x14ac:dyDescent="0.3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 x14ac:dyDescent="0.3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 x14ac:dyDescent="0.3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 x14ac:dyDescent="0.3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 x14ac:dyDescent="0.3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 x14ac:dyDescent="0.3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 x14ac:dyDescent="0.3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 x14ac:dyDescent="0.3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 x14ac:dyDescent="0.3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 x14ac:dyDescent="0.3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 x14ac:dyDescent="0.3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 x14ac:dyDescent="0.3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 x14ac:dyDescent="0.3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 x14ac:dyDescent="0.3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 x14ac:dyDescent="0.3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 x14ac:dyDescent="0.3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 x14ac:dyDescent="0.3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 x14ac:dyDescent="0.3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 x14ac:dyDescent="0.3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 x14ac:dyDescent="0.3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 x14ac:dyDescent="0.3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 x14ac:dyDescent="0.3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 x14ac:dyDescent="0.3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 x14ac:dyDescent="0.3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 x14ac:dyDescent="0.3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 x14ac:dyDescent="0.3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 x14ac:dyDescent="0.3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 x14ac:dyDescent="0.3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 x14ac:dyDescent="0.3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 x14ac:dyDescent="0.3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 x14ac:dyDescent="0.3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 x14ac:dyDescent="0.3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 x14ac:dyDescent="0.3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 x14ac:dyDescent="0.3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 x14ac:dyDescent="0.3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 x14ac:dyDescent="0.3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 x14ac:dyDescent="0.3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 x14ac:dyDescent="0.3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 x14ac:dyDescent="0.3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 x14ac:dyDescent="0.3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 x14ac:dyDescent="0.3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 x14ac:dyDescent="0.3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 x14ac:dyDescent="0.3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 x14ac:dyDescent="0.3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 x14ac:dyDescent="0.3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 x14ac:dyDescent="0.3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 x14ac:dyDescent="0.3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 x14ac:dyDescent="0.3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 x14ac:dyDescent="0.3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 x14ac:dyDescent="0.3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 x14ac:dyDescent="0.3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 x14ac:dyDescent="0.3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 x14ac:dyDescent="0.3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 x14ac:dyDescent="0.3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 x14ac:dyDescent="0.3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 x14ac:dyDescent="0.3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 x14ac:dyDescent="0.3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 x14ac:dyDescent="0.3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 x14ac:dyDescent="0.3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 x14ac:dyDescent="0.3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 x14ac:dyDescent="0.3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 x14ac:dyDescent="0.3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 x14ac:dyDescent="0.3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 x14ac:dyDescent="0.3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 x14ac:dyDescent="0.3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 x14ac:dyDescent="0.3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 x14ac:dyDescent="0.3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 x14ac:dyDescent="0.3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 x14ac:dyDescent="0.3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 x14ac:dyDescent="0.3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 x14ac:dyDescent="0.3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 x14ac:dyDescent="0.3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 x14ac:dyDescent="0.3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 x14ac:dyDescent="0.3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 x14ac:dyDescent="0.3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 x14ac:dyDescent="0.3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 x14ac:dyDescent="0.3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 x14ac:dyDescent="0.3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 x14ac:dyDescent="0.3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 x14ac:dyDescent="0.3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 x14ac:dyDescent="0.3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 x14ac:dyDescent="0.3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 x14ac:dyDescent="0.3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 x14ac:dyDescent="0.3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 x14ac:dyDescent="0.3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 x14ac:dyDescent="0.3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 x14ac:dyDescent="0.3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 x14ac:dyDescent="0.3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 x14ac:dyDescent="0.3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 x14ac:dyDescent="0.3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 x14ac:dyDescent="0.3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 x14ac:dyDescent="0.3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 x14ac:dyDescent="0.3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 x14ac:dyDescent="0.3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 x14ac:dyDescent="0.3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 x14ac:dyDescent="0.3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 x14ac:dyDescent="0.3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 x14ac:dyDescent="0.3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 x14ac:dyDescent="0.3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 x14ac:dyDescent="0.3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 x14ac:dyDescent="0.3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 x14ac:dyDescent="0.3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 x14ac:dyDescent="0.3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 x14ac:dyDescent="0.3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 x14ac:dyDescent="0.3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 x14ac:dyDescent="0.3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 x14ac:dyDescent="0.3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 x14ac:dyDescent="0.3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 x14ac:dyDescent="0.3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 x14ac:dyDescent="0.3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 x14ac:dyDescent="0.3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 x14ac:dyDescent="0.3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 x14ac:dyDescent="0.3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 x14ac:dyDescent="0.3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 x14ac:dyDescent="0.3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 x14ac:dyDescent="0.3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 x14ac:dyDescent="0.3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 x14ac:dyDescent="0.3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 x14ac:dyDescent="0.3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 x14ac:dyDescent="0.3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 x14ac:dyDescent="0.3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 x14ac:dyDescent="0.3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 x14ac:dyDescent="0.3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 x14ac:dyDescent="0.3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 x14ac:dyDescent="0.3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 x14ac:dyDescent="0.3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 x14ac:dyDescent="0.3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 x14ac:dyDescent="0.3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 x14ac:dyDescent="0.3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 x14ac:dyDescent="0.3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 x14ac:dyDescent="0.3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 x14ac:dyDescent="0.3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 x14ac:dyDescent="0.3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 x14ac:dyDescent="0.3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 x14ac:dyDescent="0.3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 x14ac:dyDescent="0.3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 x14ac:dyDescent="0.3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 x14ac:dyDescent="0.3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 x14ac:dyDescent="0.3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 x14ac:dyDescent="0.3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 x14ac:dyDescent="0.3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 x14ac:dyDescent="0.3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 x14ac:dyDescent="0.3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 x14ac:dyDescent="0.3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 x14ac:dyDescent="0.3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 x14ac:dyDescent="0.3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 x14ac:dyDescent="0.3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 x14ac:dyDescent="0.3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 x14ac:dyDescent="0.3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 x14ac:dyDescent="0.3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 x14ac:dyDescent="0.3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 x14ac:dyDescent="0.3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 x14ac:dyDescent="0.3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 x14ac:dyDescent="0.3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 x14ac:dyDescent="0.3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 x14ac:dyDescent="0.3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 x14ac:dyDescent="0.3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 x14ac:dyDescent="0.3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 x14ac:dyDescent="0.3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 x14ac:dyDescent="0.3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 x14ac:dyDescent="0.3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 x14ac:dyDescent="0.3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 x14ac:dyDescent="0.3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 x14ac:dyDescent="0.3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 x14ac:dyDescent="0.3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 x14ac:dyDescent="0.3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 x14ac:dyDescent="0.3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 x14ac:dyDescent="0.3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 x14ac:dyDescent="0.3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 x14ac:dyDescent="0.3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 x14ac:dyDescent="0.3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 x14ac:dyDescent="0.3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 x14ac:dyDescent="0.3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 x14ac:dyDescent="0.3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 x14ac:dyDescent="0.3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 x14ac:dyDescent="0.3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 x14ac:dyDescent="0.3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 x14ac:dyDescent="0.3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 x14ac:dyDescent="0.3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 x14ac:dyDescent="0.3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 x14ac:dyDescent="0.3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 x14ac:dyDescent="0.3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 x14ac:dyDescent="0.3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 x14ac:dyDescent="0.3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 x14ac:dyDescent="0.3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 x14ac:dyDescent="0.3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 x14ac:dyDescent="0.3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 x14ac:dyDescent="0.3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 x14ac:dyDescent="0.3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 x14ac:dyDescent="0.3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 x14ac:dyDescent="0.3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 x14ac:dyDescent="0.3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 x14ac:dyDescent="0.3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 x14ac:dyDescent="0.3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 x14ac:dyDescent="0.3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 x14ac:dyDescent="0.3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 x14ac:dyDescent="0.3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 x14ac:dyDescent="0.3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 x14ac:dyDescent="0.3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 x14ac:dyDescent="0.3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 x14ac:dyDescent="0.3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 x14ac:dyDescent="0.3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 x14ac:dyDescent="0.3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 x14ac:dyDescent="0.3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 x14ac:dyDescent="0.3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 x14ac:dyDescent="0.3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 x14ac:dyDescent="0.3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 x14ac:dyDescent="0.3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 x14ac:dyDescent="0.3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 x14ac:dyDescent="0.3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 x14ac:dyDescent="0.3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 x14ac:dyDescent="0.3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 x14ac:dyDescent="0.3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 x14ac:dyDescent="0.3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 x14ac:dyDescent="0.3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 x14ac:dyDescent="0.3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 x14ac:dyDescent="0.3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 x14ac:dyDescent="0.3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 x14ac:dyDescent="0.3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 x14ac:dyDescent="0.3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 x14ac:dyDescent="0.3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 x14ac:dyDescent="0.3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 x14ac:dyDescent="0.3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 x14ac:dyDescent="0.3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 x14ac:dyDescent="0.3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 x14ac:dyDescent="0.3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 x14ac:dyDescent="0.3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 x14ac:dyDescent="0.3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 x14ac:dyDescent="0.3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 x14ac:dyDescent="0.3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 x14ac:dyDescent="0.3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 x14ac:dyDescent="0.3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 x14ac:dyDescent="0.3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 x14ac:dyDescent="0.3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 x14ac:dyDescent="0.3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 x14ac:dyDescent="0.3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 x14ac:dyDescent="0.3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 x14ac:dyDescent="0.3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 x14ac:dyDescent="0.3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 x14ac:dyDescent="0.3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 x14ac:dyDescent="0.3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 x14ac:dyDescent="0.3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 x14ac:dyDescent="0.3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 x14ac:dyDescent="0.3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 x14ac:dyDescent="0.3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 x14ac:dyDescent="0.3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 x14ac:dyDescent="0.3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 x14ac:dyDescent="0.3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 x14ac:dyDescent="0.3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 x14ac:dyDescent="0.3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 x14ac:dyDescent="0.3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 x14ac:dyDescent="0.3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 x14ac:dyDescent="0.3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 x14ac:dyDescent="0.3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 x14ac:dyDescent="0.3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 x14ac:dyDescent="0.3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 x14ac:dyDescent="0.3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 x14ac:dyDescent="0.3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 x14ac:dyDescent="0.3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 x14ac:dyDescent="0.3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 x14ac:dyDescent="0.3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 x14ac:dyDescent="0.3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 x14ac:dyDescent="0.3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 x14ac:dyDescent="0.3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 x14ac:dyDescent="0.3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 x14ac:dyDescent="0.3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 x14ac:dyDescent="0.3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 x14ac:dyDescent="0.3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 x14ac:dyDescent="0.3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 x14ac:dyDescent="0.3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 x14ac:dyDescent="0.3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 x14ac:dyDescent="0.3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 x14ac:dyDescent="0.3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 x14ac:dyDescent="0.3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 x14ac:dyDescent="0.3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 x14ac:dyDescent="0.3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 x14ac:dyDescent="0.3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 x14ac:dyDescent="0.3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 x14ac:dyDescent="0.3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 x14ac:dyDescent="0.3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 x14ac:dyDescent="0.3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 x14ac:dyDescent="0.3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 x14ac:dyDescent="0.3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 x14ac:dyDescent="0.3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 x14ac:dyDescent="0.3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 x14ac:dyDescent="0.3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 x14ac:dyDescent="0.3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 x14ac:dyDescent="0.3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 x14ac:dyDescent="0.3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 x14ac:dyDescent="0.3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 x14ac:dyDescent="0.3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 x14ac:dyDescent="0.3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 x14ac:dyDescent="0.3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 x14ac:dyDescent="0.3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 x14ac:dyDescent="0.3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 x14ac:dyDescent="0.3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 x14ac:dyDescent="0.3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 x14ac:dyDescent="0.3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 x14ac:dyDescent="0.3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 x14ac:dyDescent="0.3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 x14ac:dyDescent="0.3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 x14ac:dyDescent="0.3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 x14ac:dyDescent="0.3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 x14ac:dyDescent="0.3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 x14ac:dyDescent="0.3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 x14ac:dyDescent="0.3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 x14ac:dyDescent="0.3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 x14ac:dyDescent="0.3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 x14ac:dyDescent="0.3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 x14ac:dyDescent="0.3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 x14ac:dyDescent="0.3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 x14ac:dyDescent="0.3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 x14ac:dyDescent="0.3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 x14ac:dyDescent="0.3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 x14ac:dyDescent="0.3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 x14ac:dyDescent="0.3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 x14ac:dyDescent="0.3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 x14ac:dyDescent="0.3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 x14ac:dyDescent="0.3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 x14ac:dyDescent="0.3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 x14ac:dyDescent="0.3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 x14ac:dyDescent="0.3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 x14ac:dyDescent="0.3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 x14ac:dyDescent="0.3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 x14ac:dyDescent="0.3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 x14ac:dyDescent="0.3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 x14ac:dyDescent="0.3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 x14ac:dyDescent="0.3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 x14ac:dyDescent="0.3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 x14ac:dyDescent="0.3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 x14ac:dyDescent="0.3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 x14ac:dyDescent="0.3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 x14ac:dyDescent="0.3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 x14ac:dyDescent="0.3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 x14ac:dyDescent="0.3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 x14ac:dyDescent="0.3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 x14ac:dyDescent="0.3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 x14ac:dyDescent="0.3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 x14ac:dyDescent="0.3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 x14ac:dyDescent="0.3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 x14ac:dyDescent="0.3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 x14ac:dyDescent="0.3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 x14ac:dyDescent="0.3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workbookViewId="0">
      <selection activeCell="E2" sqref="E2:E163"/>
    </sheetView>
  </sheetViews>
  <sheetFormatPr defaultColWidth="8.875" defaultRowHeight="16.5" x14ac:dyDescent="0.3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 x14ac:dyDescent="0.3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 x14ac:dyDescent="0.3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 x14ac:dyDescent="0.3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 x14ac:dyDescent="0.3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 x14ac:dyDescent="0.3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 x14ac:dyDescent="0.3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 x14ac:dyDescent="0.3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 x14ac:dyDescent="0.3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 x14ac:dyDescent="0.3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 x14ac:dyDescent="0.3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 x14ac:dyDescent="0.3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 x14ac:dyDescent="0.3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 x14ac:dyDescent="0.3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 x14ac:dyDescent="0.3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 x14ac:dyDescent="0.3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 x14ac:dyDescent="0.3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 x14ac:dyDescent="0.3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 x14ac:dyDescent="0.3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 x14ac:dyDescent="0.3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 x14ac:dyDescent="0.3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 x14ac:dyDescent="0.3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 x14ac:dyDescent="0.3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 x14ac:dyDescent="0.3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 x14ac:dyDescent="0.3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 x14ac:dyDescent="0.3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 x14ac:dyDescent="0.3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 x14ac:dyDescent="0.3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 x14ac:dyDescent="0.3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 x14ac:dyDescent="0.3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 x14ac:dyDescent="0.3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 x14ac:dyDescent="0.3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 x14ac:dyDescent="0.3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 x14ac:dyDescent="0.3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 x14ac:dyDescent="0.3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 x14ac:dyDescent="0.3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 x14ac:dyDescent="0.3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 x14ac:dyDescent="0.3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 x14ac:dyDescent="0.3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 x14ac:dyDescent="0.3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 x14ac:dyDescent="0.3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 x14ac:dyDescent="0.3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 x14ac:dyDescent="0.3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 x14ac:dyDescent="0.3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 x14ac:dyDescent="0.3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 x14ac:dyDescent="0.3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 x14ac:dyDescent="0.3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 x14ac:dyDescent="0.3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 x14ac:dyDescent="0.3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 x14ac:dyDescent="0.3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 x14ac:dyDescent="0.3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 x14ac:dyDescent="0.3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 x14ac:dyDescent="0.3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 x14ac:dyDescent="0.3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 x14ac:dyDescent="0.3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 x14ac:dyDescent="0.3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 x14ac:dyDescent="0.3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 x14ac:dyDescent="0.3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 x14ac:dyDescent="0.3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 x14ac:dyDescent="0.3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 x14ac:dyDescent="0.3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 x14ac:dyDescent="0.3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 x14ac:dyDescent="0.3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 x14ac:dyDescent="0.3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 x14ac:dyDescent="0.3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 x14ac:dyDescent="0.3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 x14ac:dyDescent="0.3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 x14ac:dyDescent="0.3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 x14ac:dyDescent="0.3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 x14ac:dyDescent="0.3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 x14ac:dyDescent="0.3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 x14ac:dyDescent="0.3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 x14ac:dyDescent="0.3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 x14ac:dyDescent="0.3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 x14ac:dyDescent="0.3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 x14ac:dyDescent="0.3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 x14ac:dyDescent="0.3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 x14ac:dyDescent="0.3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 x14ac:dyDescent="0.3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 x14ac:dyDescent="0.3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 x14ac:dyDescent="0.3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 x14ac:dyDescent="0.3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 x14ac:dyDescent="0.3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 x14ac:dyDescent="0.3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 x14ac:dyDescent="0.3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 x14ac:dyDescent="0.3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 x14ac:dyDescent="0.3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 x14ac:dyDescent="0.3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 x14ac:dyDescent="0.3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 x14ac:dyDescent="0.3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 x14ac:dyDescent="0.3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 x14ac:dyDescent="0.3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 x14ac:dyDescent="0.3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 x14ac:dyDescent="0.3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 x14ac:dyDescent="0.3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 x14ac:dyDescent="0.3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 x14ac:dyDescent="0.3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 x14ac:dyDescent="0.3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 x14ac:dyDescent="0.3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 x14ac:dyDescent="0.3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 x14ac:dyDescent="0.3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 x14ac:dyDescent="0.3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 x14ac:dyDescent="0.3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 x14ac:dyDescent="0.3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 x14ac:dyDescent="0.3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 x14ac:dyDescent="0.3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 x14ac:dyDescent="0.3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 x14ac:dyDescent="0.3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 x14ac:dyDescent="0.3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 x14ac:dyDescent="0.3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 x14ac:dyDescent="0.3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 x14ac:dyDescent="0.3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 x14ac:dyDescent="0.3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 x14ac:dyDescent="0.3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 x14ac:dyDescent="0.3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 x14ac:dyDescent="0.3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 x14ac:dyDescent="0.3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 x14ac:dyDescent="0.3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 x14ac:dyDescent="0.3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 x14ac:dyDescent="0.3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 x14ac:dyDescent="0.3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 x14ac:dyDescent="0.3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 x14ac:dyDescent="0.3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 x14ac:dyDescent="0.3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 x14ac:dyDescent="0.3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 x14ac:dyDescent="0.3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 x14ac:dyDescent="0.3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 x14ac:dyDescent="0.3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 x14ac:dyDescent="0.3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 x14ac:dyDescent="0.3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 x14ac:dyDescent="0.3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 x14ac:dyDescent="0.3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 x14ac:dyDescent="0.3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 x14ac:dyDescent="0.3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 x14ac:dyDescent="0.3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 x14ac:dyDescent="0.3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 x14ac:dyDescent="0.3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 x14ac:dyDescent="0.3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 x14ac:dyDescent="0.3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 x14ac:dyDescent="0.3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 x14ac:dyDescent="0.3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 x14ac:dyDescent="0.3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 x14ac:dyDescent="0.3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 x14ac:dyDescent="0.3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 x14ac:dyDescent="0.3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 x14ac:dyDescent="0.3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 x14ac:dyDescent="0.3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 x14ac:dyDescent="0.3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 x14ac:dyDescent="0.3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 x14ac:dyDescent="0.3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 x14ac:dyDescent="0.3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 x14ac:dyDescent="0.3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 x14ac:dyDescent="0.3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 x14ac:dyDescent="0.3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 x14ac:dyDescent="0.3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 x14ac:dyDescent="0.3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 x14ac:dyDescent="0.3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 x14ac:dyDescent="0.3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 x14ac:dyDescent="0.3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 x14ac:dyDescent="0.3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 x14ac:dyDescent="0.3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 x14ac:dyDescent="0.3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 x14ac:dyDescent="0.3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 x14ac:dyDescent="0.3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9" workbookViewId="0">
      <selection activeCell="E2" sqref="E2:E178"/>
    </sheetView>
  </sheetViews>
  <sheetFormatPr defaultRowHeight="16.5" x14ac:dyDescent="0.3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 x14ac:dyDescent="0.3">
      <c r="A1" s="3" t="s">
        <v>99</v>
      </c>
      <c r="B1" s="3" t="s">
        <v>100</v>
      </c>
      <c r="C1" s="40" t="s">
        <v>101</v>
      </c>
      <c r="D1" s="40" t="s">
        <v>102</v>
      </c>
      <c r="E1" s="3" t="s">
        <v>103</v>
      </c>
      <c r="F1" s="40" t="s">
        <v>104</v>
      </c>
      <c r="G1" s="4" t="s">
        <v>105</v>
      </c>
      <c r="H1" s="3" t="s">
        <v>8</v>
      </c>
    </row>
    <row r="2" spans="1:8" x14ac:dyDescent="0.3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 x14ac:dyDescent="0.3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 x14ac:dyDescent="0.3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 x14ac:dyDescent="0.3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 x14ac:dyDescent="0.3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 x14ac:dyDescent="0.3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 x14ac:dyDescent="0.3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 x14ac:dyDescent="0.3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 x14ac:dyDescent="0.3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 x14ac:dyDescent="0.3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 x14ac:dyDescent="0.3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 x14ac:dyDescent="0.3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 x14ac:dyDescent="0.3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 x14ac:dyDescent="0.3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 x14ac:dyDescent="0.3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 x14ac:dyDescent="0.3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 x14ac:dyDescent="0.3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 x14ac:dyDescent="0.3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 x14ac:dyDescent="0.3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 x14ac:dyDescent="0.3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 x14ac:dyDescent="0.3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 x14ac:dyDescent="0.3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 x14ac:dyDescent="0.3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 x14ac:dyDescent="0.3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 x14ac:dyDescent="0.3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 x14ac:dyDescent="0.3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 x14ac:dyDescent="0.3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 x14ac:dyDescent="0.3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 x14ac:dyDescent="0.3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 x14ac:dyDescent="0.3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 x14ac:dyDescent="0.3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 x14ac:dyDescent="0.3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 x14ac:dyDescent="0.3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 x14ac:dyDescent="0.3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 x14ac:dyDescent="0.3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 x14ac:dyDescent="0.3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 x14ac:dyDescent="0.3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 x14ac:dyDescent="0.3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 x14ac:dyDescent="0.3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 x14ac:dyDescent="0.3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 x14ac:dyDescent="0.3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 x14ac:dyDescent="0.3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 x14ac:dyDescent="0.3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 x14ac:dyDescent="0.3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 x14ac:dyDescent="0.3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 x14ac:dyDescent="0.3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 x14ac:dyDescent="0.3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 x14ac:dyDescent="0.3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 x14ac:dyDescent="0.3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 x14ac:dyDescent="0.3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 x14ac:dyDescent="0.3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 x14ac:dyDescent="0.3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 x14ac:dyDescent="0.3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 x14ac:dyDescent="0.3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 x14ac:dyDescent="0.3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 x14ac:dyDescent="0.3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 x14ac:dyDescent="0.3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 x14ac:dyDescent="0.3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 x14ac:dyDescent="0.3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 x14ac:dyDescent="0.3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 x14ac:dyDescent="0.3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 x14ac:dyDescent="0.3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 x14ac:dyDescent="0.3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 x14ac:dyDescent="0.3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 x14ac:dyDescent="0.3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 x14ac:dyDescent="0.3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 x14ac:dyDescent="0.3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 x14ac:dyDescent="0.3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 x14ac:dyDescent="0.3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 x14ac:dyDescent="0.3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 x14ac:dyDescent="0.3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 x14ac:dyDescent="0.3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 x14ac:dyDescent="0.3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 x14ac:dyDescent="0.3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 x14ac:dyDescent="0.3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 x14ac:dyDescent="0.3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 x14ac:dyDescent="0.3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 x14ac:dyDescent="0.3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 x14ac:dyDescent="0.3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 x14ac:dyDescent="0.3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 x14ac:dyDescent="0.3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 x14ac:dyDescent="0.3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 x14ac:dyDescent="0.3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 x14ac:dyDescent="0.3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 x14ac:dyDescent="0.3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 x14ac:dyDescent="0.3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 x14ac:dyDescent="0.3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 x14ac:dyDescent="0.3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 x14ac:dyDescent="0.3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 x14ac:dyDescent="0.3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 x14ac:dyDescent="0.3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 x14ac:dyDescent="0.3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 x14ac:dyDescent="0.3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 x14ac:dyDescent="0.3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 x14ac:dyDescent="0.3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 x14ac:dyDescent="0.3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 x14ac:dyDescent="0.3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 x14ac:dyDescent="0.3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 x14ac:dyDescent="0.3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 x14ac:dyDescent="0.3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 x14ac:dyDescent="0.3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 x14ac:dyDescent="0.3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 x14ac:dyDescent="0.3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 x14ac:dyDescent="0.3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 x14ac:dyDescent="0.3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 x14ac:dyDescent="0.3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 x14ac:dyDescent="0.3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 x14ac:dyDescent="0.3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 x14ac:dyDescent="0.3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 x14ac:dyDescent="0.3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 x14ac:dyDescent="0.3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 x14ac:dyDescent="0.3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 x14ac:dyDescent="0.3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 x14ac:dyDescent="0.3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 x14ac:dyDescent="0.3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 x14ac:dyDescent="0.3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 x14ac:dyDescent="0.3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 x14ac:dyDescent="0.3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 x14ac:dyDescent="0.3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 x14ac:dyDescent="0.3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 x14ac:dyDescent="0.3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 x14ac:dyDescent="0.3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 x14ac:dyDescent="0.3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 x14ac:dyDescent="0.3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 x14ac:dyDescent="0.3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 x14ac:dyDescent="0.3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 x14ac:dyDescent="0.3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 x14ac:dyDescent="0.3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 x14ac:dyDescent="0.3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 x14ac:dyDescent="0.3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 x14ac:dyDescent="0.3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 x14ac:dyDescent="0.3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 x14ac:dyDescent="0.3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 x14ac:dyDescent="0.3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 x14ac:dyDescent="0.3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 x14ac:dyDescent="0.3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 x14ac:dyDescent="0.3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 x14ac:dyDescent="0.3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 x14ac:dyDescent="0.3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 x14ac:dyDescent="0.3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 x14ac:dyDescent="0.3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 x14ac:dyDescent="0.3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 x14ac:dyDescent="0.3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 x14ac:dyDescent="0.3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 x14ac:dyDescent="0.3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 x14ac:dyDescent="0.3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 x14ac:dyDescent="0.3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 x14ac:dyDescent="0.3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 x14ac:dyDescent="0.3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 x14ac:dyDescent="0.3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 x14ac:dyDescent="0.3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 x14ac:dyDescent="0.3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 x14ac:dyDescent="0.3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 x14ac:dyDescent="0.3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 x14ac:dyDescent="0.3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 x14ac:dyDescent="0.3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 x14ac:dyDescent="0.3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 x14ac:dyDescent="0.3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 x14ac:dyDescent="0.3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 x14ac:dyDescent="0.3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 x14ac:dyDescent="0.3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 x14ac:dyDescent="0.3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 x14ac:dyDescent="0.3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 x14ac:dyDescent="0.3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 x14ac:dyDescent="0.3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 x14ac:dyDescent="0.3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 x14ac:dyDescent="0.3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 x14ac:dyDescent="0.3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 x14ac:dyDescent="0.3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 x14ac:dyDescent="0.3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 x14ac:dyDescent="0.3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 x14ac:dyDescent="0.3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 x14ac:dyDescent="0.3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 x14ac:dyDescent="0.3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 x14ac:dyDescent="0.3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 x14ac:dyDescent="0.3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 x14ac:dyDescent="0.3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지수산출플로우</vt:lpstr>
      <vt:lpstr>CASE2_1_조건설정</vt:lpstr>
      <vt:lpstr>CASE2_1_BACKTEST</vt:lpstr>
      <vt:lpstr>CASE2_2_조건설정</vt:lpstr>
      <vt:lpstr>CASE2_2_BACKTEST</vt:lpstr>
      <vt:lpstr>CASE2_3_조건설정</vt:lpstr>
      <vt:lpstr>CASE2_3_BACKTEST</vt:lpstr>
      <vt:lpstr>CASE2_3_검증</vt:lpstr>
      <vt:lpstr>CASE3_1_조건설정</vt:lpstr>
      <vt:lpstr>CASE3_1_BACTEST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DB400</cp:lastModifiedBy>
  <dcterms:created xsi:type="dcterms:W3CDTF">2019-07-18T00:21:11Z</dcterms:created>
  <dcterms:modified xsi:type="dcterms:W3CDTF">2019-10-02T04:08:28Z</dcterms:modified>
</cp:coreProperties>
</file>